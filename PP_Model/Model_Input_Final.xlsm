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comments11.xml" ContentType="application/vnd.openxmlformats-officedocument.spreadsheetml.comments+xml"/>
  <Override PartName="/xl/styles.xml" ContentType="application/vnd.openxmlformats-officedocument.spreadsheetml.styles+xml"/>
  <Override PartName="/xl/workbook.xml" ContentType="application/vnd.ms-excel.sheet.macroEnabled.main+xml"/>
  <Override PartName="/xl/drawings/drawing17.xml" ContentType="application/vnd.openxmlformats-officedocument.drawing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13.xml" ContentType="application/vnd.openxmlformats-officedocument.drawing+xml"/>
  <Override PartName="/xl/drawings/drawing12.xml" ContentType="application/vnd.openxmlformats-officedocument.drawing+xml"/>
  <Override PartName="/xl/drawings/drawing11.xml" ContentType="application/vnd.openxmlformats-officedocument.drawing+xml"/>
  <Override PartName="/xl/drawings/drawing10.xml" ContentType="application/vnd.openxmlformats-officedocument.drawing+xml"/>
  <Override PartName="/xl/drawings/vmlDrawing2.vml" ContentType="application/vnd.openxmlformats-officedocument.vmlDrawing"/>
  <Override PartName="/xl/drawings/drawing4.xml" ContentType="application/vnd.openxmlformats-officedocument.drawing+xml"/>
  <Override PartName="/xl/drawings/drawing18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vmlDrawing3.vml" ContentType="application/vnd.openxmlformats-officedocument.vmlDrawing"/>
  <Override PartName="/xl/drawings/drawing1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worksheets/_rels/sheet28.xml.rels" ContentType="application/vnd.openxmlformats-package.relationships+xml"/>
  <Override PartName="/xl/worksheets/_rels/sheet27.xml.rels" ContentType="application/vnd.openxmlformats-package.relationships+xml"/>
  <Override PartName="/xl/worksheets/_rels/sheet25.xml.rels" ContentType="application/vnd.openxmlformats-package.relationships+xml"/>
  <Override PartName="/xl/worksheets/_rels/sheet19.xml.rels" ContentType="application/vnd.openxmlformats-package.relationships+xml"/>
  <Override PartName="/xl/worksheets/_rels/sheet1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9.xml.rels" ContentType="application/vnd.openxmlformats-package.relationships+xml"/>
  <Override PartName="/xl/worksheets/_rels/sheet26.xml.rels" ContentType="application/vnd.openxmlformats-package.relationships+xml"/>
  <Override PartName="/xl/worksheets/_rels/sheet11.xml.rels" ContentType="application/vnd.openxmlformats-package.relationships+xml"/>
  <Override PartName="/xl/worksheets/_rels/sheet29.xml.rels" ContentType="application/vnd.openxmlformats-package.relationships+xml"/>
  <Override PartName="/xl/worksheets/_rels/sheet22.xml.rels" ContentType="application/vnd.openxmlformats-package.relationships+xml"/>
  <Override PartName="/xl/worksheets/_rels/sheet14.xml.rels" ContentType="application/vnd.openxmlformats-package.relationships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9.xml" ContentType="application/vnd.openxmlformats-officedocument.spreadsheetml.worksheet+xml"/>
  <Override PartName="/xl/worksheets/sheet12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18.xml" ContentType="application/vnd.openxmlformats-officedocument.spreadsheetml.worksheet+xml"/>
  <Override PartName="/xl/worksheets/sheet3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xl/comments28.xml" ContentType="application/vnd.openxmlformats-officedocument.spreadsheetml.comments+xml"/>
  <Override PartName="/xl/comments5.xml" ContentType="application/vnd.openxmlformats-officedocument.spreadsheetml.comment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2"/>
  </bookViews>
  <sheets>
    <sheet name="Information" sheetId="1" state="visible" r:id="rId3"/>
    <sheet name="Demand_Fresh" sheetId="2" state="visible" r:id="rId4"/>
    <sheet name="Demand_Frozen" sheetId="3" state="visible" r:id="rId5"/>
    <sheet name="Initial_Inventory" sheetId="4" state="visible" r:id="rId6"/>
    <sheet name="Selling_Price_Fresh" sheetId="5" state="visible" r:id="rId7"/>
    <sheet name="Selling_Price_Frozen" sheetId="6" state="visible" r:id="rId8"/>
    <sheet name="Penalty_Fresh" sheetId="7" state="visible" r:id="rId9"/>
    <sheet name="Penalty_Frozen" sheetId="8" state="visible" r:id="rId10"/>
    <sheet name="Holding_Cost_Fresh" sheetId="9" state="visible" r:id="rId11"/>
    <sheet name="Holding_Cost_Frozen" sheetId="10" state="visible" r:id="rId12"/>
    <sheet name="Operational_Cost" sheetId="11" state="visible" r:id="rId13"/>
    <sheet name="Operation_Time" sheetId="12" state="visible" r:id="rId14"/>
    <sheet name="Operational_Cost_Overtime" sheetId="13" state="visible" r:id="rId15"/>
    <sheet name="Cutting_Pattern" sheetId="14" state="visible" r:id="rId16"/>
    <sheet name="Item_Product_Group_Map" sheetId="15" state="visible" r:id="rId17"/>
    <sheet name="Available_Hour_Regular" sheetId="16" state="visible" r:id="rId18"/>
    <sheet name="Bird_Type_Ratio" sheetId="17" state="visible" r:id="rId19"/>
    <sheet name="Bird_Type_Ratio (2)" sheetId="18" state="visible" r:id="rId20"/>
    <sheet name="Common_Data" sheetId="19" state="visible" r:id="rId21"/>
    <sheet name="Availability" sheetId="20" state="visible" r:id="rId22"/>
    <sheet name="Available_Hour_Overtime" sheetId="21" state="visible" r:id="rId23"/>
    <sheet name="SKU Conversion" sheetId="22" state="visible" r:id="rId24"/>
    <sheet name="Product_Group_Yield" sheetId="23" state="hidden" r:id="rId25"/>
    <sheet name="Raw_Material" sheetId="24" state="visible" r:id="rId26"/>
    <sheet name="Fresh_Frozen_Relation" sheetId="25" state="visible" r:id="rId27"/>
    <sheet name="Yield_Originals" sheetId="26" state="visible" r:id="rId28"/>
    <sheet name="Shelf_Life" sheetId="27" state="visible" r:id="rId29"/>
    <sheet name="Yield" sheetId="28" state="visible" r:id="rId30"/>
    <sheet name="yield2" sheetId="29" state="visible" r:id="rId31"/>
  </sheets>
  <externalReferences>
    <externalReference r:id="rId32"/>
  </externalReferences>
  <definedNames>
    <definedName function="false" hidden="true" localSheetId="18" name="_xlnm._FilterDatabase" vbProcedure="false">Common_Data!$A$13:$D$381</definedName>
    <definedName function="false" hidden="true" localSheetId="13" name="_xlnm._FilterDatabase" vbProcedure="false">Cutting_Pattern!$A$1:$G$2</definedName>
    <definedName function="false" hidden="true" localSheetId="1" name="_xlnm._FilterDatabase" vbProcedure="false">Demand_Fresh!$A$1:$F$97</definedName>
    <definedName function="false" hidden="true" localSheetId="2" name="_xlnm._FilterDatabase" vbProcedure="false">Demand_Frozen!$A$1:$E$120</definedName>
    <definedName function="false" hidden="true" localSheetId="24" name="_xlnm._FilterDatabase" vbProcedure="false">Fresh_Frozen_Relation!$A$1:$B$137</definedName>
    <definedName function="false" hidden="true" localSheetId="8" name="_xlnm._FilterDatabase" vbProcedure="false">Holding_Cost_Fresh!$A$1:$N$169</definedName>
    <definedName function="false" hidden="true" localSheetId="0" name="_xlnm._FilterDatabase" vbProcedure="false">Information!$A$1:$C$29</definedName>
    <definedName function="false" hidden="true" localSheetId="3" name="_xlnm._FilterDatabase" vbProcedure="false">Initial_Inventory!$A$1:$B$239</definedName>
    <definedName function="false" hidden="true" localSheetId="14" name="_xlnm._FilterDatabase" vbProcedure="false">Item_Product_Group_Map!$B$1:$H$221</definedName>
    <definedName function="false" hidden="true" localSheetId="10" name="_xlnm._FilterDatabase" vbProcedure="false">Operational_Cost!$A$1:$C$216</definedName>
    <definedName function="false" hidden="true" localSheetId="6" name="_xlnm._FilterDatabase" vbProcedure="false">Penalty_Fresh!$A$1:$O$97</definedName>
    <definedName function="false" hidden="true" localSheetId="4" name="_xlnm._FilterDatabase" vbProcedure="false">Selling_Price_Fresh!$A$1:$C$97</definedName>
    <definedName function="false" hidden="true" localSheetId="5" name="_xlnm._FilterDatabase" vbProcedure="false">Selling_Price_Frozen!$A$1:$C$120</definedName>
    <definedName function="false" hidden="true" localSheetId="26" name="_xlnm._FilterDatabase" vbProcedure="false">Shelf_Life!$A$1:$C$369</definedName>
    <definedName function="false" hidden="true" localSheetId="27" name="_xlnm._FilterDatabase" vbProcedure="false">Yield!$A$1:$AD$448</definedName>
    <definedName function="false" hidden="true" localSheetId="25" name="_xlnm._FilterDatabase" vbProcedure="false">Yield_Originals!$A$2:$AD$393</definedName>
    <definedName function="false" hidden="true" localSheetId="28" name="_xlnm._FilterDatabase" vbProcedure="false">yield2!$A$1:$E$12070</definedName>
    <definedName function="false" hidden="false" localSheetId="0" name="ha" vbProcedure="false">Information!$A$1:$C$29</definedName>
    <definedName function="false" hidden="false" localSheetId="0" name="_FilterDatabase_0" vbProcedure="false">Information!$A$1:$C$29</definedName>
    <definedName function="false" hidden="false" localSheetId="0" name="_FilterDatabase_0_0" vbProcedure="false">Information!$A$1:$C$29</definedName>
    <definedName function="false" hidden="false" localSheetId="0" name="_FilterDatabase_0_0_0" vbProcedure="false">Information!$A$1:$C$29</definedName>
    <definedName function="false" hidden="false" localSheetId="0" name="_FilterDatabase_0_0_0_0" vbProcedure="false">Information!$A$1:$C$29</definedName>
    <definedName function="false" hidden="false" localSheetId="0" name="_FilterDatabase_0_0_0_0_0" vbProcedure="false">Information!$A$1:$C$29</definedName>
    <definedName function="false" hidden="false" localSheetId="0" name="_FilterDatabase_0_0_0_0_0_0" vbProcedure="false">Information!$A$1:$C$29</definedName>
    <definedName function="false" hidden="false" localSheetId="0" name="_FilterDatabase_0_0_0_0_0_0_0" vbProcedure="false">Information!$A$1:$C$29</definedName>
    <definedName function="false" hidden="false" localSheetId="0" name="_FilterDatabase_0_0_0_0_0_0_0_0" vbProcedure="false">Information!$A$1:$C$29</definedName>
    <definedName function="false" hidden="false" localSheetId="0" name="_FilterDatabase_0_0_0_0_0_0_0_0_0" vbProcedure="false">Information!$A$1:$C$29</definedName>
    <definedName function="false" hidden="false" localSheetId="0" name="_FilterDatabase_0_0_0_0_0_0_0_0_0_0" vbProcedure="false">Information!$A$1:$C$29</definedName>
    <definedName function="false" hidden="false" localSheetId="0" name="_FilterDatabase_0_0_0_0_0_0_0_0_0_0_0" vbProcedure="false">Information!$A$1:$C$29</definedName>
    <definedName function="false" hidden="false" localSheetId="0" name="_FilterDatabase_0_0_0_0_0_0_0_0_0_0_0_0" vbProcedure="false">Information!$A$1:$C$29</definedName>
    <definedName function="false" hidden="false" localSheetId="0" name="_FilterDatabase_0_0_0_0_0_0_0_0_0_0_0_0_0" vbProcedure="false">Information!$A$1:$C$29</definedName>
    <definedName function="false" hidden="false" localSheetId="0" name="_FilterDatabase_0_0_0_0_0_0_0_0_0_0_0_0_0_0" vbProcedure="false">Information!$A$1:$C$29</definedName>
    <definedName function="false" hidden="false" localSheetId="0" name="_FilterDatabase_0_0_0_0_0_0_0_0_0_0_0_0_0_0_0" vbProcedure="false">Information!$A$1:$C$29</definedName>
    <definedName function="false" hidden="false" localSheetId="0" name="_FilterDatabase_0_0_0_0_0_0_0_0_0_0_0_0_0_0_0_0" vbProcedure="false">Information!$A$1:$C$29</definedName>
    <definedName function="false" hidden="false" localSheetId="0" name="_FilterDatabase_0_0_0_0_0_0_0_0_0_0_0_0_0_0_0_0_0" vbProcedure="false">Information!$A$1:$C$29</definedName>
    <definedName function="false" hidden="false" localSheetId="0" name="_FilterDatabase_0_0_0_0_0_0_0_0_0_0_0_0_0_0_0_0_0_0" vbProcedure="false">Information!$A$1:$C$29</definedName>
    <definedName function="false" hidden="false" localSheetId="0" name="_FilterDatabase_0_0_0_0_0_0_0_0_0_0_0_0_0_0_0_0_0_0_0" vbProcedure="false">Information!$A$1:$C$29</definedName>
    <definedName function="false" hidden="false" localSheetId="0" name="_FilterDatabase_0_0_0_0_0_0_0_0_0_0_0_0_0_0_0_0_0_0_0_0" vbProcedure="false">Information!$A$1:$C$29</definedName>
    <definedName function="false" hidden="false" localSheetId="0" name="_FilterDatabase_0_0_0_0_0_0_0_0_0_0_0_0_0_0_0_0_0_0_0_0_0" vbProcedure="false">Information!$A$1:$C$29</definedName>
    <definedName function="false" hidden="false" localSheetId="0" name="_FilterDatabase_0_0_0_0_0_0_0_0_0_0_0_0_0_0_0_0_0_0_0_0_0_0" vbProcedure="false">Information!$A$1:$C$29</definedName>
    <definedName function="false" hidden="false" localSheetId="0" name="_FilterDatabase_0_0_0_0_0_0_0_0_0_0_0_0_0_0_0_0_0_0_0_0_0_0_0" vbProcedure="false">Information!$A$1:$C$29</definedName>
    <definedName function="false" hidden="false" localSheetId="0" name="_FilterDatabase_0_0_0_0_0_0_0_0_0_0_0_0_0_0_0_0_0_0_0_0_0_0_0_0" vbProcedure="false">Information!$A$1:$C$29</definedName>
    <definedName function="false" hidden="false" localSheetId="0" name="_FilterDatabase_0_0_0_0_0_0_0_0_0_0_0_0_0_0_0_0_0_0_0_0_0_0_0_0_0" vbProcedure="false">Information!$A$1:$C$29</definedName>
    <definedName function="false" hidden="false" localSheetId="0" name="_FilterDatabase_0_0_0_0_0_0_0_0_0_0_0_0_0_0_0_0_0_0_0_0_0_0_0_0_0_0" vbProcedure="false">Information!$A$1:$C$29</definedName>
    <definedName function="false" hidden="false" localSheetId="0" name="_FilterDatabase_0_0_0_0_0_0_0_0_0_0_0_0_0_0_0_0_0_0_0_0_0_0_0_0_0_0_0" vbProcedure="false">Information!$A$1:$C$29</definedName>
    <definedName function="false" hidden="false" localSheetId="0" name="_FilterDatabase_0_0_0_0_0_0_0_0_0_0_0_0_0_0_0_0_0_0_0_0_0_0_0_0_0_0_0_0" vbProcedure="false">Information!$A$1:$C$29</definedName>
    <definedName function="false" hidden="false" localSheetId="0" name="_FilterDatabase_0_0_0_0_0_0_0_0_0_0_0_0_0_0_0_0_0_0_0_0_0_0_0_0_0_0_0_0_0" vbProcedure="false">Information!$A$1:$C$29</definedName>
    <definedName function="false" hidden="false" localSheetId="0" name="_FilterDatabase_0_0_0_0_0_0_0_0_0_0_0_0_0_0_0_0_0_0_0_0_0_0_0_0_0_0_0_0_0_0" vbProcedure="false">Information!$A$1:$C$29</definedName>
    <definedName function="false" hidden="false" localSheetId="0" name="_FilterDatabase_0_0_0_0_0_0_0_0_0_0_0_0_0_0_0_0_0_0_0_0_0_0_0_0_0_0_0_0_0_0_0" vbProcedure="false">Information!$A$1:$C$29</definedName>
    <definedName function="false" hidden="false" localSheetId="0" name="_FilterDatabase_0_0_0_0_0_0_0_0_0_0_0_0_0_0_0_0_0_0_0_0_0_0_0_0_0_0_0_0_0_0_0_0" vbProcedure="false">Information!$A$1:$C$29</definedName>
    <definedName function="false" hidden="false" localSheetId="0" name="_FilterDatabase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_0" vbProcedure="false">Information!$A$1:$C$29</definedName>
    <definedName function="false" hidden="false" localSheetId="0" name="_FilterDatabase_0_0_0_0_0_0_0_0_0_0_0_0_0_0_0_0_0_0_0_0_0_0_0_0_0_0_0_0_0_0_0_0_0_0_0_0_0" vbProcedure="false">Information!$A$1:$C$29</definedName>
    <definedName function="false" hidden="false" localSheetId="0" name="_xlnm._FilterDatabase" vbProcedure="false">Information!$A$1:$C$29</definedName>
    <definedName function="false" hidden="false" localSheetId="0" name="_xlnm._FilterDatabase_0" vbProcedure="false">Information!$A$1:$C$29</definedName>
    <definedName function="false" hidden="false" localSheetId="0" name="_xlnm._FilterDatabase_0_0" vbProcedure="false">Information!$A$1:$C$29</definedName>
    <definedName function="false" hidden="false" localSheetId="1" name="ha" vbProcedure="false">Demand_Fresh!$A$1:$F$169</definedName>
    <definedName function="false" hidden="false" localSheetId="1" name="_FilterDatabase_0" vbProcedure="false">Demand_Fresh!$A$1:$F$97</definedName>
    <definedName function="false" hidden="false" localSheetId="1" name="_FilterDatabase_0_0" vbProcedure="false">Demand_Fresh!$A$1:$F$169</definedName>
    <definedName function="false" hidden="false" localSheetId="1" name="_FilterDatabase_0_0_0" vbProcedure="false">Demand_Fresh!$A$1:$F$97</definedName>
    <definedName function="false" hidden="false" localSheetId="1" name="_FilterDatabase_0_0_0_0" vbProcedure="false">Demand_Fresh!$A$1:$F$169</definedName>
    <definedName function="false" hidden="false" localSheetId="1" name="_FilterDatabase_0_0_0_0_0" vbProcedure="false">Demand_Fresh!$A$1:$F$97</definedName>
    <definedName function="false" hidden="false" localSheetId="1" name="_FilterDatabase_0_0_0_0_0_0" vbProcedure="false">Demand_Fresh!$A$1:$F$169</definedName>
    <definedName function="false" hidden="false" localSheetId="1" name="_FilterDatabase_0_0_0_0_0_0_0" vbProcedure="false">Demand_Fresh!$A$1:$F$97</definedName>
    <definedName function="false" hidden="false" localSheetId="1" name="_FilterDatabase_0_0_0_0_0_0_0_0" vbProcedure="false">Demand_Fresh!$A$1:$F$169</definedName>
    <definedName function="false" hidden="false" localSheetId="1" name="_FilterDatabase_0_0_0_0_0_0_0_0_0" vbProcedure="false">Demand_Fresh!$A$1:$F$97</definedName>
    <definedName function="false" hidden="false" localSheetId="1" name="_FilterDatabase_0_0_0_0_0_0_0_0_0_0" vbProcedure="false">Demand_Fresh!$A$1:$F$169</definedName>
    <definedName function="false" hidden="false" localSheetId="1" name="_FilterDatabase_0_0_0_0_0_0_0_0_0_0_0" vbProcedure="false">Demand_Fresh!$A$1:$F$97</definedName>
    <definedName function="false" hidden="false" localSheetId="1" name="_FilterDatabase_0_0_0_0_0_0_0_0_0_0_0_0" vbProcedure="false">Demand_Fresh!$A$1:$F$169</definedName>
    <definedName function="false" hidden="false" localSheetId="1" name="_FilterDatabase_0_0_0_0_0_0_0_0_0_0_0_0_0" vbProcedure="false">Demand_Fresh!$A$1:$F$97</definedName>
    <definedName function="false" hidden="false" localSheetId="1" name="_FilterDatabase_0_0_0_0_0_0_0_0_0_0_0_0_0_0" vbProcedure="false">Demand_Fresh!$A$1:$F$169</definedName>
    <definedName function="false" hidden="false" localSheetId="1" name="_FilterDatabase_0_0_0_0_0_0_0_0_0_0_0_0_0_0_0" vbProcedure="false">Demand_Fresh!$A$1:$F$97</definedName>
    <definedName function="false" hidden="false" localSheetId="1" name="_FilterDatabase_0_0_0_0_0_0_0_0_0_0_0_0_0_0_0_0" vbProcedure="false">Demand_Fresh!$A$1:$F$169</definedName>
    <definedName function="false" hidden="false" localSheetId="1" name="_FilterDatabase_0_0_0_0_0_0_0_0_0_0_0_0_0_0_0_0_0" vbProcedure="false">Demand_Fresh!$A$1:$F$97</definedName>
    <definedName function="false" hidden="false" localSheetId="1" name="_FilterDatabase_0_0_0_0_0_0_0_0_0_0_0_0_0_0_0_0_0_0" vbProcedure="false">Demand_Fresh!$A$1:$F$169</definedName>
    <definedName function="false" hidden="false" localSheetId="1" name="_FilterDatabase_0_0_0_0_0_0_0_0_0_0_0_0_0_0_0_0_0_0_0" vbProcedure="false">Demand_Fresh!$A$1:$F$97</definedName>
    <definedName function="false" hidden="false" localSheetId="1" name="_FilterDatabase_0_0_0_0_0_0_0_0_0_0_0_0_0_0_0_0_0_0_0_0" vbProcedure="false">Demand_Fresh!$A$1:$F$169</definedName>
    <definedName function="false" hidden="false" localSheetId="1" name="_FilterDatabase_0_0_0_0_0_0_0_0_0_0_0_0_0_0_0_0_0_0_0_0_0" vbProcedure="false">Demand_Fresh!$A$1:$F$97</definedName>
    <definedName function="false" hidden="false" localSheetId="1" name="_FilterDatabase_0_0_0_0_0_0_0_0_0_0_0_0_0_0_0_0_0_0_0_0_0_0" vbProcedure="false">Demand_Fresh!$A$1:$F$169</definedName>
    <definedName function="false" hidden="false" localSheetId="1" name="_FilterDatabase_0_0_0_0_0_0_0_0_0_0_0_0_0_0_0_0_0_0_0_0_0_0_0" vbProcedure="false">Demand_Fresh!$A$1:$F$97</definedName>
    <definedName function="false" hidden="false" localSheetId="1" name="_FilterDatabase_0_0_0_0_0_0_0_0_0_0_0_0_0_0_0_0_0_0_0_0_0_0_0_0" vbProcedure="false">Demand_Fresh!$A$1:$F$169</definedName>
    <definedName function="false" hidden="false" localSheetId="1" name="_FilterDatabase_0_0_0_0_0_0_0_0_0_0_0_0_0_0_0_0_0_0_0_0_0_0_0_0_0" vbProcedure="false">Demand_Fresh!$A$1:$F$97</definedName>
    <definedName function="false" hidden="false" localSheetId="1" name="_FilterDatabase_0_0_0_0_0_0_0_0_0_0_0_0_0_0_0_0_0_0_0_0_0_0_0_0_0_0" vbProcedure="false">Demand_Fresh!$A$1:$F$169</definedName>
    <definedName function="false" hidden="false" localSheetId="1" name="_FilterDatabase_0_0_0_0_0_0_0_0_0_0_0_0_0_0_0_0_0_0_0_0_0_0_0_0_0_0_0" vbProcedure="false">Demand_Fresh!$A$1:$F$97</definedName>
    <definedName function="false" hidden="false" localSheetId="1" name="_FilterDatabase_0_0_0_0_0_0_0_0_0_0_0_0_0_0_0_0_0_0_0_0_0_0_0_0_0_0_0_0" vbProcedure="false">Demand_Fresh!$A$1:$F$169</definedName>
    <definedName function="false" hidden="false" localSheetId="1" name="_FilterDatabase_0_0_0_0_0_0_0_0_0_0_0_0_0_0_0_0_0_0_0_0_0_0_0_0_0_0_0_0_0" vbProcedure="false">Demand_Fresh!$A$1:$F$97</definedName>
    <definedName function="false" hidden="false" localSheetId="1" name="_FilterDatabase_0_0_0_0_0_0_0_0_0_0_0_0_0_0_0_0_0_0_0_0_0_0_0_0_0_0_0_0_0_0" vbProcedure="false">Demand_Fresh!$A$1:$F$169</definedName>
    <definedName function="false" hidden="false" localSheetId="1" name="_FilterDatabase_0_0_0_0_0_0_0_0_0_0_0_0_0_0_0_0_0_0_0_0_0_0_0_0_0_0_0_0_0_0_0" vbProcedure="false">Demand_Fresh!$A$1:$F$97</definedName>
    <definedName function="false" hidden="false" localSheetId="1" name="_FilterDatabase_0_0_0_0_0_0_0_0_0_0_0_0_0_0_0_0_0_0_0_0_0_0_0_0_0_0_0_0_0_0_0_0" vbProcedure="false">Demand_Fresh!$A$1:$F$169</definedName>
    <definedName function="false" hidden="false" localSheetId="1" name="_FilterDatabase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_0" vbProcedure="false">Demand_Fresh!$A$1:$F$169</definedName>
    <definedName function="false" hidden="false" localSheetId="1" name="_FilterDatabase_0_0_0_0_0_0_0_0_0_0_0_0_0_0_0_0_0_0_0_0_0_0_0_0_0_0_0_0_0_0_0_0_0_0_0_0_0" vbProcedure="false">Demand_Fresh!$A$1:$F$169</definedName>
    <definedName function="false" hidden="false" localSheetId="1" name="_xlnm._FilterDatabase" vbProcedure="false">Demand_Fresh!$A$1:$F$97</definedName>
    <definedName function="false" hidden="false" localSheetId="1" name="_xlnm._FilterDatabase_0" vbProcedure="false">Demand_Fresh!$A$1:$F$97</definedName>
    <definedName function="false" hidden="false" localSheetId="1" name="_xlnm._FilterDatabase_0_0" vbProcedure="false">Demand_Fresh!$A$1:$F$97</definedName>
    <definedName function="false" hidden="false" localSheetId="2" name="_FilterDatabase_0" vbProcedure="false">Demand_Frozen!$A$1:$E$120</definedName>
    <definedName function="false" hidden="false" localSheetId="2" name="_FilterDatabase_0_0" vbProcedure="false">Demand_Frozen!$A$1:$E$120</definedName>
    <definedName function="false" hidden="false" localSheetId="2" name="_FilterDatabase_0_0_0" vbProcedure="false">Demand_Frozen!$A$1:$E$120</definedName>
    <definedName function="false" hidden="false" localSheetId="2" name="_FilterDatabase_0_0_0_0" vbProcedure="false">Demand_Frozen!$A$1:$E$120</definedName>
    <definedName function="false" hidden="false" localSheetId="2" name="_FilterDatabase_0_0_0_0_0" vbProcedure="false">Demand_Frozen!$A$1:$E$120</definedName>
    <definedName function="false" hidden="false" localSheetId="2" name="_FilterDatabase_0_0_0_0_0_0" vbProcedure="false">Demand_Frozen!$A$1:$E$120</definedName>
    <definedName function="false" hidden="false" localSheetId="2" name="_FilterDatabase_0_0_0_0_0_0_0" vbProcedure="false">Demand_Frozen!$A$1:$E$120</definedName>
    <definedName function="false" hidden="false" localSheetId="2" name="_FilterDatabase_0_0_0_0_0_0_0_0" vbProcedure="false">Demand_Frozen!$A$1:$E$120</definedName>
    <definedName function="false" hidden="false" localSheetId="2" name="_FilterDatabase_0_0_0_0_0_0_0_0_0" vbProcedure="false">Demand_Frozen!$A$1:$E$120</definedName>
    <definedName function="false" hidden="false" localSheetId="2" name="_FilterDatabase_0_0_0_0_0_0_0_0_0_0" vbProcedure="false">Demand_Frozen!$A$1:$E$120</definedName>
    <definedName function="false" hidden="false" localSheetId="2" name="_FilterDatabase_0_0_0_0_0_0_0_0_0_0_0" vbProcedure="false">Demand_Frozen!$A$1:$E$120</definedName>
    <definedName function="false" hidden="false" localSheetId="2" name="_FilterDatabase_0_0_0_0_0_0_0_0_0_0_0_0" vbProcedure="false">Demand_Frozen!$A$1:$E$120</definedName>
    <definedName function="false" hidden="false" localSheetId="2" name="_FilterDatabase_0_0_0_0_0_0_0_0_0_0_0_0_0" vbProcedure="false">Demand_Frozen!$A$1:$E$120</definedName>
    <definedName function="false" hidden="false" localSheetId="2" name="_FilterDatabase_0_0_0_0_0_0_0_0_0_0_0_0_0_0" vbProcedure="false">Demand_Frozen!$A$1:$E$120</definedName>
    <definedName function="false" hidden="false" localSheetId="2" name="_FilterDatabase_0_0_0_0_0_0_0_0_0_0_0_0_0_0_0" vbProcedure="false">Demand_Frozen!$A$1:$E$120</definedName>
    <definedName function="false" hidden="false" localSheetId="2" name="_FilterDatabase_0_0_0_0_0_0_0_0_0_0_0_0_0_0_0_0" vbProcedure="false">Demand_Frozen!$A$1:$E$120</definedName>
    <definedName function="false" hidden="false" localSheetId="2" name="_FilterDatabase_0_0_0_0_0_0_0_0_0_0_0_0_0_0_0_0_0" vbProcedure="false">Demand_Frozen!$A$1:$E$120</definedName>
    <definedName function="false" hidden="false" localSheetId="2" name="_FilterDatabase_0_0_0_0_0_0_0_0_0_0_0_0_0_0_0_0_0_0" vbProcedure="false">Demand_Frozen!$A$1:$E$120</definedName>
    <definedName function="false" hidden="false" localSheetId="2" name="_FilterDatabase_0_0_0_0_0_0_0_0_0_0_0_0_0_0_0_0_0_0_0" vbProcedure="false">Demand_Frozen!$A$1:$E$120</definedName>
    <definedName function="false" hidden="false" localSheetId="2" name="_FilterDatabase_0_0_0_0_0_0_0_0_0_0_0_0_0_0_0_0_0_0_0_0" vbProcedure="false">Demand_Frozen!$A$1:$E$120</definedName>
    <definedName function="false" hidden="false" localSheetId="2" name="_FilterDatabase_0_0_0_0_0_0_0_0_0_0_0_0_0_0_0_0_0_0_0_0_0" vbProcedure="false">Demand_Frozen!$A$1:$E$120</definedName>
    <definedName function="false" hidden="false" localSheetId="2" name="_FilterDatabase_0_0_0_0_0_0_0_0_0_0_0_0_0_0_0_0_0_0_0_0_0_0" vbProcedure="false">Demand_Frozen!$A$1:$E$120</definedName>
    <definedName function="false" hidden="false" localSheetId="2" name="_FilterDatabase_0_0_0_0_0_0_0_0_0_0_0_0_0_0_0_0_0_0_0_0_0_0_0" vbProcedure="false">Demand_Frozen!$A$1:$E$120</definedName>
    <definedName function="false" hidden="false" localSheetId="2" name="_FilterDatabase_0_0_0_0_0_0_0_0_0_0_0_0_0_0_0_0_0_0_0_0_0_0_0_0" vbProcedure="false">Demand_Frozen!$A$1:$E$120</definedName>
    <definedName function="false" hidden="false" localSheetId="2" name="_FilterDatabase_0_0_0_0_0_0_0_0_0_0_0_0_0_0_0_0_0_0_0_0_0_0_0_0_0" vbProcedure="false">Demand_Frozen!$A$1:$E$120</definedName>
    <definedName function="false" hidden="false" localSheetId="2" name="_FilterDatabase_0_0_0_0_0_0_0_0_0_0_0_0_0_0_0_0_0_0_0_0_0_0_0_0_0_0" vbProcedure="false">Demand_Frozen!$A$1:$E$120</definedName>
    <definedName function="false" hidden="false" localSheetId="2" name="_FilterDatabase_0_0_0_0_0_0_0_0_0_0_0_0_0_0_0_0_0_0_0_0_0_0_0_0_0_0_0" vbProcedure="false">Demand_Frozen!$A$1:$E$120</definedName>
    <definedName function="false" hidden="false" localSheetId="2" name="_xlnm._FilterDatabase" vbProcedure="false">Demand_Frozen!$A$1:$E$120</definedName>
    <definedName function="false" hidden="false" localSheetId="2" name="_xlnm._FilterDatabase_0" vbProcedure="false">Demand_Frozen!$A$1:$E$120</definedName>
    <definedName function="false" hidden="false" localSheetId="2" name="_xlnm._FilterDatabase_0_0" vbProcedure="false">Demand_Frozen!$A$1:$E$120</definedName>
    <definedName function="false" hidden="false" localSheetId="3" name="ha" vbProcedure="false">Initial_Inventory!$A$1:$B$336</definedName>
    <definedName function="false" hidden="false" localSheetId="3" name="_FilterDatabase_0" vbProcedure="false">Initial_Inventory!$A$1:$B$239</definedName>
    <definedName function="false" hidden="false" localSheetId="3" name="_FilterDatabase_0_0" vbProcedure="false">Initial_Inventory!$A$1:$B$336</definedName>
    <definedName function="false" hidden="false" localSheetId="3" name="_FilterDatabase_0_0_0" vbProcedure="false">Initial_Inventory!$A$1:$B$239</definedName>
    <definedName function="false" hidden="false" localSheetId="3" name="_FilterDatabase_0_0_0_0" vbProcedure="false">Initial_Inventory!$A$1:$B$336</definedName>
    <definedName function="false" hidden="false" localSheetId="3" name="_FilterDatabase_0_0_0_0_0" vbProcedure="false">Initial_Inventory!$A$1:$B$239</definedName>
    <definedName function="false" hidden="false" localSheetId="3" name="_FilterDatabase_0_0_0_0_0_0" vbProcedure="false">Initial_Inventory!$A$1:$B$336</definedName>
    <definedName function="false" hidden="false" localSheetId="3" name="_FilterDatabase_0_0_0_0_0_0_0" vbProcedure="false">Initial_Inventory!$A$1:$B$239</definedName>
    <definedName function="false" hidden="false" localSheetId="3" name="_FilterDatabase_0_0_0_0_0_0_0_0" vbProcedure="false">Initial_Inventory!$A$1:$B$336</definedName>
    <definedName function="false" hidden="false" localSheetId="3" name="_FilterDatabase_0_0_0_0_0_0_0_0_0" vbProcedure="false">Initial_Inventory!$A$1:$B$239</definedName>
    <definedName function="false" hidden="false" localSheetId="3" name="_FilterDatabase_0_0_0_0_0_0_0_0_0_0" vbProcedure="false">Initial_Inventory!$A$1:$B$336</definedName>
    <definedName function="false" hidden="false" localSheetId="3" name="_FilterDatabase_0_0_0_0_0_0_0_0_0_0_0" vbProcedure="false">Initial_Inventory!$A$1:$B$239</definedName>
    <definedName function="false" hidden="false" localSheetId="3" name="_FilterDatabase_0_0_0_0_0_0_0_0_0_0_0_0" vbProcedure="false">Initial_Inventory!$A$1:$B$336</definedName>
    <definedName function="false" hidden="false" localSheetId="3" name="_FilterDatabase_0_0_0_0_0_0_0_0_0_0_0_0_0" vbProcedure="false">Initial_Inventory!$A$1:$B$239</definedName>
    <definedName function="false" hidden="false" localSheetId="3" name="_FilterDatabase_0_0_0_0_0_0_0_0_0_0_0_0_0_0" vbProcedure="false">Initial_Inventory!$A$1:$B$336</definedName>
    <definedName function="false" hidden="false" localSheetId="3" name="_FilterDatabase_0_0_0_0_0_0_0_0_0_0_0_0_0_0_0" vbProcedure="false">Initial_Inventory!$A$1:$B$239</definedName>
    <definedName function="false" hidden="false" localSheetId="3" name="_FilterDatabase_0_0_0_0_0_0_0_0_0_0_0_0_0_0_0_0" vbProcedure="false">Initial_Inventory!$A$1:$B$336</definedName>
    <definedName function="false" hidden="false" localSheetId="3" name="_FilterDatabase_0_0_0_0_0_0_0_0_0_0_0_0_0_0_0_0_0" vbProcedure="false">Initial_Inventory!$A$1:$B$239</definedName>
    <definedName function="false" hidden="false" localSheetId="3" name="_FilterDatabase_0_0_0_0_0_0_0_0_0_0_0_0_0_0_0_0_0_0" vbProcedure="false">Initial_Inventory!$A$1:$B$336</definedName>
    <definedName function="false" hidden="false" localSheetId="3" name="_FilterDatabase_0_0_0_0_0_0_0_0_0_0_0_0_0_0_0_0_0_0_0" vbProcedure="false">Initial_Inventory!$A$1:$B$336</definedName>
    <definedName function="false" hidden="false" localSheetId="3" name="_FilterDatabase_0_0_0_0_0_0_0_0_0_0_0_0_0_0_0_0_0_0_0_0" vbProcedure="false">Initial_Inventory!$A$1:$B$336</definedName>
    <definedName function="false" hidden="false" localSheetId="3" name="_FilterDatabase_0_0_0_0_0_0_0_0_0_0_0_0_0_0_0_0_0_0_0_0_0" vbProcedure="false">Initial_Inventory!$A$1:$B$336</definedName>
    <definedName function="false" hidden="false" localSheetId="3" name="_FilterDatabase_0_0_0_0_0_0_0_0_0_0_0_0_0_0_0_0_0_0_0_0_0_0" vbProcedure="false">Initial_Inventory!$A$1:$B$336</definedName>
    <definedName function="false" hidden="false" localSheetId="3" name="_FilterDatabase_0_0_0_0_0_0_0_0_0_0_0_0_0_0_0_0_0_0_0_0_0_0_0" vbProcedure="false">Initial_Inventory!$A$1:$B$336</definedName>
    <definedName function="false" hidden="false" localSheetId="3" name="_FilterDatabase_0_0_0_0_0_0_0_0_0_0_0_0_0_0_0_0_0_0_0_0_0_0_0_0" vbProcedure="false">Initial_Inventory!$A$1:$B$336</definedName>
    <definedName function="false" hidden="false" localSheetId="3" name="_FilterDatabase_0_0_0_0_0_0_0_0_0_0_0_0_0_0_0_0_0_0_0_0_0_0_0_0_0" vbProcedure="false">Initial_Inventory!$A$1:$B$336</definedName>
    <definedName function="false" hidden="false" localSheetId="3" name="_FilterDatabase_0_0_0_0_0_0_0_0_0_0_0_0_0_0_0_0_0_0_0_0_0_0_0_0_0_0" vbProcedure="false">Initial_Inventory!$A$1:$B$336</definedName>
    <definedName function="false" hidden="false" localSheetId="3" name="_FilterDatabase_0_0_0_0_0_0_0_0_0_0_0_0_0_0_0_0_0_0_0_0_0_0_0_0_0_0_0" vbProcedure="false">Initial_Inventory!$A$1:$B$336</definedName>
    <definedName function="false" hidden="false" localSheetId="3" name="_FilterDatabase_0_0_0_0_0_0_0_0_0_0_0_0_0_0_0_0_0_0_0_0_0_0_0_0_0_0_0_0" vbProcedure="false">Initial_Inventory!$A$1:$B$336</definedName>
    <definedName function="false" hidden="false" localSheetId="3" name="_FilterDatabase_0_0_0_0_0_0_0_0_0_0_0_0_0_0_0_0_0_0_0_0_0_0_0_0_0_0_0_0_0" vbProcedure="false">Initial_Inventory!$A$1:$B$336</definedName>
    <definedName function="false" hidden="false" localSheetId="3" name="_FilterDatabase_0_0_0_0_0_0_0_0_0_0_0_0_0_0_0_0_0_0_0_0_0_0_0_0_0_0_0_0_0_0" vbProcedure="false">Initial_Inventory!$A$1:$B$336</definedName>
    <definedName function="false" hidden="false" localSheetId="3" name="_FilterDatabase_0_0_0_0_0_0_0_0_0_0_0_0_0_0_0_0_0_0_0_0_0_0_0_0_0_0_0_0_0_0_0" vbProcedure="false">Initial_Inventory!$A$1:$B$336</definedName>
    <definedName function="false" hidden="false" localSheetId="3" name="_FilterDatabase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_0" vbProcedure="false">Initial_Inventory!$A$1:$B$336</definedName>
    <definedName function="false" hidden="false" localSheetId="3" name="_FilterDatabase_0_0_0_0_0_0_0_0_0_0_0_0_0_0_0_0_0_0_0_0_0_0_0_0_0_0_0_0_0_0_0_0_0_0_0_0_0" vbProcedure="false">Initial_Inventory!$A$1:$B$336</definedName>
    <definedName function="false" hidden="false" localSheetId="3" name="_xlnm._FilterDatabase" vbProcedure="false">Initial_Inventory!$A$1:$B$336</definedName>
    <definedName function="false" hidden="false" localSheetId="3" name="_xlnm._FilterDatabase_0" vbProcedure="false">Initial_Inventory!$A$1:$B$239</definedName>
    <definedName function="false" hidden="false" localSheetId="3" name="_xlnm._FilterDatabase_0_0" vbProcedure="false">Initial_Inventory!$A$1:$B$336</definedName>
    <definedName function="false" hidden="false" localSheetId="4" name="_FilterDatabase_0" vbProcedure="false">Selling_Price_Fresh!$A$1:$H$97</definedName>
    <definedName function="false" hidden="false" localSheetId="4" name="_FilterDatabase_0_0" vbProcedure="false">Selling_Price_Fresh!$A$1:$H$97</definedName>
    <definedName function="false" hidden="false" localSheetId="4" name="_FilterDatabase_0_0_0" vbProcedure="false">Selling_Price_Fresh!$A$1:$H$97</definedName>
    <definedName function="false" hidden="false" localSheetId="4" name="_FilterDatabase_0_0_0_0" vbProcedure="false">Selling_Price_Fresh!$A$1:$H$97</definedName>
    <definedName function="false" hidden="false" localSheetId="4" name="_FilterDatabase_0_0_0_0_0" vbProcedure="false">Selling_Price_Fresh!$A$1:$H$97</definedName>
    <definedName function="false" hidden="false" localSheetId="4" name="_FilterDatabase_0_0_0_0_0_0" vbProcedure="false">Selling_Price_Fresh!$A$1:$H$97</definedName>
    <definedName function="false" hidden="false" localSheetId="4" name="_FilterDatabase_0_0_0_0_0_0_0" vbProcedure="false">Selling_Price_Fresh!$A$1:$H$97</definedName>
    <definedName function="false" hidden="false" localSheetId="4" name="_FilterDatabase_0_0_0_0_0_0_0_0" vbProcedure="false">Selling_Price_Fresh!$A$1:$H$97</definedName>
    <definedName function="false" hidden="false" localSheetId="4" name="_FilterDatabase_0_0_0_0_0_0_0_0_0" vbProcedure="false">Selling_Price_Fresh!$A$1:$H$97</definedName>
    <definedName function="false" hidden="false" localSheetId="4" name="_FilterDatabase_0_0_0_0_0_0_0_0_0_0" vbProcedure="false">Selling_Price_Fresh!$A$1:$H$97</definedName>
    <definedName function="false" hidden="false" localSheetId="4" name="_FilterDatabase_0_0_0_0_0_0_0_0_0_0_0" vbProcedure="false">Selling_Price_Fresh!$A$1:$H$97</definedName>
    <definedName function="false" hidden="false" localSheetId="4" name="_FilterDatabase_0_0_0_0_0_0_0_0_0_0_0_0" vbProcedure="false">Selling_Price_Fresh!$A$1:$H$97</definedName>
    <definedName function="false" hidden="false" localSheetId="4" name="_FilterDatabase_0_0_0_0_0_0_0_0_0_0_0_0_0" vbProcedure="false">Selling_Price_Fresh!$A$1:$H$97</definedName>
    <definedName function="false" hidden="false" localSheetId="4" name="_FilterDatabase_0_0_0_0_0_0_0_0_0_0_0_0_0_0" vbProcedure="false">Selling_Price_Fresh!$A$1:$H$97</definedName>
    <definedName function="false" hidden="false" localSheetId="4" name="_FilterDatabase_0_0_0_0_0_0_0_0_0_0_0_0_0_0_0" vbProcedure="false">Selling_Price_Fresh!$A$1:$H$97</definedName>
    <definedName function="false" hidden="false" localSheetId="4" name="_FilterDatabase_0_0_0_0_0_0_0_0_0_0_0_0_0_0_0_0" vbProcedure="false">Selling_Price_Fresh!$A$1:$H$97</definedName>
    <definedName function="false" hidden="false" localSheetId="4" name="_FilterDatabase_0_0_0_0_0_0_0_0_0_0_0_0_0_0_0_0_0" vbProcedure="false">Selling_Price_Fresh!$A$1:$H$97</definedName>
    <definedName function="false" hidden="false" localSheetId="4" name="_FilterDatabase_0_0_0_0_0_0_0_0_0_0_0_0_0_0_0_0_0_0" vbProcedure="false">Selling_Price_Fresh!$A$1:$H$97</definedName>
    <definedName function="false" hidden="false" localSheetId="4" name="_FilterDatabase_0_0_0_0_0_0_0_0_0_0_0_0_0_0_0_0_0_0_0" vbProcedure="false">Selling_Price_Fresh!$A$1:$H$97</definedName>
    <definedName function="false" hidden="false" localSheetId="4" name="_FilterDatabase_0_0_0_0_0_0_0_0_0_0_0_0_0_0_0_0_0_0_0_0" vbProcedure="false">Selling_Price_Fresh!$A$1:$H$97</definedName>
    <definedName function="false" hidden="false" localSheetId="4" name="_FilterDatabase_0_0_0_0_0_0_0_0_0_0_0_0_0_0_0_0_0_0_0_0_0" vbProcedure="false">Selling_Price_Fresh!$A$1:$H$97</definedName>
    <definedName function="false" hidden="false" localSheetId="4" name="_FilterDatabase_0_0_0_0_0_0_0_0_0_0_0_0_0_0_0_0_0_0_0_0_0_0" vbProcedure="false">Selling_Price_Fresh!$A$1:$H$97</definedName>
    <definedName function="false" hidden="false" localSheetId="4" name="_FilterDatabase_0_0_0_0_0_0_0_0_0_0_0_0_0_0_0_0_0_0_0_0_0_0_0" vbProcedure="false">Selling_Price_Fresh!$A$1:$H$97</definedName>
    <definedName function="false" hidden="false" localSheetId="4" name="_FilterDatabase_0_0_0_0_0_0_0_0_0_0_0_0_0_0_0_0_0_0_0_0_0_0_0_0" vbProcedure="false">Selling_Price_Fresh!$A$1:$H$97</definedName>
    <definedName function="false" hidden="false" localSheetId="4" name="_FilterDatabase_0_0_0_0_0_0_0_0_0_0_0_0_0_0_0_0_0_0_0_0_0_0_0_0_0" vbProcedure="false">Selling_Price_Fresh!$A$1:$H$97</definedName>
    <definedName function="false" hidden="false" localSheetId="4" name="_FilterDatabase_0_0_0_0_0_0_0_0_0_0_0_0_0_0_0_0_0_0_0_0_0_0_0_0_0_0" vbProcedure="false">Selling_Price_Fresh!$A$1:$H$97</definedName>
    <definedName function="false" hidden="false" localSheetId="4" name="_FilterDatabase_0_0_0_0_0_0_0_0_0_0_0_0_0_0_0_0_0_0_0_0_0_0_0_0_0_0_0" vbProcedure="false">Selling_Price_Fresh!$A$1:$H$97</definedName>
    <definedName function="false" hidden="false" localSheetId="4" name="_FilterDatabase_0_0_0_0_0_0_0_0_0_0_0_0_0_0_0_0_0_0_0_0_0_0_0_0_0_0_0_0" vbProcedure="false">Selling_Price_Fresh!$A$1:$H$97</definedName>
    <definedName function="false" hidden="false" localSheetId="4" name="_FilterDatabase_0_0_0_0_0_0_0_0_0_0_0_0_0_0_0_0_0_0_0_0_0_0_0_0_0_0_0_0_0" vbProcedure="false">Selling_Price_Fresh!$A$1:$H$97</definedName>
    <definedName function="false" hidden="false" localSheetId="4" name="_FilterDatabase_0_0_0_0_0_0_0_0_0_0_0_0_0_0_0_0_0_0_0_0_0_0_0_0_0_0_0_0_0_0" vbProcedure="false">Selling_Price_Fresh!$A$1:$H$97</definedName>
    <definedName function="false" hidden="false" localSheetId="4" name="_FilterDatabase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_0" vbProcedure="false">Selling_Price_Fresh!$A$1:$H$97</definedName>
    <definedName function="false" hidden="false" localSheetId="4" name="_FilterDatabase_0_0_0_0_0_0_0_0_0_0_0_0_0_0_0_0_0_0_0_0_0_0_0_0_0_0_0_0_0_0_0_0_0_0_0_0_0" vbProcedure="false">Selling_Price_Fresh!$A$1:$H$97</definedName>
    <definedName function="false" hidden="false" localSheetId="4" name="_xlnm._FilterDatabase" vbProcedure="false">Selling_Price_Fresh!$A$1:$C$97</definedName>
    <definedName function="false" hidden="false" localSheetId="4" name="_xlnm._FilterDatabase_0" vbProcedure="false">Selling_Price_Fresh!$A$1:$C$97</definedName>
    <definedName function="false" hidden="false" localSheetId="4" name="_xlnm._FilterDatabase_0_0" vbProcedure="false">Selling_Price_Fresh!$A$1:$C$97</definedName>
    <definedName function="false" hidden="false" localSheetId="5" name="_xlnm._FilterDatabase" vbProcedure="false">Selling_Price_Frozen!$A$1:$C$120</definedName>
    <definedName function="false" hidden="false" localSheetId="5" name="_xlnm._FilterDatabase_0" vbProcedure="false">Selling_Price_Frozen!$A$1:$C$120</definedName>
    <definedName function="false" hidden="false" localSheetId="5" name="_xlnm._FilterDatabase_0_0" vbProcedure="false">Selling_Price_Frozen!$A$1:$C$120</definedName>
    <definedName function="false" hidden="false" localSheetId="6" name="_FilterDatabase_0" vbProcedure="false">Penalty_Fresh!$A$1:$O$169</definedName>
    <definedName function="false" hidden="false" localSheetId="6" name="_FilterDatabase_0_0" vbProcedure="false">Penalty_Fresh!$A$1:$O$169</definedName>
    <definedName function="false" hidden="false" localSheetId="6" name="_FilterDatabase_0_0_0" vbProcedure="false">Penalty_Fresh!$A$1:$O$169</definedName>
    <definedName function="false" hidden="false" localSheetId="6" name="_FilterDatabase_0_0_0_0" vbProcedure="false">Penalty_Fresh!$A$1:$O$169</definedName>
    <definedName function="false" hidden="false" localSheetId="6" name="_FilterDatabase_0_0_0_0_0" vbProcedure="false">Penalty_Fresh!$A$1:$O$169</definedName>
    <definedName function="false" hidden="false" localSheetId="6" name="_FilterDatabase_0_0_0_0_0_0" vbProcedure="false">Penalty_Fresh!$A$1:$O$169</definedName>
    <definedName function="false" hidden="false" localSheetId="6" name="_FilterDatabase_0_0_0_0_0_0_0" vbProcedure="false">Penalty_Fresh!$A$1:$O$169</definedName>
    <definedName function="false" hidden="false" localSheetId="6" name="_FilterDatabase_0_0_0_0_0_0_0_0" vbProcedure="false">Penalty_Fresh!$A$1:$O$169</definedName>
    <definedName function="false" hidden="false" localSheetId="6" name="_FilterDatabase_0_0_0_0_0_0_0_0_0" vbProcedure="false">Penalty_Fresh!$A$1:$O$169</definedName>
    <definedName function="false" hidden="false" localSheetId="6" name="_FilterDatabase_0_0_0_0_0_0_0_0_0_0" vbProcedure="false">Penalty_Fresh!$A$1:$O$169</definedName>
    <definedName function="false" hidden="false" localSheetId="6" name="_FilterDatabase_0_0_0_0_0_0_0_0_0_0_0" vbProcedure="false">Penalty_Fresh!$A$1:$O$169</definedName>
    <definedName function="false" hidden="false" localSheetId="6" name="_FilterDatabase_0_0_0_0_0_0_0_0_0_0_0_0" vbProcedure="false">Penalty_Fresh!$A$1:$O$169</definedName>
    <definedName function="false" hidden="false" localSheetId="6" name="_FilterDatabase_0_0_0_0_0_0_0_0_0_0_0_0_0" vbProcedure="false">Penalty_Fresh!$A$1:$O$169</definedName>
    <definedName function="false" hidden="false" localSheetId="6" name="_FilterDatabase_0_0_0_0_0_0_0_0_0_0_0_0_0_0" vbProcedure="false">Penalty_Fresh!$A$1:$O$169</definedName>
    <definedName function="false" hidden="false" localSheetId="6" name="_FilterDatabase_0_0_0_0_0_0_0_0_0_0_0_0_0_0_0" vbProcedure="false">Penalty_Fresh!$A$1:$O$169</definedName>
    <definedName function="false" hidden="false" localSheetId="6" name="_FilterDatabase_0_0_0_0_0_0_0_0_0_0_0_0_0_0_0_0" vbProcedure="false">Penalty_Fresh!$A$1:$O$169</definedName>
    <definedName function="false" hidden="false" localSheetId="6" name="_FilterDatabase_0_0_0_0_0_0_0_0_0_0_0_0_0_0_0_0_0" vbProcedure="false">Penalty_Fresh!$A$1:$O$169</definedName>
    <definedName function="false" hidden="false" localSheetId="6" name="_FilterDatabase_0_0_0_0_0_0_0_0_0_0_0_0_0_0_0_0_0_0" vbProcedure="false">Penalty_Fresh!$A$1:$O$169</definedName>
    <definedName function="false" hidden="false" localSheetId="6" name="_FilterDatabase_0_0_0_0_0_0_0_0_0_0_0_0_0_0_0_0_0_0_0" vbProcedure="false">Penalty_Fresh!$A$1:$O$169</definedName>
    <definedName function="false" hidden="false" localSheetId="6" name="_FilterDatabase_0_0_0_0_0_0_0_0_0_0_0_0_0_0_0_0_0_0_0_0" vbProcedure="false">Penalty_Fresh!$A$1:$O$169</definedName>
    <definedName function="false" hidden="false" localSheetId="6" name="_FilterDatabase_0_0_0_0_0_0_0_0_0_0_0_0_0_0_0_0_0_0_0_0_0" vbProcedure="false">Penalty_Fresh!$A$1:$O$169</definedName>
    <definedName function="false" hidden="false" localSheetId="6" name="_FilterDatabase_0_0_0_0_0_0_0_0_0_0_0_0_0_0_0_0_0_0_0_0_0_0" vbProcedure="false">Penalty_Fresh!$A$1:$O$169</definedName>
    <definedName function="false" hidden="false" localSheetId="6" name="_FilterDatabase_0_0_0_0_0_0_0_0_0_0_0_0_0_0_0_0_0_0_0_0_0_0_0" vbProcedure="false">Penalty_Fresh!$A$1:$O$169</definedName>
    <definedName function="false" hidden="false" localSheetId="6" name="_FilterDatabase_0_0_0_0_0_0_0_0_0_0_0_0_0_0_0_0_0_0_0_0_0_0_0_0" vbProcedure="false">Penalty_Fresh!$A$1:$O$169</definedName>
    <definedName function="false" hidden="false" localSheetId="6" name="_FilterDatabase_0_0_0_0_0_0_0_0_0_0_0_0_0_0_0_0_0_0_0_0_0_0_0_0_0" vbProcedure="false">Penalty_Fresh!$A$1:$O$169</definedName>
    <definedName function="false" hidden="false" localSheetId="6" name="_FilterDatabase_0_0_0_0_0_0_0_0_0_0_0_0_0_0_0_0_0_0_0_0_0_0_0_0_0_0" vbProcedure="false">Penalty_Fresh!$A$1:$O$169</definedName>
    <definedName function="false" hidden="false" localSheetId="6" name="_FilterDatabase_0_0_0_0_0_0_0_0_0_0_0_0_0_0_0_0_0_0_0_0_0_0_0_0_0_0_0" vbProcedure="false">Penalty_Fresh!$A$1:$O$169</definedName>
    <definedName function="false" hidden="false" localSheetId="6" name="_FilterDatabase_0_0_0_0_0_0_0_0_0_0_0_0_0_0_0_0_0_0_0_0_0_0_0_0_0_0_0_0" vbProcedure="false">Penalty_Fresh!$A$1:$O$169</definedName>
    <definedName function="false" hidden="false" localSheetId="6" name="_FilterDatabase_0_0_0_0_0_0_0_0_0_0_0_0_0_0_0_0_0_0_0_0_0_0_0_0_0_0_0_0_0" vbProcedure="false">Penalty_Fresh!$A$1:$O$169</definedName>
    <definedName function="false" hidden="false" localSheetId="6" name="_FilterDatabase_0_0_0_0_0_0_0_0_0_0_0_0_0_0_0_0_0_0_0_0_0_0_0_0_0_0_0_0_0_0" vbProcedure="false">Penalty_Fresh!$A$1:$O$169</definedName>
    <definedName function="false" hidden="false" localSheetId="6" name="_FilterDatabase_0_0_0_0_0_0_0_0_0_0_0_0_0_0_0_0_0_0_0_0_0_0_0_0_0_0_0_0_0_0_0" vbProcedure="false">Penalty_Fresh!$A$1:$O$169</definedName>
    <definedName function="false" hidden="false" localSheetId="6" name="_FilterDatabase_0_0_0_0_0_0_0_0_0_0_0_0_0_0_0_0_0_0_0_0_0_0_0_0_0_0_0_0_0_0_0_0" vbProcedure="false">Penalty_Fresh!$A$1:$O$169</definedName>
    <definedName function="false" hidden="false" localSheetId="6" name="_FilterDatabase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_0" vbProcedure="false">Penalty_Fresh!$A$1:$O$169</definedName>
    <definedName function="false" hidden="false" localSheetId="6" name="_FilterDatabase_0_0_0_0_0_0_0_0_0_0_0_0_0_0_0_0_0_0_0_0_0_0_0_0_0_0_0_0_0_0_0_0_0_0_0_0_0" vbProcedure="false">Penalty_Fresh!$A$1:$O$169</definedName>
    <definedName function="false" hidden="false" localSheetId="6" name="_xlnm._FilterDatabase" vbProcedure="false">Penalty_Fresh!$A$1:$O$97</definedName>
    <definedName function="false" hidden="false" localSheetId="6" name="_xlnm._FilterDatabase_0" vbProcedure="false">Penalty_Fresh!$A$1:$O$97</definedName>
    <definedName function="false" hidden="false" localSheetId="6" name="_xlnm._FilterDatabase_0_0" vbProcedure="false">Penalty_Fresh!$A$1:$O$97</definedName>
    <definedName function="false" hidden="false" localSheetId="8" name="_FilterDatabase_0" vbProcedure="false">Holding_Cost_Fresh!$A$1:$N$169</definedName>
    <definedName function="false" hidden="false" localSheetId="8" name="_FilterDatabase_0_0" vbProcedure="false">Holding_Cost_Fresh!$A$1:$N$169</definedName>
    <definedName function="false" hidden="false" localSheetId="8" name="_FilterDatabase_0_0_0" vbProcedure="false">Holding_Cost_Fresh!$A$1:$N$169</definedName>
    <definedName function="false" hidden="false" localSheetId="8" name="_FilterDatabase_0_0_0_0" vbProcedure="false">Holding_Cost_Fresh!$A$1:$N$169</definedName>
    <definedName function="false" hidden="false" localSheetId="8" name="_FilterDatabase_0_0_0_0_0" vbProcedure="false">Holding_Cost_Fresh!$A$1:$N$169</definedName>
    <definedName function="false" hidden="false" localSheetId="8" name="_FilterDatabase_0_0_0_0_0_0" vbProcedure="false">Holding_Cost_Fresh!$A$1:$N$169</definedName>
    <definedName function="false" hidden="false" localSheetId="8" name="_FilterDatabase_0_0_0_0_0_0_0" vbProcedure="false">Holding_Cost_Fresh!$A$1:$N$169</definedName>
    <definedName function="false" hidden="false" localSheetId="8" name="_FilterDatabase_0_0_0_0_0_0_0_0" vbProcedure="false">Holding_Cost_Fresh!$A$1:$N$169</definedName>
    <definedName function="false" hidden="false" localSheetId="8" name="_FilterDatabase_0_0_0_0_0_0_0_0_0" vbProcedure="false">Holding_Cost_Fresh!$A$1:$N$169</definedName>
    <definedName function="false" hidden="false" localSheetId="8" name="_FilterDatabase_0_0_0_0_0_0_0_0_0_0" vbProcedure="false">Holding_Cost_Fresh!$A$1:$N$169</definedName>
    <definedName function="false" hidden="false" localSheetId="8" name="_FilterDatabase_0_0_0_0_0_0_0_0_0_0_0" vbProcedure="false">Holding_Cost_Fresh!$A$1:$N$169</definedName>
    <definedName function="false" hidden="false" localSheetId="8" name="_FilterDatabase_0_0_0_0_0_0_0_0_0_0_0_0" vbProcedure="false">Holding_Cost_Fresh!$A$1:$N$169</definedName>
    <definedName function="false" hidden="false" localSheetId="8" name="_FilterDatabase_0_0_0_0_0_0_0_0_0_0_0_0_0" vbProcedure="false">Holding_Cost_Fresh!$A$1:$N$169</definedName>
    <definedName function="false" hidden="false" localSheetId="8" name="_FilterDatabase_0_0_0_0_0_0_0_0_0_0_0_0_0_0" vbProcedure="false">Holding_Cost_Fresh!$A$1:$N$169</definedName>
    <definedName function="false" hidden="false" localSheetId="8" name="_FilterDatabase_0_0_0_0_0_0_0_0_0_0_0_0_0_0_0" vbProcedure="false">Holding_Cost_Fresh!$A$1:$N$169</definedName>
    <definedName function="false" hidden="false" localSheetId="8" name="_FilterDatabase_0_0_0_0_0_0_0_0_0_0_0_0_0_0_0_0" vbProcedure="false">Holding_Cost_Fresh!$A$1:$N$169</definedName>
    <definedName function="false" hidden="false" localSheetId="8" name="_FilterDatabase_0_0_0_0_0_0_0_0_0_0_0_0_0_0_0_0_0" vbProcedure="false">Holding_Cost_Fresh!$A$1:$N$169</definedName>
    <definedName function="false" hidden="false" localSheetId="8" name="_FilterDatabase_0_0_0_0_0_0_0_0_0_0_0_0_0_0_0_0_0_0" vbProcedure="false">Holding_Cost_Fresh!$A$1:$N$169</definedName>
    <definedName function="false" hidden="false" localSheetId="8" name="_FilterDatabase_0_0_0_0_0_0_0_0_0_0_0_0_0_0_0_0_0_0_0" vbProcedure="false">Holding_Cost_Fresh!$A$1:$N$169</definedName>
    <definedName function="false" hidden="false" localSheetId="8" name="_FilterDatabase_0_0_0_0_0_0_0_0_0_0_0_0_0_0_0_0_0_0_0_0" vbProcedure="false">Holding_Cost_Fresh!$A$1:$N$169</definedName>
    <definedName function="false" hidden="false" localSheetId="8" name="_FilterDatabase_0_0_0_0_0_0_0_0_0_0_0_0_0_0_0_0_0_0_0_0_0" vbProcedure="false">Holding_Cost_Fresh!$A$1:$N$169</definedName>
    <definedName function="false" hidden="false" localSheetId="8" name="_FilterDatabase_0_0_0_0_0_0_0_0_0_0_0_0_0_0_0_0_0_0_0_0_0_0" vbProcedure="false">Holding_Cost_Fresh!$A$1:$N$169</definedName>
    <definedName function="false" hidden="false" localSheetId="8" name="_FilterDatabase_0_0_0_0_0_0_0_0_0_0_0_0_0_0_0_0_0_0_0_0_0_0_0" vbProcedure="false">Holding_Cost_Fresh!$A$1:$N$169</definedName>
    <definedName function="false" hidden="false" localSheetId="8" name="_FilterDatabase_0_0_0_0_0_0_0_0_0_0_0_0_0_0_0_0_0_0_0_0_0_0_0_0" vbProcedure="false">Holding_Cost_Fresh!$A$1:$N$169</definedName>
    <definedName function="false" hidden="false" localSheetId="8" name="_FilterDatabase_0_0_0_0_0_0_0_0_0_0_0_0_0_0_0_0_0_0_0_0_0_0_0_0_0" vbProcedure="false">Holding_Cost_Fresh!$A$1:$N$169</definedName>
    <definedName function="false" hidden="false" localSheetId="8" name="_FilterDatabase_0_0_0_0_0_0_0_0_0_0_0_0_0_0_0_0_0_0_0_0_0_0_0_0_0_0" vbProcedure="false">Holding_Cost_Fresh!$A$1:$N$169</definedName>
    <definedName function="false" hidden="false" localSheetId="8" name="_FilterDatabase_0_0_0_0_0_0_0_0_0_0_0_0_0_0_0_0_0_0_0_0_0_0_0_0_0_0_0" vbProcedure="false">Holding_Cost_Fresh!$A$1:$N$169</definedName>
    <definedName function="false" hidden="false" localSheetId="8" name="_FilterDatabase_0_0_0_0_0_0_0_0_0_0_0_0_0_0_0_0_0_0_0_0_0_0_0_0_0_0_0_0" vbProcedure="false">Holding_Cost_Fresh!$A$1:$N$169</definedName>
    <definedName function="false" hidden="false" localSheetId="8" name="_FilterDatabase_0_0_0_0_0_0_0_0_0_0_0_0_0_0_0_0_0_0_0_0_0_0_0_0_0_0_0_0_0" vbProcedure="false">Holding_Cost_Fresh!$A$1:$N$169</definedName>
    <definedName function="false" hidden="false" localSheetId="8" name="_FilterDatabase_0_0_0_0_0_0_0_0_0_0_0_0_0_0_0_0_0_0_0_0_0_0_0_0_0_0_0_0_0_0" vbProcedure="false">Holding_Cost_Fresh!$A$1:$N$169</definedName>
    <definedName function="false" hidden="false" localSheetId="8" name="_FilterDatabase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_0" vbProcedure="false">Holding_Cost_Fresh!$A$1:$N$169</definedName>
    <definedName function="false" hidden="false" localSheetId="8" name="_FilterDatabase_0_0_0_0_0_0_0_0_0_0_0_0_0_0_0_0_0_0_0_0_0_0_0_0_0_0_0_0_0_0_0_0_0_0_0_0_0" vbProcedure="false">Holding_Cost_Fresh!$A$1:$N$169</definedName>
    <definedName function="false" hidden="false" localSheetId="8" name="_xlnm._FilterDatabase" vbProcedure="false">Holding_Cost_Fresh!$A$1:$N$169</definedName>
    <definedName function="false" hidden="false" localSheetId="8" name="_xlnm._FilterDatabase_0" vbProcedure="false">Holding_Cost_Fresh!$A$1:$N$169</definedName>
    <definedName function="false" hidden="false" localSheetId="8" name="_xlnm._FilterDatabase_0_0" vbProcedure="false">Holding_Cost_Fresh!$A$1:$N$169</definedName>
    <definedName function="false" hidden="false" localSheetId="10" name="_FilterDatabase_0" vbProcedure="false">Operational_Cost!$A$1:$C$216</definedName>
    <definedName function="false" hidden="false" localSheetId="10" name="_FilterDatabase_0_0" vbProcedure="false">Operational_Cost!$A$1:$C$216</definedName>
    <definedName function="false" hidden="false" localSheetId="10" name="_FilterDatabase_0_0_0" vbProcedure="false">Operational_Cost!$A$1:$C$216</definedName>
    <definedName function="false" hidden="false" localSheetId="10" name="_FilterDatabase_0_0_0_0" vbProcedure="false">Operational_Cost!$A$1:$C$216</definedName>
    <definedName function="false" hidden="false" localSheetId="10" name="_FilterDatabase_0_0_0_0_0" vbProcedure="false">Operational_Cost!$A$1:$C$216</definedName>
    <definedName function="false" hidden="false" localSheetId="10" name="_FilterDatabase_0_0_0_0_0_0" vbProcedure="false">Operational_Cost!$A$1:$C$216</definedName>
    <definedName function="false" hidden="false" localSheetId="10" name="_FilterDatabase_0_0_0_0_0_0_0" vbProcedure="false">Operational_Cost!$A$1:$C$216</definedName>
    <definedName function="false" hidden="false" localSheetId="10" name="_FilterDatabase_0_0_0_0_0_0_0_0" vbProcedure="false">Operational_Cost!$A$1:$C$216</definedName>
    <definedName function="false" hidden="false" localSheetId="10" name="_FilterDatabase_0_0_0_0_0_0_0_0_0" vbProcedure="false">Operational_Cost!$A$1:$C$216</definedName>
    <definedName function="false" hidden="false" localSheetId="10" name="_FilterDatabase_0_0_0_0_0_0_0_0_0_0" vbProcedure="false">Operational_Cost!$A$1:$C$216</definedName>
    <definedName function="false" hidden="false" localSheetId="10" name="_FilterDatabase_0_0_0_0_0_0_0_0_0_0_0" vbProcedure="false">Operational_Cost!$A$1:$C$216</definedName>
    <definedName function="false" hidden="false" localSheetId="10" name="_FilterDatabase_0_0_0_0_0_0_0_0_0_0_0_0" vbProcedure="false">Operational_Cost!$A$1:$C$216</definedName>
    <definedName function="false" hidden="false" localSheetId="10" name="_FilterDatabase_0_0_0_0_0_0_0_0_0_0_0_0_0" vbProcedure="false">Operational_Cost!$A$1:$C$216</definedName>
    <definedName function="false" hidden="false" localSheetId="10" name="_FilterDatabase_0_0_0_0_0_0_0_0_0_0_0_0_0_0" vbProcedure="false">Operational_Cost!$A$1:$C$216</definedName>
    <definedName function="false" hidden="false" localSheetId="10" name="_FilterDatabase_0_0_0_0_0_0_0_0_0_0_0_0_0_0_0" vbProcedure="false">Operational_Cost!$A$1:$C$216</definedName>
    <definedName function="false" hidden="false" localSheetId="10" name="_FilterDatabase_0_0_0_0_0_0_0_0_0_0_0_0_0_0_0_0" vbProcedure="false">Operational_Cost!$A$1:$C$216</definedName>
    <definedName function="false" hidden="false" localSheetId="10" name="_FilterDatabase_0_0_0_0_0_0_0_0_0_0_0_0_0_0_0_0_0" vbProcedure="false">Operational_Cost!$A$1:$C$216</definedName>
    <definedName function="false" hidden="false" localSheetId="10" name="_FilterDatabase_0_0_0_0_0_0_0_0_0_0_0_0_0_0_0_0_0_0" vbProcedure="false">Operational_Cost!$A$1:$C$216</definedName>
    <definedName function="false" hidden="false" localSheetId="10" name="_FilterDatabase_0_0_0_0_0_0_0_0_0_0_0_0_0_0_0_0_0_0_0" vbProcedure="false">Operational_Cost!$A$1:$C$216</definedName>
    <definedName function="false" hidden="false" localSheetId="10" name="_FilterDatabase_0_0_0_0_0_0_0_0_0_0_0_0_0_0_0_0_0_0_0_0" vbProcedure="false">Operational_Cost!$A$1:$C$216</definedName>
    <definedName function="false" hidden="false" localSheetId="10" name="_FilterDatabase_0_0_0_0_0_0_0_0_0_0_0_0_0_0_0_0_0_0_0_0_0" vbProcedure="false">Operational_Cost!$A$1:$C$216</definedName>
    <definedName function="false" hidden="false" localSheetId="10" name="_FilterDatabase_0_0_0_0_0_0_0_0_0_0_0_0_0_0_0_0_0_0_0_0_0_0" vbProcedure="false">Operational_Cost!$A$1:$C$216</definedName>
    <definedName function="false" hidden="false" localSheetId="10" name="_FilterDatabase_0_0_0_0_0_0_0_0_0_0_0_0_0_0_0_0_0_0_0_0_0_0_0" vbProcedure="false">Operational_Cost!$A$1:$C$216</definedName>
    <definedName function="false" hidden="false" localSheetId="10" name="_FilterDatabase_0_0_0_0_0_0_0_0_0_0_0_0_0_0_0_0_0_0_0_0_0_0_0_0" vbProcedure="false">Operational_Cost!$A$1:$C$216</definedName>
    <definedName function="false" hidden="false" localSheetId="10" name="_FilterDatabase_0_0_0_0_0_0_0_0_0_0_0_0_0_0_0_0_0_0_0_0_0_0_0_0_0" vbProcedure="false">Operational_Cost!$A$1:$C$216</definedName>
    <definedName function="false" hidden="false" localSheetId="10" name="_FilterDatabase_0_0_0_0_0_0_0_0_0_0_0_0_0_0_0_0_0_0_0_0_0_0_0_0_0_0" vbProcedure="false">Operational_Cost!$A$1:$C$216</definedName>
    <definedName function="false" hidden="false" localSheetId="10" name="_FilterDatabase_0_0_0_0_0_0_0_0_0_0_0_0_0_0_0_0_0_0_0_0_0_0_0_0_0_0_0" vbProcedure="false">Operational_Cost!$A$1:$C$216</definedName>
    <definedName function="false" hidden="false" localSheetId="10" name="_FilterDatabase_0_0_0_0_0_0_0_0_0_0_0_0_0_0_0_0_0_0_0_0_0_0_0_0_0_0_0_0" vbProcedure="false">Operational_Cost!$A$1:$C$216</definedName>
    <definedName function="false" hidden="false" localSheetId="10" name="_FilterDatabase_0_0_0_0_0_0_0_0_0_0_0_0_0_0_0_0_0_0_0_0_0_0_0_0_0_0_0_0_0" vbProcedure="false">Operational_Cost!$A$1:$C$216</definedName>
    <definedName function="false" hidden="false" localSheetId="10" name="_FilterDatabase_0_0_0_0_0_0_0_0_0_0_0_0_0_0_0_0_0_0_0_0_0_0_0_0_0_0_0_0_0_0" vbProcedure="false">Operational_Cost!$A$1:$C$216</definedName>
    <definedName function="false" hidden="false" localSheetId="10" name="_FilterDatabase_0_0_0_0_0_0_0_0_0_0_0_0_0_0_0_0_0_0_0_0_0_0_0_0_0_0_0_0_0_0_0" vbProcedure="false">Operational_Cost!$A$1:$C$216</definedName>
    <definedName function="false" hidden="false" localSheetId="10" name="_FilterDatabase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_0" vbProcedure="false">Operational_Cost!$A$1:$C$216</definedName>
    <definedName function="false" hidden="false" localSheetId="10" name="_FilterDatabase_0_0_0_0_0_0_0_0_0_0_0_0_0_0_0_0_0_0_0_0_0_0_0_0_0_0_0_0_0_0_0_0_0_0_0_0_0" vbProcedure="false">Operational_Cost!$A$1:$C$216</definedName>
    <definedName function="false" hidden="false" localSheetId="10" name="_xlnm._FilterDatabase" vbProcedure="false">Operational_Cost!$A$1:$C$216</definedName>
    <definedName function="false" hidden="false" localSheetId="10" name="_xlnm._FilterDatabase_0" vbProcedure="false">Operational_Cost!$A$1:$C$216</definedName>
    <definedName function="false" hidden="false" localSheetId="10" name="_xlnm._FilterDatabase_0_0" vbProcedure="false">Operational_Cost!$A$1:$C$216</definedName>
    <definedName function="false" hidden="false" localSheetId="13" name="_FilterDatabase_0" vbProcedure="false">Cutting_Pattern!$A$1:$G$2</definedName>
    <definedName function="false" hidden="false" localSheetId="13" name="_FilterDatabase_0_0" vbProcedure="false">Cutting_Pattern!$A$1:$G$2</definedName>
    <definedName function="false" hidden="false" localSheetId="13" name="_FilterDatabase_0_0_0" vbProcedure="false">Cutting_Pattern!$A$1:$G$2</definedName>
    <definedName function="false" hidden="false" localSheetId="13" name="_FilterDatabase_0_0_0_0" vbProcedure="false">Cutting_Pattern!$A$1:$G$2</definedName>
    <definedName function="false" hidden="false" localSheetId="13" name="_FilterDatabase_0_0_0_0_0" vbProcedure="false">Cutting_Pattern!$A$1:$G$2</definedName>
    <definedName function="false" hidden="false" localSheetId="13" name="_FilterDatabase_0_0_0_0_0_0" vbProcedure="false">Cutting_Pattern!$A$1:$G$2</definedName>
    <definedName function="false" hidden="false" localSheetId="13" name="_FilterDatabase_0_0_0_0_0_0_0" vbProcedure="false">Cutting_Pattern!$A$1:$G$2</definedName>
    <definedName function="false" hidden="false" localSheetId="13" name="_FilterDatabase_0_0_0_0_0_0_0_0" vbProcedure="false">Cutting_Pattern!$A$1:$G$2</definedName>
    <definedName function="false" hidden="false" localSheetId="13" name="_FilterDatabase_0_0_0_0_0_0_0_0_0" vbProcedure="false">Cutting_Pattern!$A$1:$G$2</definedName>
    <definedName function="false" hidden="false" localSheetId="13" name="_FilterDatabase_0_0_0_0_0_0_0_0_0_0" vbProcedure="false">Cutting_Pattern!$A$1:$G$2</definedName>
    <definedName function="false" hidden="false" localSheetId="13" name="_FilterDatabase_0_0_0_0_0_0_0_0_0_0_0" vbProcedure="false">Cutting_Pattern!$A$1:$G$2</definedName>
    <definedName function="false" hidden="false" localSheetId="13" name="_FilterDatabase_0_0_0_0_0_0_0_0_0_0_0_0" vbProcedure="false">Cutting_Pattern!$A$1:$G$2</definedName>
    <definedName function="false" hidden="false" localSheetId="13" name="_FilterDatabase_0_0_0_0_0_0_0_0_0_0_0_0_0" vbProcedure="false">Cutting_Pattern!$A$1:$G$2</definedName>
    <definedName function="false" hidden="false" localSheetId="13" name="_FilterDatabase_0_0_0_0_0_0_0_0_0_0_0_0_0_0" vbProcedure="false">Cutting_Pattern!$A$1:$G$2</definedName>
    <definedName function="false" hidden="false" localSheetId="13" name="_FilterDatabase_0_0_0_0_0_0_0_0_0_0_0_0_0_0_0" vbProcedure="false">Cutting_Pattern!$A$1:$G$2</definedName>
    <definedName function="false" hidden="false" localSheetId="13" name="_FilterDatabase_0_0_0_0_0_0_0_0_0_0_0_0_0_0_0_0" vbProcedure="false">Cutting_Pattern!$A$1:$G$2</definedName>
    <definedName function="false" hidden="false" localSheetId="13" name="_FilterDatabase_0_0_0_0_0_0_0_0_0_0_0_0_0_0_0_0_0" vbProcedure="false">Cutting_Pattern!$A$1:$G$2</definedName>
    <definedName function="false" hidden="false" localSheetId="13" name="_FilterDatabase_0_0_0_0_0_0_0_0_0_0_0_0_0_0_0_0_0_0" vbProcedure="false">Cutting_Pattern!$A$1:$G$2</definedName>
    <definedName function="false" hidden="false" localSheetId="13" name="_FilterDatabase_0_0_0_0_0_0_0_0_0_0_0_0_0_0_0_0_0_0_0" vbProcedure="false">Cutting_Pattern!$A$1:$G$2</definedName>
    <definedName function="false" hidden="false" localSheetId="13" name="_FilterDatabase_0_0_0_0_0_0_0_0_0_0_0_0_0_0_0_0_0_0_0_0" vbProcedure="false">Cutting_Pattern!$A$1:$G$2</definedName>
    <definedName function="false" hidden="false" localSheetId="13" name="_FilterDatabase_0_0_0_0_0_0_0_0_0_0_0_0_0_0_0_0_0_0_0_0_0" vbProcedure="false">Cutting_Pattern!$A$1:$G$2</definedName>
    <definedName function="false" hidden="false" localSheetId="13" name="_FilterDatabase_0_0_0_0_0_0_0_0_0_0_0_0_0_0_0_0_0_0_0_0_0_0" vbProcedure="false">Cutting_Pattern!$A$1:$G$2</definedName>
    <definedName function="false" hidden="false" localSheetId="13" name="_FilterDatabase_0_0_0_0_0_0_0_0_0_0_0_0_0_0_0_0_0_0_0_0_0_0_0" vbProcedure="false">Cutting_Pattern!$A$1:$G$2</definedName>
    <definedName function="false" hidden="false" localSheetId="13" name="_FilterDatabase_0_0_0_0_0_0_0_0_0_0_0_0_0_0_0_0_0_0_0_0_0_0_0_0" vbProcedure="false">Cutting_Pattern!$A$1:$G$2</definedName>
    <definedName function="false" hidden="false" localSheetId="13" name="_FilterDatabase_0_0_0_0_0_0_0_0_0_0_0_0_0_0_0_0_0_0_0_0_0_0_0_0_0" vbProcedure="false">Cutting_Pattern!$A$1:$G$2</definedName>
    <definedName function="false" hidden="false" localSheetId="13" name="_FilterDatabase_0_0_0_0_0_0_0_0_0_0_0_0_0_0_0_0_0_0_0_0_0_0_0_0_0_0" vbProcedure="false">Cutting_Pattern!$A$1:$G$2</definedName>
    <definedName function="false" hidden="false" localSheetId="13" name="_FilterDatabase_0_0_0_0_0_0_0_0_0_0_0_0_0_0_0_0_0_0_0_0_0_0_0_0_0_0_0" vbProcedure="false">Cutting_Pattern!$A$1:$G$2</definedName>
    <definedName function="false" hidden="false" localSheetId="13" name="_FilterDatabase_0_0_0_0_0_0_0_0_0_0_0_0_0_0_0_0_0_0_0_0_0_0_0_0_0_0_0_0" vbProcedure="false">Cutting_Pattern!$A$1:$G$2</definedName>
    <definedName function="false" hidden="false" localSheetId="13" name="_FilterDatabase_0_0_0_0_0_0_0_0_0_0_0_0_0_0_0_0_0_0_0_0_0_0_0_0_0_0_0_0_0" vbProcedure="false">Cutting_Pattern!$A$1:$G$2</definedName>
    <definedName function="false" hidden="false" localSheetId="13" name="_FilterDatabase_0_0_0_0_0_0_0_0_0_0_0_0_0_0_0_0_0_0_0_0_0_0_0_0_0_0_0_0_0_0" vbProcedure="false">Cutting_Pattern!$A$1:$G$2</definedName>
    <definedName function="false" hidden="false" localSheetId="13" name="_FilterDatabase_0_0_0_0_0_0_0_0_0_0_0_0_0_0_0_0_0_0_0_0_0_0_0_0_0_0_0_0_0_0_0" vbProcedure="false">Cutting_Pattern!$A$1:$G$2</definedName>
    <definedName function="false" hidden="false" localSheetId="13" name="_FilterDatabase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_0" vbProcedure="false">Cutting_Pattern!$A$1:$G$2</definedName>
    <definedName function="false" hidden="false" localSheetId="13" name="_FilterDatabase_0_0_0_0_0_0_0_0_0_0_0_0_0_0_0_0_0_0_0_0_0_0_0_0_0_0_0_0_0_0_0_0_0_0_0_0_0" vbProcedure="false">Cutting_Pattern!$A$1:$G$2</definedName>
    <definedName function="false" hidden="false" localSheetId="13" name="_xlnm._FilterDatabase" vbProcedure="false">Cutting_Pattern!$A$1:$G$2</definedName>
    <definedName function="false" hidden="false" localSheetId="13" name="_xlnm._FilterDatabase_0" vbProcedure="false">Cutting_Pattern!$A$1:$G$2</definedName>
    <definedName function="false" hidden="false" localSheetId="13" name="_xlnm._FilterDatabase_0_0" vbProcedure="false">Cutting_Pattern!$A$1:$G$2</definedName>
    <definedName function="false" hidden="false" localSheetId="14" name="_FilterDatabase_0" vbProcedure="false">Item_Product_Group_Map!$B$1:$H$221</definedName>
    <definedName function="false" hidden="false" localSheetId="14" name="_FilterDatabase_0_0" vbProcedure="false">Item_Product_Group_Map!$B$1:$H$221</definedName>
    <definedName function="false" hidden="false" localSheetId="14" name="_FilterDatabase_0_0_0" vbProcedure="false">Item_Product_Group_Map!$B$1:$H$221</definedName>
    <definedName function="false" hidden="false" localSheetId="14" name="_FilterDatabase_0_0_0_0" vbProcedure="false">Item_Product_Group_Map!$B$1:$H$221</definedName>
    <definedName function="false" hidden="false" localSheetId="14" name="_FilterDatabase_0_0_0_0_0" vbProcedure="false">Item_Product_Group_Map!$B$1:$H$221</definedName>
    <definedName function="false" hidden="false" localSheetId="14" name="_FilterDatabase_0_0_0_0_0_0" vbProcedure="false">Item_Product_Group_Map!$B$1:$H$221</definedName>
    <definedName function="false" hidden="false" localSheetId="14" name="_FilterDatabase_0_0_0_0_0_0_0" vbProcedure="false">Item_Product_Group_Map!$B$1:$H$221</definedName>
    <definedName function="false" hidden="false" localSheetId="14" name="_FilterDatabase_0_0_0_0_0_0_0_0" vbProcedure="false">Item_Product_Group_Map!$B$1:$H$221</definedName>
    <definedName function="false" hidden="false" localSheetId="14" name="_FilterDatabase_0_0_0_0_0_0_0_0_0" vbProcedure="false">Item_Product_Group_Map!$B$1:$H$221</definedName>
    <definedName function="false" hidden="false" localSheetId="14" name="_FilterDatabase_0_0_0_0_0_0_0_0_0_0" vbProcedure="false">Item_Product_Group_Map!$B$1:$H$221</definedName>
    <definedName function="false" hidden="false" localSheetId="14" name="_FilterDatabase_0_0_0_0_0_0_0_0_0_0_0" vbProcedure="false">Item_Product_Group_Map!$B$1:$H$221</definedName>
    <definedName function="false" hidden="false" localSheetId="14" name="_FilterDatabase_0_0_0_0_0_0_0_0_0_0_0_0" vbProcedure="false">Item_Product_Group_Map!$B$1:$H$221</definedName>
    <definedName function="false" hidden="false" localSheetId="14" name="_FilterDatabase_0_0_0_0_0_0_0_0_0_0_0_0_0" vbProcedure="false">Item_Product_Group_Map!$B$1:$H$221</definedName>
    <definedName function="false" hidden="false" localSheetId="14" name="_FilterDatabase_0_0_0_0_0_0_0_0_0_0_0_0_0_0" vbProcedure="false">Item_Product_Group_Map!$B$1:$H$221</definedName>
    <definedName function="false" hidden="false" localSheetId="14" name="_FilterDatabase_0_0_0_0_0_0_0_0_0_0_0_0_0_0_0" vbProcedure="false">Item_Product_Group_Map!$B$1:$H$221</definedName>
    <definedName function="false" hidden="false" localSheetId="14" name="_FilterDatabase_0_0_0_0_0_0_0_0_0_0_0_0_0_0_0_0" vbProcedure="false">Item_Product_Group_Map!$B$1:$H$221</definedName>
    <definedName function="false" hidden="false" localSheetId="14" name="_FilterDatabase_0_0_0_0_0_0_0_0_0_0_0_0_0_0_0_0_0" vbProcedure="false">Item_Product_Group_Map!$B$1:$H$221</definedName>
    <definedName function="false" hidden="false" localSheetId="14" name="_FilterDatabase_0_0_0_0_0_0_0_0_0_0_0_0_0_0_0_0_0_0" vbProcedure="false">Item_Product_Group_Map!$B$1:$H$221</definedName>
    <definedName function="false" hidden="false" localSheetId="14" name="_FilterDatabase_0_0_0_0_0_0_0_0_0_0_0_0_0_0_0_0_0_0_0" vbProcedure="false">Item_Product_Group_Map!$B$1:$H$221</definedName>
    <definedName function="false" hidden="false" localSheetId="14" name="_FilterDatabase_0_0_0_0_0_0_0_0_0_0_0_0_0_0_0_0_0_0_0_0" vbProcedure="false">Item_Product_Group_Map!$B$1:$H$221</definedName>
    <definedName function="false" hidden="false" localSheetId="14" name="_FilterDatabase_0_0_0_0_0_0_0_0_0_0_0_0_0_0_0_0_0_0_0_0_0" vbProcedure="false">Item_Product_Group_Map!$B$1:$H$221</definedName>
    <definedName function="false" hidden="false" localSheetId="14" name="_FilterDatabase_0_0_0_0_0_0_0_0_0_0_0_0_0_0_0_0_0_0_0_0_0_0" vbProcedure="false">Item_Product_Group_Map!$B$1:$H$221</definedName>
    <definedName function="false" hidden="false" localSheetId="14" name="_FilterDatabase_0_0_0_0_0_0_0_0_0_0_0_0_0_0_0_0_0_0_0_0_0_0_0" vbProcedure="false">Item_Product_Group_Map!$B$1:$H$221</definedName>
    <definedName function="false" hidden="false" localSheetId="14" name="_FilterDatabase_0_0_0_0_0_0_0_0_0_0_0_0_0_0_0_0_0_0_0_0_0_0_0_0" vbProcedure="false">Item_Product_Group_Map!$B$1:$H$221</definedName>
    <definedName function="false" hidden="false" localSheetId="14" name="_FilterDatabase_0_0_0_0_0_0_0_0_0_0_0_0_0_0_0_0_0_0_0_0_0_0_0_0_0" vbProcedure="false">Item_Product_Group_Map!$B$1:$H$221</definedName>
    <definedName function="false" hidden="false" localSheetId="14" name="_FilterDatabase_0_0_0_0_0_0_0_0_0_0_0_0_0_0_0_0_0_0_0_0_0_0_0_0_0_0" vbProcedure="false">Item_Product_Group_Map!$B$1:$H$221</definedName>
    <definedName function="false" hidden="false" localSheetId="14" name="_FilterDatabase_0_0_0_0_0_0_0_0_0_0_0_0_0_0_0_0_0_0_0_0_0_0_0_0_0_0_0" vbProcedure="false">Item_Product_Group_Map!$B$1:$H$221</definedName>
    <definedName function="false" hidden="false" localSheetId="14" name="_FilterDatabase_0_0_0_0_0_0_0_0_0_0_0_0_0_0_0_0_0_0_0_0_0_0_0_0_0_0_0_0" vbProcedure="false">Item_Product_Group_Map!$B$1:$H$221</definedName>
    <definedName function="false" hidden="false" localSheetId="14" name="_FilterDatabase_0_0_0_0_0_0_0_0_0_0_0_0_0_0_0_0_0_0_0_0_0_0_0_0_0_0_0_0_0" vbProcedure="false">Item_Product_Group_Map!$B$1:$H$221</definedName>
    <definedName function="false" hidden="false" localSheetId="14" name="_FilterDatabase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_0" vbProcedure="false">Item_Product_Group_Map!$B$1:$H$221</definedName>
    <definedName function="false" hidden="false" localSheetId="14" name="_FilterDatabase_0_0_0_0_0_0_0_0_0_0_0_0_0_0_0_0_0_0_0_0_0_0_0_0_0_0_0_0_0_0_0_0_0_0_0_0_0" vbProcedure="false">Item_Product_Group_Map!$B$1:$H$221</definedName>
    <definedName function="false" hidden="false" localSheetId="14" name="_xlnm._FilterDatabase" vbProcedure="false">Item_Product_Group_Map!$B$1:$H$221</definedName>
    <definedName function="false" hidden="false" localSheetId="14" name="_xlnm._FilterDatabase_0" vbProcedure="false">Item_Product_Group_Map!$B$1:$H$221</definedName>
    <definedName function="false" hidden="false" localSheetId="14" name="_xlnm._FilterDatabase_0_0" vbProcedure="false">Item_Product_Group_Map!$B$1:$H$221</definedName>
    <definedName function="false" hidden="false" localSheetId="18" name="_FilterDatabase_0" vbProcedure="false">Common_Data!$A$13:$D$381</definedName>
    <definedName function="false" hidden="false" localSheetId="18" name="_FilterDatabase_0_0" vbProcedure="false">Common_Data!$A$13:$D$381</definedName>
    <definedName function="false" hidden="false" localSheetId="18" name="_FilterDatabase_0_0_0" vbProcedure="false">Common_Data!$A$13:$D$381</definedName>
    <definedName function="false" hidden="false" localSheetId="18" name="_FilterDatabase_0_0_0_0" vbProcedure="false">Common_Data!$A$13:$D$381</definedName>
    <definedName function="false" hidden="false" localSheetId="18" name="_FilterDatabase_0_0_0_0_0" vbProcedure="false">Common_Data!$A$13:$D$381</definedName>
    <definedName function="false" hidden="false" localSheetId="18" name="_FilterDatabase_0_0_0_0_0_0" vbProcedure="false">Common_Data!$A$13:$D$381</definedName>
    <definedName function="false" hidden="false" localSheetId="18" name="_FilterDatabase_0_0_0_0_0_0_0" vbProcedure="false">Common_Data!$A$13:$D$381</definedName>
    <definedName function="false" hidden="false" localSheetId="18" name="_FilterDatabase_0_0_0_0_0_0_0_0" vbProcedure="false">Common_Data!$A$13:$D$381</definedName>
    <definedName function="false" hidden="false" localSheetId="18" name="_FilterDatabase_0_0_0_0_0_0_0_0_0" vbProcedure="false">Common_Data!$A$13:$D$381</definedName>
    <definedName function="false" hidden="false" localSheetId="18" name="_FilterDatabase_0_0_0_0_0_0_0_0_0_0" vbProcedure="false">Common_Data!$A$13:$D$381</definedName>
    <definedName function="false" hidden="false" localSheetId="18" name="_FilterDatabase_0_0_0_0_0_0_0_0_0_0_0" vbProcedure="false">Common_Data!$A$13:$D$381</definedName>
    <definedName function="false" hidden="false" localSheetId="18" name="_FilterDatabase_0_0_0_0_0_0_0_0_0_0_0_0" vbProcedure="false">Common_Data!$A$13:$D$381</definedName>
    <definedName function="false" hidden="false" localSheetId="18" name="_FilterDatabase_0_0_0_0_0_0_0_0_0_0_0_0_0" vbProcedure="false">Common_Data!$A$13:$D$381</definedName>
    <definedName function="false" hidden="false" localSheetId="18" name="_FilterDatabase_0_0_0_0_0_0_0_0_0_0_0_0_0_0" vbProcedure="false">Common_Data!$A$13:$D$381</definedName>
    <definedName function="false" hidden="false" localSheetId="18" name="_FilterDatabase_0_0_0_0_0_0_0_0_0_0_0_0_0_0_0" vbProcedure="false">Common_Data!$A$13:$D$381</definedName>
    <definedName function="false" hidden="false" localSheetId="18" name="_FilterDatabase_0_0_0_0_0_0_0_0_0_0_0_0_0_0_0_0" vbProcedure="false">Common_Data!$A$13:$D$381</definedName>
    <definedName function="false" hidden="false" localSheetId="18" name="_FilterDatabase_0_0_0_0_0_0_0_0_0_0_0_0_0_0_0_0_0" vbProcedure="false">Common_Data!$A$13:$D$381</definedName>
    <definedName function="false" hidden="false" localSheetId="18" name="_FilterDatabase_0_0_0_0_0_0_0_0_0_0_0_0_0_0_0_0_0_0" vbProcedure="false">Common_Data!$A$13:$D$381</definedName>
    <definedName function="false" hidden="false" localSheetId="18" name="_FilterDatabase_0_0_0_0_0_0_0_0_0_0_0_0_0_0_0_0_0_0_0" vbProcedure="false">Common_Data!$A$13:$D$381</definedName>
    <definedName function="false" hidden="false" localSheetId="18" name="_FilterDatabase_0_0_0_0_0_0_0_0_0_0_0_0_0_0_0_0_0_0_0_0" vbProcedure="false">Common_Data!$A$13:$D$381</definedName>
    <definedName function="false" hidden="false" localSheetId="18" name="_FilterDatabase_0_0_0_0_0_0_0_0_0_0_0_0_0_0_0_0_0_0_0_0_0" vbProcedure="false">Common_Data!$A$13:$D$381</definedName>
    <definedName function="false" hidden="false" localSheetId="18" name="_FilterDatabase_0_0_0_0_0_0_0_0_0_0_0_0_0_0_0_0_0_0_0_0_0_0" vbProcedure="false">Common_Data!$A$13:$D$381</definedName>
    <definedName function="false" hidden="false" localSheetId="18" name="_FilterDatabase_0_0_0_0_0_0_0_0_0_0_0_0_0_0_0_0_0_0_0_0_0_0_0" vbProcedure="false">Common_Data!$A$13:$D$381</definedName>
    <definedName function="false" hidden="false" localSheetId="18" name="_FilterDatabase_0_0_0_0_0_0_0_0_0_0_0_0_0_0_0_0_0_0_0_0_0_0_0_0" vbProcedure="false">Common_Data!$A$13:$D$381</definedName>
    <definedName function="false" hidden="false" localSheetId="18" name="_FilterDatabase_0_0_0_0_0_0_0_0_0_0_0_0_0_0_0_0_0_0_0_0_0_0_0_0_0" vbProcedure="false">Common_Data!$A$13:$D$381</definedName>
    <definedName function="false" hidden="false" localSheetId="18" name="_FilterDatabase_0_0_0_0_0_0_0_0_0_0_0_0_0_0_0_0_0_0_0_0_0_0_0_0_0_0" vbProcedure="false">Common_Data!$A$13:$D$381</definedName>
    <definedName function="false" hidden="false" localSheetId="18" name="_FilterDatabase_0_0_0_0_0_0_0_0_0_0_0_0_0_0_0_0_0_0_0_0_0_0_0_0_0_0_0" vbProcedure="false">Common_Data!$A$13:$D$381</definedName>
    <definedName function="false" hidden="false" localSheetId="18" name="_FilterDatabase_0_0_0_0_0_0_0_0_0_0_0_0_0_0_0_0_0_0_0_0_0_0_0_0_0_0_0_0" vbProcedure="false">Common_Data!$A$13:$D$381</definedName>
    <definedName function="false" hidden="false" localSheetId="18" name="_FilterDatabase_0_0_0_0_0_0_0_0_0_0_0_0_0_0_0_0_0_0_0_0_0_0_0_0_0_0_0_0_0" vbProcedure="false">Common_Data!$A$13:$D$381</definedName>
    <definedName function="false" hidden="false" localSheetId="18" name="_FilterDatabase_0_0_0_0_0_0_0_0_0_0_0_0_0_0_0_0_0_0_0_0_0_0_0_0_0_0_0_0_0_0" vbProcedure="false">Common_Data!$A$13:$D$381</definedName>
    <definedName function="false" hidden="false" localSheetId="18" name="_FilterDatabase_0_0_0_0_0_0_0_0_0_0_0_0_0_0_0_0_0_0_0_0_0_0_0_0_0_0_0_0_0_0_0" vbProcedure="false">Common_Data!$A$13:$D$381</definedName>
    <definedName function="false" hidden="false" localSheetId="18" name="_FilterDatabase_0_0_0_0_0_0_0_0_0_0_0_0_0_0_0_0_0_0_0_0_0_0_0_0_0_0_0_0_0_0_0_0" vbProcedure="false">Common_Data!$A$13:$D$381</definedName>
    <definedName function="false" hidden="false" localSheetId="18" name="_FilterDatabase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_0" vbProcedure="false">Common_Data!$A$13:$D$381</definedName>
    <definedName function="false" hidden="false" localSheetId="18" name="_FilterDatabase_0_0_0_0_0_0_0_0_0_0_0_0_0_0_0_0_0_0_0_0_0_0_0_0_0_0_0_0_0_0_0_0_0_0_0_0_0" vbProcedure="false">Common_Data!$A$13:$D$381</definedName>
    <definedName function="false" hidden="false" localSheetId="18" name="_xlnm._FilterDatabase" vbProcedure="false">Common_Data!$A$13:$D$381</definedName>
    <definedName function="false" hidden="false" localSheetId="18" name="_xlnm._FilterDatabase_0" vbProcedure="false">Common_Data!$A$13:$D$381</definedName>
    <definedName function="false" hidden="false" localSheetId="18" name="_xlnm._FilterDatabase_0_0" vbProcedure="false">Common_Data!$A$13:$D$381</definedName>
    <definedName function="false" hidden="false" localSheetId="24" name="_FilterDatabase_0" vbProcedure="false">Fresh_Frozen_Relation!$A$1:$B$52</definedName>
    <definedName function="false" hidden="false" localSheetId="24" name="_FilterDatabase_0_0" vbProcedure="false">Fresh_Frozen_Relation!$A$1:$B$137</definedName>
    <definedName function="false" hidden="false" localSheetId="24" name="_FilterDatabase_0_0_0" vbProcedure="false">Fresh_Frozen_Relation!$A$1:$B$52</definedName>
    <definedName function="false" hidden="false" localSheetId="24" name="_FilterDatabase_0_0_0_0" vbProcedure="false">Fresh_Frozen_Relation!$A$1:$B$137</definedName>
    <definedName function="false" hidden="false" localSheetId="24" name="_FilterDatabase_0_0_0_0_0" vbProcedure="false">Fresh_Frozen_Relation!$A$1:$B$52</definedName>
    <definedName function="false" hidden="false" localSheetId="24" name="_FilterDatabase_0_0_0_0_0_0" vbProcedure="false">Fresh_Frozen_Relation!$A$1:$B$137</definedName>
    <definedName function="false" hidden="false" localSheetId="24" name="_FilterDatabase_0_0_0_0_0_0_0" vbProcedure="false">Fresh_Frozen_Relation!$A$1:$B$52</definedName>
    <definedName function="false" hidden="false" localSheetId="24" name="_FilterDatabase_0_0_0_0_0_0_0_0" vbProcedure="false">Fresh_Frozen_Relation!$A$1:$B$137</definedName>
    <definedName function="false" hidden="false" localSheetId="24" name="_FilterDatabase_0_0_0_0_0_0_0_0_0" vbProcedure="false">Fresh_Frozen_Relation!$A$1:$B$52</definedName>
    <definedName function="false" hidden="false" localSheetId="24" name="_FilterDatabase_0_0_0_0_0_0_0_0_0_0" vbProcedure="false">Fresh_Frozen_Relation!$A$1:$B$137</definedName>
    <definedName function="false" hidden="false" localSheetId="24" name="_FilterDatabase_0_0_0_0_0_0_0_0_0_0_0" vbProcedure="false">Fresh_Frozen_Relation!$A$1:$B$52</definedName>
    <definedName function="false" hidden="false" localSheetId="24" name="_FilterDatabase_0_0_0_0_0_0_0_0_0_0_0_0" vbProcedure="false">Fresh_Frozen_Relation!$A$1:$B$137</definedName>
    <definedName function="false" hidden="false" localSheetId="24" name="_FilterDatabase_0_0_0_0_0_0_0_0_0_0_0_0_0" vbProcedure="false">Fresh_Frozen_Relation!$A$1:$B$52</definedName>
    <definedName function="false" hidden="false" localSheetId="24" name="_FilterDatabase_0_0_0_0_0_0_0_0_0_0_0_0_0_0" vbProcedure="false">Fresh_Frozen_Relation!$A$1:$B$137</definedName>
    <definedName function="false" hidden="false" localSheetId="24" name="_FilterDatabase_0_0_0_0_0_0_0_0_0_0_0_0_0_0_0" vbProcedure="false">Fresh_Frozen_Relation!$A$1:$B$52</definedName>
    <definedName function="false" hidden="false" localSheetId="24" name="_FilterDatabase_0_0_0_0_0_0_0_0_0_0_0_0_0_0_0_0" vbProcedure="false">Fresh_Frozen_Relation!$A$1:$B$137</definedName>
    <definedName function="false" hidden="false" localSheetId="24" name="_FilterDatabase_0_0_0_0_0_0_0_0_0_0_0_0_0_0_0_0_0" vbProcedure="false">Fresh_Frozen_Relation!$A$1:$B$52</definedName>
    <definedName function="false" hidden="false" localSheetId="24" name="_FilterDatabase_0_0_0_0_0_0_0_0_0_0_0_0_0_0_0_0_0_0" vbProcedure="false">Fresh_Frozen_Relation!$A$1:$B$137</definedName>
    <definedName function="false" hidden="false" localSheetId="24" name="_FilterDatabase_0_0_0_0_0_0_0_0_0_0_0_0_0_0_0_0_0_0_0" vbProcedure="false">Fresh_Frozen_Relation!$A$1:$B$52</definedName>
    <definedName function="false" hidden="false" localSheetId="24" name="_FilterDatabase_0_0_0_0_0_0_0_0_0_0_0_0_0_0_0_0_0_0_0_0" vbProcedure="false">Fresh_Frozen_Relation!$A$1:$B$137</definedName>
    <definedName function="false" hidden="false" localSheetId="24" name="_FilterDatabase_0_0_0_0_0_0_0_0_0_0_0_0_0_0_0_0_0_0_0_0_0" vbProcedure="false">Fresh_Frozen_Relation!$A$1:$B$52</definedName>
    <definedName function="false" hidden="false" localSheetId="24" name="_FilterDatabase_0_0_0_0_0_0_0_0_0_0_0_0_0_0_0_0_0_0_0_0_0_0" vbProcedure="false">Fresh_Frozen_Relation!$A$1:$B$137</definedName>
    <definedName function="false" hidden="false" localSheetId="24" name="_FilterDatabase_0_0_0_0_0_0_0_0_0_0_0_0_0_0_0_0_0_0_0_0_0_0_0" vbProcedure="false">Fresh_Frozen_Relation!$A$1:$B$52</definedName>
    <definedName function="false" hidden="false" localSheetId="24" name="_FilterDatabase_0_0_0_0_0_0_0_0_0_0_0_0_0_0_0_0_0_0_0_0_0_0_0_0" vbProcedure="false">Fresh_Frozen_Relation!$A$1:$B$137</definedName>
    <definedName function="false" hidden="false" localSheetId="24" name="_FilterDatabase_0_0_0_0_0_0_0_0_0_0_0_0_0_0_0_0_0_0_0_0_0_0_0_0_0" vbProcedure="false">Fresh_Frozen_Relation!$A$1:$B$52</definedName>
    <definedName function="false" hidden="false" localSheetId="24" name="_FilterDatabase_0_0_0_0_0_0_0_0_0_0_0_0_0_0_0_0_0_0_0_0_0_0_0_0_0_0" vbProcedure="false">Fresh_Frozen_Relation!$A$1:$B$137</definedName>
    <definedName function="false" hidden="false" localSheetId="24" name="_FilterDatabase_0_0_0_0_0_0_0_0_0_0_0_0_0_0_0_0_0_0_0_0_0_0_0_0_0_0_0" vbProcedure="false">Fresh_Frozen_Relation!$A$1:$B$52</definedName>
    <definedName function="false" hidden="false" localSheetId="24" name="_FilterDatabase_0_0_0_0_0_0_0_0_0_0_0_0_0_0_0_0_0_0_0_0_0_0_0_0_0_0_0_0" vbProcedure="false">Fresh_Frozen_Relation!$A$1:$B$137</definedName>
    <definedName function="false" hidden="false" localSheetId="24" name="_FilterDatabase_0_0_0_0_0_0_0_0_0_0_0_0_0_0_0_0_0_0_0_0_0_0_0_0_0_0_0_0_0" vbProcedure="false">Fresh_Frozen_Relation!$A$1:$B$137</definedName>
    <definedName function="false" hidden="false" localSheetId="24" name="_FilterDatabase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_0" vbProcedure="false">Fresh_Frozen_Relation!$A$1:$B$137</definedName>
    <definedName function="false" hidden="false" localSheetId="24" name="_FilterDatabase_0_0_0_0_0_0_0_0_0_0_0_0_0_0_0_0_0_0_0_0_0_0_0_0_0_0_0_0_0_0_0_0_0_0_0_0_0" vbProcedure="false">Fresh_Frozen_Relation!$A$1:$B$137</definedName>
    <definedName function="false" hidden="false" localSheetId="24" name="_xlnm._FilterDatabase" vbProcedure="false">Fresh_Frozen_Relation!$A$1:$B$137</definedName>
    <definedName function="false" hidden="false" localSheetId="24" name="_xlnm._FilterDatabase_0" vbProcedure="false">Fresh_Frozen_Relation!$A$1:$B$137</definedName>
    <definedName function="false" hidden="false" localSheetId="24" name="_xlnm._FilterDatabase_0_0" vbProcedure="false">Fresh_Frozen_Relation!$A$1:$B$137</definedName>
    <definedName function="false" hidden="false" localSheetId="25" name="_FilterDatabase_0" vbProcedure="false">Yield_Originals!$A$2:$AD$393</definedName>
    <definedName function="false" hidden="false" localSheetId="25" name="_FilterDatabase_0_0" vbProcedure="false">Yield_Originals!$A$2:$AD$393</definedName>
    <definedName function="false" hidden="false" localSheetId="25" name="_FilterDatabase_0_0_0" vbProcedure="false">Yield_Originals!$A$2:$AD$393</definedName>
    <definedName function="false" hidden="false" localSheetId="25" name="_FilterDatabase_0_0_0_0" vbProcedure="false">Yield_Originals!$A$2:$AD$393</definedName>
    <definedName function="false" hidden="false" localSheetId="25" name="_FilterDatabase_0_0_0_0_0" vbProcedure="false">Yield_Originals!$A$2:$AD$393</definedName>
    <definedName function="false" hidden="false" localSheetId="25" name="_FilterDatabase_0_0_0_0_0_0" vbProcedure="false">Yield_Originals!$A$2:$AD$393</definedName>
    <definedName function="false" hidden="false" localSheetId="25" name="_FilterDatabase_0_0_0_0_0_0_0" vbProcedure="false">Yield_Originals!$A$2:$AD$393</definedName>
    <definedName function="false" hidden="false" localSheetId="25" name="_FilterDatabase_0_0_0_0_0_0_0_0" vbProcedure="false">Yield_Originals!$A$2:$AD$393</definedName>
    <definedName function="false" hidden="false" localSheetId="25" name="_FilterDatabase_0_0_0_0_0_0_0_0_0" vbProcedure="false">Yield_Originals!$A$2:$AD$393</definedName>
    <definedName function="false" hidden="false" localSheetId="25" name="_FilterDatabase_0_0_0_0_0_0_0_0_0_0" vbProcedure="false">Yield_Originals!$A$2:$AD$393</definedName>
    <definedName function="false" hidden="false" localSheetId="25" name="_FilterDatabase_0_0_0_0_0_0_0_0_0_0_0" vbProcedure="false">Yield_Originals!$A$2:$AD$393</definedName>
    <definedName function="false" hidden="false" localSheetId="25" name="_FilterDatabase_0_0_0_0_0_0_0_0_0_0_0_0" vbProcedure="false">Yield_Originals!$A$2:$AD$393</definedName>
    <definedName function="false" hidden="false" localSheetId="25" name="_FilterDatabase_0_0_0_0_0_0_0_0_0_0_0_0_0" vbProcedure="false">Yield_Originals!$A$2:$AD$393</definedName>
    <definedName function="false" hidden="false" localSheetId="25" name="_FilterDatabase_0_0_0_0_0_0_0_0_0_0_0_0_0_0" vbProcedure="false">Yield_Originals!$A$2:$AD$393</definedName>
    <definedName function="false" hidden="false" localSheetId="25" name="_FilterDatabase_0_0_0_0_0_0_0_0_0_0_0_0_0_0_0" vbProcedure="false">Yield_Originals!$A$2:$AD$393</definedName>
    <definedName function="false" hidden="false" localSheetId="25" name="_FilterDatabase_0_0_0_0_0_0_0_0_0_0_0_0_0_0_0_0" vbProcedure="false">Yield_Originals!$A$2:$AD$393</definedName>
    <definedName function="false" hidden="false" localSheetId="25" name="_FilterDatabase_0_0_0_0_0_0_0_0_0_0_0_0_0_0_0_0_0" vbProcedure="false">Yield_Originals!$A$2:$AD$393</definedName>
    <definedName function="false" hidden="false" localSheetId="25" name="_FilterDatabase_0_0_0_0_0_0_0_0_0_0_0_0_0_0_0_0_0_0" vbProcedure="false">Yield_Originals!$A$2:$AD$393</definedName>
    <definedName function="false" hidden="false" localSheetId="25" name="_FilterDatabase_0_0_0_0_0_0_0_0_0_0_0_0_0_0_0_0_0_0_0" vbProcedure="false">Yield_Originals!$A$2:$AD$393</definedName>
    <definedName function="false" hidden="false" localSheetId="25" name="_FilterDatabase_0_0_0_0_0_0_0_0_0_0_0_0_0_0_0_0_0_0_0_0" vbProcedure="false">Yield_Originals!$A$2:$AD$393</definedName>
    <definedName function="false" hidden="false" localSheetId="25" name="_FilterDatabase_0_0_0_0_0_0_0_0_0_0_0_0_0_0_0_0_0_0_0_0_0" vbProcedure="false">Yield_Originals!$A$2:$AD$393</definedName>
    <definedName function="false" hidden="false" localSheetId="25" name="_FilterDatabase_0_0_0_0_0_0_0_0_0_0_0_0_0_0_0_0_0_0_0_0_0_0" vbProcedure="false">Yield_Originals!$A$2:$AD$393</definedName>
    <definedName function="false" hidden="false" localSheetId="25" name="_FilterDatabase_0_0_0_0_0_0_0_0_0_0_0_0_0_0_0_0_0_0_0_0_0_0_0" vbProcedure="false">Yield_Originals!$A$2:$AD$393</definedName>
    <definedName function="false" hidden="false" localSheetId="25" name="_FilterDatabase_0_0_0_0_0_0_0_0_0_0_0_0_0_0_0_0_0_0_0_0_0_0_0_0" vbProcedure="false">Yield_Originals!$A$2:$AD$393</definedName>
    <definedName function="false" hidden="false" localSheetId="25" name="_FilterDatabase_0_0_0_0_0_0_0_0_0_0_0_0_0_0_0_0_0_0_0_0_0_0_0_0_0" vbProcedure="false">Yield_Originals!$A$2:$AD$393</definedName>
    <definedName function="false" hidden="false" localSheetId="25" name="_FilterDatabase_0_0_0_0_0_0_0_0_0_0_0_0_0_0_0_0_0_0_0_0_0_0_0_0_0_0" vbProcedure="false">Yield_Originals!$A$2:$AD$393</definedName>
    <definedName function="false" hidden="false" localSheetId="25" name="_FilterDatabase_0_0_0_0_0_0_0_0_0_0_0_0_0_0_0_0_0_0_0_0_0_0_0_0_0_0_0" vbProcedure="false">Yield_Originals!$A$2:$AD$393</definedName>
    <definedName function="false" hidden="false" localSheetId="25" name="_FilterDatabase_0_0_0_0_0_0_0_0_0_0_0_0_0_0_0_0_0_0_0_0_0_0_0_0_0_0_0_0" vbProcedure="false">Yield_Originals!$A$2:$AD$393</definedName>
    <definedName function="false" hidden="false" localSheetId="25" name="_FilterDatabase_0_0_0_0_0_0_0_0_0_0_0_0_0_0_0_0_0_0_0_0_0_0_0_0_0_0_0_0_0" vbProcedure="false">Yield_Originals!$A$2:$AD$393</definedName>
    <definedName function="false" hidden="false" localSheetId="25" name="_FilterDatabase_0_0_0_0_0_0_0_0_0_0_0_0_0_0_0_0_0_0_0_0_0_0_0_0_0_0_0_0_0_0" vbProcedure="false">Yield_Originals!$A$2:$AD$393</definedName>
    <definedName function="false" hidden="false" localSheetId="25" name="_FilterDatabase_0_0_0_0_0_0_0_0_0_0_0_0_0_0_0_0_0_0_0_0_0_0_0_0_0_0_0_0_0_0_0" vbProcedure="false">Yield_Originals!$A$2:$AD$393</definedName>
    <definedName function="false" hidden="false" localSheetId="25" name="_FilterDatabase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_0_0" vbProcedure="false">Yield_Originals!$A$2:$AD$393</definedName>
    <definedName function="false" hidden="false" localSheetId="25" name="_FilterDatabase_0_0_0_0_0_0_0_0_0_0_0_0_0_0_0_0_0_0_0_0_0_0_0_0_0_0_0_0_0_0_0_0_0_0_0_0_0" vbProcedure="false">Yield_Originals!$A$2:$AD$393</definedName>
    <definedName function="false" hidden="false" localSheetId="25" name="_xlnm._FilterDatabase" vbProcedure="false">Yield_Originals!$A$2:$AD$393</definedName>
    <definedName function="false" hidden="false" localSheetId="25" name="_xlnm._FilterDatabase_0" vbProcedure="false">Yield_Originals!$A$2:$AD$393</definedName>
    <definedName function="false" hidden="false" localSheetId="25" name="_xlnm._FilterDatabase_0_0" vbProcedure="false">Yield_Originals!$A$2:$AD$393</definedName>
    <definedName function="false" hidden="false" localSheetId="26" name="_FilterDatabase_0" vbProcedure="false">Shelf_Life!$A$1:$C$369</definedName>
    <definedName function="false" hidden="false" localSheetId="26" name="_FilterDatabase_0_0" vbProcedure="false">Shelf_Life!$A$1:$C$369</definedName>
    <definedName function="false" hidden="false" localSheetId="26" name="_FilterDatabase_0_0_0" vbProcedure="false">Shelf_Life!$A$1:$C$369</definedName>
    <definedName function="false" hidden="false" localSheetId="26" name="_FilterDatabase_0_0_0_0" vbProcedure="false">Shelf_Life!$A$1:$C$369</definedName>
    <definedName function="false" hidden="false" localSheetId="26" name="_FilterDatabase_0_0_0_0_0" vbProcedure="false">Shelf_Life!$A$1:$C$369</definedName>
    <definedName function="false" hidden="false" localSheetId="26" name="_FilterDatabase_0_0_0_0_0_0" vbProcedure="false">Shelf_Life!$A$1:$C$369</definedName>
    <definedName function="false" hidden="false" localSheetId="26" name="_FilterDatabase_0_0_0_0_0_0_0" vbProcedure="false">Shelf_Life!$A$1:$C$369</definedName>
    <definedName function="false" hidden="false" localSheetId="26" name="_FilterDatabase_0_0_0_0_0_0_0_0" vbProcedure="false">Shelf_Life!$A$1:$C$369</definedName>
    <definedName function="false" hidden="false" localSheetId="26" name="_FilterDatabase_0_0_0_0_0_0_0_0_0" vbProcedure="false">Shelf_Life!$A$1:$C$369</definedName>
    <definedName function="false" hidden="false" localSheetId="26" name="_FilterDatabase_0_0_0_0_0_0_0_0_0_0" vbProcedure="false">Shelf_Life!$A$1:$C$369</definedName>
    <definedName function="false" hidden="false" localSheetId="26" name="_FilterDatabase_0_0_0_0_0_0_0_0_0_0_0" vbProcedure="false">Shelf_Life!$A$1:$C$369</definedName>
    <definedName function="false" hidden="false" localSheetId="26" name="_FilterDatabase_0_0_0_0_0_0_0_0_0_0_0_0" vbProcedure="false">Shelf_Life!$A$1:$C$369</definedName>
    <definedName function="false" hidden="false" localSheetId="26" name="_FilterDatabase_0_0_0_0_0_0_0_0_0_0_0_0_0" vbProcedure="false">Shelf_Life!$A$1:$C$369</definedName>
    <definedName function="false" hidden="false" localSheetId="26" name="_FilterDatabase_0_0_0_0_0_0_0_0_0_0_0_0_0_0" vbProcedure="false">Shelf_Life!$A$1:$C$369</definedName>
    <definedName function="false" hidden="false" localSheetId="26" name="_FilterDatabase_0_0_0_0_0_0_0_0_0_0_0_0_0_0_0" vbProcedure="false">Shelf_Life!$A$1:$C$369</definedName>
    <definedName function="false" hidden="false" localSheetId="26" name="_FilterDatabase_0_0_0_0_0_0_0_0_0_0_0_0_0_0_0_0" vbProcedure="false">Shelf_Life!$A$1:$C$369</definedName>
    <definedName function="false" hidden="false" localSheetId="26" name="_FilterDatabase_0_0_0_0_0_0_0_0_0_0_0_0_0_0_0_0_0" vbProcedure="false">Shelf_Life!$A$1:$C$369</definedName>
    <definedName function="false" hidden="false" localSheetId="26" name="_FilterDatabase_0_0_0_0_0_0_0_0_0_0_0_0_0_0_0_0_0_0" vbProcedure="false">Shelf_Life!$A$1:$C$369</definedName>
    <definedName function="false" hidden="false" localSheetId="26" name="_FilterDatabase_0_0_0_0_0_0_0_0_0_0_0_0_0_0_0_0_0_0_0" vbProcedure="false">Shelf_Life!$A$1:$C$369</definedName>
    <definedName function="false" hidden="false" localSheetId="26" name="_FilterDatabase_0_0_0_0_0_0_0_0_0_0_0_0_0_0_0_0_0_0_0_0" vbProcedure="false">Shelf_Life!$A$1:$C$369</definedName>
    <definedName function="false" hidden="false" localSheetId="26" name="_FilterDatabase_0_0_0_0_0_0_0_0_0_0_0_0_0_0_0_0_0_0_0_0_0" vbProcedure="false">Shelf_Life!$A$1:$C$369</definedName>
    <definedName function="false" hidden="false" localSheetId="26" name="_FilterDatabase_0_0_0_0_0_0_0_0_0_0_0_0_0_0_0_0_0_0_0_0_0_0" vbProcedure="false">Shelf_Life!$A$1:$C$369</definedName>
    <definedName function="false" hidden="false" localSheetId="26" name="_FilterDatabase_0_0_0_0_0_0_0_0_0_0_0_0_0_0_0_0_0_0_0_0_0_0_0" vbProcedure="false">Shelf_Life!$A$1:$C$369</definedName>
    <definedName function="false" hidden="false" localSheetId="26" name="_FilterDatabase_0_0_0_0_0_0_0_0_0_0_0_0_0_0_0_0_0_0_0_0_0_0_0_0" vbProcedure="false">Shelf_Life!$A$1:$C$369</definedName>
    <definedName function="false" hidden="false" localSheetId="26" name="_FilterDatabase_0_0_0_0_0_0_0_0_0_0_0_0_0_0_0_0_0_0_0_0_0_0_0_0_0" vbProcedure="false">Shelf_Life!$A$1:$C$369</definedName>
    <definedName function="false" hidden="false" localSheetId="26" name="_FilterDatabase_0_0_0_0_0_0_0_0_0_0_0_0_0_0_0_0_0_0_0_0_0_0_0_0_0_0" vbProcedure="false">Shelf_Life!$A$1:$C$369</definedName>
    <definedName function="false" hidden="false" localSheetId="26" name="_FilterDatabase_0_0_0_0_0_0_0_0_0_0_0_0_0_0_0_0_0_0_0_0_0_0_0_0_0_0_0" vbProcedure="false">Shelf_Life!$A$1:$C$369</definedName>
    <definedName function="false" hidden="false" localSheetId="26" name="_xlnm._FilterDatabase" vbProcedure="false">Shelf_Life!$A$1:$C$369</definedName>
    <definedName function="false" hidden="false" localSheetId="26" name="_xlnm._FilterDatabase_0" vbProcedure="false">Shelf_Life!$A$1:$C$369</definedName>
    <definedName function="false" hidden="false" localSheetId="26" name="_xlnm._FilterDatabase_0_0" vbProcedure="false">Shelf_Life!$A$1:$C$369</definedName>
    <definedName function="false" hidden="false" localSheetId="27" name="_FilterDatabase_0" vbProcedure="false">Yield!$A$1:$AD$448</definedName>
    <definedName function="false" hidden="false" localSheetId="27" name="_FilterDatabase_0_0" vbProcedure="false">Yield!$A$1:$S$448</definedName>
    <definedName function="false" hidden="false" localSheetId="27" name="_FilterDatabase_0_0_0" vbProcedure="false">Yield!$A$1:$AD$448</definedName>
    <definedName function="false" hidden="false" localSheetId="27" name="_FilterDatabase_0_0_0_0" vbProcedure="false">Yield!$A$1:$S$448</definedName>
    <definedName function="false" hidden="false" localSheetId="27" name="_FilterDatabase_0_0_0_0_0" vbProcedure="false">Yield!$A$1:$AD$448</definedName>
    <definedName function="false" hidden="false" localSheetId="27" name="_FilterDatabase_0_0_0_0_0_0" vbProcedure="false">Yield!$A$1:$S$448</definedName>
    <definedName function="false" hidden="false" localSheetId="27" name="_FilterDatabase_0_0_0_0_0_0_0" vbProcedure="false">Yield!$A$1:$AD$448</definedName>
    <definedName function="false" hidden="false" localSheetId="27" name="_FilterDatabase_0_0_0_0_0_0_0_0" vbProcedure="false">Yield!$A$1:$S$392</definedName>
    <definedName function="false" hidden="false" localSheetId="27" name="_FilterDatabase_0_0_0_0_0_0_0_0_0" vbProcedure="false">Yield!$A$1:$AD$448</definedName>
    <definedName function="false" hidden="false" localSheetId="27" name="_FilterDatabase_0_0_0_0_0_0_0_0_0_0" vbProcedure="false">Yield!$A$1:$S$392</definedName>
    <definedName function="false" hidden="false" localSheetId="27" name="_FilterDatabase_0_0_0_0_0_0_0_0_0_0_0" vbProcedure="false">Yield!$A$1:$S$392</definedName>
    <definedName function="false" hidden="false" localSheetId="27" name="_FilterDatabase_0_0_0_0_0_0_0_0_0_0_0_0" vbProcedure="false">Yield!$A$1:$S$392</definedName>
    <definedName function="false" hidden="false" localSheetId="27" name="_FilterDatabase_0_0_0_0_0_0_0_0_0_0_0_0_0" vbProcedure="false">Yield!$A$1:$S$392</definedName>
    <definedName function="false" hidden="false" localSheetId="27" name="_FilterDatabase_0_0_0_0_0_0_0_0_0_0_0_0_0_0" vbProcedure="false">Yield!$A$1:$S$392</definedName>
    <definedName function="false" hidden="false" localSheetId="27" name="_FilterDatabase_0_0_0_0_0_0_0_0_0_0_0_0_0_0_0" vbProcedure="false">Yield!$A$1:$S$392</definedName>
    <definedName function="false" hidden="false" localSheetId="27" name="_FilterDatabase_0_0_0_0_0_0_0_0_0_0_0_0_0_0_0_0" vbProcedure="false">Yield!$A$1:$S$392</definedName>
    <definedName function="false" hidden="false" localSheetId="27" name="_FilterDatabase_0_0_0_0_0_0_0_0_0_0_0_0_0_0_0_0_0" vbProcedure="false">Yield!$A$1:$S$392</definedName>
    <definedName function="false" hidden="false" localSheetId="27" name="_FilterDatabase_0_0_0_0_0_0_0_0_0_0_0_0_0_0_0_0_0_0" vbProcedure="false">Yield!$A$1:$S$392</definedName>
    <definedName function="false" hidden="false" localSheetId="27" name="_FilterDatabase_0_0_0_0_0_0_0_0_0_0_0_0_0_0_0_0_0_0_0" vbProcedure="false">Yield!$A$1:$S$392</definedName>
    <definedName function="false" hidden="false" localSheetId="27" name="_FilterDatabase_0_0_0_0_0_0_0_0_0_0_0_0_0_0_0_0_0_0_0_0" vbProcedure="false">Yield!$A$1:$S$392</definedName>
    <definedName function="false" hidden="false" localSheetId="27" name="_FilterDatabase_0_0_0_0_0_0_0_0_0_0_0_0_0_0_0_0_0_0_0_0_0" vbProcedure="false">Yield!$A$1:$S$392</definedName>
    <definedName function="false" hidden="false" localSheetId="27" name="_FilterDatabase_0_0_0_0_0_0_0_0_0_0_0_0_0_0_0_0_0_0_0_0_0_0" vbProcedure="false">Yield!$A$1:$S$392</definedName>
    <definedName function="false" hidden="false" localSheetId="27" name="_FilterDatabase_0_0_0_0_0_0_0_0_0_0_0_0_0_0_0_0_0_0_0_0_0_0_0" vbProcedure="false">Yield!$A$1:$S$392</definedName>
    <definedName function="false" hidden="false" localSheetId="27" name="_FilterDatabase_0_0_0_0_0_0_0_0_0_0_0_0_0_0_0_0_0_0_0_0_0_0_0_0" vbProcedure="false">Yield!$A$1:$S$392</definedName>
    <definedName function="false" hidden="false" localSheetId="27" name="_FilterDatabase_0_0_0_0_0_0_0_0_0_0_0_0_0_0_0_0_0_0_0_0_0_0_0_0_0" vbProcedure="false">Yield!$A$1:$S$392</definedName>
    <definedName function="false" hidden="false" localSheetId="27" name="_FilterDatabase_0_0_0_0_0_0_0_0_0_0_0_0_0_0_0_0_0_0_0_0_0_0_0_0_0_0" vbProcedure="false">Yield!$A$1:$S$392</definedName>
    <definedName function="false" hidden="false" localSheetId="27" name="_FilterDatabase_0_0_0_0_0_0_0_0_0_0_0_0_0_0_0_0_0_0_0_0_0_0_0_0_0_0_0" vbProcedure="false">Yield!$A$1:$S$392</definedName>
    <definedName function="false" hidden="false" localSheetId="27" name="_xlnm._FilterDatabase" vbProcedure="false">Yield!$A$1:$AD$448</definedName>
    <definedName function="false" hidden="false" localSheetId="28" name="_xlnm._FilterDatabase" vbProcedure="false">yield2!$A$1:$E$12070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is not available, using nearest sku price for the purpose of testing</t>
        </r>
      </text>
    </comment>
    <comment ref="C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1 very important, can not fail
2 important but can fail
</t>
        </r>
      </text>
    </comment>
  </commentList>
</comments>
</file>

<file path=xl/comments11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comments28.xml><?xml version="1.0" encoding="utf-8"?>
<comments xmlns="http://schemas.openxmlformats.org/spreadsheetml/2006/main" xmlns:xdr="http://schemas.openxmlformats.org/drawingml/2006/spreadsheetDrawing">
  <authors>
    <author/>
  </authors>
  <commentList>
    <comment ref="AD366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obselete code</t>
        </r>
      </text>
    </comment>
  </commentList>
</comments>
</file>

<file path=xl/sharedStrings.xml><?xml version="1.0" encoding="utf-8"?>
<sst xmlns="http://schemas.openxmlformats.org/spreadsheetml/2006/main" count="16729" uniqueCount="1373">
  <si>
    <t xml:space="preserve">NO</t>
  </si>
  <si>
    <t xml:space="preserve">Sheet Name </t>
  </si>
  <si>
    <t xml:space="preserve">Information</t>
  </si>
  <si>
    <t xml:space="preserve">Provided by</t>
  </si>
  <si>
    <t xml:space="preserve">Questions (From Ms Su)</t>
  </si>
  <si>
    <t xml:space="preserve">Answers (AVIOTA)</t>
  </si>
  <si>
    <t xml:space="preserve">Remarks (Clarification with AVIOTA on 21/9)</t>
  </si>
  <si>
    <t xml:space="preserve">PIC</t>
  </si>
  <si>
    <t xml:space="preserve">Phase 2</t>
  </si>
  <si>
    <t xml:space="preserve">Demand_Fresh</t>
  </si>
  <si>
    <t xml:space="preserve">Demand for each SKUs, over the planning horizon fresh (in Kg)</t>
  </si>
  <si>
    <t xml:space="preserve">Sales</t>
  </si>
  <si>
    <t xml:space="preserve">by product grouping or by sku, by day or by month?</t>
  </si>
  <si>
    <t xml:space="preserve">Demand at SKU level; Rolling it up to Product Group Level (or another level); Time/Date - As per planning horizon( Eg- Weekly Planning - Daily demand</t>
  </si>
  <si>
    <t xml:space="preserve">*Demand by Chill SKUs (IN KG)
*Weekly Demand (Mon-Sun, may suggest to monthly if required)
*Product Grouping will use file previous provided 
{File name: SKU_Bird Size Details Final as attached}</t>
  </si>
  <si>
    <t xml:space="preserve">Mark and Phoebe Heng</t>
  </si>
  <si>
    <t xml:space="preserve">Forecasting Model</t>
  </si>
  <si>
    <t xml:space="preserve">Demand_Frozen</t>
  </si>
  <si>
    <t xml:space="preserve">Demand for each SKUs, over the planning horizon frozen (in Kg)</t>
  </si>
  <si>
    <t xml:space="preserve">*Demand by Frozen SKUs (IN KG)
*Weekly Demand (Mon-Sun, may suggest to monthly if required)
*Product Grouping will use file previous provided 
{File name: SKU_Bird Size Details Final as attached}</t>
  </si>
  <si>
    <t xml:space="preserve">Selling_Price_Fresh</t>
  </si>
  <si>
    <t xml:space="preserve">Selling price of Fresh Products (per Kg) (in RM)</t>
  </si>
  <si>
    <t xml:space="preserve">each customer grouping has different tier in price for the same skus, how to input the data?</t>
  </si>
  <si>
    <t xml:space="preserve">Average Selling Price at the level defined above (Point 1)</t>
  </si>
  <si>
    <t xml:space="preserve">*Average selling price (RM/KG) by Chill SKU level.</t>
  </si>
  <si>
    <t xml:space="preserve">JDE: Sales Table to calculate average selling price (we defined period involved)</t>
  </si>
  <si>
    <t xml:space="preserve">Selling_Price_Frozen</t>
  </si>
  <si>
    <t xml:space="preserve">Selling price of Frozen Products (per Kg) (in RM)</t>
  </si>
  <si>
    <t xml:space="preserve">Average Selling Price at the level defined above (Point  2)</t>
  </si>
  <si>
    <t xml:space="preserve">*Average selling price (RM/KG) by Frozen SKU level.</t>
  </si>
  <si>
    <t xml:space="preserve">Holding_Cost_Fresh</t>
  </si>
  <si>
    <t xml:space="preserve">Holding cost of fresh products (per Kg per day) (in RM)</t>
  </si>
  <si>
    <t xml:space="preserve">Finance</t>
  </si>
  <si>
    <t xml:space="preserve">what is the duration of the holding cost based on?</t>
  </si>
  <si>
    <t xml:space="preserve">Need to be discussed</t>
  </si>
  <si>
    <t xml:space="preserve">*Holding Cost is refer to daily basis. (Would like to know the holding cost is fixed cost or by sku)</t>
  </si>
  <si>
    <t xml:space="preserve">Ms Ho HP /  Wong SM </t>
  </si>
  <si>
    <t xml:space="preserve">Mtech costing?</t>
  </si>
  <si>
    <t xml:space="preserve">Holding_Cost_Frozen</t>
  </si>
  <si>
    <t xml:space="preserve">Holding cost of frozen products (per Kg) (in RM)</t>
  </si>
  <si>
    <t xml:space="preserve">;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</si>
  <si>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</si>
  <si>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</si>
  <si>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</si>
  <si>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</si>
  <si>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</si>
  <si>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</si>
  <si>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Production</t>
  </si>
  <si>
    <t xml:space="preserve">Ahmad Zaki</t>
  </si>
  <si>
    <t xml:space="preserve">Operational_Cost</t>
  </si>
  <si>
    <t xml:space="preserve">Operational Cost of Pattern in regular time (per Pattern) (in RM) </t>
  </si>
  <si>
    <t xml:space="preserve">operational cost is based on per bird basis / per kg basis</t>
  </si>
  <si>
    <t xml:space="preserve">At what level cost is available (Need to be discussed)</t>
  </si>
  <si>
    <t xml:space="preserve">Ms Ho HP /  Wong SM (variable cost per kg)</t>
  </si>
  <si>
    <t xml:space="preserve">Operational_Cost_Overtime</t>
  </si>
  <si>
    <t xml:space="preserve">Operational Cost of Pattern in overtime (per Pattern) (in RM)</t>
  </si>
  <si>
    <t xml:space="preserve">operative cost x 1.5 ( inclusive Sunday, ph)</t>
  </si>
  <si>
    <t xml:space="preserve">Operation_Time</t>
  </si>
  <si>
    <t xml:space="preserve">Operation time (per pattern) Time require to perform different cutting pattern (in Hours)</t>
  </si>
  <si>
    <t xml:space="preserve">operational time is based on per bird basis / per kg basis</t>
  </si>
  <si>
    <t xml:space="preserve">Available_Hour_Regular</t>
  </si>
  <si>
    <t xml:space="preserve">Available working hours in regular time over the horizon (Hrs)</t>
  </si>
  <si>
    <t xml:space="preserve">*Weekly normal working hours by Day.</t>
  </si>
  <si>
    <t xml:space="preserve">Bird_Type_Ratio</t>
  </si>
  <si>
    <t xml:space="preserve">Availability ratio of S, M and L Different Size of Bird</t>
  </si>
  <si>
    <t xml:space="preserve">Planning</t>
  </si>
  <si>
    <t xml:space="preserve">Common_Data</t>
  </si>
  <si>
    <t xml:space="preserve">Warehouse Capacity Fresh (in Kg)</t>
  </si>
  <si>
    <t xml:space="preserve">CRM</t>
  </si>
  <si>
    <t xml:space="preserve">Warehouse Capacity Frozen (in Kg)</t>
  </si>
  <si>
    <t xml:space="preserve">Available Hour In Regular Time (Hours)</t>
  </si>
  <si>
    <t xml:space="preserve">Total over planning horizon (eg. If weekly plan- 7*daily working hrs)</t>
  </si>
  <si>
    <t xml:space="preserve">*Ignore this, as this is for total weekly normal working hour. (System will summarize from information on Sheet 13)</t>
  </si>
  <si>
    <t xml:space="preserve">Available Hour In Overtime (Hours)</t>
  </si>
  <si>
    <t xml:space="preserve">*Ignore this, as this is for total weekly normal working hour. (System will summarize from information on Sheet 18)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</si>
  <si>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</si>
  <si>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</si>
  <si>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</si>
  <si>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Availablity Ratio of number of birds over the horizon</t>
  </si>
  <si>
    <t xml:space="preserve">??</t>
  </si>
  <si>
    <t xml:space="preserve">kindly share what does this means.</t>
  </si>
  <si>
    <t xml:space="preserve">Minimum number of birds available on daily basis (Eg. 0.1*Number of Birds arriving at DPP; this is to get lower limit)</t>
  </si>
  <si>
    <t xml:space="preserve">*Ignore this.</t>
  </si>
  <si>
    <t xml:space="preserve">Shelf Life in Days</t>
  </si>
  <si>
    <t xml:space="preserve">shelf life is by sku, kindly share how to input?</t>
  </si>
  <si>
    <t xml:space="preserve">NDB (Can we use a common shelf life;minimum shelf life)</t>
  </si>
  <si>
    <t xml:space="preserve">*Please provide the Shelf life by SKUs first, will further discuss detail later with AVIOTA.</t>
  </si>
  <si>
    <t xml:space="preserve">Availability</t>
  </si>
  <si>
    <t xml:space="preserve">Availability of birds over the horizon ( Number of Birds )</t>
  </si>
  <si>
    <t xml:space="preserve">may I know day refer to date of the year or day of the week?</t>
  </si>
  <si>
    <t xml:space="preserve">This the estimated number of birds over the planning horizon</t>
  </si>
  <si>
    <t xml:space="preserve">*Weekly bird availability (By day)
*Same planning horizon with Demand input.</t>
  </si>
  <si>
    <t xml:space="preserve">Interface ??</t>
  </si>
  <si>
    <t xml:space="preserve">Yield</t>
  </si>
  <si>
    <t xml:space="preserve">Yield of each products from each pattern from each bird type (Kg)</t>
  </si>
  <si>
    <t xml:space="preserve">Product is based on product grouping or sku?</t>
  </si>
  <si>
    <t xml:space="preserve">Yield by each product level( defined in 1 &amp; 2) by pattern by bird size</t>
  </si>
  <si>
    <t xml:space="preserve">*Yield by Cutting Pattern by Bird Size. </t>
  </si>
  <si>
    <t xml:space="preserve">Available_Hour_Overtime</t>
  </si>
  <si>
    <t xml:space="preserve">Available working hours in overtime over the horizon (Hrs)</t>
  </si>
  <si>
    <t xml:space="preserve">is it the same as highlighted above?</t>
  </si>
  <si>
    <t xml:space="preserve">This is on daily basis</t>
  </si>
  <si>
    <t xml:space="preserve">*Weekly overtime working hours by Day.</t>
  </si>
  <si>
    <t xml:space="preserve">Initial_Inventory</t>
  </si>
  <si>
    <t xml:space="preserve">By product initial inventory of finished product ( in Kg)</t>
  </si>
  <si>
    <t xml:space="preserve">Why by product not not our finished product?</t>
  </si>
  <si>
    <t xml:space="preserve">Yes by finished product</t>
  </si>
  <si>
    <t xml:space="preserve">*Inventory by finished Product (IN KG)</t>
  </si>
  <si>
    <t xml:space="preserve">Interface from Mtech</t>
  </si>
  <si>
    <t xml:space="preserve">SKU Conversion </t>
  </si>
  <si>
    <t xml:space="preserve">Cost of converting from SKU1 to SKU2 (in RM)</t>
  </si>
  <si>
    <t xml:space="preserve">Planning &amp; Finance</t>
  </si>
  <si>
    <t xml:space="preserve">is the cost based on kg or bird?</t>
  </si>
  <si>
    <t xml:space="preserve">By KG</t>
  </si>
  <si>
    <t xml:space="preserve">*SKU conversion based on RM/KG</t>
  </si>
  <si>
    <t xml:space="preserve">Info Request By AVIOTA</t>
  </si>
  <si>
    <t xml:space="preserve">**Information for product mapping (Info like: By Section or processing line, By cutting pattern, By Product Group)</t>
  </si>
  <si>
    <t xml:space="preserve">(1) By Cutting Pattern</t>
  </si>
  <si>
    <t xml:space="preserve">(2) And, those products with its specification (which have contraint with certain bird size)</t>
  </si>
  <si>
    <t xml:space="preserve">item code</t>
  </si>
  <si>
    <t xml:space="preserve">BBR0F0000K02DC</t>
  </si>
  <si>
    <t xml:space="preserve">BBRSF0000K02DC</t>
  </si>
  <si>
    <t xml:space="preserve">BBRSMF000K04DC</t>
  </si>
  <si>
    <t xml:space="preserve">BFL0F0000K02DC</t>
  </si>
  <si>
    <t xml:space="preserve">BLG0F0000K02DC</t>
  </si>
  <si>
    <t xml:space="preserve">BLGSF0000K02DC</t>
  </si>
  <si>
    <t xml:space="preserve">BTH007585K04DC</t>
  </si>
  <si>
    <t xml:space="preserve">BTHSF0000K02DC</t>
  </si>
  <si>
    <t xml:space="preserve">BTHSMF000K04DC</t>
  </si>
  <si>
    <t xml:space="preserve">BTHSMF0FFK04DC</t>
  </si>
  <si>
    <t xml:space="preserve">C3JW07100K02DC</t>
  </si>
  <si>
    <t xml:space="preserve">C3JW09130K02DC</t>
  </si>
  <si>
    <t xml:space="preserve">C4PC00000P08DC</t>
  </si>
  <si>
    <t xml:space="preserve">C9PC00000P18DC</t>
  </si>
  <si>
    <t xml:space="preserve">C9PCKFC00P14DC</t>
  </si>
  <si>
    <t xml:space="preserve">C9PCKFC00P18DC</t>
  </si>
  <si>
    <t xml:space="preserve">C9PCWBM20P18DC</t>
  </si>
  <si>
    <t xml:space="preserve">CBRSH2332P10DC</t>
  </si>
  <si>
    <t xml:space="preserve">CCHICU000K02DC</t>
  </si>
  <si>
    <t xml:space="preserve">CCHICU000K06DC</t>
  </si>
  <si>
    <t xml:space="preserve">CDS008110K02DC</t>
  </si>
  <si>
    <t xml:space="preserve">CDS010140K02DC</t>
  </si>
  <si>
    <t xml:space="preserve">CDS010140P20DC</t>
  </si>
  <si>
    <t xml:space="preserve">CDS0CU000K02DC</t>
  </si>
  <si>
    <t xml:space="preserve">CKE0F0000K02DC</t>
  </si>
  <si>
    <t xml:space="preserve">CLG022270K06DC</t>
  </si>
  <si>
    <t xml:space="preserve">CLG022270P10DC</t>
  </si>
  <si>
    <t xml:space="preserve">CLG026340K06DC</t>
  </si>
  <si>
    <t xml:space="preserve">CRB015190K02DC</t>
  </si>
  <si>
    <t xml:space="preserve">CRB015190K06DC</t>
  </si>
  <si>
    <t xml:space="preserve">CRB019240K02DC</t>
  </si>
  <si>
    <t xml:space="preserve">CRB019240K06DC</t>
  </si>
  <si>
    <t xml:space="preserve">CTH013160K02DC</t>
  </si>
  <si>
    <t xml:space="preserve">CTH016210K02DC</t>
  </si>
  <si>
    <t xml:space="preserve">GCARF0000K10DC</t>
  </si>
  <si>
    <t xml:space="preserve">GFT0FBK00K06DC</t>
  </si>
  <si>
    <t xml:space="preserve">GFT0J0000K06DC</t>
  </si>
  <si>
    <t xml:space="preserve">GFT0RG000K06DC</t>
  </si>
  <si>
    <t xml:space="preserve">GGIZF0000K02DC</t>
  </si>
  <si>
    <t xml:space="preserve">GHD0F0000K05DC</t>
  </si>
  <si>
    <t xml:space="preserve">GLGBF0000K06DC</t>
  </si>
  <si>
    <t xml:space="preserve">GLH0F0000K02DC</t>
  </si>
  <si>
    <t xml:space="preserve">GLH0FBK00K02DC</t>
  </si>
  <si>
    <t xml:space="preserve">GLV002426K13DC</t>
  </si>
  <si>
    <t xml:space="preserve">GNKSF0000K06DC</t>
  </si>
  <si>
    <t xml:space="preserve">GSK0MF000K04DC</t>
  </si>
  <si>
    <t xml:space="preserve">GTL0F0000K06DC</t>
  </si>
  <si>
    <t xml:space="preserve">MPORBBSNDP05DC</t>
  </si>
  <si>
    <t xml:space="preserve">MPORBLBNDP04DC</t>
  </si>
  <si>
    <t xml:space="preserve">MPORBSTNDP10DC</t>
  </si>
  <si>
    <t xml:space="preserve">MPORC4TEXP08DC</t>
  </si>
  <si>
    <t xml:space="preserve">MPORC8TEXP16DC</t>
  </si>
  <si>
    <t xml:space="preserve">MPORC9MD0P18DC</t>
  </si>
  <si>
    <t xml:space="preserve">MPORC9MDSP18DC</t>
  </si>
  <si>
    <t xml:space="preserve">MPORC9WD0P18DC</t>
  </si>
  <si>
    <t xml:space="preserve">MPORFILNDP20DC</t>
  </si>
  <si>
    <t xml:space="preserve">MPORPWLNDP09DC</t>
  </si>
  <si>
    <t xml:space="preserve">MPORPWLNDP20DC</t>
  </si>
  <si>
    <t xml:space="preserve">MPORQLEKKP10DC</t>
  </si>
  <si>
    <t xml:space="preserve">MPORQTLBPP10DC</t>
  </si>
  <si>
    <t xml:space="preserve">MPORQTLHSP10DC</t>
  </si>
  <si>
    <t xml:space="preserve">MPORQTLHYP10DC</t>
  </si>
  <si>
    <t xml:space="preserve">MPORTHEKKP12DC</t>
  </si>
  <si>
    <t xml:space="preserve">MPORWBPM1P02DC</t>
  </si>
  <si>
    <t xml:space="preserve">MPORWHYM1P02DC</t>
  </si>
  <si>
    <t xml:space="preserve">MPORWKR00P10DC</t>
  </si>
  <si>
    <t xml:space="preserve">MPORWKRBPP10DC</t>
  </si>
  <si>
    <t xml:space="preserve">MPORWKRMXP10DC</t>
  </si>
  <si>
    <t xml:space="preserve">MPORWM1BPP02DC</t>
  </si>
  <si>
    <t xml:space="preserve">MPORWM1HSP02DC</t>
  </si>
  <si>
    <t xml:space="preserve">MPORWM1HSRETDC</t>
  </si>
  <si>
    <t xml:space="preserve">MPORWM1HYP02DC</t>
  </si>
  <si>
    <t xml:space="preserve">MPORWM1HYRETDC</t>
  </si>
  <si>
    <t xml:space="preserve">MPORWM1PKP02DC</t>
  </si>
  <si>
    <t xml:space="preserve">MPORWM1PKRETDC</t>
  </si>
  <si>
    <t xml:space="preserve">MPORWM4BPRETDC</t>
  </si>
  <si>
    <t xml:space="preserve">MPORWMHM1P02DC</t>
  </si>
  <si>
    <t xml:space="preserve">MPORWNDORP02DC</t>
  </si>
  <si>
    <t xml:space="preserve">MPORWNDORP04DC</t>
  </si>
  <si>
    <t xml:space="preserve">P3JW07090K02DC</t>
  </si>
  <si>
    <t xml:space="preserve">P3JW08100K02DC</t>
  </si>
  <si>
    <t xml:space="preserve">PDMTF0000K02DC</t>
  </si>
  <si>
    <t xml:space="preserve">PDMTMF000150DC</t>
  </si>
  <si>
    <t xml:space="preserve">PMJWF0000K02DC</t>
  </si>
  <si>
    <t xml:space="preserve">PMJWMF000150DC</t>
  </si>
  <si>
    <t xml:space="preserve">WBL1BP000P10DC</t>
  </si>
  <si>
    <t xml:space="preserve">WBL1SPG41P01DC</t>
  </si>
  <si>
    <t xml:space="preserve">WBL1SPHFGP01DC</t>
  </si>
  <si>
    <t xml:space="preserve">WBM1BP000P10DC</t>
  </si>
  <si>
    <t xml:space="preserve">WBM1SP000P01DC</t>
  </si>
  <si>
    <t xml:space="preserve">WBM2BP000P10DC</t>
  </si>
  <si>
    <t xml:space="preserve">WBM2SP000P01DC</t>
  </si>
  <si>
    <t xml:space="preserve">WBM2SPGCHP01DC</t>
  </si>
  <si>
    <t xml:space="preserve">WBS2BP000P10DC</t>
  </si>
  <si>
    <t xml:space="preserve">WNC03P000P03DC</t>
  </si>
  <si>
    <t xml:space="preserve">WNC03P0S2P03DC</t>
  </si>
  <si>
    <t xml:space="preserve">Go Back To Information Tab</t>
  </si>
  <si>
    <t xml:space="preserve">BBR0F0000K02DF</t>
  </si>
  <si>
    <t xml:space="preserve">BBRS07595P24DF</t>
  </si>
  <si>
    <t xml:space="preserve">BBRS16180K05DF</t>
  </si>
  <si>
    <t xml:space="preserve">BBRS1821FK02DF</t>
  </si>
  <si>
    <t xml:space="preserve">BBRS1823FK02DF</t>
  </si>
  <si>
    <t xml:space="preserve">BBRS2325FK06DF</t>
  </si>
  <si>
    <t xml:space="preserve">BBRSF0000K02DF</t>
  </si>
  <si>
    <t xml:space="preserve">BBRSF3540K02DF</t>
  </si>
  <si>
    <t xml:space="preserve">BCH019220K02DF</t>
  </si>
  <si>
    <t xml:space="preserve">BFL003540K02DF</t>
  </si>
  <si>
    <t xml:space="preserve">BFL0F0000K02DF</t>
  </si>
  <si>
    <t xml:space="preserve">BLG018230K02DF</t>
  </si>
  <si>
    <t xml:space="preserve">BLG0F0000K02DF</t>
  </si>
  <si>
    <t xml:space="preserve">BLGS07595P24DF</t>
  </si>
  <si>
    <t xml:space="preserve">BLGSF0000K02DF</t>
  </si>
  <si>
    <t xml:space="preserve">BTH005565K06DF</t>
  </si>
  <si>
    <t xml:space="preserve">BTH009100K06DF</t>
  </si>
  <si>
    <t xml:space="preserve">BTH0CU020K02DF</t>
  </si>
  <si>
    <t xml:space="preserve">BTH0F0000K02DF</t>
  </si>
  <si>
    <t xml:space="preserve">BTHS07595P24DF</t>
  </si>
  <si>
    <t xml:space="preserve">BTHSF0000K02DF</t>
  </si>
  <si>
    <t xml:space="preserve">BTHSMF000K04DF</t>
  </si>
  <si>
    <t xml:space="preserve">BTHSMF02CK02DF</t>
  </si>
  <si>
    <t xml:space="preserve">C3JW00BRUK02DF</t>
  </si>
  <si>
    <t xml:space="preserve">C3JW07100K02DF</t>
  </si>
  <si>
    <t xml:space="preserve">C3JW09120K04DF</t>
  </si>
  <si>
    <t xml:space="preserve">C3JW09130K02DF</t>
  </si>
  <si>
    <t xml:space="preserve">C3JW0913VP06DF</t>
  </si>
  <si>
    <t xml:space="preserve">C3JWL0000K02DF</t>
  </si>
  <si>
    <t xml:space="preserve">C9PC00000P18DF</t>
  </si>
  <si>
    <t xml:space="preserve">C9PC00KFCP18DF</t>
  </si>
  <si>
    <t xml:space="preserve">C9PCGCH00P18DF</t>
  </si>
  <si>
    <t xml:space="preserve">C9PCKFC00P14DF</t>
  </si>
  <si>
    <t xml:space="preserve">C9PCWBM20P18DF</t>
  </si>
  <si>
    <t xml:space="preserve">CBRSH2332P10DF</t>
  </si>
  <si>
    <t xml:space="preserve">CCHICU000K06DF</t>
  </si>
  <si>
    <t xml:space="preserve">CDS008110K02DF</t>
  </si>
  <si>
    <t xml:space="preserve">CDS010140K02DF</t>
  </si>
  <si>
    <t xml:space="preserve">CDS010140P20DF</t>
  </si>
  <si>
    <t xml:space="preserve">CDS01014VP06DF</t>
  </si>
  <si>
    <t xml:space="preserve">CDS0CU000K02DF</t>
  </si>
  <si>
    <t xml:space="preserve">CDS0J0000K02DF</t>
  </si>
  <si>
    <t xml:space="preserve">CDS0S0000K02DF</t>
  </si>
  <si>
    <t xml:space="preserve">CKE01218VP04DF</t>
  </si>
  <si>
    <t xml:space="preserve">CKE0F0000K02DF</t>
  </si>
  <si>
    <t xml:space="preserve">CLG022270K06DF</t>
  </si>
  <si>
    <t xml:space="preserve">CLG022270P10DF</t>
  </si>
  <si>
    <t xml:space="preserve">CLG026340K06DF</t>
  </si>
  <si>
    <t xml:space="preserve">CRB015190K02DF</t>
  </si>
  <si>
    <t xml:space="preserve">CRB019240K02DF</t>
  </si>
  <si>
    <t xml:space="preserve">CRB01924VP04DF</t>
  </si>
  <si>
    <t xml:space="preserve">CTH013160K02DF</t>
  </si>
  <si>
    <t xml:space="preserve">CTH015180P12DF</t>
  </si>
  <si>
    <t xml:space="preserve">CTH016190K02DF</t>
  </si>
  <si>
    <t xml:space="preserve">CTH016210K02DF</t>
  </si>
  <si>
    <t xml:space="preserve">CTH01621VP04DF</t>
  </si>
  <si>
    <t xml:space="preserve">GCARF0000K10DF</t>
  </si>
  <si>
    <t xml:space="preserve">GFAT000SKK01DF</t>
  </si>
  <si>
    <t xml:space="preserve">GFATF0000K05DF</t>
  </si>
  <si>
    <t xml:space="preserve">GFT0FBK00K06DF</t>
  </si>
  <si>
    <t xml:space="preserve">GFT0J0000K06DF</t>
  </si>
  <si>
    <t xml:space="preserve">GFT0RG000K06DF</t>
  </si>
  <si>
    <t xml:space="preserve">GGB0F0000K10DF</t>
  </si>
  <si>
    <t xml:space="preserve">GGIZF0000K02DF</t>
  </si>
  <si>
    <t xml:space="preserve">GGRDMMTPRK01DF</t>
  </si>
  <si>
    <t xml:space="preserve">GGRDMMTSKK02DF</t>
  </si>
  <si>
    <t xml:space="preserve">GLGBF0000K06DF</t>
  </si>
  <si>
    <t xml:space="preserve">GLH0F0000K02DF</t>
  </si>
  <si>
    <t xml:space="preserve">GNK0F0000K10DF</t>
  </si>
  <si>
    <t xml:space="preserve">GNKSF0000K06DF</t>
  </si>
  <si>
    <t xml:space="preserve">GSKNF0000K05DF</t>
  </si>
  <si>
    <t xml:space="preserve">GTL0F0000K06DF</t>
  </si>
  <si>
    <t xml:space="preserve">GTL0F0BRUK06DF</t>
  </si>
  <si>
    <t xml:space="preserve">MPORBBSAWP10DF</t>
  </si>
  <si>
    <t xml:space="preserve">MPORBFTEXK02DF</t>
  </si>
  <si>
    <t xml:space="preserve">MPORBSTEKP12DF</t>
  </si>
  <si>
    <t xml:space="preserve">MPORBTSTXK02DF</t>
  </si>
  <si>
    <t xml:space="preserve">MPORBTSWDP20DF</t>
  </si>
  <si>
    <t xml:space="preserve">MPORC9AW0P09DF</t>
  </si>
  <si>
    <t xml:space="preserve">MPORC9AWSP09DF</t>
  </si>
  <si>
    <t xml:space="preserve">MPORC9MD0P09DF</t>
  </si>
  <si>
    <t xml:space="preserve">MPORC9MDSP09DF</t>
  </si>
  <si>
    <t xml:space="preserve">MPORC9WD0P18DF</t>
  </si>
  <si>
    <t xml:space="preserve">MPORCH0BPP02DF</t>
  </si>
  <si>
    <t xml:space="preserve">MPORCHBBQP02DF</t>
  </si>
  <si>
    <t xml:space="preserve">MPORCHKROP10DF</t>
  </si>
  <si>
    <t xml:space="preserve">MPORCHORIP10DF</t>
  </si>
  <si>
    <t xml:space="preserve">MPORCHOWDP10DF</t>
  </si>
  <si>
    <t xml:space="preserve">MPORCKRBPP10DF</t>
  </si>
  <si>
    <t xml:space="preserve">MPORDMKRSP20DF</t>
  </si>
  <si>
    <t xml:space="preserve">MPORFLTEXK02DF</t>
  </si>
  <si>
    <t xml:space="preserve">MPORPDMT0K02CF</t>
  </si>
  <si>
    <t xml:space="preserve">MPORPMJW0K02CF</t>
  </si>
  <si>
    <t xml:space="preserve">MPORQLSORP10DF</t>
  </si>
  <si>
    <t xml:space="preserve">MPORTHDNYP20DF</t>
  </si>
  <si>
    <t xml:space="preserve">MPORWBPM1P01DF</t>
  </si>
  <si>
    <t xml:space="preserve">MPORWHSM1P01DF</t>
  </si>
  <si>
    <t xml:space="preserve">MPORWHYM1P01DF</t>
  </si>
  <si>
    <t xml:space="preserve">MPORWKR00P02DF</t>
  </si>
  <si>
    <t xml:space="preserve">MPORWKRBPP02DF</t>
  </si>
  <si>
    <t xml:space="preserve">MPORWKRMXP10DF</t>
  </si>
  <si>
    <t xml:space="preserve">MPORWMHM1P01DF</t>
  </si>
  <si>
    <t xml:space="preserve">MPORWNDORP01DF</t>
  </si>
  <si>
    <t xml:space="preserve">P3JW00BRUK02DF</t>
  </si>
  <si>
    <t xml:space="preserve">P3JW07090K02DF</t>
  </si>
  <si>
    <t xml:space="preserve">P3JW08100K02DF</t>
  </si>
  <si>
    <t xml:space="preserve">PDMT04050K02DF</t>
  </si>
  <si>
    <t xml:space="preserve">PDMTF0000K02DF</t>
  </si>
  <si>
    <t xml:space="preserve">PMJWF0000K02DF</t>
  </si>
  <si>
    <t xml:space="preserve">WBL1BP000P10DF</t>
  </si>
  <si>
    <t xml:space="preserve">WBL1SPHFGP01DF</t>
  </si>
  <si>
    <t xml:space="preserve">WBM1BP000P10DF</t>
  </si>
  <si>
    <t xml:space="preserve">WBM1SP000P01DF</t>
  </si>
  <si>
    <t xml:space="preserve">WBM1SP0JDP01DF</t>
  </si>
  <si>
    <t xml:space="preserve">WBM2BP000P10DF</t>
  </si>
  <si>
    <t xml:space="preserve">WBM2SP000P01DF</t>
  </si>
  <si>
    <t xml:space="preserve">WBS2BP000P10DF</t>
  </si>
  <si>
    <t xml:space="preserve">WNC03P000P03DF</t>
  </si>
  <si>
    <t xml:space="preserve">WNC03P0S2P03DF</t>
  </si>
  <si>
    <t xml:space="preserve">Initial Inventory</t>
  </si>
  <si>
    <t xml:space="preserve">BBR0F0000K02D</t>
  </si>
  <si>
    <t xml:space="preserve">BBR0FTRIMK05D</t>
  </si>
  <si>
    <t xml:space="preserve">BBR0FTRWZK15D</t>
  </si>
  <si>
    <t xml:space="preserve">BBRS07595P24D</t>
  </si>
  <si>
    <t xml:space="preserve">BBRS16180K05D</t>
  </si>
  <si>
    <t xml:space="preserve">BBRS1821FK02D</t>
  </si>
  <si>
    <t xml:space="preserve">BBRS1823FK02D</t>
  </si>
  <si>
    <t xml:space="preserve">BBRS2325FK06D</t>
  </si>
  <si>
    <t xml:space="preserve">BBRSF0000K02D</t>
  </si>
  <si>
    <t xml:space="preserve">BBRSF3540K02D</t>
  </si>
  <si>
    <t xml:space="preserve">BBRSMF000K04D</t>
  </si>
  <si>
    <t xml:space="preserve">BCH019220K02D</t>
  </si>
  <si>
    <t xml:space="preserve">BCH0192JZK06D</t>
  </si>
  <si>
    <t xml:space="preserve">BFL003540K02D</t>
  </si>
  <si>
    <t xml:space="preserve">BFL004047K02D</t>
  </si>
  <si>
    <t xml:space="preserve">BFL0F0000K02D</t>
  </si>
  <si>
    <t xml:space="preserve">BFL0FWOTZK12D</t>
  </si>
  <si>
    <t xml:space="preserve">BFL0MEATZK02D</t>
  </si>
  <si>
    <t xml:space="preserve">BLG018230K02D</t>
  </si>
  <si>
    <t xml:space="preserve">BLG0F0000K02D</t>
  </si>
  <si>
    <t xml:space="preserve">BLG0FTRIMK05D</t>
  </si>
  <si>
    <t xml:space="preserve">BLGS07595P24D</t>
  </si>
  <si>
    <t xml:space="preserve">BLGSFBSDZK12D</t>
  </si>
  <si>
    <t xml:space="preserve">BLGSMF000K05D</t>
  </si>
  <si>
    <t xml:space="preserve">BTH005565K06D</t>
  </si>
  <si>
    <t xml:space="preserve">BTH007585K04D</t>
  </si>
  <si>
    <t xml:space="preserve">BTH007585P12D</t>
  </si>
  <si>
    <t xml:space="preserve">BTH009100K06D</t>
  </si>
  <si>
    <t xml:space="preserve">BTH0CU020K02D</t>
  </si>
  <si>
    <t xml:space="preserve">BTH0F0000K02D</t>
  </si>
  <si>
    <t xml:space="preserve">BTHS07595P24D</t>
  </si>
  <si>
    <t xml:space="preserve">BTHSF0000K02D</t>
  </si>
  <si>
    <t xml:space="preserve">BTHSMF000K04D</t>
  </si>
  <si>
    <t xml:space="preserve">BTHSMF02CK02D</t>
  </si>
  <si>
    <t xml:space="preserve">C3JW00BRUK02D</t>
  </si>
  <si>
    <t xml:space="preserve">C3JW07100K02D</t>
  </si>
  <si>
    <t xml:space="preserve">C3JW09120K04D</t>
  </si>
  <si>
    <t xml:space="preserve">C3JW09130K02D</t>
  </si>
  <si>
    <t xml:space="preserve">C3JW0913VP06D</t>
  </si>
  <si>
    <t xml:space="preserve">C3JWL0000K02D</t>
  </si>
  <si>
    <t xml:space="preserve">C3JWNSBRUK02D</t>
  </si>
  <si>
    <t xml:space="preserve">C9PC00KFCP18D</t>
  </si>
  <si>
    <t xml:space="preserve">C9PCAW000P18D</t>
  </si>
  <si>
    <t xml:space="preserve">C9PCGCH00P18D</t>
  </si>
  <si>
    <t xml:space="preserve">C9PCKFC00P14D</t>
  </si>
  <si>
    <t xml:space="preserve">C9PCMD000P18D</t>
  </si>
  <si>
    <t xml:space="preserve">C9PCMD00ZP18D</t>
  </si>
  <si>
    <t xml:space="preserve">C9PCWBM20P18D</t>
  </si>
  <si>
    <t xml:space="preserve">CBR0F0000K06D</t>
  </si>
  <si>
    <t xml:space="preserve">CBRSH2332P10D</t>
  </si>
  <si>
    <t xml:space="preserve">CCHICU000K02D</t>
  </si>
  <si>
    <t xml:space="preserve">CCHICU000K06D</t>
  </si>
  <si>
    <t xml:space="preserve">CDS008110K02D</t>
  </si>
  <si>
    <t xml:space="preserve">CDS0081BZK12D</t>
  </si>
  <si>
    <t xml:space="preserve">CDS010140K02D</t>
  </si>
  <si>
    <t xml:space="preserve">CDS010140P20D</t>
  </si>
  <si>
    <t xml:space="preserve">CDS01014VP06D</t>
  </si>
  <si>
    <t xml:space="preserve">CDS0CU000K02D</t>
  </si>
  <si>
    <t xml:space="preserve">CDS0J0000K02D</t>
  </si>
  <si>
    <t xml:space="preserve">CDS0S0000K02D</t>
  </si>
  <si>
    <t xml:space="preserve">CKE01218VP04D</t>
  </si>
  <si>
    <t xml:space="preserve">CKE0F0000K02D</t>
  </si>
  <si>
    <t xml:space="preserve">CLG022270K06D</t>
  </si>
  <si>
    <t xml:space="preserve">CLG022270P10D</t>
  </si>
  <si>
    <t xml:space="preserve">CLG026340K06D</t>
  </si>
  <si>
    <t xml:space="preserve">CRB015190K02D</t>
  </si>
  <si>
    <t xml:space="preserve">CRB015190K06D</t>
  </si>
  <si>
    <t xml:space="preserve">CRB019240K02D</t>
  </si>
  <si>
    <t xml:space="preserve">CRB019240K06D</t>
  </si>
  <si>
    <t xml:space="preserve">CRB01924VP04D</t>
  </si>
  <si>
    <t xml:space="preserve">CTH013160K02D</t>
  </si>
  <si>
    <t xml:space="preserve">CTH015180P12D</t>
  </si>
  <si>
    <t xml:space="preserve">CTH016190K02D</t>
  </si>
  <si>
    <t xml:space="preserve">CTH016210K02D</t>
  </si>
  <si>
    <t xml:space="preserve">CTH01621VP04D</t>
  </si>
  <si>
    <t xml:space="preserve">FFNSNFGCH2X1F</t>
  </si>
  <si>
    <t xml:space="preserve">FFNSNUGSF2X1F</t>
  </si>
  <si>
    <t xml:space="preserve">FFNSNUGSF2X1H</t>
  </si>
  <si>
    <t xml:space="preserve">FFNSNUGSF2X1J</t>
  </si>
  <si>
    <t xml:space="preserve">FFOMBAL00400D</t>
  </si>
  <si>
    <t xml:space="preserve">FFOMBAL00800D</t>
  </si>
  <si>
    <t xml:space="preserve">FFOMBAL00850F</t>
  </si>
  <si>
    <t xml:space="preserve">FFOMBALL0850F</t>
  </si>
  <si>
    <t xml:space="preserve">FFOMBUR00600D</t>
  </si>
  <si>
    <t xml:space="preserve">FFOMBUR00K01J</t>
  </si>
  <si>
    <t xml:space="preserve">FFOMML000200F</t>
  </si>
  <si>
    <t xml:space="preserve">FFOMML000500D</t>
  </si>
  <si>
    <t xml:space="preserve">FFOMML000P32D</t>
  </si>
  <si>
    <t xml:space="preserve">FFOMML0HR500D</t>
  </si>
  <si>
    <t xml:space="preserve">FFOMNUG00400F</t>
  </si>
  <si>
    <t xml:space="preserve">FFOMNUG00800D</t>
  </si>
  <si>
    <t xml:space="preserve">FFOMNUG00800H</t>
  </si>
  <si>
    <t xml:space="preserve">FFOMNUG00K01J</t>
  </si>
  <si>
    <t xml:space="preserve">FFOMNUG00K02F</t>
  </si>
  <si>
    <t xml:space="preserve">FFOMNUG12850F</t>
  </si>
  <si>
    <t xml:space="preserve">FFOMNUGCZ800D</t>
  </si>
  <si>
    <t xml:space="preserve">FFOMNUGGCP12C</t>
  </si>
  <si>
    <t xml:space="preserve">FFOMNUGST800H</t>
  </si>
  <si>
    <t xml:space="preserve">FFOMNUGSTK01J</t>
  </si>
  <si>
    <t xml:space="preserve">FFOMNUGTE800D</t>
  </si>
  <si>
    <t xml:space="preserve">FFOMNUGTE850F</t>
  </si>
  <si>
    <t xml:space="preserve">FFOMNUGTEK01J</t>
  </si>
  <si>
    <t xml:space="preserve">FGRBBC00K05DF</t>
  </si>
  <si>
    <t xml:space="preserve">FGRDCTG00K05D</t>
  </si>
  <si>
    <t xml:space="preserve">FGRDMDM00K05D</t>
  </si>
  <si>
    <t xml:space="preserve">FGRDMDMIMK06P</t>
  </si>
  <si>
    <t xml:space="preserve">FGRDMGM00K05D</t>
  </si>
  <si>
    <t xml:space="preserve">FGRDMGWPPK05D</t>
  </si>
  <si>
    <t xml:space="preserve">FPORBDSCBK02D</t>
  </si>
  <si>
    <t xml:space="preserve">FPORBUR00700F</t>
  </si>
  <si>
    <t xml:space="preserve">FPORCH0EKP10D</t>
  </si>
  <si>
    <t xml:space="preserve">FPORCH0ORP05D</t>
  </si>
  <si>
    <t xml:space="preserve">FPORCHI00800D</t>
  </si>
  <si>
    <t xml:space="preserve">FPORCHI00850F</t>
  </si>
  <si>
    <t xml:space="preserve">FPORCHIHT800D</t>
  </si>
  <si>
    <t xml:space="preserve">FPORDLITEK01D</t>
  </si>
  <si>
    <t xml:space="preserve">FPORDLITEP04D</t>
  </si>
  <si>
    <t xml:space="preserve">FPORDT000800D</t>
  </si>
  <si>
    <t xml:space="preserve">FPORDT0HS800D</t>
  </si>
  <si>
    <t xml:space="preserve">FPORFILCBK02D</t>
  </si>
  <si>
    <t xml:space="preserve">FPORFIN00400D</t>
  </si>
  <si>
    <t xml:space="preserve">FPORPCORN400F</t>
  </si>
  <si>
    <t xml:space="preserve">FPORSATAYP10D</t>
  </si>
  <si>
    <t xml:space="preserve">FPORSATAYP12D</t>
  </si>
  <si>
    <t xml:space="preserve">FPORTBSHRK01D</t>
  </si>
  <si>
    <t xml:space="preserve">FPORTL000400F</t>
  </si>
  <si>
    <t xml:space="preserve">FPORWG0HS850F</t>
  </si>
  <si>
    <t xml:space="preserve">FSGECKT00800D</t>
  </si>
  <si>
    <t xml:space="preserve">FSGECKT00850F</t>
  </si>
  <si>
    <t xml:space="preserve">FSGESFR00270H</t>
  </si>
  <si>
    <t xml:space="preserve">FSGESFR00270J</t>
  </si>
  <si>
    <t xml:space="preserve">FSGESFR00300D</t>
  </si>
  <si>
    <t xml:space="preserve">FSGESFR00300J</t>
  </si>
  <si>
    <t xml:space="preserve">FSGESFR00800D</t>
  </si>
  <si>
    <t xml:space="preserve">FSGESFR00P11F</t>
  </si>
  <si>
    <t xml:space="preserve">FSGESFR00P12D</t>
  </si>
  <si>
    <t xml:space="preserve">FSGESFR00P22F</t>
  </si>
  <si>
    <t xml:space="preserve">FSGESFR00P30J</t>
  </si>
  <si>
    <t xml:space="preserve">FSGESFRCZ300F</t>
  </si>
  <si>
    <t xml:space="preserve">FSGESFRCZ300J</t>
  </si>
  <si>
    <t xml:space="preserve">FSGESFRCZ800D</t>
  </si>
  <si>
    <t xml:space="preserve">FSGESFRCZP06D</t>
  </si>
  <si>
    <t xml:space="preserve">FSGESFRCZP12D</t>
  </si>
  <si>
    <t xml:space="preserve">FSGESFRCZP20F</t>
  </si>
  <si>
    <t xml:space="preserve">FSGESFRGCP32C</t>
  </si>
  <si>
    <t xml:space="preserve">FSGESFRHLP11C</t>
  </si>
  <si>
    <t xml:space="preserve">FSGESFRHY270H</t>
  </si>
  <si>
    <t xml:space="preserve">FSGESFRHY300F</t>
  </si>
  <si>
    <t xml:space="preserve">FSGESFRHYP20F</t>
  </si>
  <si>
    <t xml:space="preserve">GCARF0000K10D</t>
  </si>
  <si>
    <t xml:space="preserve">GCTGF0000K12D</t>
  </si>
  <si>
    <t xml:space="preserve">GCTGFFILZK12D</t>
  </si>
  <si>
    <t xml:space="preserve">GFAT000SKK01D</t>
  </si>
  <si>
    <t xml:space="preserve">GFATF0000K05D</t>
  </si>
  <si>
    <t xml:space="preserve">GFT0FBK00K06D</t>
  </si>
  <si>
    <t xml:space="preserve">GFT0J0000K06D</t>
  </si>
  <si>
    <t xml:space="preserve">GFT0RG000K06D</t>
  </si>
  <si>
    <t xml:space="preserve">GGB0F0000K10D</t>
  </si>
  <si>
    <t xml:space="preserve">GGIZF0000K02D</t>
  </si>
  <si>
    <t xml:space="preserve">GGRDMMTPRK01D</t>
  </si>
  <si>
    <t xml:space="preserve">GGRDMMTSKK02D</t>
  </si>
  <si>
    <t xml:space="preserve">GHD0F0000K05D</t>
  </si>
  <si>
    <t xml:space="preserve">GLGBF0000K06D</t>
  </si>
  <si>
    <t xml:space="preserve">GLH0F0000K02D</t>
  </si>
  <si>
    <t xml:space="preserve">GNKSF0000K06D</t>
  </si>
  <si>
    <t xml:space="preserve">GSK0F0000K05D</t>
  </si>
  <si>
    <t xml:space="preserve">GSK0MF000K04D</t>
  </si>
  <si>
    <t xml:space="preserve">GSKNF0000K05D</t>
  </si>
  <si>
    <t xml:space="preserve">GSKTF0000K05D</t>
  </si>
  <si>
    <t xml:space="preserve">GTL0F0000K06D</t>
  </si>
  <si>
    <t xml:space="preserve">GTL0F0BRUK06D</t>
  </si>
  <si>
    <t xml:space="preserve">MCONBS000K02D</t>
  </si>
  <si>
    <t xml:space="preserve">MCONCS000K02D</t>
  </si>
  <si>
    <t xml:space="preserve">MPORBBSAWP10D</t>
  </si>
  <si>
    <t xml:space="preserve">MPORBBSNDP05D</t>
  </si>
  <si>
    <t xml:space="preserve">MPORBFTEXK02D</t>
  </si>
  <si>
    <t xml:space="preserve">MPORBSTEKP12D</t>
  </si>
  <si>
    <t xml:space="preserve">MPORBSTNDP10D</t>
  </si>
  <si>
    <t xml:space="preserve">MPORBTSTXK02D</t>
  </si>
  <si>
    <t xml:space="preserve">MPORBTSWDP20D</t>
  </si>
  <si>
    <t xml:space="preserve">MPORC9AW0P09D</t>
  </si>
  <si>
    <t xml:space="preserve">MPORC9AWSP09D</t>
  </si>
  <si>
    <t xml:space="preserve">MPORC9MD0P09D</t>
  </si>
  <si>
    <t xml:space="preserve">MPORC9MD0P18D</t>
  </si>
  <si>
    <t xml:space="preserve">MPORC9MDSP09D</t>
  </si>
  <si>
    <t xml:space="preserve">MPORC9MDSP18D</t>
  </si>
  <si>
    <t xml:space="preserve">MPORC9WD0P18D</t>
  </si>
  <si>
    <t xml:space="preserve">MPORCH0BPP02D</t>
  </si>
  <si>
    <t xml:space="preserve">MPORCHBBQP02D</t>
  </si>
  <si>
    <t xml:space="preserve">MPORCHKROP10D</t>
  </si>
  <si>
    <t xml:space="preserve">MPORCHORIP10D</t>
  </si>
  <si>
    <t xml:space="preserve">MPORCHOWDP10D</t>
  </si>
  <si>
    <t xml:space="preserve">MPORCKRBPP10D</t>
  </si>
  <si>
    <t xml:space="preserve">MPORFILNDP20D</t>
  </si>
  <si>
    <t xml:space="preserve">MPORFLTEXK02D</t>
  </si>
  <si>
    <t xml:space="preserve">MPORPDMT0K02C</t>
  </si>
  <si>
    <t xml:space="preserve">MPORPMJW0K02C</t>
  </si>
  <si>
    <t xml:space="preserve">MPORQTLHSP10D</t>
  </si>
  <si>
    <t xml:space="preserve">MPORTHDNYP20D</t>
  </si>
  <si>
    <t xml:space="preserve">MPORTHEKKP12D</t>
  </si>
  <si>
    <t xml:space="preserve">MPORWKR00P10D</t>
  </si>
  <si>
    <t xml:space="preserve">MPORWKRBPP10D</t>
  </si>
  <si>
    <t xml:space="preserve">MPORWM1BPP02D</t>
  </si>
  <si>
    <t xml:space="preserve">MPORWM1HYP02D</t>
  </si>
  <si>
    <t xml:space="preserve">MPORWMHM1P02D</t>
  </si>
  <si>
    <t xml:space="preserve">MPORWNDORP04D</t>
  </si>
  <si>
    <t xml:space="preserve">MPORWNDORZ01D</t>
  </si>
  <si>
    <t xml:space="preserve">P2JWF0000K02D</t>
  </si>
  <si>
    <t xml:space="preserve">P3JW00BRUK02D</t>
  </si>
  <si>
    <t xml:space="preserve">P3JW07090K02D</t>
  </si>
  <si>
    <t xml:space="preserve">P3JW08100K02D</t>
  </si>
  <si>
    <t xml:space="preserve">P3JWLTGIFK02D</t>
  </si>
  <si>
    <t xml:space="preserve">P3JWS0000K02D</t>
  </si>
  <si>
    <t xml:space="preserve">P3JWSFPDZK12D</t>
  </si>
  <si>
    <t xml:space="preserve">PDMT04050K02D</t>
  </si>
  <si>
    <t xml:space="preserve">PDMTF0000K02D</t>
  </si>
  <si>
    <t xml:space="preserve">PDMTFBRDZK12D</t>
  </si>
  <si>
    <t xml:space="preserve">PDMTFFPDZK12D</t>
  </si>
  <si>
    <t xml:space="preserve">PDMTMF000150D</t>
  </si>
  <si>
    <t xml:space="preserve">PMJWF0000K01D</t>
  </si>
  <si>
    <t xml:space="preserve">PMJWF0000K02D</t>
  </si>
  <si>
    <t xml:space="preserve">PMJWF00FZK12D</t>
  </si>
  <si>
    <t xml:space="preserve">SBH0F000HP05D</t>
  </si>
  <si>
    <t xml:space="preserve">WBL1BP000P10D</t>
  </si>
  <si>
    <t xml:space="preserve">WBL1SPG41P01D</t>
  </si>
  <si>
    <t xml:space="preserve">WBL1SPHFGP01D</t>
  </si>
  <si>
    <t xml:space="preserve">WBM1BP000P10D</t>
  </si>
  <si>
    <t xml:space="preserve">WBM1SP000P01D</t>
  </si>
  <si>
    <t xml:space="preserve">WBM1SP0JDP01D</t>
  </si>
  <si>
    <t xml:space="preserve">WBM2BP000P10D</t>
  </si>
  <si>
    <t xml:space="preserve">WBM2DE00ZP10D</t>
  </si>
  <si>
    <t xml:space="preserve">WBM2SP000P01D</t>
  </si>
  <si>
    <t xml:space="preserve">WBM2SPGCHP01D</t>
  </si>
  <si>
    <t xml:space="preserve">WBS2BP000P10D</t>
  </si>
  <si>
    <t xml:space="preserve">WBSM1214ZP10D</t>
  </si>
  <si>
    <t xml:space="preserve">WNC03P000P03D</t>
  </si>
  <si>
    <t xml:space="preserve">WNC03P0S2P03D</t>
  </si>
  <si>
    <t xml:space="preserve">WNCB0FP0ZP12D</t>
  </si>
  <si>
    <t xml:space="preserve">Selling Price Fresh (in RM/kg)</t>
  </si>
  <si>
    <t xml:space="preserve">Priority</t>
  </si>
  <si>
    <t xml:space="preserve">Selling Price Frozen (in RM/kg)</t>
  </si>
  <si>
    <t xml:space="preserve">Penalty_Cost_Fresh(in RM/kg)</t>
  </si>
  <si>
    <t xml:space="preserve">Penalty_Cost_Frozen(in RM/kg)</t>
  </si>
  <si>
    <t xml:space="preserve">Holding_Cost_Fresh (in RM/kg)</t>
  </si>
  <si>
    <t xml:space="preserve">Holding_Cost_Frozen(In RM/kg)</t>
  </si>
  <si>
    <t xml:space="preserve">Operational_Cost(In RM/kg)</t>
  </si>
  <si>
    <t xml:space="preserve">exclusive of freezing cost, holding cost, birds cost,</t>
  </si>
  <si>
    <t xml:space="preserve">packaging, consumable, labour, VOH?</t>
  </si>
  <si>
    <t xml:space="preserve">COGS</t>
  </si>
  <si>
    <t xml:space="preserve">Costing by SKU. Operation cost will be calculated based on standard cutting pattern of SKU</t>
  </si>
  <si>
    <t xml:space="preserve">Operational time (hr/kg)</t>
  </si>
  <si>
    <t xml:space="preserve">Line</t>
  </si>
  <si>
    <t xml:space="preserve">Section</t>
  </si>
  <si>
    <t xml:space="preserve">Sales Code</t>
  </si>
  <si>
    <t xml:space="preserve">Item</t>
  </si>
  <si>
    <t xml:space="preserve">Description</t>
  </si>
  <si>
    <t xml:space="preserve">Product group</t>
  </si>
  <si>
    <t xml:space="preserve">Suitable </t>
  </si>
  <si>
    <t xml:space="preserve">Lower Limit Dressed Bird Weight</t>
  </si>
  <si>
    <t xml:space="preserve">Upper Limit Dressed Bird Weight</t>
  </si>
  <si>
    <t xml:space="preserve">2202</t>
  </si>
  <si>
    <t xml:space="preserve">BBR02325ZK12DC</t>
  </si>
  <si>
    <t xml:space="preserve">BLBRSAC</t>
  </si>
  <si>
    <t xml:space="preserve">BL BREAST</t>
  </si>
  <si>
    <t xml:space="preserve">2.01_2.30_B</t>
  </si>
  <si>
    <t xml:space="preserve">2203</t>
  </si>
  <si>
    <t xml:space="preserve">BLBRSAF</t>
  </si>
  <si>
    <t xml:space="preserve">2206</t>
  </si>
  <si>
    <t xml:space="preserve">W-BLBRS</t>
  </si>
  <si>
    <t xml:space="preserve">2248</t>
  </si>
  <si>
    <t xml:space="preserve">BBR0F000ZK25DC</t>
  </si>
  <si>
    <t xml:space="preserve">M-BLBRS2325NDC</t>
  </si>
  <si>
    <t xml:space="preserve">BL BFLY BREAST</t>
  </si>
  <si>
    <t xml:space="preserve">1.60_1.80_B</t>
  </si>
  <si>
    <t xml:space="preserve">2200</t>
  </si>
  <si>
    <t xml:space="preserve">BBR0FTRFZK15DC</t>
  </si>
  <si>
    <t xml:space="preserve">FP-BSLBRSA</t>
  </si>
  <si>
    <t xml:space="preserve">BSL BREAST</t>
  </si>
  <si>
    <t xml:space="preserve">2216</t>
  </si>
  <si>
    <t xml:space="preserve">BBR0FTRIMK05DC</t>
  </si>
  <si>
    <t xml:space="preserve">BSLBRSAC</t>
  </si>
  <si>
    <t xml:space="preserve">2217</t>
  </si>
  <si>
    <t xml:space="preserve">BBR0FTRIMK05DF</t>
  </si>
  <si>
    <t xml:space="preserve">BSLBRSAF</t>
  </si>
  <si>
    <t xml:space="preserve">2218</t>
  </si>
  <si>
    <t xml:space="preserve">BBR0FTRWZK15DC</t>
  </si>
  <si>
    <t xml:space="preserve">BSLBRSMFC</t>
  </si>
  <si>
    <t xml:space="preserve">2219</t>
  </si>
  <si>
    <t xml:space="preserve">BSLBRSMFF</t>
  </si>
  <si>
    <t xml:space="preserve">2220</t>
  </si>
  <si>
    <t xml:space="preserve">BBRS12150K02DC</t>
  </si>
  <si>
    <t xml:space="preserve">BSLBRSMFK04C</t>
  </si>
  <si>
    <t xml:space="preserve">2221</t>
  </si>
  <si>
    <t xml:space="preserve">BBRS12150K02DF</t>
  </si>
  <si>
    <t xml:space="preserve">BSLBRSMFK04F</t>
  </si>
  <si>
    <t xml:space="preserve">2223</t>
  </si>
  <si>
    <t xml:space="preserve">BBRS16180K05DC</t>
  </si>
  <si>
    <t xml:space="preserve">BSLBRSMF2PF</t>
  </si>
  <si>
    <t xml:space="preserve">2225</t>
  </si>
  <si>
    <t xml:space="preserve">BSLBRSAPF</t>
  </si>
  <si>
    <t xml:space="preserve">2228</t>
  </si>
  <si>
    <t xml:space="preserve">BBRS1821FK02DC</t>
  </si>
  <si>
    <t xml:space="preserve">BSB12150C</t>
  </si>
  <si>
    <t xml:space="preserve">2229</t>
  </si>
  <si>
    <t xml:space="preserve">BSB12150F</t>
  </si>
  <si>
    <t xml:space="preserve">2240</t>
  </si>
  <si>
    <t xml:space="preserve">W-BSLBRS</t>
  </si>
  <si>
    <t xml:space="preserve">2204</t>
  </si>
  <si>
    <t xml:space="preserve">BBRS2325FK06DC</t>
  </si>
  <si>
    <t xml:space="preserve">M-BSB7585AWC</t>
  </si>
  <si>
    <t xml:space="preserve">2245</t>
  </si>
  <si>
    <t xml:space="preserve">BSB7595X24F</t>
  </si>
  <si>
    <t xml:space="preserve">2208</t>
  </si>
  <si>
    <t xml:space="preserve">BBRS7585ZP20DC</t>
  </si>
  <si>
    <t xml:space="preserve">FP-BRSTRIM</t>
  </si>
  <si>
    <t xml:space="preserve">2210</t>
  </si>
  <si>
    <t xml:space="preserve">FP-BRSTRIMWG</t>
  </si>
  <si>
    <t xml:space="preserve">2212</t>
  </si>
  <si>
    <t xml:space="preserve">BRSTRIMC</t>
  </si>
  <si>
    <t xml:space="preserve">2213</t>
  </si>
  <si>
    <t xml:space="preserve">BBRSF0000K03PF</t>
  </si>
  <si>
    <t xml:space="preserve">BRSTRIMF</t>
  </si>
  <si>
    <t xml:space="preserve">2232</t>
  </si>
  <si>
    <t xml:space="preserve">BBRSF000ZK25DC</t>
  </si>
  <si>
    <t xml:space="preserve">BSB1821C</t>
  </si>
  <si>
    <t xml:space="preserve">BSL BFLY BREAST</t>
  </si>
  <si>
    <t xml:space="preserve">2233</t>
  </si>
  <si>
    <t xml:space="preserve">BBRSF00FZK12DC</t>
  </si>
  <si>
    <t xml:space="preserve">BSB1821F</t>
  </si>
  <si>
    <t xml:space="preserve">2234</t>
  </si>
  <si>
    <t xml:space="preserve">BBRSF0NDZK12DC</t>
  </si>
  <si>
    <t xml:space="preserve">BSB2325FLYC</t>
  </si>
  <si>
    <t xml:space="preserve">2235</t>
  </si>
  <si>
    <t xml:space="preserve">BBRSF0PCZK12DC</t>
  </si>
  <si>
    <t xml:space="preserve">BSB2325FLYF</t>
  </si>
  <si>
    <t xml:space="preserve">2247</t>
  </si>
  <si>
    <t xml:space="preserve">BSB1823F</t>
  </si>
  <si>
    <t xml:space="preserve">2242</t>
  </si>
  <si>
    <t xml:space="preserve">BBRSF354ZK12DC</t>
  </si>
  <si>
    <t xml:space="preserve">BSB1618C</t>
  </si>
  <si>
    <t xml:space="preserve">BSL OPEN CUT BRS</t>
  </si>
  <si>
    <t xml:space="preserve">1.81_2.00_B</t>
  </si>
  <si>
    <t xml:space="preserve">2243</t>
  </si>
  <si>
    <t xml:space="preserve">BBRSFCHRZK12DC</t>
  </si>
  <si>
    <t xml:space="preserve">BSB1618F</t>
  </si>
  <si>
    <t xml:space="preserve">2252</t>
  </si>
  <si>
    <t xml:space="preserve">M-BSB1213NDC</t>
  </si>
  <si>
    <t xml:space="preserve">2215</t>
  </si>
  <si>
    <t xml:space="preserve">BBRSMF000K04DF</t>
  </si>
  <si>
    <t xml:space="preserve">SBBFIL3540F</t>
  </si>
  <si>
    <t xml:space="preserve">BRS STRIP</t>
  </si>
  <si>
    <t xml:space="preserve">2256</t>
  </si>
  <si>
    <t xml:space="preserve">BBRSMF000K05DC</t>
  </si>
  <si>
    <t xml:space="preserve">M-SBBFIL3554TEXC</t>
  </si>
  <si>
    <t xml:space="preserve">2236</t>
  </si>
  <si>
    <t xml:space="preserve">BBRSMF000K05DF</t>
  </si>
  <si>
    <t xml:space="preserve">FP-BSLBRSCUBEHR</t>
  </si>
  <si>
    <t xml:space="preserve">BRS CUBE</t>
  </si>
  <si>
    <t xml:space="preserve">2238</t>
  </si>
  <si>
    <t xml:space="preserve">BBRSMF02CK02DF</t>
  </si>
  <si>
    <t xml:space="preserve">FP-BSLBRSPCORN</t>
  </si>
  <si>
    <t xml:space="preserve">2006</t>
  </si>
  <si>
    <t xml:space="preserve">M-3JWJ0911NDC</t>
  </si>
  <si>
    <t xml:space="preserve">3JW JC</t>
  </si>
  <si>
    <t xml:space="preserve">2007</t>
  </si>
  <si>
    <t xml:space="preserve">BCH01922ZK12DC</t>
  </si>
  <si>
    <t xml:space="preserve">3JWPF</t>
  </si>
  <si>
    <t xml:space="preserve">2008</t>
  </si>
  <si>
    <t xml:space="preserve">BCH0192JZK06DF</t>
  </si>
  <si>
    <t xml:space="preserve">3JWJ0709C</t>
  </si>
  <si>
    <t xml:space="preserve">2009</t>
  </si>
  <si>
    <t xml:space="preserve">BCH02123ZK12DC</t>
  </si>
  <si>
    <t xml:space="preserve">3JWJ0709F</t>
  </si>
  <si>
    <t xml:space="preserve">2010</t>
  </si>
  <si>
    <t xml:space="preserve">3JWJ0810C</t>
  </si>
  <si>
    <t xml:space="preserve">2011</t>
  </si>
  <si>
    <t xml:space="preserve">BFL004047K02DF</t>
  </si>
  <si>
    <t xml:space="preserve">3JWJ0810F</t>
  </si>
  <si>
    <t xml:space="preserve">2012</t>
  </si>
  <si>
    <t xml:space="preserve">BFL02035ZK12DC</t>
  </si>
  <si>
    <t xml:space="preserve">3JWJCSC</t>
  </si>
  <si>
    <t xml:space="preserve">2013</t>
  </si>
  <si>
    <t xml:space="preserve">BFL03554ZK12DC</t>
  </si>
  <si>
    <t xml:space="preserve">3JWJCSF</t>
  </si>
  <si>
    <t xml:space="preserve">2017</t>
  </si>
  <si>
    <t xml:space="preserve">3JWJCLTGIF</t>
  </si>
  <si>
    <t xml:space="preserve">2014</t>
  </si>
  <si>
    <t xml:space="preserve">FP-3JWJCB</t>
  </si>
  <si>
    <t xml:space="preserve">2033</t>
  </si>
  <si>
    <t xml:space="preserve">BFL0F0000K02PF</t>
  </si>
  <si>
    <t xml:space="preserve">3JWJBRUNEIF</t>
  </si>
  <si>
    <t xml:space="preserve">2050</t>
  </si>
  <si>
    <t xml:space="preserve">BFL0F000ZK25DC</t>
  </si>
  <si>
    <t xml:space="preserve">W-WINGJC</t>
  </si>
  <si>
    <t xml:space="preserve">2000</t>
  </si>
  <si>
    <t xml:space="preserve">BFL0FFINZK12DC</t>
  </si>
  <si>
    <t xml:space="preserve">2JWAC</t>
  </si>
  <si>
    <t xml:space="preserve">2JW</t>
  </si>
  <si>
    <t xml:space="preserve">2001</t>
  </si>
  <si>
    <t xml:space="preserve">BFL0FTAYZK12DC</t>
  </si>
  <si>
    <t xml:space="preserve">2JWAF</t>
  </si>
  <si>
    <t xml:space="preserve">2004</t>
  </si>
  <si>
    <t xml:space="preserve">BFL0FWOTZK12DC</t>
  </si>
  <si>
    <t xml:space="preserve">FP-2JWAHS</t>
  </si>
  <si>
    <t xml:space="preserve">2018</t>
  </si>
  <si>
    <t xml:space="preserve">BFL0MEATZK02DC</t>
  </si>
  <si>
    <t xml:space="preserve">DMETAC</t>
  </si>
  <si>
    <t xml:space="preserve">DMT</t>
  </si>
  <si>
    <t xml:space="preserve">2019</t>
  </si>
  <si>
    <t xml:space="preserve">DMETAF</t>
  </si>
  <si>
    <t xml:space="preserve">2020</t>
  </si>
  <si>
    <t xml:space="preserve">DMET3446C</t>
  </si>
  <si>
    <t xml:space="preserve">2023</t>
  </si>
  <si>
    <t xml:space="preserve">DMET4050F</t>
  </si>
  <si>
    <t xml:space="preserve">2026</t>
  </si>
  <si>
    <t xml:space="preserve">BLG0F000ZK25DC</t>
  </si>
  <si>
    <t xml:space="preserve">FP-DMETBRD</t>
  </si>
  <si>
    <t xml:space="preserve">2027</t>
  </si>
  <si>
    <t xml:space="preserve">FP-DMETBRDF</t>
  </si>
  <si>
    <t xml:space="preserve">2028</t>
  </si>
  <si>
    <t xml:space="preserve">FP-DMETA</t>
  </si>
  <si>
    <t xml:space="preserve">2029</t>
  </si>
  <si>
    <t xml:space="preserve">FP-DMETAF</t>
  </si>
  <si>
    <t xml:space="preserve">2030</t>
  </si>
  <si>
    <t xml:space="preserve">BLGSF000ZK25DC</t>
  </si>
  <si>
    <t xml:space="preserve">DMETMFC</t>
  </si>
  <si>
    <t xml:space="preserve">2031</t>
  </si>
  <si>
    <t xml:space="preserve">BLGSF00FZK12DC</t>
  </si>
  <si>
    <t xml:space="preserve">DMETMFF</t>
  </si>
  <si>
    <t xml:space="preserve">2046</t>
  </si>
  <si>
    <t xml:space="preserve">BLGSFBSDZK12DC</t>
  </si>
  <si>
    <t xml:space="preserve">W-DRUMMET</t>
  </si>
  <si>
    <t xml:space="preserve">2034</t>
  </si>
  <si>
    <t xml:space="preserve">BLGSFBSDZK12DF</t>
  </si>
  <si>
    <t xml:space="preserve">MIDJWC</t>
  </si>
  <si>
    <t xml:space="preserve">MJW</t>
  </si>
  <si>
    <t xml:space="preserve">2035</t>
  </si>
  <si>
    <t xml:space="preserve">BLGSFTAYZK12DC</t>
  </si>
  <si>
    <t xml:space="preserve">MIDJWF</t>
  </si>
  <si>
    <t xml:space="preserve">2036</t>
  </si>
  <si>
    <t xml:space="preserve">BLGSMF000K05DC</t>
  </si>
  <si>
    <t xml:space="preserve">MIDJW2636C</t>
  </si>
  <si>
    <t xml:space="preserve">2038</t>
  </si>
  <si>
    <t xml:space="preserve">MIDJW1KGC</t>
  </si>
  <si>
    <t xml:space="preserve">2039</t>
  </si>
  <si>
    <t xml:space="preserve">MIDJW1KGF</t>
  </si>
  <si>
    <t xml:space="preserve">2040</t>
  </si>
  <si>
    <t xml:space="preserve">BTH007585P12DF</t>
  </si>
  <si>
    <t xml:space="preserve">FP-MIDJW</t>
  </si>
  <si>
    <t xml:space="preserve">2041</t>
  </si>
  <si>
    <t xml:space="preserve">FP-MIDJWF</t>
  </si>
  <si>
    <t xml:space="preserve">2042</t>
  </si>
  <si>
    <t xml:space="preserve">BTH009100P10DC</t>
  </si>
  <si>
    <t xml:space="preserve">MIDJWMFC</t>
  </si>
  <si>
    <t xml:space="preserve">2043</t>
  </si>
  <si>
    <t xml:space="preserve">MIDJWMFF</t>
  </si>
  <si>
    <t xml:space="preserve">2048</t>
  </si>
  <si>
    <t xml:space="preserve">BTH0F0000K02DC</t>
  </si>
  <si>
    <t xml:space="preserve">W-MJWA</t>
  </si>
  <si>
    <t xml:space="preserve">2249</t>
  </si>
  <si>
    <t xml:space="preserve">FILAPF</t>
  </si>
  <si>
    <t xml:space="preserve">FIL</t>
  </si>
  <si>
    <t xml:space="preserve">2250</t>
  </si>
  <si>
    <t xml:space="preserve">BTH0F000ZK25DC</t>
  </si>
  <si>
    <t xml:space="preserve">FILAC</t>
  </si>
  <si>
    <t xml:space="preserve">2251</t>
  </si>
  <si>
    <t xml:space="preserve">BTH0F00DZK12DC</t>
  </si>
  <si>
    <t xml:space="preserve">FILAF</t>
  </si>
  <si>
    <t xml:space="preserve">2260</t>
  </si>
  <si>
    <t xml:space="preserve">FP-FILFINGER</t>
  </si>
  <si>
    <t xml:space="preserve">2264</t>
  </si>
  <si>
    <t xml:space="preserve">BTHS5070ZK12DC</t>
  </si>
  <si>
    <t xml:space="preserve">W-FIL</t>
  </si>
  <si>
    <t xml:space="preserve">2266</t>
  </si>
  <si>
    <t xml:space="preserve">BTHS7090ZK12DC</t>
  </si>
  <si>
    <t xml:space="preserve">FP-FILAWOT</t>
  </si>
  <si>
    <t xml:space="preserve">FIL WOT</t>
  </si>
  <si>
    <t xml:space="preserve">2254</t>
  </si>
  <si>
    <t xml:space="preserve">BTHS8090ZK12DC</t>
  </si>
  <si>
    <t xml:space="preserve">FILACC</t>
  </si>
  <si>
    <t xml:space="preserve">2255</t>
  </si>
  <si>
    <t xml:space="preserve">BTHS8499ZK12DC</t>
  </si>
  <si>
    <t xml:space="preserve">FIL3540F</t>
  </si>
  <si>
    <t xml:space="preserve">2268</t>
  </si>
  <si>
    <t xml:space="preserve">M-FIL2035NDC</t>
  </si>
  <si>
    <t xml:space="preserve">2270</t>
  </si>
  <si>
    <t xml:space="preserve">M-FIL3554TEXC</t>
  </si>
  <si>
    <t xml:space="preserve">2253</t>
  </si>
  <si>
    <t xml:space="preserve">BTHSF000ZK25DC</t>
  </si>
  <si>
    <t xml:space="preserve">FP-FILMEAT</t>
  </si>
  <si>
    <t xml:space="preserve">2262</t>
  </si>
  <si>
    <t xml:space="preserve">BTHSF00FZK12DC</t>
  </si>
  <si>
    <t xml:space="preserve">FP-FILSATAY</t>
  </si>
  <si>
    <t xml:space="preserve">FIL CUBE</t>
  </si>
  <si>
    <t xml:space="preserve">2407</t>
  </si>
  <si>
    <t xml:space="preserve">CHOP1922F</t>
  </si>
  <si>
    <t xml:space="preserve">CHOP</t>
  </si>
  <si>
    <t xml:space="preserve">2423</t>
  </si>
  <si>
    <t xml:space="preserve">FP-CHOPJ</t>
  </si>
  <si>
    <t xml:space="preserve">2486</t>
  </si>
  <si>
    <t xml:space="preserve">M-CHOP1922C</t>
  </si>
  <si>
    <t xml:space="preserve">2488</t>
  </si>
  <si>
    <t xml:space="preserve">M-CHOP2123KRRC</t>
  </si>
  <si>
    <t xml:space="preserve">2400</t>
  </si>
  <si>
    <t xml:space="preserve">C10PCKP0ZP10DC</t>
  </si>
  <si>
    <t xml:space="preserve">BLLEGAC</t>
  </si>
  <si>
    <t xml:space="preserve">BL LEG</t>
  </si>
  <si>
    <t xml:space="preserve">2401</t>
  </si>
  <si>
    <t xml:space="preserve">BLLEGAF</t>
  </si>
  <si>
    <t xml:space="preserve">2403</t>
  </si>
  <si>
    <t xml:space="preserve">BLLEG1823F</t>
  </si>
  <si>
    <t xml:space="preserve">2404</t>
  </si>
  <si>
    <t xml:space="preserve">W-BLLEG</t>
  </si>
  <si>
    <t xml:space="preserve">2409</t>
  </si>
  <si>
    <t xml:space="preserve">C3JW0710ZK12DC</t>
  </si>
  <si>
    <t xml:space="preserve">BSL7595X24F</t>
  </si>
  <si>
    <t xml:space="preserve">BSL LEG</t>
  </si>
  <si>
    <t xml:space="preserve">2432</t>
  </si>
  <si>
    <t xml:space="preserve">BSLLEGAC</t>
  </si>
  <si>
    <t xml:space="preserve">2433</t>
  </si>
  <si>
    <t xml:space="preserve">BSLLEGAF</t>
  </si>
  <si>
    <t xml:space="preserve">2434</t>
  </si>
  <si>
    <t xml:space="preserve">BSLLEGMFC</t>
  </si>
  <si>
    <t xml:space="preserve">2436</t>
  </si>
  <si>
    <t xml:space="preserve">C3JW0913VP06DC</t>
  </si>
  <si>
    <t xml:space="preserve">FP-BSLLEGA</t>
  </si>
  <si>
    <t xml:space="preserve">2440</t>
  </si>
  <si>
    <t xml:space="preserve">W-BSLLEG</t>
  </si>
  <si>
    <t xml:space="preserve">2002</t>
  </si>
  <si>
    <t xml:space="preserve">C3JW0WIPZK12DC</t>
  </si>
  <si>
    <t xml:space="preserve">FP-DSB</t>
  </si>
  <si>
    <t xml:space="preserve">DS</t>
  </si>
  <si>
    <t xml:space="preserve">2442</t>
  </si>
  <si>
    <t xml:space="preserve">BLTHIAC</t>
  </si>
  <si>
    <t xml:space="preserve">BL THI</t>
  </si>
  <si>
    <t xml:space="preserve">2443</t>
  </si>
  <si>
    <t xml:space="preserve">C3JWNSBRUK02DF</t>
  </si>
  <si>
    <t xml:space="preserve">BLTHIAF</t>
  </si>
  <si>
    <t xml:space="preserve">2444</t>
  </si>
  <si>
    <t xml:space="preserve">BT7585MFC</t>
  </si>
  <si>
    <t xml:space="preserve">2445</t>
  </si>
  <si>
    <t xml:space="preserve">C8PC0TEXZP08DC</t>
  </si>
  <si>
    <t xml:space="preserve">SBT758512F</t>
  </si>
  <si>
    <t xml:space="preserve">2446</t>
  </si>
  <si>
    <t xml:space="preserve">C8PC0TEXZP16DC</t>
  </si>
  <si>
    <t xml:space="preserve">SBT0910C</t>
  </si>
  <si>
    <t xml:space="preserve">2447</t>
  </si>
  <si>
    <t xml:space="preserve">BT0910MFK06F</t>
  </si>
  <si>
    <t xml:space="preserve">2449</t>
  </si>
  <si>
    <t xml:space="preserve">BLTHICU20F</t>
  </si>
  <si>
    <t xml:space="preserve">2450</t>
  </si>
  <si>
    <t xml:space="preserve">C9PC00WDZP18DC</t>
  </si>
  <si>
    <t xml:space="preserve">FP-BLTHIADLITE</t>
  </si>
  <si>
    <t xml:space="preserve">2453</t>
  </si>
  <si>
    <t xml:space="preserve">C9PC0WIPZP18DC</t>
  </si>
  <si>
    <t xml:space="preserve">BT5565MFK06F</t>
  </si>
  <si>
    <t xml:space="preserve">2454</t>
  </si>
  <si>
    <t xml:space="preserve">C9PCAW000P18DC</t>
  </si>
  <si>
    <t xml:space="preserve">W-BLTHI</t>
  </si>
  <si>
    <t xml:space="preserve">2456</t>
  </si>
  <si>
    <t xml:space="preserve">C9PCAW000P18DF</t>
  </si>
  <si>
    <t xml:space="preserve">BSLTHIAC</t>
  </si>
  <si>
    <t xml:space="preserve">BSL THI</t>
  </si>
  <si>
    <t xml:space="preserve">2457</t>
  </si>
  <si>
    <t xml:space="preserve">C9PCAW00ZP18DC</t>
  </si>
  <si>
    <t xml:space="preserve">BSLTHIAF</t>
  </si>
  <si>
    <t xml:space="preserve">2458</t>
  </si>
  <si>
    <t xml:space="preserve">BSLTHIMFK04C</t>
  </si>
  <si>
    <t xml:space="preserve">2459</t>
  </si>
  <si>
    <t xml:space="preserve">C9PCMD000P18DC</t>
  </si>
  <si>
    <t xml:space="preserve">BSLTHIMFK04F</t>
  </si>
  <si>
    <t xml:space="preserve">2462</t>
  </si>
  <si>
    <t xml:space="preserve">C9PCMD000P18DF</t>
  </si>
  <si>
    <t xml:space="preserve">BSLTHIFFMFK04C</t>
  </si>
  <si>
    <t xml:space="preserve">2470</t>
  </si>
  <si>
    <t xml:space="preserve">C9PCMD00ZP18DC</t>
  </si>
  <si>
    <t xml:space="preserve">FP-BSLTHIA</t>
  </si>
  <si>
    <t xml:space="preserve">2474</t>
  </si>
  <si>
    <t xml:space="preserve">C9PCMDSTZP18DC</t>
  </si>
  <si>
    <t xml:space="preserve">W-BSLTHI</t>
  </si>
  <si>
    <t xml:space="preserve">2477</t>
  </si>
  <si>
    <t xml:space="preserve">BST7595X24F</t>
  </si>
  <si>
    <t xml:space="preserve">2478</t>
  </si>
  <si>
    <t xml:space="preserve">M-BSLTHI5070NDC</t>
  </si>
  <si>
    <t xml:space="preserve">2480</t>
  </si>
  <si>
    <t xml:space="preserve">CBR0F0000K06DC</t>
  </si>
  <si>
    <t xml:space="preserve">M-BSLTHI7090WDC</t>
  </si>
  <si>
    <t xml:space="preserve">2482</t>
  </si>
  <si>
    <t xml:space="preserve">CBR0F0000K06DF</t>
  </si>
  <si>
    <t xml:space="preserve">M-BSLTHI8499TEXC</t>
  </si>
  <si>
    <t xml:space="preserve">2484</t>
  </si>
  <si>
    <t xml:space="preserve">M-BSLTHI8090EKC</t>
  </si>
  <si>
    <t xml:space="preserve">2430</t>
  </si>
  <si>
    <t xml:space="preserve">FP-BSDS</t>
  </si>
  <si>
    <t xml:space="preserve">BS DS</t>
  </si>
  <si>
    <t xml:space="preserve">2431</t>
  </si>
  <si>
    <t xml:space="preserve">CBRSHWIPZK12DC</t>
  </si>
  <si>
    <t xml:space="preserve">2461</t>
  </si>
  <si>
    <t xml:space="preserve">CCHI6080ZK06DC</t>
  </si>
  <si>
    <t xml:space="preserve">BSLTHIMF2PF</t>
  </si>
  <si>
    <t xml:space="preserve">BSL LEG (2 CUT)</t>
  </si>
  <si>
    <t xml:space="preserve">2438</t>
  </si>
  <si>
    <t xml:space="preserve">FP-BSLLEGSATAY</t>
  </si>
  <si>
    <t xml:space="preserve">BSL LEG CUBE</t>
  </si>
  <si>
    <t xml:space="preserve">1000</t>
  </si>
  <si>
    <t xml:space="preserve">3 JOINT WING MC (70-100G)</t>
  </si>
  <si>
    <t xml:space="preserve">3JW MC</t>
  </si>
  <si>
    <t xml:space="preserve">1001</t>
  </si>
  <si>
    <t xml:space="preserve">1002</t>
  </si>
  <si>
    <t xml:space="preserve">CCHICU000RETDC</t>
  </si>
  <si>
    <t xml:space="preserve">M-3 JOINT WING MC (70-110G) </t>
  </si>
  <si>
    <t xml:space="preserve">1003</t>
  </si>
  <si>
    <t xml:space="preserve">CCHICU000RETDF</t>
  </si>
  <si>
    <t xml:space="preserve">3 JOINT WING MC (90-120G)</t>
  </si>
  <si>
    <t xml:space="preserve">1004</t>
  </si>
  <si>
    <t xml:space="preserve">3 JOINT WING MC (90-130G)</t>
  </si>
  <si>
    <t xml:space="preserve">1005</t>
  </si>
  <si>
    <t xml:space="preserve">1006</t>
  </si>
  <si>
    <t xml:space="preserve">CDS0081BZK12DC</t>
  </si>
  <si>
    <t xml:space="preserve">3 JOINT WING MC (90-130G) VP</t>
  </si>
  <si>
    <t xml:space="preserve">1007</t>
  </si>
  <si>
    <t xml:space="preserve">CDS00WIPZK12DC</t>
  </si>
  <si>
    <t xml:space="preserve">1009</t>
  </si>
  <si>
    <t xml:space="preserve">MARINATED CHICKEN WING (MC)</t>
  </si>
  <si>
    <t xml:space="preserve">1011</t>
  </si>
  <si>
    <t xml:space="preserve">MARINATED CHICKEN WING (MC)-NS</t>
  </si>
  <si>
    <t xml:space="preserve">1012</t>
  </si>
  <si>
    <t xml:space="preserve">WIP-WING MC</t>
  </si>
  <si>
    <t xml:space="preserve">1165</t>
  </si>
  <si>
    <t xml:space="preserve">FROZEN CHICKEN WING</t>
  </si>
  <si>
    <t xml:space="preserve">1014</t>
  </si>
  <si>
    <t xml:space="preserve">CDS01014VP06DC</t>
  </si>
  <si>
    <t xml:space="preserve">CHICKEN CUBE</t>
  </si>
  <si>
    <t xml:space="preserve">CUBE</t>
  </si>
  <si>
    <t xml:space="preserve">1015</t>
  </si>
  <si>
    <t xml:space="preserve">1016</t>
  </si>
  <si>
    <t xml:space="preserve">1018</t>
  </si>
  <si>
    <t xml:space="preserve">FP-CHICKEN CUBE 6080 </t>
  </si>
  <si>
    <t xml:space="preserve">1020</t>
  </si>
  <si>
    <t xml:space="preserve">1021</t>
  </si>
  <si>
    <t xml:space="preserve">CDS0L0000K02DC</t>
  </si>
  <si>
    <t xml:space="preserve">1030</t>
  </si>
  <si>
    <t xml:space="preserve">CDS0MD00ZP20DC</t>
  </si>
  <si>
    <t xml:space="preserve">DRUMSTICK CUBE</t>
  </si>
  <si>
    <t xml:space="preserve">1031</t>
  </si>
  <si>
    <t xml:space="preserve">CDS0S0000K02DC</t>
  </si>
  <si>
    <t xml:space="preserve">DRUMSTICK CUBE FRZ</t>
  </si>
  <si>
    <t xml:space="preserve">1024</t>
  </si>
  <si>
    <t xml:space="preserve">DRUMSTICK (100-140G)</t>
  </si>
  <si>
    <t xml:space="preserve">1025</t>
  </si>
  <si>
    <t xml:space="preserve">CKE00WIPZK12DC</t>
  </si>
  <si>
    <t xml:space="preserve">1026</t>
  </si>
  <si>
    <t xml:space="preserve">CKE01218VP04DC</t>
  </si>
  <si>
    <t xml:space="preserve">DRUMSTICK (100-140G) 20PC</t>
  </si>
  <si>
    <t xml:space="preserve">1027</t>
  </si>
  <si>
    <t xml:space="preserve">DRUMSTICK (100-140G) 20 PC</t>
  </si>
  <si>
    <t xml:space="preserve">1028</t>
  </si>
  <si>
    <t xml:space="preserve">M-DRUMSTICK (80-110G) 20PC</t>
  </si>
  <si>
    <t xml:space="preserve">1032</t>
  </si>
  <si>
    <t xml:space="preserve">DRUMSTICK (100-140G) VP</t>
  </si>
  <si>
    <t xml:space="preserve">1033</t>
  </si>
  <si>
    <t xml:space="preserve">CKE0F000ZK12DC</t>
  </si>
  <si>
    <t xml:space="preserve">1034</t>
  </si>
  <si>
    <t xml:space="preserve">CLG000300K06DC</t>
  </si>
  <si>
    <t xml:space="preserve">DRUMSTICK (80-110G)</t>
  </si>
  <si>
    <t xml:space="preserve">1035</t>
  </si>
  <si>
    <t xml:space="preserve">CLG00WIPZK12DC</t>
  </si>
  <si>
    <t xml:space="preserve">1036</t>
  </si>
  <si>
    <t xml:space="preserve">DRUMSTICK L (110-140G)</t>
  </si>
  <si>
    <t xml:space="preserve">1038</t>
  </si>
  <si>
    <t xml:space="preserve">WIP-DRUMSTICK</t>
  </si>
  <si>
    <t xml:space="preserve">1080</t>
  </si>
  <si>
    <t xml:space="preserve">DRUMSTICK S (70-90G)</t>
  </si>
  <si>
    <t xml:space="preserve">1081</t>
  </si>
  <si>
    <t xml:space="preserve">1163</t>
  </si>
  <si>
    <t xml:space="preserve">CLG02227ZP10DC</t>
  </si>
  <si>
    <t xml:space="preserve">DRUMSTICK J (&gt;140G)</t>
  </si>
  <si>
    <t xml:space="preserve">1022</t>
  </si>
  <si>
    <t xml:space="preserve">CLG02528ZP10DC</t>
  </si>
  <si>
    <t xml:space="preserve">FP-KEEL</t>
  </si>
  <si>
    <t xml:space="preserve">KEEL</t>
  </si>
  <si>
    <t xml:space="preserve">1040</t>
  </si>
  <si>
    <t xml:space="preserve">1041</t>
  </si>
  <si>
    <t xml:space="preserve">1042</t>
  </si>
  <si>
    <t xml:space="preserve">CLG2227KZP10DC</t>
  </si>
  <si>
    <t xml:space="preserve">KEEL (120-180G) VP</t>
  </si>
  <si>
    <t xml:space="preserve">1043</t>
  </si>
  <si>
    <t xml:space="preserve">CRB00WIPZK12DC</t>
  </si>
  <si>
    <t xml:space="preserve">1044</t>
  </si>
  <si>
    <t xml:space="preserve">WIP-KEEL</t>
  </si>
  <si>
    <t xml:space="preserve">1060</t>
  </si>
  <si>
    <t xml:space="preserve">4 PC CUT WO SKIN X 2 BIRDS</t>
  </si>
  <si>
    <t xml:space="preserve">PIECE CUT</t>
  </si>
  <si>
    <t xml:space="preserve">1.60_1.80_A</t>
  </si>
  <si>
    <t xml:space="preserve">1064</t>
  </si>
  <si>
    <t xml:space="preserve">WIP-9 PC CUT</t>
  </si>
  <si>
    <t xml:space="preserve">1067</t>
  </si>
  <si>
    <t xml:space="preserve">9 PC CUT X 2 BIRD GCH (WO 3JW)</t>
  </si>
  <si>
    <t xml:space="preserve">1068</t>
  </si>
  <si>
    <t xml:space="preserve">9 PC CUT X 2 BIRDS</t>
  </si>
  <si>
    <t xml:space="preserve">1069</t>
  </si>
  <si>
    <t xml:space="preserve">1070</t>
  </si>
  <si>
    <t xml:space="preserve">CRB01924VP04DC</t>
  </si>
  <si>
    <t xml:space="preserve">9 PC CUT X 2 BIRDS (M2)</t>
  </si>
  <si>
    <t xml:space="preserve">1071</t>
  </si>
  <si>
    <t xml:space="preserve">1072</t>
  </si>
  <si>
    <t xml:space="preserve">CSLG2227ZP10DC</t>
  </si>
  <si>
    <t xml:space="preserve">9 PC CUT X 2 BIRDS (QSR)</t>
  </si>
  <si>
    <t xml:space="preserve">1073</t>
  </si>
  <si>
    <t xml:space="preserve">CTH00WIPZK12DC</t>
  </si>
  <si>
    <t xml:space="preserve">1074</t>
  </si>
  <si>
    <t xml:space="preserve">1075</t>
  </si>
  <si>
    <t xml:space="preserve">1140</t>
  </si>
  <si>
    <t xml:space="preserve">CTH013160P20DF</t>
  </si>
  <si>
    <t xml:space="preserve">M-8 PC CUT X 2 BIRDS TEXAS</t>
  </si>
  <si>
    <t xml:space="preserve">1142</t>
  </si>
  <si>
    <t xml:space="preserve">CTH01316ZK12DC</t>
  </si>
  <si>
    <t xml:space="preserve">M-9 PC CUT X 2 BIRDS WENDY</t>
  </si>
  <si>
    <t xml:space="preserve">1144</t>
  </si>
  <si>
    <t xml:space="preserve">CTH01316ZP20DC</t>
  </si>
  <si>
    <t xml:space="preserve">M-9 PC CUT X 2 BIRDS MCD</t>
  </si>
  <si>
    <t xml:space="preserve">1146</t>
  </si>
  <si>
    <t xml:space="preserve">M-9 PC CUT X 2 BIRDS MCD SLIT</t>
  </si>
  <si>
    <t xml:space="preserve">1148</t>
  </si>
  <si>
    <t xml:space="preserve">M-9 PC CUT X 2 BIRDS A&amp;W</t>
  </si>
  <si>
    <t xml:space="preserve">1162</t>
  </si>
  <si>
    <t xml:space="preserve">M-4 PC CUT X 2 BIRDS TEXAS</t>
  </si>
  <si>
    <t xml:space="preserve">1170</t>
  </si>
  <si>
    <t xml:space="preserve">M-10 PC CUT X 1 BIRD KRR</t>
  </si>
  <si>
    <t xml:space="preserve">1.81_2.00_A</t>
  </si>
  <si>
    <t xml:space="preserve">1086</t>
  </si>
  <si>
    <t xml:space="preserve">CTH016210P20DF</t>
  </si>
  <si>
    <t xml:space="preserve">WIP-Q LEG</t>
  </si>
  <si>
    <t xml:space="preserve">QUARTER LEG</t>
  </si>
  <si>
    <t xml:space="preserve">1088</t>
  </si>
  <si>
    <t xml:space="preserve">CTH01621VP04DC</t>
  </si>
  <si>
    <t xml:space="preserve">QUARTER LEG (220-270G)</t>
  </si>
  <si>
    <t xml:space="preserve">1089</t>
  </si>
  <si>
    <t xml:space="preserve">1090</t>
  </si>
  <si>
    <t xml:space="preserve">P2JWF0000K02DC</t>
  </si>
  <si>
    <t xml:space="preserve">QUARTER LEG (220-270G) 10PC</t>
  </si>
  <si>
    <t xml:space="preserve">1091</t>
  </si>
  <si>
    <t xml:space="preserve">P2JWF0000K02DF</t>
  </si>
  <si>
    <t xml:space="preserve">QUARTER LEG (220-270G) 10 PC</t>
  </si>
  <si>
    <t xml:space="preserve">1100</t>
  </si>
  <si>
    <t xml:space="preserve">P2JWF0HSZK12DC</t>
  </si>
  <si>
    <t xml:space="preserve">QUARTER LEG (260-340G)</t>
  </si>
  <si>
    <t xml:space="preserve">1101</t>
  </si>
  <si>
    <t xml:space="preserve">P3JW00000K02PF</t>
  </si>
  <si>
    <t xml:space="preserve">1102</t>
  </si>
  <si>
    <t xml:space="preserve">P3JW0000ZK25DC</t>
  </si>
  <si>
    <t xml:space="preserve">QUARTER LEG (ABV 300G)</t>
  </si>
  <si>
    <t xml:space="preserve">1150</t>
  </si>
  <si>
    <t xml:space="preserve">M-QUARTER LEG (220-270G) 10PC KRR</t>
  </si>
  <si>
    <t xml:space="preserve">1152</t>
  </si>
  <si>
    <t xml:space="preserve">M-QUARTER LEG (250-280G) 10PC EK</t>
  </si>
  <si>
    <t xml:space="preserve">1154</t>
  </si>
  <si>
    <t xml:space="preserve">M-QUARTER LEG (220-270G) 10PC MAR</t>
  </si>
  <si>
    <t xml:space="preserve">1156</t>
  </si>
  <si>
    <t xml:space="preserve">M-SKINLESS QUARTER LEG (260-340G) 10PC KRR</t>
  </si>
  <si>
    <t xml:space="preserve">1104</t>
  </si>
  <si>
    <t xml:space="preserve">WIP-RIB </t>
  </si>
  <si>
    <t xml:space="preserve">RIB</t>
  </si>
  <si>
    <t xml:space="preserve">1106</t>
  </si>
  <si>
    <t xml:space="preserve">P3JW0911ZK12DC</t>
  </si>
  <si>
    <t xml:space="preserve">RIB (150-190G)</t>
  </si>
  <si>
    <t xml:space="preserve">1107</t>
  </si>
  <si>
    <t xml:space="preserve">P3JWLTGIFK02DF</t>
  </si>
  <si>
    <t xml:space="preserve">1108</t>
  </si>
  <si>
    <t xml:space="preserve">P3JWS0000K02DC</t>
  </si>
  <si>
    <t xml:space="preserve">RIB (190-240G)</t>
  </si>
  <si>
    <t xml:space="preserve">1109</t>
  </si>
  <si>
    <t xml:space="preserve">P3JWS0000K02DF</t>
  </si>
  <si>
    <t xml:space="preserve">1110</t>
  </si>
  <si>
    <t xml:space="preserve">P3JWSFPDZK12DC</t>
  </si>
  <si>
    <t xml:space="preserve">RIB (190-240G) VP</t>
  </si>
  <si>
    <t xml:space="preserve">1111</t>
  </si>
  <si>
    <t xml:space="preserve">PDMT03446K02DC</t>
  </si>
  <si>
    <t xml:space="preserve">1166</t>
  </si>
  <si>
    <t xml:space="preserve">1168</t>
  </si>
  <si>
    <t xml:space="preserve">1112</t>
  </si>
  <si>
    <t xml:space="preserve">S'LESS BREAST 1/2(230-320)10PC</t>
  </si>
  <si>
    <t xml:space="preserve">SWBH</t>
  </si>
  <si>
    <t xml:space="preserve">1113</t>
  </si>
  <si>
    <t xml:space="preserve">PDMTF000ZK25DC</t>
  </si>
  <si>
    <t xml:space="preserve">1114</t>
  </si>
  <si>
    <t xml:space="preserve">PDMTFBRDZK12DC</t>
  </si>
  <si>
    <t xml:space="preserve">WIP-SWBH</t>
  </si>
  <si>
    <t xml:space="preserve">1116</t>
  </si>
  <si>
    <t xml:space="preserve">PDMTFBRDZK12DF</t>
  </si>
  <si>
    <t xml:space="preserve">WHOLE BREAST</t>
  </si>
  <si>
    <t xml:space="preserve">1117</t>
  </si>
  <si>
    <t xml:space="preserve">PDMTFFPDZK12DC</t>
  </si>
  <si>
    <t xml:space="preserve">1118</t>
  </si>
  <si>
    <t xml:space="preserve">PDMTFFPDZK12DF</t>
  </si>
  <si>
    <t xml:space="preserve">WIP-THIGH </t>
  </si>
  <si>
    <t xml:space="preserve">THIGH MC</t>
  </si>
  <si>
    <t xml:space="preserve">1120</t>
  </si>
  <si>
    <t xml:space="preserve">THIGH (130-160G)</t>
  </si>
  <si>
    <t xml:space="preserve">1121</t>
  </si>
  <si>
    <t xml:space="preserve">PDMTMF000150DF</t>
  </si>
  <si>
    <t xml:space="preserve">1123</t>
  </si>
  <si>
    <t xml:space="preserve">PMJW02636K02DC</t>
  </si>
  <si>
    <t xml:space="preserve">THIGH (130-160G) 20 PC</t>
  </si>
  <si>
    <t xml:space="preserve">1129</t>
  </si>
  <si>
    <t xml:space="preserve">PMJWF0000K01DC</t>
  </si>
  <si>
    <t xml:space="preserve">THIGH (150-180G)</t>
  </si>
  <si>
    <t xml:space="preserve">1131</t>
  </si>
  <si>
    <t xml:space="preserve">PMJWF0000K01DF</t>
  </si>
  <si>
    <t xml:space="preserve">THIGH (160-190G)</t>
  </si>
  <si>
    <t xml:space="preserve">1132</t>
  </si>
  <si>
    <t xml:space="preserve">THIGH (160-210G)</t>
  </si>
  <si>
    <t xml:space="preserve">1133</t>
  </si>
  <si>
    <t xml:space="preserve">1135</t>
  </si>
  <si>
    <t xml:space="preserve">PMJWF000ZK25DC</t>
  </si>
  <si>
    <t xml:space="preserve">THIGH (160-210G) 20 PC</t>
  </si>
  <si>
    <t xml:space="preserve">1136</t>
  </si>
  <si>
    <t xml:space="preserve">PMJWF00FZK12DC</t>
  </si>
  <si>
    <t xml:space="preserve">THIGH (160-210G) VP</t>
  </si>
  <si>
    <t xml:space="preserve">1137</t>
  </si>
  <si>
    <t xml:space="preserve">PMJWF00FZK12DF</t>
  </si>
  <si>
    <t xml:space="preserve">1158</t>
  </si>
  <si>
    <t xml:space="preserve">M-THIGH  (130-160G) EK</t>
  </si>
  <si>
    <t xml:space="preserve">1160</t>
  </si>
  <si>
    <t xml:space="preserve">PMJWMF000150DF</t>
  </si>
  <si>
    <t xml:space="preserve">M-THIGH (130-160G) 20PC NYONYA</t>
  </si>
  <si>
    <t xml:space="preserve">Day</t>
  </si>
  <si>
    <t xml:space="preserve">Available Hours</t>
  </si>
  <si>
    <t xml:space="preserve">MP available</t>
  </si>
  <si>
    <t xml:space="preserve">Bird Type</t>
  </si>
  <si>
    <t xml:space="preserve">Ratio</t>
  </si>
  <si>
    <t xml:space="preserve">Everything is variable</t>
  </si>
  <si>
    <t xml:space="preserve">Grade_A</t>
  </si>
  <si>
    <t xml:space="preserve">Grade_B</t>
  </si>
  <si>
    <t xml:space="preserve">Grade % is variable across size</t>
  </si>
  <si>
    <t xml:space="preserve">CV</t>
  </si>
  <si>
    <t xml:space="preserve">M</t>
  </si>
  <si>
    <t xml:space="preserve">ML</t>
  </si>
  <si>
    <t xml:space="preserve">L</t>
  </si>
  <si>
    <t xml:space="preserve">Parameters</t>
  </si>
  <si>
    <t xml:space="preserve">Value</t>
  </si>
  <si>
    <t xml:space="preserve">Total Coldroom Manpower</t>
  </si>
  <si>
    <t xml:space="preserve">Available Hour In Regular Time (Hours)/ day</t>
  </si>
  <si>
    <t xml:space="preserve">Available Hour In Overtime (Hours)/day</t>
  </si>
  <si>
    <t xml:space="preserve">refer below by sku</t>
  </si>
  <si>
    <t xml:space="preserve">Availablity Ratio</t>
  </si>
  <si>
    <t xml:space="preserve">Shelf Life , days</t>
  </si>
  <si>
    <t xml:space="preserve">Days</t>
  </si>
  <si>
    <t xml:space="preserve">By load and size --&gt;get number of birds</t>
  </si>
  <si>
    <t xml:space="preserve">manpower avaialble</t>
  </si>
  <si>
    <t xml:space="preserve">SKU 1 </t>
  </si>
  <si>
    <t xml:space="preserve">SKU2 </t>
  </si>
  <si>
    <t xml:space="preserve">Labour Cost (RM/kg)</t>
  </si>
  <si>
    <t xml:space="preserve">Product Group</t>
  </si>
  <si>
    <t xml:space="preserve">Suitable Size</t>
  </si>
  <si>
    <t xml:space="preserve">Breast</t>
  </si>
  <si>
    <t xml:space="preserve">2 joint wing</t>
  </si>
  <si>
    <t xml:space="preserve">3 joint wing</t>
  </si>
  <si>
    <t xml:space="preserve">Boneless breast</t>
  </si>
  <si>
    <t xml:space="preserve">Boneless butterfly breast</t>
  </si>
  <si>
    <t xml:space="preserve">Boneless leg</t>
  </si>
  <si>
    <t xml:space="preserve">Boneless skinless drumstick</t>
  </si>
  <si>
    <t xml:space="preserve">Boneless skinless leg</t>
  </si>
  <si>
    <t xml:space="preserve">Boneless skinless leg satay</t>
  </si>
  <si>
    <t xml:space="preserve">Boneless skinless thigh</t>
  </si>
  <si>
    <t xml:space="preserve">Boneless thigh</t>
  </si>
  <si>
    <t xml:space="preserve">Chop</t>
  </si>
  <si>
    <t xml:space="preserve">Drummet</t>
  </si>
  <si>
    <t xml:space="preserve">Drumstick JC</t>
  </si>
  <si>
    <t xml:space="preserve">Fillet A</t>
  </si>
  <si>
    <t xml:space="preserve">Fillet meat</t>
  </si>
  <si>
    <t xml:space="preserve">Fillet satay</t>
  </si>
  <si>
    <t xml:space="preserve">Fillet wot</t>
  </si>
  <si>
    <t xml:space="preserve">Mid joint wing</t>
  </si>
  <si>
    <t xml:space="preserve">Skinnless boneless breast</t>
  </si>
  <si>
    <t xml:space="preserve">Skinnless boneless butterfly breast</t>
  </si>
  <si>
    <t xml:space="preserve">Bird Type </t>
  </si>
  <si>
    <t xml:space="preserve">Cost( per Bird)</t>
  </si>
  <si>
    <t xml:space="preserve">S</t>
  </si>
  <si>
    <t xml:space="preserve">XL</t>
  </si>
  <si>
    <t xml:space="preserve">RM/kg</t>
  </si>
  <si>
    <t xml:space="preserve">Fresh SKU</t>
  </si>
  <si>
    <t xml:space="preserve">Frozen SKU</t>
  </si>
  <si>
    <t xml:space="preserve">GSK0MF000K04DF</t>
  </si>
  <si>
    <t xml:space="preserve">SKU</t>
  </si>
  <si>
    <t xml:space="preserve">SKU Description</t>
  </si>
  <si>
    <t xml:space="preserve">Cutting Pattern</t>
  </si>
  <si>
    <t xml:space="preserve">Yield (S)</t>
  </si>
  <si>
    <t xml:space="preserve">Yield (M)</t>
  </si>
  <si>
    <t xml:space="preserve">Yield (ML)</t>
  </si>
  <si>
    <t xml:space="preserve">Yield (L0)</t>
  </si>
  <si>
    <t xml:space="preserve">Yield (L)</t>
  </si>
  <si>
    <t xml:space="preserve">Parts/bird</t>
  </si>
  <si>
    <t xml:space="preserve">BONELESS BREAST</t>
  </si>
  <si>
    <t xml:space="preserve">WIP-BONELESS BREAST</t>
  </si>
  <si>
    <t xml:space="preserve">FP-BREAST TRIM </t>
  </si>
  <si>
    <t xml:space="preserve">BREAST TRIMMING</t>
  </si>
  <si>
    <t xml:space="preserve">FP-BREAST TRIM WING </t>
  </si>
  <si>
    <t xml:space="preserve">S'LESS B'LESS BRS (75-95G)24P</t>
  </si>
  <si>
    <t xml:space="preserve">S'LESS B'LESS BREAST 120-150G</t>
  </si>
  <si>
    <t xml:space="preserve">M-S'LESS B'LESS BREAST (7585G) A&amp;W</t>
  </si>
  <si>
    <t xml:space="preserve">S'LESS B'LESS BREAST</t>
  </si>
  <si>
    <t xml:space="preserve">S'LEES B'LESS BREAST</t>
  </si>
  <si>
    <t xml:space="preserve">FP- S'LESS B'LESS BREAST </t>
  </si>
  <si>
    <t xml:space="preserve">S'LESS BLBRS FILLET (35-40G)</t>
  </si>
  <si>
    <t xml:space="preserve">S'LESS B'LESS BREAST (2 CUT)</t>
  </si>
  <si>
    <t xml:space="preserve">1,2,3</t>
  </si>
  <si>
    <t xml:space="preserve">2,3</t>
  </si>
  <si>
    <t xml:space="preserve">QLEG</t>
  </si>
  <si>
    <t xml:space="preserve">THIGH</t>
  </si>
  <si>
    <t xml:space="preserve">Shelf_Life</t>
  </si>
  <si>
    <t xml:space="preserve">freezing cost</t>
  </si>
  <si>
    <t xml:space="preserve">FFNSNFGCH2X1FF</t>
  </si>
  <si>
    <t xml:space="preserve">FFNSNUGSF2X1FF</t>
  </si>
  <si>
    <t xml:space="preserve">FFNSNUGSF2X1HF</t>
  </si>
  <si>
    <t xml:space="preserve">FFNSNUGSF2X1JF</t>
  </si>
  <si>
    <t xml:space="preserve">FFOMBAL00400DF</t>
  </si>
  <si>
    <t xml:space="preserve">FFOMBAL00800DF</t>
  </si>
  <si>
    <t xml:space="preserve">FFOMBAL00850FF</t>
  </si>
  <si>
    <t xml:space="preserve">FFOMBALL0850FF</t>
  </si>
  <si>
    <t xml:space="preserve">FFOMBUR00600DF</t>
  </si>
  <si>
    <t xml:space="preserve">FFOMBUR00800HF</t>
  </si>
  <si>
    <t xml:space="preserve">FFOMBUR00K01JF</t>
  </si>
  <si>
    <t xml:space="preserve">FFOMML000200FF</t>
  </si>
  <si>
    <t xml:space="preserve">FFOMML000500DF</t>
  </si>
  <si>
    <t xml:space="preserve">FFOMML000K01DF</t>
  </si>
  <si>
    <t xml:space="preserve">FFOMML000P32DF</t>
  </si>
  <si>
    <t xml:space="preserve">FFOMML0HR500DF</t>
  </si>
  <si>
    <t xml:space="preserve">FFOMNGCTEP12CF</t>
  </si>
  <si>
    <t xml:space="preserve">FFOMNUG00105JF</t>
  </si>
  <si>
    <t xml:space="preserve">FFOMNUG00400FF</t>
  </si>
  <si>
    <t xml:space="preserve">FFOMNUG00800DF</t>
  </si>
  <si>
    <t xml:space="preserve">FFOMNUG00800HF</t>
  </si>
  <si>
    <t xml:space="preserve">FFOMNUG00K01JF</t>
  </si>
  <si>
    <t xml:space="preserve">FFOMNUG00K02FF</t>
  </si>
  <si>
    <t xml:space="preserve">FFOMNUG12850FF</t>
  </si>
  <si>
    <t xml:space="preserve">FFOMNUGAJK01CF</t>
  </si>
  <si>
    <t xml:space="preserve">FFOMNUGBM850CF</t>
  </si>
  <si>
    <t xml:space="preserve">FFOMNUGCZ800DF</t>
  </si>
  <si>
    <t xml:space="preserve">FFOMNUGGCP12CF</t>
  </si>
  <si>
    <t xml:space="preserve">FFOMNUGHL400CF</t>
  </si>
  <si>
    <t xml:space="preserve">FFOMNUGHY800HF</t>
  </si>
  <si>
    <t xml:space="preserve">FFOMNUGLZ850CF</t>
  </si>
  <si>
    <t xml:space="preserve">FFOMNUGST800HF</t>
  </si>
  <si>
    <t xml:space="preserve">FFOMNUGSTK01JF</t>
  </si>
  <si>
    <t xml:space="preserve">FFOMNUGTE800DF</t>
  </si>
  <si>
    <t xml:space="preserve">FFOMNUGTE850FF</t>
  </si>
  <si>
    <t xml:space="preserve">FFOMNUGTEK01JF</t>
  </si>
  <si>
    <t xml:space="preserve">FPORBDSCBK02DF</t>
  </si>
  <si>
    <t xml:space="preserve">FPORBUR00700FF</t>
  </si>
  <si>
    <t xml:space="preserve">FPORCH0EKP10DF</t>
  </si>
  <si>
    <t xml:space="preserve">FPORCH0ORP05DF</t>
  </si>
  <si>
    <t xml:space="preserve">FPORCHI00800DF</t>
  </si>
  <si>
    <t xml:space="preserve">FPORCHI00850FF</t>
  </si>
  <si>
    <t xml:space="preserve">FPORCHI00K16DF</t>
  </si>
  <si>
    <t xml:space="preserve">FPORCHIHT800DF</t>
  </si>
  <si>
    <t xml:space="preserve">FPORCHIHTK16DF</t>
  </si>
  <si>
    <t xml:space="preserve">FPORDLITEK01DF</t>
  </si>
  <si>
    <t xml:space="preserve">FPORDLITEP04DF</t>
  </si>
  <si>
    <t xml:space="preserve">FPORDT000800DF</t>
  </si>
  <si>
    <t xml:space="preserve">FPORDT0HS800DF</t>
  </si>
  <si>
    <t xml:space="preserve">FPORFILCBK02DF</t>
  </si>
  <si>
    <t xml:space="preserve">FPORFIN00400DF</t>
  </si>
  <si>
    <t xml:space="preserve">FPORKATSUP06DF</t>
  </si>
  <si>
    <t xml:space="preserve">FPORKATSUP10DF</t>
  </si>
  <si>
    <t xml:space="preserve">FPORPCORN400FF</t>
  </si>
  <si>
    <t xml:space="preserve">FPORSATAYP10DF</t>
  </si>
  <si>
    <t xml:space="preserve">FPORSATAYP12DF</t>
  </si>
  <si>
    <t xml:space="preserve">FPORTBSHRK01DF</t>
  </si>
  <si>
    <t xml:space="preserve">FPORTL000400FF</t>
  </si>
  <si>
    <t xml:space="preserve">FPORWG0HS850FF</t>
  </si>
  <si>
    <t xml:space="preserve">FSGECKT00800DF</t>
  </si>
  <si>
    <t xml:space="preserve">FSGECKT00850FF</t>
  </si>
  <si>
    <t xml:space="preserve">FSGESFR00270HF</t>
  </si>
  <si>
    <t xml:space="preserve">FSGESFR00270JF</t>
  </si>
  <si>
    <t xml:space="preserve">FSGESFR00300DF</t>
  </si>
  <si>
    <t xml:space="preserve">FSGESFR00300JF</t>
  </si>
  <si>
    <t xml:space="preserve">FSGESFR00800DF</t>
  </si>
  <si>
    <t xml:space="preserve">FSGESFR00P05FF</t>
  </si>
  <si>
    <t xml:space="preserve">FSGESFR00P11FF</t>
  </si>
  <si>
    <t xml:space="preserve">FSGESFR00P12DF</t>
  </si>
  <si>
    <t xml:space="preserve">FSGESFR00P22FF</t>
  </si>
  <si>
    <t xml:space="preserve">FSGESFR00P30JF</t>
  </si>
  <si>
    <t xml:space="preserve">FSGESFRBM300CF</t>
  </si>
  <si>
    <t xml:space="preserve">FSGESFRCZ270FF</t>
  </si>
  <si>
    <t xml:space="preserve">FSGESFRCZ300FF</t>
  </si>
  <si>
    <t xml:space="preserve">FSGESFRCZ300JF</t>
  </si>
  <si>
    <t xml:space="preserve">FSGESFRCZ800DF</t>
  </si>
  <si>
    <t xml:space="preserve">FSGESFRCZP06DF</t>
  </si>
  <si>
    <t xml:space="preserve">FSGESFRCZP12DF</t>
  </si>
  <si>
    <t xml:space="preserve">FSGESFRCZP20FF</t>
  </si>
  <si>
    <t xml:space="preserve">FSGESFRGCP32CF</t>
  </si>
  <si>
    <t xml:space="preserve">FSGESFRHLP11CF</t>
  </si>
  <si>
    <t xml:space="preserve">FSGESFRHRP12DF</t>
  </si>
  <si>
    <t xml:space="preserve">FSGESFRHY270FF</t>
  </si>
  <si>
    <t xml:space="preserve">FSGESFRHY270HF</t>
  </si>
  <si>
    <t xml:space="preserve">FSGESFRHY300FF</t>
  </si>
  <si>
    <t xml:space="preserve">FSGESFRHYP20FF</t>
  </si>
  <si>
    <t xml:space="preserve">FSGESGCCZP32CF</t>
  </si>
  <si>
    <t xml:space="preserve">FSGESGCHYP32CF</t>
  </si>
  <si>
    <t xml:space="preserve">MCONBS000K02DC</t>
  </si>
  <si>
    <t xml:space="preserve">MCONCS000K02DC</t>
  </si>
  <si>
    <t xml:space="preserve">MCONSS000100DC</t>
  </si>
  <si>
    <t xml:space="preserve">MPOR3JWHSK01DC</t>
  </si>
  <si>
    <t xml:space="preserve">MPOR3JWHSRETDC</t>
  </si>
  <si>
    <t xml:space="preserve">MPOR3JWHYK01DC</t>
  </si>
  <si>
    <t xml:space="preserve">MPOR3JWHYRETDC</t>
  </si>
  <si>
    <t xml:space="preserve">MPOR3JWPKK01DC</t>
  </si>
  <si>
    <t xml:space="preserve">MPOR3JWPKRETDC</t>
  </si>
  <si>
    <t xml:space="preserve">MPORCHKROP10DC</t>
  </si>
  <si>
    <t xml:space="preserve">MPORQLSBPP10DF</t>
  </si>
  <si>
    <t xml:space="preserve">MPORQLSORP10DC</t>
  </si>
  <si>
    <t xml:space="preserve">MPORWHSM1P02DC</t>
  </si>
  <si>
    <t xml:space="preserve">BBBRF0000K02PF</t>
  </si>
  <si>
    <t xml:space="preserve">BLG0FTRIMK05DC</t>
  </si>
  <si>
    <t xml:space="preserve">BLG0FTRIMK05DF</t>
  </si>
  <si>
    <t xml:space="preserve">GCTGF0000K12DC</t>
  </si>
  <si>
    <t xml:space="preserve">GFATF0000K05DC</t>
  </si>
  <si>
    <t xml:space="preserve">GFT0BDOT0K06DF</t>
  </si>
  <si>
    <t xml:space="preserve">GSK0F0000K05DC</t>
  </si>
  <si>
    <t xml:space="preserve">GSK0F0000K05DF</t>
  </si>
  <si>
    <t xml:space="preserve">GSK0MF000K02DF</t>
  </si>
  <si>
    <t xml:space="preserve">GSK0MF000K05DC</t>
  </si>
  <si>
    <t xml:space="preserve">GSKTF0000K05DC</t>
  </si>
  <si>
    <t xml:space="preserve">GSKTF0000K05DF</t>
  </si>
  <si>
    <t xml:space="preserve">SBH0F000HP05DC</t>
  </si>
  <si>
    <t xml:space="preserve">SBH0F000HP05DF</t>
  </si>
  <si>
    <t xml:space="preserve">WJ03BP000P08DC</t>
  </si>
  <si>
    <t xml:space="preserve">WJ03BP000P08DF</t>
  </si>
  <si>
    <t xml:space="preserve">WNCB3P000P03DC</t>
  </si>
  <si>
    <t xml:space="preserve">WNCB3P000P03DF</t>
  </si>
  <si>
    <t xml:space="preserve">Marination Yield (%)</t>
  </si>
  <si>
    <t xml:space="preserve">item_code</t>
  </si>
  <si>
    <t xml:space="preserve">cutting_pattern</t>
  </si>
  <si>
    <t xml:space="preserve">carcasses</t>
  </si>
  <si>
    <t xml:space="preserve">yld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</si>
</sst>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#,##0"/>
    <numFmt numFmtId="166" formatCode="_(* #,##0.00_);_(* \(#,##0.00\);_(* \-??_);_(@_)"/>
    <numFmt numFmtId="167" formatCode="_(* #,##0_);_(* \(#,##0\);_(* \-??_);_(@_)"/>
    <numFmt numFmtId="168" formatCode="[$RM-4409]* #,##0.00\ ;[$RM-4409]* \(#,##0.00\);[$RM-4409]* \-#\ ;@\ "/>
    <numFmt numFmtId="169" formatCode="_([$RM-4409]* #,##0.000_);_([$RM-4409]* \(#,##0.000\);_([$RM-4409]* \-??_);_(@_)"/>
    <numFmt numFmtId="170" formatCode="_([$RM-4409]* #,##0.00_);_([$RM-4409]* \(#,##0.00\);_([$RM-4409]* \-??_);_(@_)"/>
    <numFmt numFmtId="171" formatCode="0.00000"/>
    <numFmt numFmtId="172" formatCode="0.00"/>
    <numFmt numFmtId="173" formatCode="0%"/>
    <numFmt numFmtId="174" formatCode="0.00%"/>
    <numFmt numFmtId="175" formatCode="0"/>
    <numFmt numFmtId="176" formatCode="_-* #,##0_-;\-* #,##0_-;_-* \-??_-;_-@_-"/>
    <numFmt numFmtId="177" formatCode="DD/MMM"/>
    <numFmt numFmtId="178" formatCode="0.0%"/>
    <numFmt numFmtId="179" formatCode="0.000"/>
  </numFmts>
  <fonts count="2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0"/>
      <name val="Verdana"/>
      <family val="2"/>
      <charset val="1"/>
    </font>
    <font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2"/>
      <charset val="1"/>
    </font>
    <font>
      <sz val="11"/>
      <color rgb="FFFF0000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CC33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>
        <color rgb="FFABABAB"/>
      </left>
      <right style="thin">
        <color rgb="FFABABAB"/>
      </right>
      <top style="thin">
        <color rgb="FFABABAB"/>
      </top>
      <bottom/>
      <diagonal/>
    </border>
    <border diagonalUp="false" diagonalDown="false">
      <left style="thin">
        <color rgb="FFABABAB"/>
      </left>
      <right/>
      <top/>
      <bottom/>
      <diagonal/>
    </border>
    <border diagonalUp="false" diagonalDown="false">
      <left style="thin">
        <color rgb="FFABABAB"/>
      </left>
      <right style="thin">
        <color rgb="FFABABAB"/>
      </right>
      <top/>
      <bottom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/>
      <diagonal/>
    </border>
    <border diagonalUp="false" diagonalDown="false"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  <border diagonalUp="false" diagonalDown="false"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8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3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7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7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6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1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72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2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3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6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6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3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9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9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4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  <cellStyle name="Excel Built-in Explanatory Text" xfId="21" builtinId="53" customBuiltin="true"/>
  </cellStyles>
  <colors>
    <indexedColors>
      <rgbColor rgb="FF000000"/>
      <rgbColor rgb="FFFFFFFF"/>
      <rgbColor rgb="FFFF0000"/>
      <rgbColor rgb="FF00CC33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9C3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externalLink" Target="externalLinks/externalLink1.xml"/><Relationship Id="rId3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12</xdr:col>
      <xdr:colOff>379800</xdr:colOff>
      <xdr:row>49</xdr:row>
      <xdr:rowOff>189000</xdr:rowOff>
    </xdr:to>
    <xdr:sp>
      <xdr:nvSpPr>
        <xdr:cNvPr id="0" name="CustomShape 1" hidden="1"/>
        <xdr:cNvSpPr/>
      </xdr:nvSpPr>
      <xdr:spPr>
        <a:xfrm>
          <a:off x="0" y="0"/>
          <a:ext cx="11582280" cy="95234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379800</xdr:colOff>
      <xdr:row>49</xdr:row>
      <xdr:rowOff>189000</xdr:rowOff>
    </xdr:to>
    <xdr:sp>
      <xdr:nvSpPr>
        <xdr:cNvPr id="1" name="CustomShape 1" hidden="1"/>
        <xdr:cNvSpPr/>
      </xdr:nvSpPr>
      <xdr:spPr>
        <a:xfrm>
          <a:off x="0" y="0"/>
          <a:ext cx="11582280" cy="95234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65520</xdr:colOff>
      <xdr:row>49</xdr:row>
      <xdr:rowOff>189360</xdr:rowOff>
    </xdr:to>
    <xdr:sp>
      <xdr:nvSpPr>
        <xdr:cNvPr id="2" name="CustomShape 1" hidden="1"/>
        <xdr:cNvSpPr/>
      </xdr:nvSpPr>
      <xdr:spPr>
        <a:xfrm>
          <a:off x="0" y="0"/>
          <a:ext cx="7657920" cy="952380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65520</xdr:colOff>
      <xdr:row>49</xdr:row>
      <xdr:rowOff>189360</xdr:rowOff>
    </xdr:to>
    <xdr:sp>
      <xdr:nvSpPr>
        <xdr:cNvPr id="3" name="CustomShape 1" hidden="1"/>
        <xdr:cNvSpPr/>
      </xdr:nvSpPr>
      <xdr:spPr>
        <a:xfrm>
          <a:off x="0" y="0"/>
          <a:ext cx="7657920" cy="952380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10</xdr:col>
      <xdr:colOff>7920</xdr:colOff>
      <xdr:row>49</xdr:row>
      <xdr:rowOff>189000</xdr:rowOff>
    </xdr:to>
    <xdr:sp>
      <xdr:nvSpPr>
        <xdr:cNvPr id="4" name="CustomShape 1" hidden="1"/>
        <xdr:cNvSpPr/>
      </xdr:nvSpPr>
      <xdr:spPr>
        <a:xfrm>
          <a:off x="0" y="0"/>
          <a:ext cx="11703240" cy="952344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332280</xdr:colOff>
      <xdr:row>49</xdr:row>
      <xdr:rowOff>189360</xdr:rowOff>
    </xdr:to>
    <xdr:sp>
      <xdr:nvSpPr>
        <xdr:cNvPr id="5" name="CustomShape 1" hidden="1"/>
        <xdr:cNvSpPr/>
      </xdr:nvSpPr>
      <xdr:spPr>
        <a:xfrm>
          <a:off x="0" y="0"/>
          <a:ext cx="12027600" cy="952380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9</xdr:col>
      <xdr:colOff>118080</xdr:colOff>
      <xdr:row>49</xdr:row>
      <xdr:rowOff>175320</xdr:rowOff>
    </xdr:to>
    <xdr:sp>
      <xdr:nvSpPr>
        <xdr:cNvPr id="6" name="CustomShape 1" hidden="1"/>
        <xdr:cNvSpPr/>
      </xdr:nvSpPr>
      <xdr:spPr>
        <a:xfrm>
          <a:off x="0" y="0"/>
          <a:ext cx="8445240" cy="95097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29</xdr:col>
      <xdr:colOff>11880</xdr:colOff>
      <xdr:row>899</xdr:row>
      <xdr:rowOff>190800</xdr:rowOff>
    </xdr:to>
    <xdr:sp>
      <xdr:nvSpPr>
        <xdr:cNvPr id="7" name="CustomShape 1" hidden="1"/>
        <xdr:cNvSpPr/>
      </xdr:nvSpPr>
      <xdr:spPr>
        <a:xfrm>
          <a:off x="0" y="0"/>
          <a:ext cx="25098120" cy="94488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29</xdr:col>
      <xdr:colOff>11880</xdr:colOff>
      <xdr:row>0</xdr:row>
      <xdr:rowOff>189360</xdr:rowOff>
    </xdr:to>
    <xdr:sp>
      <xdr:nvSpPr>
        <xdr:cNvPr id="8" name="CustomShape 1" hidden="1"/>
        <xdr:cNvSpPr/>
      </xdr:nvSpPr>
      <xdr:spPr>
        <a:xfrm>
          <a:off x="0" y="0"/>
          <a:ext cx="25098120" cy="18936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Downloads/temp_projects/SNO/Final%20Data/Model_Input%20080118rev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formation"/>
      <sheetName val="Demand_Fresh"/>
      <sheetName val="Demand_Frozen"/>
      <sheetName val="Selling_Price_Fresh"/>
      <sheetName val="Selling_Price_Frozen"/>
      <sheetName val="Penalty_Fresh"/>
      <sheetName val="Penalty_Frozen"/>
      <sheetName val="Holding_Cost_Fresh"/>
      <sheetName val="Holding_Cost_Frozen"/>
      <sheetName val="Operational_Cost"/>
      <sheetName val="Operation_Time"/>
      <sheetName val="Operational_Cost_Overtime"/>
      <sheetName val="Cutting_Pattern"/>
      <sheetName val="Yield"/>
      <sheetName val="Item_Product_Group_Map"/>
      <sheetName val="Available_Hour_Regular"/>
      <sheetName val="Bird_Type_Ratio"/>
      <sheetName val="Common_Data"/>
      <sheetName val="Availability"/>
      <sheetName val="Available_Hour_Overtime"/>
      <sheetName val="Initial_Inventory"/>
      <sheetName val="SKU Conversion"/>
      <sheetName val="Product_Group_Yield"/>
      <sheetName val="Raw_Material"/>
      <sheetName val="Fresh_Frozen_Relation"/>
    </sheetNames>
    <sheetDataSet>
      <sheetData sheetId="0"/>
      <sheetData sheetId="1"/>
      <sheetData sheetId="2"/>
      <sheetData sheetId="3">
        <row r="65">
          <cell r="B65" t="str">
            <v>ROAST WHOLE CHIC B.PEPPER M1</v>
          </cell>
        </row>
        <row r="66">
          <cell r="B66" t="str">
            <v>ROAST WHOLE CHICKEN HONEY M1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1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comments" Target="../comments11.xml"/><Relationship Id="rId2" Type="http://schemas.openxmlformats.org/officeDocument/2006/relationships/drawing" Target="../drawings/drawing9.xml"/><Relationship Id="rId3" Type="http://schemas.openxmlformats.org/officeDocument/2006/relationships/vmlDrawing" Target="../drawings/vmlDrawing2.v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26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_rels/sheet28.xml.rels><?xml version="1.0" encoding="UTF-8"?>
<Relationships xmlns="http://schemas.openxmlformats.org/package/2006/relationships"><Relationship Id="rId1" Type="http://schemas.openxmlformats.org/officeDocument/2006/relationships/comments" Target="../comments28.xml"/><Relationship Id="rId2" Type="http://schemas.openxmlformats.org/officeDocument/2006/relationships/drawing" Target="../drawings/drawing17.xml"/><Relationship Id="rId3" Type="http://schemas.openxmlformats.org/officeDocument/2006/relationships/vmlDrawing" Target="../drawings/vmlDrawing3.v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1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4" activeCellId="0" sqref="C4"/>
    </sheetView>
  </sheetViews>
  <sheetFormatPr defaultRowHeight="15"/>
  <cols>
    <col collapsed="false" hidden="false" max="1" min="1" style="1" width="3.52226720647773"/>
    <col collapsed="false" hidden="false" max="2" min="2" style="1" width="19.8866396761134"/>
    <col collapsed="false" hidden="false" max="3" min="3" style="2" width="31.5303643724696"/>
    <col collapsed="false" hidden="true" max="6" min="4" style="2" width="0"/>
    <col collapsed="false" hidden="true" max="7" min="7" style="3" width="0"/>
    <col collapsed="false" hidden="false" max="8" min="8" style="4" width="22.5951417004049"/>
    <col collapsed="false" hidden="false" max="9" min="9" style="4" width="35.4493927125506"/>
    <col collapsed="false" hidden="false" max="1025" min="10" style="0" width="8.12145748987854"/>
  </cols>
  <sheetData>
    <row r="1" customFormat="false" ht="60" hidden="false" customHeight="false" outlineLevel="0" collapsed="false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customFormat="false" ht="46.5" hidden="false" customHeight="true" outlineLevel="1" collapsed="false">
      <c r="A2" s="8" t="n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customFormat="false" ht="53.25" hidden="false" customHeight="true" outlineLevel="1" collapsed="false">
      <c r="A3" s="8" t="n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customFormat="false" ht="132" hidden="false" customHeight="false" outlineLevel="1" collapsed="false">
      <c r="A4" s="8" t="n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customFormat="false" ht="132" hidden="false" customHeight="false" outlineLevel="1" collapsed="false">
      <c r="A5" s="8" t="n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customFormat="false" ht="132" hidden="false" customHeight="false" outlineLevel="1" collapsed="false">
      <c r="A6" s="8" t="n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customFormat="false" ht="132" hidden="false" customHeight="false" outlineLevel="1" collapsed="false">
      <c r="A7" s="8" t="n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customFormat="false" ht="24" hidden="false" customHeight="false" outlineLevel="1" collapsed="false">
      <c r="A8" s="8" t="n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customFormat="false" ht="36" hidden="false" customHeight="false" outlineLevel="1" collapsed="false">
      <c r="A9" s="8" t="n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customFormat="false" ht="36" hidden="false" customHeight="false" outlineLevel="1" collapsed="false">
      <c r="A10" s="8" t="n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customFormat="false" ht="96" hidden="false" customHeight="false" outlineLevel="0" collapsed="false">
      <c r="A11" s="8" t="n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customFormat="false" ht="96" hidden="false" customHeight="false" outlineLevel="0" collapsed="false">
      <c r="A12" s="8" t="n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customFormat="false" ht="96" hidden="false" customHeight="false" outlineLevel="0" collapsed="false">
      <c r="A13" s="8" t="n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customFormat="false" ht="60" hidden="false" customHeight="false" outlineLevel="0" collapsed="false">
      <c r="A14" s="8" t="n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customFormat="false" ht="24" hidden="false" customHeight="false" outlineLevel="0" collapsed="false">
      <c r="A15" s="8" t="n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customFormat="false" ht="15" hidden="false" customHeight="false" outlineLevel="0" collapsed="false">
      <c r="A16" s="8" t="n">
        <v>15</v>
      </c>
      <c r="B16" s="8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customFormat="false" ht="15" hidden="false" customHeight="false" outlineLevel="0" collapsed="false">
      <c r="A17" s="8"/>
      <c r="B17" s="8"/>
      <c r="C17" s="9" t="s">
        <v>69</v>
      </c>
      <c r="D17" s="9" t="s">
        <v>68</v>
      </c>
      <c r="E17" s="9"/>
      <c r="F17" s="9"/>
      <c r="G17" s="10"/>
      <c r="H17" s="11"/>
      <c r="I17" s="11"/>
    </row>
    <row r="18" customFormat="false" ht="180" hidden="false" customHeight="false" outlineLevel="0" collapsed="false">
      <c r="A18" s="8"/>
      <c r="B18" s="8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customFormat="false" ht="180" hidden="false" customHeight="false" outlineLevel="0" collapsed="false">
      <c r="A19" s="8"/>
      <c r="B19" s="8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customFormat="false" ht="15" hidden="false" customHeight="false" outlineLevel="0" collapsed="false">
      <c r="A20" s="8"/>
      <c r="B20" s="8"/>
      <c r="C20" s="9" t="s">
        <v>75</v>
      </c>
      <c r="D20" s="9" t="s">
        <v>68</v>
      </c>
      <c r="E20" s="9"/>
      <c r="F20" s="9"/>
      <c r="G20" s="10"/>
      <c r="H20" s="11"/>
      <c r="I20" s="11"/>
    </row>
    <row r="21" customFormat="false" ht="15" hidden="false" customHeight="false" outlineLevel="0" collapsed="false">
      <c r="A21" s="8"/>
      <c r="B21" s="8"/>
      <c r="C21" s="9" t="s">
        <v>76</v>
      </c>
      <c r="D21" s="9" t="s">
        <v>68</v>
      </c>
      <c r="E21" s="9"/>
      <c r="F21" s="9"/>
      <c r="G21" s="10"/>
      <c r="H21" s="11"/>
      <c r="I21" s="11"/>
    </row>
    <row r="22" customFormat="false" ht="15" hidden="false" customHeight="false" outlineLevel="0" collapsed="false">
      <c r="A22" s="8"/>
      <c r="B22" s="8"/>
      <c r="C22" s="9" t="s">
        <v>77</v>
      </c>
      <c r="D22" s="9" t="s">
        <v>68</v>
      </c>
      <c r="E22" s="9"/>
      <c r="F22" s="9"/>
      <c r="G22" s="10"/>
      <c r="H22" s="11"/>
      <c r="I22" s="11"/>
    </row>
    <row r="23" customFormat="false" ht="156" hidden="false" customHeight="false" outlineLevel="0" collapsed="false">
      <c r="A23" s="8"/>
      <c r="B23" s="8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customFormat="false" ht="132" hidden="false" customHeight="false" outlineLevel="0" collapsed="false">
      <c r="A24" s="8"/>
      <c r="B24" s="8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customFormat="false" ht="120" hidden="false" customHeight="false" outlineLevel="0" collapsed="false">
      <c r="A25" s="8" t="n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customFormat="false" ht="96" hidden="false" customHeight="false" outlineLevel="0" collapsed="false">
      <c r="A26" s="8" t="n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customFormat="false" ht="60" hidden="false" customHeight="false" outlineLevel="0" collapsed="false">
      <c r="A27" s="16" t="n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customFormat="false" ht="72" hidden="false" customHeight="false" outlineLevel="0" collapsed="false">
      <c r="A28" s="8" t="n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customFormat="false" ht="48" hidden="false" customHeight="false" outlineLevel="0" collapsed="false">
      <c r="A29" s="8" t="n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customFormat="false" ht="15" hidden="false" customHeight="false" outlineLevel="0" collapsed="false">
      <c r="A30" s="21"/>
      <c r="B30" s="21"/>
      <c r="C30" s="22"/>
      <c r="D30" s="22"/>
      <c r="E30" s="22"/>
      <c r="F30" s="22"/>
      <c r="G30" s="23"/>
    </row>
    <row r="31" customFormat="false" ht="48.75" hidden="false" customHeight="false" outlineLevel="0" collapsed="false">
      <c r="A31" s="21"/>
      <c r="B31" s="21"/>
      <c r="C31" s="22"/>
      <c r="D31" s="22"/>
      <c r="E31" s="22"/>
      <c r="F31" s="22"/>
      <c r="G31" s="24" t="s">
        <v>115</v>
      </c>
    </row>
    <row r="32" customFormat="false" ht="168.75" hidden="false" customHeight="false" outlineLevel="0" collapsed="false">
      <c r="A32" s="21"/>
      <c r="B32" s="21"/>
      <c r="C32" s="22"/>
      <c r="D32" s="22"/>
      <c r="E32" s="22"/>
      <c r="F32" s="22"/>
      <c r="G32" s="25" t="s">
        <v>116</v>
      </c>
    </row>
    <row r="33" customFormat="false" ht="36.75" hidden="false" customHeight="false" outlineLevel="0" collapsed="false">
      <c r="A33" s="21"/>
      <c r="B33" s="21"/>
      <c r="C33" s="22"/>
      <c r="D33" s="22"/>
      <c r="E33" s="22"/>
      <c r="F33" s="22"/>
      <c r="G33" s="25" t="s">
        <v>117</v>
      </c>
    </row>
    <row r="34" customFormat="false" ht="132.75" hidden="false" customHeight="false" outlineLevel="0" collapsed="false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69"/>
  <sheetViews>
    <sheetView windowProtection="false" showFormulas="false" showGridLines="true" showRowColHeaders="true" showZeros="true" rightToLeft="false" tabSelected="false" showOutlineSymbols="true" defaultGridColor="true" view="normal" topLeftCell="A79" colorId="64" zoomScale="100" zoomScaleNormal="100" zoomScalePageLayoutView="100" workbookViewId="0">
      <selection pane="topLeft" activeCell="C22" activeCellId="0" sqref="C22"/>
    </sheetView>
  </sheetViews>
  <sheetFormatPr defaultRowHeight="15"/>
  <cols>
    <col collapsed="false" hidden="false" max="1" min="1" style="0" width="19.0728744939271"/>
    <col collapsed="false" hidden="false" max="5" min="2" style="0" width="8.25506072874494"/>
    <col collapsed="false" hidden="false" max="6" min="6" style="0" width="6.09311740890688"/>
    <col collapsed="false" hidden="false" max="1025" min="7" style="0" width="8.12145748987854"/>
  </cols>
  <sheetData>
    <row r="1" customFormat="false" ht="15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F1" s="27"/>
      <c r="G1" s="27"/>
      <c r="H1" s="27"/>
      <c r="I1" s="28"/>
      <c r="J1" s="28"/>
      <c r="K1" s="28"/>
      <c r="N1" s="29"/>
    </row>
    <row r="2" customFormat="false" ht="13.8" hidden="false" customHeight="false" outlineLevel="0" collapsed="false">
      <c r="A2" s="30" t="s">
        <v>120</v>
      </c>
      <c r="B2" s="31" t="n">
        <v>0</v>
      </c>
      <c r="C2" s="31" t="n">
        <v>0</v>
      </c>
      <c r="D2" s="31" t="n">
        <v>0</v>
      </c>
      <c r="E2" s="31" t="n">
        <v>0</v>
      </c>
      <c r="I2" s="32"/>
      <c r="J2" s="32"/>
      <c r="K2" s="30"/>
      <c r="L2" s="31"/>
    </row>
    <row r="3" customFormat="false" ht="13.8" hidden="false" customHeight="false" outlineLevel="0" collapsed="false">
      <c r="A3" s="30" t="s">
        <v>121</v>
      </c>
      <c r="B3" s="31" t="n">
        <v>0</v>
      </c>
      <c r="C3" s="31" t="n">
        <v>0</v>
      </c>
      <c r="D3" s="31" t="n">
        <v>0</v>
      </c>
      <c r="E3" s="31" t="n">
        <v>0</v>
      </c>
      <c r="I3" s="32"/>
      <c r="J3" s="32"/>
      <c r="K3" s="33"/>
      <c r="L3" s="34"/>
    </row>
    <row r="4" customFormat="false" ht="13.8" hidden="false" customHeight="false" outlineLevel="0" collapsed="false">
      <c r="A4" s="30" t="s">
        <v>122</v>
      </c>
      <c r="B4" s="31" t="n">
        <v>0</v>
      </c>
      <c r="C4" s="31" t="n">
        <v>0</v>
      </c>
      <c r="D4" s="31" t="n">
        <v>0</v>
      </c>
      <c r="E4" s="31" t="n">
        <v>0</v>
      </c>
      <c r="I4" s="32"/>
      <c r="J4" s="32"/>
      <c r="K4" s="33"/>
      <c r="L4" s="34"/>
    </row>
    <row r="5" customFormat="false" ht="13.8" hidden="false" customHeight="false" outlineLevel="0" collapsed="false">
      <c r="A5" s="30" t="s">
        <v>123</v>
      </c>
      <c r="B5" s="31" t="n">
        <v>0</v>
      </c>
      <c r="C5" s="31" t="n">
        <v>0</v>
      </c>
      <c r="D5" s="31" t="n">
        <v>0</v>
      </c>
      <c r="E5" s="31" t="n">
        <v>0</v>
      </c>
      <c r="I5" s="32"/>
      <c r="J5" s="32"/>
      <c r="K5" s="33"/>
      <c r="L5" s="34"/>
    </row>
    <row r="6" customFormat="false" ht="13.8" hidden="false" customHeight="false" outlineLevel="0" collapsed="false">
      <c r="A6" s="30" t="s">
        <v>124</v>
      </c>
      <c r="B6" s="31" t="n">
        <v>0</v>
      </c>
      <c r="C6" s="31" t="n">
        <v>0</v>
      </c>
      <c r="D6" s="31" t="n">
        <v>0</v>
      </c>
      <c r="E6" s="31" t="n">
        <v>0</v>
      </c>
      <c r="I6" s="35"/>
      <c r="J6" s="35"/>
      <c r="K6" s="33"/>
      <c r="L6" s="34"/>
    </row>
    <row r="7" customFormat="false" ht="13.8" hidden="false" customHeight="false" outlineLevel="0" collapsed="false">
      <c r="A7" s="30" t="s">
        <v>125</v>
      </c>
      <c r="B7" s="31" t="n">
        <v>0</v>
      </c>
      <c r="C7" s="31" t="n">
        <v>0</v>
      </c>
      <c r="D7" s="31" t="n">
        <v>0</v>
      </c>
      <c r="E7" s="31" t="n">
        <v>0</v>
      </c>
      <c r="K7" s="33"/>
      <c r="L7" s="34"/>
    </row>
    <row r="8" customFormat="false" ht="13.8" hidden="false" customHeight="false" outlineLevel="0" collapsed="false">
      <c r="A8" s="30" t="s">
        <v>126</v>
      </c>
      <c r="B8" s="31" t="n">
        <v>0</v>
      </c>
      <c r="C8" s="31" t="n">
        <v>0</v>
      </c>
      <c r="D8" s="31" t="n">
        <v>0</v>
      </c>
      <c r="E8" s="31" t="n">
        <v>0</v>
      </c>
      <c r="K8" s="33"/>
      <c r="L8" s="34"/>
    </row>
    <row r="9" customFormat="false" ht="13.8" hidden="false" customHeight="false" outlineLevel="0" collapsed="false">
      <c r="A9" s="30" t="s">
        <v>127</v>
      </c>
      <c r="B9" s="31" t="n">
        <v>0</v>
      </c>
      <c r="C9" s="31" t="n">
        <v>0</v>
      </c>
      <c r="D9" s="31" t="n">
        <v>0</v>
      </c>
      <c r="E9" s="31" t="n">
        <v>0</v>
      </c>
      <c r="K9" s="33"/>
      <c r="L9" s="34"/>
    </row>
    <row r="10" customFormat="false" ht="13.8" hidden="false" customHeight="false" outlineLevel="0" collapsed="false">
      <c r="A10" s="30" t="s">
        <v>128</v>
      </c>
      <c r="B10" s="31" t="n">
        <v>0</v>
      </c>
      <c r="C10" s="31" t="n">
        <v>0</v>
      </c>
      <c r="D10" s="31" t="n">
        <v>0</v>
      </c>
      <c r="E10" s="31" t="n">
        <v>0</v>
      </c>
      <c r="K10" s="33"/>
      <c r="L10" s="34"/>
    </row>
    <row r="11" customFormat="false" ht="13.8" hidden="false" customHeight="false" outlineLevel="0" collapsed="false">
      <c r="A11" s="30" t="s">
        <v>129</v>
      </c>
      <c r="B11" s="31" t="n">
        <v>0</v>
      </c>
      <c r="C11" s="31" t="n">
        <v>0</v>
      </c>
      <c r="D11" s="31" t="n">
        <v>0</v>
      </c>
      <c r="E11" s="31" t="n">
        <v>0</v>
      </c>
      <c r="K11" s="33"/>
      <c r="L11" s="34"/>
    </row>
    <row r="12" customFormat="false" ht="13.8" hidden="false" customHeight="false" outlineLevel="0" collapsed="false">
      <c r="A12" s="30" t="s">
        <v>130</v>
      </c>
      <c r="B12" s="31" t="n">
        <v>0</v>
      </c>
      <c r="C12" s="31" t="n">
        <v>0</v>
      </c>
      <c r="D12" s="31" t="n">
        <v>0</v>
      </c>
      <c r="E12" s="31" t="n">
        <v>0</v>
      </c>
      <c r="K12" s="33"/>
      <c r="L12" s="34"/>
    </row>
    <row r="13" customFormat="false" ht="13.8" hidden="false" customHeight="false" outlineLevel="0" collapsed="false">
      <c r="A13" s="30" t="s">
        <v>131</v>
      </c>
      <c r="B13" s="31" t="n">
        <v>0</v>
      </c>
      <c r="C13" s="31" t="n">
        <v>0</v>
      </c>
      <c r="D13" s="31" t="n">
        <v>0</v>
      </c>
      <c r="E13" s="31" t="n">
        <v>0</v>
      </c>
      <c r="K13" s="33"/>
      <c r="L13" s="34"/>
    </row>
    <row r="14" customFormat="false" ht="13.8" hidden="false" customHeight="false" outlineLevel="0" collapsed="false">
      <c r="A14" s="30" t="s">
        <v>132</v>
      </c>
      <c r="B14" s="31" t="n">
        <v>0</v>
      </c>
      <c r="C14" s="31" t="n">
        <v>0</v>
      </c>
      <c r="D14" s="31" t="n">
        <v>0</v>
      </c>
      <c r="E14" s="31" t="n">
        <v>0</v>
      </c>
      <c r="K14" s="33"/>
      <c r="L14" s="34"/>
    </row>
    <row r="15" customFormat="false" ht="13.8" hidden="false" customHeight="false" outlineLevel="0" collapsed="false">
      <c r="A15" s="30" t="s">
        <v>133</v>
      </c>
      <c r="B15" s="31" t="n">
        <v>0</v>
      </c>
      <c r="C15" s="31" t="n">
        <v>0</v>
      </c>
      <c r="D15" s="31" t="n">
        <v>0</v>
      </c>
      <c r="E15" s="31" t="n">
        <v>0</v>
      </c>
      <c r="K15" s="33"/>
      <c r="L15" s="34"/>
    </row>
    <row r="16" customFormat="false" ht="13.8" hidden="false" customHeight="false" outlineLevel="0" collapsed="false">
      <c r="A16" s="30" t="s">
        <v>134</v>
      </c>
      <c r="B16" s="31" t="n">
        <v>0</v>
      </c>
      <c r="C16" s="31" t="n">
        <v>0</v>
      </c>
      <c r="D16" s="31" t="n">
        <v>0</v>
      </c>
      <c r="E16" s="31" t="n">
        <v>0</v>
      </c>
      <c r="K16" s="33"/>
      <c r="L16" s="34"/>
    </row>
    <row r="17" customFormat="false" ht="13.8" hidden="false" customHeight="false" outlineLevel="0" collapsed="false">
      <c r="A17" s="30" t="s">
        <v>135</v>
      </c>
      <c r="B17" s="31" t="n">
        <v>0</v>
      </c>
      <c r="C17" s="31" t="n">
        <v>0</v>
      </c>
      <c r="D17" s="31" t="n">
        <v>0</v>
      </c>
      <c r="E17" s="31" t="n">
        <v>0</v>
      </c>
      <c r="K17" s="33"/>
      <c r="L17" s="34"/>
    </row>
    <row r="18" customFormat="false" ht="13.8" hidden="false" customHeight="false" outlineLevel="0" collapsed="false">
      <c r="A18" s="30" t="s">
        <v>136</v>
      </c>
      <c r="B18" s="31" t="n">
        <v>0</v>
      </c>
      <c r="C18" s="31" t="n">
        <v>0</v>
      </c>
      <c r="D18" s="31" t="n">
        <v>0</v>
      </c>
      <c r="E18" s="31" t="n">
        <v>0</v>
      </c>
      <c r="K18" s="33"/>
      <c r="L18" s="34"/>
    </row>
    <row r="19" customFormat="false" ht="13.8" hidden="false" customHeight="false" outlineLevel="0" collapsed="false">
      <c r="A19" s="30" t="s">
        <v>137</v>
      </c>
      <c r="B19" s="31" t="n">
        <v>0</v>
      </c>
      <c r="C19" s="31" t="n">
        <v>0</v>
      </c>
      <c r="D19" s="31" t="n">
        <v>0</v>
      </c>
      <c r="E19" s="31" t="n">
        <v>0</v>
      </c>
      <c r="K19" s="33"/>
      <c r="L19" s="34"/>
    </row>
    <row r="20" customFormat="false" ht="13.8" hidden="false" customHeight="false" outlineLevel="0" collapsed="false">
      <c r="A20" s="30" t="s">
        <v>138</v>
      </c>
      <c r="B20" s="31" t="n">
        <v>0</v>
      </c>
      <c r="C20" s="31" t="n">
        <v>0</v>
      </c>
      <c r="D20" s="31" t="n">
        <v>0</v>
      </c>
      <c r="E20" s="31" t="n">
        <v>0</v>
      </c>
      <c r="K20" s="33"/>
      <c r="L20" s="34"/>
    </row>
    <row r="21" customFormat="false" ht="13.8" hidden="false" customHeight="false" outlineLevel="0" collapsed="false">
      <c r="A21" s="30" t="s">
        <v>139</v>
      </c>
      <c r="B21" s="31" t="n">
        <v>0</v>
      </c>
      <c r="C21" s="31" t="n">
        <v>0</v>
      </c>
      <c r="D21" s="31" t="n">
        <v>0</v>
      </c>
      <c r="E21" s="31" t="n">
        <v>0</v>
      </c>
      <c r="K21" s="33"/>
      <c r="L21" s="34"/>
    </row>
    <row r="22" customFormat="false" ht="13.8" hidden="false" customHeight="false" outlineLevel="0" collapsed="false">
      <c r="A22" s="30" t="s">
        <v>140</v>
      </c>
      <c r="B22" s="31" t="n">
        <v>0</v>
      </c>
      <c r="C22" s="31" t="n">
        <v>0</v>
      </c>
      <c r="D22" s="31" t="n">
        <v>0</v>
      </c>
      <c r="E22" s="31" t="n">
        <v>0</v>
      </c>
      <c r="K22" s="33"/>
      <c r="L22" s="34"/>
    </row>
    <row r="23" customFormat="false" ht="13.8" hidden="false" customHeight="false" outlineLevel="0" collapsed="false">
      <c r="A23" s="30" t="s">
        <v>141</v>
      </c>
      <c r="B23" s="31" t="n">
        <v>0</v>
      </c>
      <c r="C23" s="31" t="n">
        <v>0</v>
      </c>
      <c r="D23" s="31" t="n">
        <v>0</v>
      </c>
      <c r="E23" s="31" t="n">
        <v>0</v>
      </c>
      <c r="K23" s="33"/>
      <c r="L23" s="34"/>
    </row>
    <row r="24" customFormat="false" ht="13.8" hidden="false" customHeight="false" outlineLevel="0" collapsed="false">
      <c r="A24" s="30" t="s">
        <v>142</v>
      </c>
      <c r="B24" s="31" t="n">
        <v>0</v>
      </c>
      <c r="C24" s="31" t="n">
        <v>0</v>
      </c>
      <c r="D24" s="31" t="n">
        <v>0</v>
      </c>
      <c r="E24" s="31" t="n">
        <v>0</v>
      </c>
      <c r="K24" s="33"/>
      <c r="L24" s="34"/>
    </row>
    <row r="25" customFormat="false" ht="13.8" hidden="false" customHeight="false" outlineLevel="0" collapsed="false">
      <c r="A25" s="30" t="s">
        <v>143</v>
      </c>
      <c r="B25" s="31" t="n">
        <v>0</v>
      </c>
      <c r="C25" s="31" t="n">
        <v>0</v>
      </c>
      <c r="D25" s="31" t="n">
        <v>0</v>
      </c>
      <c r="E25" s="31" t="n">
        <v>0</v>
      </c>
      <c r="K25" s="33"/>
      <c r="L25" s="34"/>
    </row>
    <row r="26" customFormat="false" ht="13.8" hidden="false" customHeight="false" outlineLevel="0" collapsed="false">
      <c r="A26" s="30" t="s">
        <v>144</v>
      </c>
      <c r="B26" s="31" t="n">
        <v>0</v>
      </c>
      <c r="C26" s="31" t="n">
        <v>0</v>
      </c>
      <c r="D26" s="31" t="n">
        <v>0</v>
      </c>
      <c r="E26" s="31" t="n">
        <v>0</v>
      </c>
      <c r="K26" s="33"/>
      <c r="L26" s="34"/>
    </row>
    <row r="27" customFormat="false" ht="13.8" hidden="false" customHeight="false" outlineLevel="0" collapsed="false">
      <c r="A27" s="30" t="s">
        <v>145</v>
      </c>
      <c r="B27" s="31" t="n">
        <v>0</v>
      </c>
      <c r="C27" s="31" t="n">
        <v>0</v>
      </c>
      <c r="D27" s="31" t="n">
        <v>0</v>
      </c>
      <c r="E27" s="31" t="n">
        <v>0</v>
      </c>
      <c r="K27" s="33"/>
      <c r="L27" s="34"/>
    </row>
    <row r="28" customFormat="false" ht="13.8" hidden="false" customHeight="false" outlineLevel="0" collapsed="false">
      <c r="A28" s="30" t="s">
        <v>146</v>
      </c>
      <c r="B28" s="31" t="n">
        <v>0</v>
      </c>
      <c r="C28" s="31" t="n">
        <v>0</v>
      </c>
      <c r="D28" s="31" t="n">
        <v>0</v>
      </c>
      <c r="E28" s="31" t="n">
        <v>0</v>
      </c>
      <c r="K28" s="33"/>
      <c r="L28" s="34"/>
    </row>
    <row r="29" customFormat="false" ht="13.8" hidden="false" customHeight="false" outlineLevel="0" collapsed="false">
      <c r="A29" s="30" t="s">
        <v>147</v>
      </c>
      <c r="B29" s="31" t="n">
        <v>0</v>
      </c>
      <c r="C29" s="31" t="n">
        <v>0</v>
      </c>
      <c r="D29" s="31" t="n">
        <v>0</v>
      </c>
      <c r="E29" s="31" t="n">
        <v>0</v>
      </c>
      <c r="K29" s="33"/>
      <c r="L29" s="34"/>
    </row>
    <row r="30" customFormat="false" ht="13.8" hidden="false" customHeight="false" outlineLevel="0" collapsed="false">
      <c r="A30" s="30" t="s">
        <v>148</v>
      </c>
      <c r="B30" s="31" t="n">
        <v>0</v>
      </c>
      <c r="C30" s="31" t="n">
        <v>0</v>
      </c>
      <c r="D30" s="31" t="n">
        <v>0</v>
      </c>
      <c r="E30" s="31" t="n">
        <v>0</v>
      </c>
    </row>
    <row r="31" customFormat="false" ht="13.8" hidden="false" customHeight="false" outlineLevel="0" collapsed="false">
      <c r="A31" s="30" t="s">
        <v>149</v>
      </c>
      <c r="B31" s="31" t="n">
        <v>0</v>
      </c>
      <c r="C31" s="31" t="n">
        <v>0</v>
      </c>
      <c r="D31" s="31" t="n">
        <v>0</v>
      </c>
      <c r="E31" s="31" t="n">
        <v>0</v>
      </c>
    </row>
    <row r="32" customFormat="false" ht="13.8" hidden="false" customHeight="false" outlineLevel="0" collapsed="false">
      <c r="A32" s="30" t="s">
        <v>150</v>
      </c>
      <c r="B32" s="31" t="n">
        <v>0</v>
      </c>
      <c r="C32" s="31" t="n">
        <v>0</v>
      </c>
      <c r="D32" s="31" t="n">
        <v>0</v>
      </c>
      <c r="E32" s="31" t="n">
        <v>0</v>
      </c>
    </row>
    <row r="33" customFormat="false" ht="13.8" hidden="false" customHeight="false" outlineLevel="0" collapsed="false">
      <c r="A33" s="30" t="s">
        <v>151</v>
      </c>
      <c r="B33" s="31" t="n">
        <v>0</v>
      </c>
      <c r="C33" s="31" t="n">
        <v>0</v>
      </c>
      <c r="D33" s="31" t="n">
        <v>0</v>
      </c>
      <c r="E33" s="31" t="n">
        <v>0</v>
      </c>
    </row>
    <row r="34" customFormat="false" ht="13.8" hidden="false" customHeight="false" outlineLevel="0" collapsed="false">
      <c r="A34" s="30" t="s">
        <v>152</v>
      </c>
      <c r="B34" s="31" t="n">
        <v>0</v>
      </c>
      <c r="C34" s="31" t="n">
        <v>0</v>
      </c>
      <c r="D34" s="31" t="n">
        <v>0</v>
      </c>
      <c r="E34" s="31" t="n">
        <v>0</v>
      </c>
    </row>
    <row r="35" customFormat="false" ht="13.8" hidden="false" customHeight="false" outlineLevel="0" collapsed="false">
      <c r="A35" s="30" t="s">
        <v>153</v>
      </c>
      <c r="B35" s="31" t="n">
        <v>0</v>
      </c>
      <c r="C35" s="31" t="n">
        <v>0</v>
      </c>
      <c r="D35" s="31" t="n">
        <v>0</v>
      </c>
      <c r="E35" s="31" t="n">
        <v>0</v>
      </c>
    </row>
    <row r="36" customFormat="false" ht="13.8" hidden="false" customHeight="false" outlineLevel="0" collapsed="false">
      <c r="A36" s="30" t="s">
        <v>154</v>
      </c>
      <c r="B36" s="31" t="n">
        <v>0</v>
      </c>
      <c r="C36" s="31" t="n">
        <v>0</v>
      </c>
      <c r="D36" s="31" t="n">
        <v>0</v>
      </c>
      <c r="E36" s="31" t="n">
        <v>0</v>
      </c>
    </row>
    <row r="37" customFormat="false" ht="13.8" hidden="false" customHeight="false" outlineLevel="0" collapsed="false">
      <c r="A37" s="30" t="s">
        <v>155</v>
      </c>
      <c r="B37" s="31" t="n">
        <v>0</v>
      </c>
      <c r="C37" s="31" t="n">
        <v>0</v>
      </c>
      <c r="D37" s="31" t="n">
        <v>0</v>
      </c>
      <c r="E37" s="31" t="n">
        <v>0</v>
      </c>
    </row>
    <row r="38" customFormat="false" ht="13.8" hidden="false" customHeight="false" outlineLevel="0" collapsed="false">
      <c r="A38" s="30" t="s">
        <v>156</v>
      </c>
      <c r="B38" s="31" t="n">
        <v>0</v>
      </c>
      <c r="C38" s="31" t="n">
        <v>0</v>
      </c>
      <c r="D38" s="31" t="n">
        <v>0</v>
      </c>
      <c r="E38" s="31" t="n">
        <v>0</v>
      </c>
    </row>
    <row r="39" customFormat="false" ht="13.8" hidden="false" customHeight="false" outlineLevel="0" collapsed="false">
      <c r="A39" s="30" t="s">
        <v>157</v>
      </c>
      <c r="B39" s="31" t="n">
        <v>0</v>
      </c>
      <c r="C39" s="31" t="n">
        <v>0</v>
      </c>
      <c r="D39" s="31" t="n">
        <v>0</v>
      </c>
      <c r="E39" s="31" t="n">
        <v>0</v>
      </c>
    </row>
    <row r="40" customFormat="false" ht="13.8" hidden="false" customHeight="false" outlineLevel="0" collapsed="false">
      <c r="A40" s="30" t="s">
        <v>158</v>
      </c>
      <c r="B40" s="31" t="n">
        <v>0</v>
      </c>
      <c r="C40" s="31" t="n">
        <v>0</v>
      </c>
      <c r="D40" s="31" t="n">
        <v>0</v>
      </c>
      <c r="E40" s="31" t="n">
        <v>0</v>
      </c>
    </row>
    <row r="41" customFormat="false" ht="13.8" hidden="false" customHeight="false" outlineLevel="0" collapsed="false">
      <c r="A41" s="30" t="s">
        <v>159</v>
      </c>
      <c r="B41" s="31" t="n">
        <v>0</v>
      </c>
      <c r="C41" s="31" t="n">
        <v>0</v>
      </c>
      <c r="D41" s="31" t="n">
        <v>0</v>
      </c>
      <c r="E41" s="31" t="n">
        <v>0</v>
      </c>
    </row>
    <row r="42" customFormat="false" ht="13.8" hidden="false" customHeight="false" outlineLevel="0" collapsed="false">
      <c r="A42" s="30" t="s">
        <v>160</v>
      </c>
      <c r="B42" s="31" t="n">
        <v>0</v>
      </c>
      <c r="C42" s="31" t="n">
        <v>0</v>
      </c>
      <c r="D42" s="31" t="n">
        <v>0</v>
      </c>
      <c r="E42" s="31" t="n">
        <v>0</v>
      </c>
    </row>
    <row r="43" customFormat="false" ht="13.8" hidden="false" customHeight="false" outlineLevel="0" collapsed="false">
      <c r="A43" s="30" t="s">
        <v>161</v>
      </c>
      <c r="B43" s="31" t="n">
        <v>0</v>
      </c>
      <c r="C43" s="31" t="n">
        <v>0</v>
      </c>
      <c r="D43" s="31" t="n">
        <v>0</v>
      </c>
      <c r="E43" s="31" t="n">
        <v>0</v>
      </c>
    </row>
    <row r="44" customFormat="false" ht="13.8" hidden="false" customHeight="false" outlineLevel="0" collapsed="false">
      <c r="A44" s="30" t="s">
        <v>162</v>
      </c>
      <c r="B44" s="31" t="n">
        <v>0</v>
      </c>
      <c r="C44" s="31" t="n">
        <v>0</v>
      </c>
      <c r="D44" s="31" t="n">
        <v>0</v>
      </c>
      <c r="E44" s="31" t="n">
        <v>0</v>
      </c>
    </row>
    <row r="45" customFormat="false" ht="13.8" hidden="false" customHeight="false" outlineLevel="0" collapsed="false">
      <c r="A45" s="30" t="s">
        <v>163</v>
      </c>
      <c r="B45" s="31" t="n">
        <v>0</v>
      </c>
      <c r="C45" s="31" t="n">
        <v>0</v>
      </c>
      <c r="D45" s="31" t="n">
        <v>0</v>
      </c>
      <c r="E45" s="31" t="n">
        <v>0</v>
      </c>
    </row>
    <row r="46" customFormat="false" ht="13.8" hidden="false" customHeight="false" outlineLevel="0" collapsed="false">
      <c r="A46" s="30" t="s">
        <v>164</v>
      </c>
      <c r="B46" s="31" t="n">
        <v>0</v>
      </c>
      <c r="C46" s="31" t="n">
        <v>0</v>
      </c>
      <c r="D46" s="31" t="n">
        <v>0</v>
      </c>
      <c r="E46" s="31" t="n">
        <v>0</v>
      </c>
    </row>
    <row r="47" customFormat="false" ht="13.8" hidden="false" customHeight="false" outlineLevel="0" collapsed="false">
      <c r="A47" s="30" t="s">
        <v>165</v>
      </c>
      <c r="B47" s="31" t="n">
        <v>0</v>
      </c>
      <c r="C47" s="31" t="n">
        <v>0</v>
      </c>
      <c r="D47" s="31" t="n">
        <v>0</v>
      </c>
      <c r="E47" s="31" t="n">
        <v>0</v>
      </c>
    </row>
    <row r="48" customFormat="false" ht="13.8" hidden="false" customHeight="false" outlineLevel="0" collapsed="false">
      <c r="A48" s="30" t="s">
        <v>166</v>
      </c>
      <c r="B48" s="31" t="n">
        <v>0</v>
      </c>
      <c r="C48" s="31" t="n">
        <v>0</v>
      </c>
      <c r="D48" s="31" t="n">
        <v>0</v>
      </c>
      <c r="E48" s="31" t="n">
        <v>0</v>
      </c>
    </row>
    <row r="49" customFormat="false" ht="13.8" hidden="false" customHeight="false" outlineLevel="0" collapsed="false">
      <c r="A49" s="30" t="s">
        <v>167</v>
      </c>
      <c r="B49" s="31" t="n">
        <v>0</v>
      </c>
      <c r="C49" s="31" t="n">
        <v>0</v>
      </c>
      <c r="D49" s="31" t="n">
        <v>0</v>
      </c>
      <c r="E49" s="31" t="n">
        <v>0</v>
      </c>
    </row>
    <row r="50" customFormat="false" ht="13.8" hidden="false" customHeight="false" outlineLevel="0" collapsed="false">
      <c r="A50" s="30" t="s">
        <v>168</v>
      </c>
      <c r="B50" s="31" t="n">
        <v>0</v>
      </c>
      <c r="C50" s="31" t="n">
        <v>0</v>
      </c>
      <c r="D50" s="31" t="n">
        <v>0</v>
      </c>
      <c r="E50" s="31" t="n">
        <v>0</v>
      </c>
    </row>
    <row r="51" customFormat="false" ht="13.8" hidden="false" customHeight="false" outlineLevel="0" collapsed="false">
      <c r="A51" s="30" t="s">
        <v>169</v>
      </c>
      <c r="B51" s="31" t="n">
        <v>0</v>
      </c>
      <c r="C51" s="31" t="n">
        <v>0</v>
      </c>
      <c r="D51" s="31" t="n">
        <v>0</v>
      </c>
      <c r="E51" s="31" t="n">
        <v>0</v>
      </c>
    </row>
    <row r="52" customFormat="false" ht="13.8" hidden="false" customHeight="false" outlineLevel="0" collapsed="false">
      <c r="A52" s="30" t="s">
        <v>170</v>
      </c>
      <c r="B52" s="31" t="n">
        <v>0</v>
      </c>
      <c r="C52" s="31" t="n">
        <v>0</v>
      </c>
      <c r="D52" s="31" t="n">
        <v>0</v>
      </c>
      <c r="E52" s="31" t="n">
        <v>0</v>
      </c>
    </row>
    <row r="53" customFormat="false" ht="13.8" hidden="false" customHeight="false" outlineLevel="0" collapsed="false">
      <c r="A53" s="30" t="s">
        <v>171</v>
      </c>
      <c r="B53" s="31" t="n">
        <v>0</v>
      </c>
      <c r="C53" s="31" t="n">
        <v>0</v>
      </c>
      <c r="D53" s="31" t="n">
        <v>0</v>
      </c>
      <c r="E53" s="31" t="n">
        <v>0</v>
      </c>
    </row>
    <row r="54" customFormat="false" ht="13.8" hidden="false" customHeight="false" outlineLevel="0" collapsed="false">
      <c r="A54" s="30" t="s">
        <v>172</v>
      </c>
      <c r="B54" s="31" t="n">
        <v>3417.87139583333</v>
      </c>
      <c r="C54" s="31" t="n">
        <v>3417.87139583333</v>
      </c>
      <c r="D54" s="31" t="n">
        <v>3417.87139583333</v>
      </c>
      <c r="E54" s="31" t="n">
        <v>3417.87139583333</v>
      </c>
    </row>
    <row r="55" customFormat="false" ht="13.8" hidden="false" customHeight="false" outlineLevel="0" collapsed="false">
      <c r="A55" s="30" t="s">
        <v>173</v>
      </c>
      <c r="B55" s="31" t="n">
        <v>14744.0495375</v>
      </c>
      <c r="C55" s="31" t="n">
        <v>14744.0495375</v>
      </c>
      <c r="D55" s="31" t="n">
        <v>14744.0495375</v>
      </c>
      <c r="E55" s="31" t="n">
        <v>14744.0495375</v>
      </c>
    </row>
    <row r="56" customFormat="false" ht="13.8" hidden="false" customHeight="false" outlineLevel="0" collapsed="false">
      <c r="A56" s="30" t="s">
        <v>174</v>
      </c>
      <c r="B56" s="31" t="n">
        <v>0</v>
      </c>
      <c r="C56" s="31" t="n">
        <v>0</v>
      </c>
      <c r="D56" s="31" t="n">
        <v>0</v>
      </c>
      <c r="E56" s="31" t="n">
        <v>0</v>
      </c>
    </row>
    <row r="57" customFormat="false" ht="13.8" hidden="false" customHeight="false" outlineLevel="0" collapsed="false">
      <c r="A57" s="30" t="s">
        <v>175</v>
      </c>
      <c r="B57" s="31" t="n">
        <v>0</v>
      </c>
      <c r="C57" s="31" t="n">
        <v>0</v>
      </c>
      <c r="D57" s="31" t="n">
        <v>0</v>
      </c>
      <c r="E57" s="31" t="n">
        <v>0</v>
      </c>
    </row>
    <row r="58" customFormat="false" ht="13.8" hidden="false" customHeight="false" outlineLevel="0" collapsed="false">
      <c r="A58" s="30" t="s">
        <v>176</v>
      </c>
      <c r="B58" s="31" t="n">
        <v>0</v>
      </c>
      <c r="C58" s="31" t="n">
        <v>0</v>
      </c>
      <c r="D58" s="31" t="n">
        <v>0</v>
      </c>
      <c r="E58" s="31" t="n">
        <v>0</v>
      </c>
    </row>
    <row r="59" customFormat="false" ht="13.8" hidden="false" customHeight="false" outlineLevel="0" collapsed="false">
      <c r="A59" s="30" t="s">
        <v>177</v>
      </c>
      <c r="B59" s="31" t="n">
        <v>0</v>
      </c>
      <c r="C59" s="31" t="n">
        <v>0</v>
      </c>
      <c r="D59" s="31" t="n">
        <v>0</v>
      </c>
      <c r="E59" s="31" t="n">
        <v>0</v>
      </c>
    </row>
    <row r="60" customFormat="false" ht="13.8" hidden="false" customHeight="false" outlineLevel="0" collapsed="false">
      <c r="A60" s="30" t="s">
        <v>178</v>
      </c>
      <c r="B60" s="31" t="n">
        <v>0</v>
      </c>
      <c r="C60" s="31" t="n">
        <v>0</v>
      </c>
      <c r="D60" s="31" t="n">
        <v>0</v>
      </c>
      <c r="E60" s="31" t="n">
        <v>0</v>
      </c>
    </row>
    <row r="61" customFormat="false" ht="13.8" hidden="false" customHeight="false" outlineLevel="0" collapsed="false">
      <c r="A61" s="30" t="s">
        <v>179</v>
      </c>
      <c r="B61" s="31" t="n">
        <v>0</v>
      </c>
      <c r="C61" s="31" t="n">
        <v>0</v>
      </c>
      <c r="D61" s="31" t="n">
        <v>0</v>
      </c>
      <c r="E61" s="31" t="n">
        <v>0</v>
      </c>
    </row>
    <row r="62" customFormat="false" ht="13.8" hidden="false" customHeight="false" outlineLevel="0" collapsed="false">
      <c r="A62" s="30" t="s">
        <v>180</v>
      </c>
      <c r="B62" s="31" t="n">
        <v>0</v>
      </c>
      <c r="C62" s="31" t="n">
        <v>0</v>
      </c>
      <c r="D62" s="31" t="n">
        <v>0</v>
      </c>
      <c r="E62" s="31" t="n">
        <v>0</v>
      </c>
    </row>
    <row r="63" customFormat="false" ht="13.8" hidden="false" customHeight="false" outlineLevel="0" collapsed="false">
      <c r="A63" s="30" t="s">
        <v>181</v>
      </c>
      <c r="B63" s="31" t="n">
        <v>0</v>
      </c>
      <c r="C63" s="31" t="n">
        <v>0</v>
      </c>
      <c r="D63" s="31" t="n">
        <v>0</v>
      </c>
      <c r="E63" s="31" t="n">
        <v>0</v>
      </c>
    </row>
    <row r="64" customFormat="false" ht="13.8" hidden="false" customHeight="false" outlineLevel="0" collapsed="false">
      <c r="A64" s="30" t="s">
        <v>182</v>
      </c>
      <c r="B64" s="31" t="n">
        <v>0</v>
      </c>
      <c r="C64" s="31" t="n">
        <v>0</v>
      </c>
      <c r="D64" s="31" t="n">
        <v>0</v>
      </c>
      <c r="E64" s="31" t="n">
        <v>0</v>
      </c>
    </row>
    <row r="65" customFormat="false" ht="13.8" hidden="false" customHeight="false" outlineLevel="0" collapsed="false">
      <c r="A65" s="30" t="s">
        <v>183</v>
      </c>
      <c r="B65" s="31" t="n">
        <v>0</v>
      </c>
      <c r="C65" s="31" t="n">
        <v>0</v>
      </c>
      <c r="D65" s="31" t="n">
        <v>0</v>
      </c>
      <c r="E65" s="31" t="n">
        <v>0</v>
      </c>
    </row>
    <row r="66" customFormat="false" ht="13.8" hidden="false" customHeight="false" outlineLevel="0" collapsed="false">
      <c r="A66" s="30" t="s">
        <v>184</v>
      </c>
      <c r="B66" s="31" t="n">
        <v>0</v>
      </c>
      <c r="C66" s="31" t="n">
        <v>0</v>
      </c>
      <c r="D66" s="31" t="n">
        <v>0</v>
      </c>
      <c r="E66" s="31" t="n">
        <v>0</v>
      </c>
    </row>
    <row r="67" customFormat="false" ht="13.8" hidden="false" customHeight="false" outlineLevel="0" collapsed="false">
      <c r="A67" s="30" t="s">
        <v>185</v>
      </c>
      <c r="B67" s="31" t="n">
        <v>0</v>
      </c>
      <c r="C67" s="31" t="n">
        <v>0</v>
      </c>
      <c r="D67" s="31" t="n">
        <v>0</v>
      </c>
      <c r="E67" s="31" t="n">
        <v>0</v>
      </c>
    </row>
    <row r="68" customFormat="false" ht="13.8" hidden="false" customHeight="false" outlineLevel="0" collapsed="false">
      <c r="A68" s="30" t="s">
        <v>186</v>
      </c>
      <c r="B68" s="31" t="n">
        <v>0</v>
      </c>
      <c r="C68" s="31" t="n">
        <v>0</v>
      </c>
      <c r="D68" s="31" t="n">
        <v>0</v>
      </c>
      <c r="E68" s="31" t="n">
        <v>0</v>
      </c>
    </row>
    <row r="69" customFormat="false" ht="13.8" hidden="false" customHeight="false" outlineLevel="0" collapsed="false">
      <c r="A69" s="30" t="s">
        <v>187</v>
      </c>
      <c r="B69" s="31" t="n">
        <v>0</v>
      </c>
      <c r="C69" s="31" t="n">
        <v>0</v>
      </c>
      <c r="D69" s="31" t="n">
        <v>0</v>
      </c>
      <c r="E69" s="31" t="n">
        <v>0</v>
      </c>
    </row>
    <row r="70" customFormat="false" ht="13.8" hidden="false" customHeight="false" outlineLevel="0" collapsed="false">
      <c r="A70" s="30" t="s">
        <v>188</v>
      </c>
      <c r="B70" s="31" t="n">
        <v>0</v>
      </c>
      <c r="C70" s="31" t="n">
        <v>0</v>
      </c>
      <c r="D70" s="31" t="n">
        <v>0</v>
      </c>
      <c r="E70" s="31" t="n">
        <v>0</v>
      </c>
    </row>
    <row r="71" customFormat="false" ht="13.8" hidden="false" customHeight="false" outlineLevel="0" collapsed="false">
      <c r="A71" s="30" t="s">
        <v>189</v>
      </c>
      <c r="B71" s="31" t="n">
        <v>0</v>
      </c>
      <c r="C71" s="31" t="n">
        <v>0</v>
      </c>
      <c r="D71" s="31" t="n">
        <v>0</v>
      </c>
      <c r="E71" s="31" t="n">
        <v>0</v>
      </c>
    </row>
    <row r="72" customFormat="false" ht="13.8" hidden="false" customHeight="false" outlineLevel="0" collapsed="false">
      <c r="A72" s="30" t="s">
        <v>190</v>
      </c>
      <c r="B72" s="31" t="n">
        <v>0</v>
      </c>
      <c r="C72" s="31" t="n">
        <v>0</v>
      </c>
      <c r="D72" s="31" t="n">
        <v>0</v>
      </c>
      <c r="E72" s="31" t="n">
        <v>0</v>
      </c>
    </row>
    <row r="73" customFormat="false" ht="13.8" hidden="false" customHeight="false" outlineLevel="0" collapsed="false">
      <c r="A73" s="30" t="s">
        <v>191</v>
      </c>
      <c r="B73" s="31" t="n">
        <v>0</v>
      </c>
      <c r="C73" s="31" t="n">
        <v>0</v>
      </c>
      <c r="D73" s="31" t="n">
        <v>0</v>
      </c>
      <c r="E73" s="31" t="n">
        <v>0</v>
      </c>
    </row>
    <row r="74" customFormat="false" ht="13.8" hidden="false" customHeight="false" outlineLevel="0" collapsed="false">
      <c r="A74" s="30" t="s">
        <v>192</v>
      </c>
      <c r="B74" s="31" t="n">
        <v>0</v>
      </c>
      <c r="C74" s="31" t="n">
        <v>0</v>
      </c>
      <c r="D74" s="31" t="n">
        <v>0</v>
      </c>
      <c r="E74" s="31" t="n">
        <v>0</v>
      </c>
    </row>
    <row r="75" customFormat="false" ht="13.8" hidden="false" customHeight="false" outlineLevel="0" collapsed="false">
      <c r="A75" s="30" t="s">
        <v>193</v>
      </c>
      <c r="B75" s="31" t="n">
        <v>0</v>
      </c>
      <c r="C75" s="31" t="n">
        <v>0</v>
      </c>
      <c r="D75" s="31" t="n">
        <v>0</v>
      </c>
      <c r="E75" s="31" t="n">
        <v>0</v>
      </c>
    </row>
    <row r="76" customFormat="false" ht="13.8" hidden="false" customHeight="false" outlineLevel="0" collapsed="false">
      <c r="A76" s="30" t="s">
        <v>194</v>
      </c>
      <c r="B76" s="31" t="n">
        <v>0</v>
      </c>
      <c r="C76" s="31" t="n">
        <v>0</v>
      </c>
      <c r="D76" s="31" t="n">
        <v>0</v>
      </c>
      <c r="E76" s="31" t="n">
        <v>0</v>
      </c>
    </row>
    <row r="77" customFormat="false" ht="13.8" hidden="false" customHeight="false" outlineLevel="0" collapsed="false">
      <c r="A77" s="30" t="s">
        <v>195</v>
      </c>
      <c r="B77" s="31" t="n">
        <v>0</v>
      </c>
      <c r="C77" s="31" t="n">
        <v>0</v>
      </c>
      <c r="D77" s="31" t="n">
        <v>0</v>
      </c>
      <c r="E77" s="31" t="n">
        <v>0</v>
      </c>
    </row>
    <row r="78" customFormat="false" ht="13.8" hidden="false" customHeight="false" outlineLevel="0" collapsed="false">
      <c r="A78" s="30" t="s">
        <v>196</v>
      </c>
      <c r="B78" s="31" t="n">
        <v>0</v>
      </c>
      <c r="C78" s="31" t="n">
        <v>0</v>
      </c>
      <c r="D78" s="31" t="n">
        <v>0</v>
      </c>
      <c r="E78" s="31" t="n">
        <v>0</v>
      </c>
    </row>
    <row r="79" customFormat="false" ht="13.8" hidden="false" customHeight="false" outlineLevel="0" collapsed="false">
      <c r="A79" s="30" t="s">
        <v>197</v>
      </c>
      <c r="B79" s="31" t="n">
        <v>0</v>
      </c>
      <c r="C79" s="31" t="n">
        <v>0</v>
      </c>
      <c r="D79" s="31" t="n">
        <v>0</v>
      </c>
      <c r="E79" s="31" t="n">
        <v>0</v>
      </c>
    </row>
    <row r="80" customFormat="false" ht="13.8" hidden="false" customHeight="false" outlineLevel="0" collapsed="false">
      <c r="A80" s="30" t="s">
        <v>198</v>
      </c>
      <c r="B80" s="31" t="n">
        <v>0</v>
      </c>
      <c r="C80" s="31" t="n">
        <v>0</v>
      </c>
      <c r="D80" s="31" t="n">
        <v>0</v>
      </c>
      <c r="E80" s="31" t="n">
        <v>0</v>
      </c>
    </row>
    <row r="81" customFormat="false" ht="13.8" hidden="false" customHeight="false" outlineLevel="0" collapsed="false">
      <c r="A81" s="30" t="s">
        <v>199</v>
      </c>
      <c r="B81" s="31" t="n">
        <v>0</v>
      </c>
      <c r="C81" s="31" t="n">
        <v>0</v>
      </c>
      <c r="D81" s="31" t="n">
        <v>0</v>
      </c>
      <c r="E81" s="31" t="n">
        <v>0</v>
      </c>
    </row>
    <row r="82" customFormat="false" ht="13.8" hidden="false" customHeight="false" outlineLevel="0" collapsed="false">
      <c r="A82" s="30" t="s">
        <v>200</v>
      </c>
      <c r="B82" s="31" t="n">
        <v>0</v>
      </c>
      <c r="C82" s="31" t="n">
        <v>0</v>
      </c>
      <c r="D82" s="31" t="n">
        <v>0</v>
      </c>
      <c r="E82" s="31" t="n">
        <v>0</v>
      </c>
    </row>
    <row r="83" customFormat="false" ht="13.8" hidden="false" customHeight="false" outlineLevel="0" collapsed="false">
      <c r="A83" s="30" t="s">
        <v>201</v>
      </c>
      <c r="B83" s="31" t="n">
        <v>0</v>
      </c>
      <c r="C83" s="31" t="n">
        <v>0</v>
      </c>
      <c r="D83" s="31" t="n">
        <v>0</v>
      </c>
      <c r="E83" s="31" t="n">
        <v>0</v>
      </c>
    </row>
    <row r="84" customFormat="false" ht="13.8" hidden="false" customHeight="false" outlineLevel="0" collapsed="false">
      <c r="A84" s="30" t="s">
        <v>202</v>
      </c>
      <c r="B84" s="31" t="n">
        <v>0</v>
      </c>
      <c r="C84" s="31" t="n">
        <v>0</v>
      </c>
      <c r="D84" s="31" t="n">
        <v>0</v>
      </c>
      <c r="E84" s="31" t="n">
        <v>0</v>
      </c>
    </row>
    <row r="85" customFormat="false" ht="13.8" hidden="false" customHeight="false" outlineLevel="0" collapsed="false">
      <c r="A85" s="30" t="s">
        <v>203</v>
      </c>
      <c r="B85" s="31" t="n">
        <v>0</v>
      </c>
      <c r="C85" s="31" t="n">
        <v>0</v>
      </c>
      <c r="D85" s="31" t="n">
        <v>0</v>
      </c>
      <c r="E85" s="31" t="n">
        <v>0</v>
      </c>
    </row>
    <row r="86" customFormat="false" ht="13.8" hidden="false" customHeight="false" outlineLevel="0" collapsed="false">
      <c r="A86" s="30" t="s">
        <v>204</v>
      </c>
      <c r="B86" s="31" t="n">
        <v>0</v>
      </c>
      <c r="C86" s="31" t="n">
        <v>0</v>
      </c>
      <c r="D86" s="31" t="n">
        <v>0</v>
      </c>
      <c r="E86" s="31" t="n">
        <v>0</v>
      </c>
    </row>
    <row r="87" customFormat="false" ht="13.8" hidden="false" customHeight="false" outlineLevel="0" collapsed="false">
      <c r="A87" s="30" t="s">
        <v>205</v>
      </c>
      <c r="B87" s="31" t="n">
        <v>0</v>
      </c>
      <c r="C87" s="31" t="n">
        <v>0</v>
      </c>
      <c r="D87" s="31" t="n">
        <v>0</v>
      </c>
      <c r="E87" s="31" t="n">
        <v>0</v>
      </c>
    </row>
    <row r="88" customFormat="false" ht="13.8" hidden="false" customHeight="false" outlineLevel="0" collapsed="false">
      <c r="A88" s="30" t="s">
        <v>206</v>
      </c>
      <c r="B88" s="31" t="n">
        <v>0</v>
      </c>
      <c r="C88" s="31" t="n">
        <v>0</v>
      </c>
      <c r="D88" s="31" t="n">
        <v>0</v>
      </c>
      <c r="E88" s="31" t="n">
        <v>0</v>
      </c>
    </row>
    <row r="89" customFormat="false" ht="13.8" hidden="false" customHeight="false" outlineLevel="0" collapsed="false">
      <c r="A89" s="30" t="s">
        <v>207</v>
      </c>
      <c r="B89" s="31" t="n">
        <v>0</v>
      </c>
      <c r="C89" s="31" t="n">
        <v>0</v>
      </c>
      <c r="D89" s="31" t="n">
        <v>0</v>
      </c>
      <c r="E89" s="31" t="n">
        <v>0</v>
      </c>
    </row>
    <row r="90" customFormat="false" ht="13.8" hidden="false" customHeight="false" outlineLevel="0" collapsed="false">
      <c r="A90" s="30" t="s">
        <v>208</v>
      </c>
      <c r="B90" s="31" t="n">
        <v>0</v>
      </c>
      <c r="C90" s="31" t="n">
        <v>0</v>
      </c>
      <c r="D90" s="31" t="n">
        <v>0</v>
      </c>
      <c r="E90" s="31" t="n">
        <v>0</v>
      </c>
    </row>
    <row r="91" customFormat="false" ht="13.8" hidden="false" customHeight="false" outlineLevel="0" collapsed="false">
      <c r="A91" s="30" t="s">
        <v>209</v>
      </c>
      <c r="B91" s="31" t="n">
        <v>0</v>
      </c>
      <c r="C91" s="31" t="n">
        <v>0</v>
      </c>
      <c r="D91" s="31" t="n">
        <v>0</v>
      </c>
      <c r="E91" s="31" t="n">
        <v>0</v>
      </c>
    </row>
    <row r="92" customFormat="false" ht="13.8" hidden="false" customHeight="false" outlineLevel="0" collapsed="false">
      <c r="A92" s="30" t="s">
        <v>210</v>
      </c>
      <c r="B92" s="31" t="n">
        <v>0</v>
      </c>
      <c r="C92" s="31" t="n">
        <v>0</v>
      </c>
      <c r="D92" s="31" t="n">
        <v>0</v>
      </c>
      <c r="E92" s="31" t="n">
        <v>0</v>
      </c>
    </row>
    <row r="93" customFormat="false" ht="13.8" hidden="false" customHeight="false" outlineLevel="0" collapsed="false">
      <c r="A93" s="30" t="s">
        <v>211</v>
      </c>
      <c r="B93" s="31" t="n">
        <v>0</v>
      </c>
      <c r="C93" s="31" t="n">
        <v>0</v>
      </c>
      <c r="D93" s="31" t="n">
        <v>0</v>
      </c>
      <c r="E93" s="31" t="n">
        <v>0</v>
      </c>
    </row>
    <row r="94" customFormat="false" ht="13.8" hidden="false" customHeight="false" outlineLevel="0" collapsed="false">
      <c r="A94" s="30" t="s">
        <v>212</v>
      </c>
      <c r="B94" s="31" t="n">
        <v>0</v>
      </c>
      <c r="C94" s="31" t="n">
        <v>0</v>
      </c>
      <c r="D94" s="31" t="n">
        <v>0</v>
      </c>
      <c r="E94" s="31" t="n">
        <v>0</v>
      </c>
    </row>
    <row r="95" customFormat="false" ht="13.8" hidden="false" customHeight="false" outlineLevel="0" collapsed="false">
      <c r="A95" s="30" t="s">
        <v>213</v>
      </c>
      <c r="B95" s="31" t="n">
        <v>0</v>
      </c>
      <c r="C95" s="31" t="n">
        <v>0</v>
      </c>
      <c r="D95" s="31" t="n">
        <v>0</v>
      </c>
      <c r="E95" s="31" t="n">
        <v>0</v>
      </c>
    </row>
    <row r="96" customFormat="false" ht="13.8" hidden="false" customHeight="false" outlineLevel="0" collapsed="false">
      <c r="A96" s="30" t="s">
        <v>214</v>
      </c>
      <c r="B96" s="31" t="n">
        <v>0</v>
      </c>
      <c r="C96" s="31" t="n">
        <v>0</v>
      </c>
      <c r="D96" s="31" t="n">
        <v>0</v>
      </c>
      <c r="E96" s="31" t="n">
        <v>0</v>
      </c>
    </row>
    <row r="97" customFormat="false" ht="13.8" hidden="false" customHeight="false" outlineLevel="0" collapsed="false">
      <c r="A97" s="30" t="s">
        <v>215</v>
      </c>
      <c r="B97" s="31" t="n">
        <v>0</v>
      </c>
      <c r="C97" s="31" t="n">
        <v>0</v>
      </c>
      <c r="D97" s="31" t="n">
        <v>0</v>
      </c>
      <c r="E97" s="31" t="n">
        <v>0</v>
      </c>
    </row>
    <row r="98" customFormat="false" ht="15" hidden="false" customHeight="false" outlineLevel="0" collapsed="false">
      <c r="A98" s="36"/>
      <c r="C98" s="31"/>
      <c r="D98" s="31"/>
      <c r="E98" s="31"/>
    </row>
    <row r="99" customFormat="false" ht="15" hidden="false" customHeight="false" outlineLevel="0" collapsed="false">
      <c r="A99" s="36"/>
      <c r="C99" s="31"/>
      <c r="D99" s="31"/>
      <c r="E99" s="31"/>
    </row>
    <row r="100" customFormat="false" ht="15" hidden="false" customHeight="false" outlineLevel="0" collapsed="false">
      <c r="A100" s="36"/>
      <c r="C100" s="31"/>
      <c r="D100" s="31"/>
      <c r="E100" s="31"/>
    </row>
    <row r="101" customFormat="false" ht="15" hidden="false" customHeight="false" outlineLevel="0" collapsed="false">
      <c r="A101" s="36"/>
      <c r="C101" s="31"/>
      <c r="D101" s="31"/>
      <c r="E101" s="31"/>
    </row>
    <row r="102" customFormat="false" ht="15" hidden="false" customHeight="false" outlineLevel="0" collapsed="false">
      <c r="A102" s="36"/>
      <c r="C102" s="31"/>
      <c r="D102" s="31"/>
      <c r="E102" s="31"/>
    </row>
    <row r="103" customFormat="false" ht="15" hidden="false" customHeight="false" outlineLevel="0" collapsed="false">
      <c r="A103" s="36"/>
      <c r="C103" s="31"/>
      <c r="D103" s="31"/>
      <c r="E103" s="31"/>
    </row>
    <row r="104" customFormat="false" ht="15" hidden="false" customHeight="false" outlineLevel="0" collapsed="false">
      <c r="A104" s="36"/>
      <c r="C104" s="31"/>
      <c r="D104" s="31"/>
      <c r="E104" s="31"/>
    </row>
    <row r="105" customFormat="false" ht="15" hidden="false" customHeight="false" outlineLevel="0" collapsed="false">
      <c r="A105" s="36"/>
      <c r="C105" s="31"/>
      <c r="D105" s="31"/>
      <c r="E105" s="31"/>
    </row>
    <row r="106" customFormat="false" ht="15" hidden="false" customHeight="false" outlineLevel="0" collapsed="false">
      <c r="A106" s="30"/>
      <c r="B106" s="31"/>
      <c r="C106" s="31"/>
      <c r="D106" s="31"/>
      <c r="E106" s="31"/>
    </row>
    <row r="107" customFormat="false" ht="15" hidden="false" customHeight="false" outlineLevel="0" collapsed="false">
      <c r="A107" s="30"/>
      <c r="B107" s="31"/>
      <c r="C107" s="31"/>
      <c r="D107" s="31"/>
      <c r="E107" s="31"/>
    </row>
    <row r="108" customFormat="false" ht="15" hidden="false" customHeight="false" outlineLevel="0" collapsed="false">
      <c r="A108" s="30"/>
      <c r="B108" s="31"/>
      <c r="C108" s="31"/>
      <c r="D108" s="31"/>
      <c r="E108" s="31"/>
    </row>
    <row r="109" customFormat="false" ht="15" hidden="false" customHeight="false" outlineLevel="0" collapsed="false">
      <c r="A109" s="30"/>
      <c r="B109" s="31"/>
      <c r="C109" s="31"/>
      <c r="D109" s="31"/>
      <c r="E109" s="31"/>
    </row>
    <row r="110" customFormat="false" ht="15" hidden="false" customHeight="false" outlineLevel="0" collapsed="false">
      <c r="A110" s="30"/>
      <c r="B110" s="31"/>
      <c r="C110" s="31"/>
      <c r="D110" s="31"/>
      <c r="E110" s="31"/>
    </row>
    <row r="111" customFormat="false" ht="15" hidden="false" customHeight="false" outlineLevel="0" collapsed="false">
      <c r="A111" s="30"/>
      <c r="B111" s="31"/>
      <c r="C111" s="31"/>
      <c r="D111" s="31"/>
      <c r="E111" s="31"/>
    </row>
    <row r="112" customFormat="false" ht="15" hidden="false" customHeight="false" outlineLevel="0" collapsed="false">
      <c r="A112" s="30"/>
      <c r="B112" s="31"/>
      <c r="C112" s="31"/>
      <c r="D112" s="31"/>
      <c r="E112" s="31"/>
    </row>
    <row r="113" customFormat="false" ht="15" hidden="false" customHeight="false" outlineLevel="0" collapsed="false">
      <c r="A113" s="30"/>
      <c r="B113" s="31"/>
      <c r="C113" s="31"/>
      <c r="D113" s="31"/>
      <c r="E113" s="31"/>
    </row>
    <row r="114" customFormat="false" ht="15" hidden="false" customHeight="false" outlineLevel="0" collapsed="false">
      <c r="A114" s="30"/>
      <c r="B114" s="31"/>
      <c r="C114" s="31"/>
      <c r="D114" s="31"/>
      <c r="E114" s="31"/>
    </row>
    <row r="115" customFormat="false" ht="15" hidden="false" customHeight="false" outlineLevel="0" collapsed="false">
      <c r="A115" s="30"/>
      <c r="B115" s="31"/>
      <c r="C115" s="31"/>
      <c r="D115" s="31"/>
      <c r="E115" s="31"/>
    </row>
    <row r="116" customFormat="false" ht="15" hidden="false" customHeight="false" outlineLevel="0" collapsed="false">
      <c r="A116" s="30"/>
      <c r="B116" s="31"/>
      <c r="C116" s="31"/>
      <c r="D116" s="31"/>
      <c r="E116" s="31"/>
    </row>
    <row r="117" customFormat="false" ht="15" hidden="false" customHeight="false" outlineLevel="0" collapsed="false">
      <c r="A117" s="30"/>
      <c r="B117" s="31"/>
      <c r="C117" s="31"/>
      <c r="D117" s="31"/>
      <c r="E117" s="31"/>
    </row>
    <row r="118" customFormat="false" ht="15" hidden="false" customHeight="false" outlineLevel="0" collapsed="false">
      <c r="A118" s="30"/>
      <c r="B118" s="31"/>
      <c r="C118" s="31"/>
      <c r="D118" s="31"/>
      <c r="E118" s="31"/>
    </row>
    <row r="119" customFormat="false" ht="15" hidden="false" customHeight="false" outlineLevel="0" collapsed="false">
      <c r="A119" s="30"/>
      <c r="B119" s="31"/>
      <c r="C119" s="31"/>
      <c r="D119" s="31"/>
      <c r="E119" s="31"/>
    </row>
    <row r="120" customFormat="false" ht="15" hidden="false" customHeight="false" outlineLevel="0" collapsed="false">
      <c r="A120" s="30"/>
      <c r="B120" s="31"/>
      <c r="C120" s="31"/>
      <c r="D120" s="31"/>
      <c r="E120" s="31"/>
    </row>
    <row r="121" customFormat="false" ht="15" hidden="false" customHeight="false" outlineLevel="0" collapsed="false">
      <c r="A121" s="30"/>
      <c r="B121" s="31"/>
      <c r="C121" s="31"/>
      <c r="D121" s="31"/>
      <c r="E121" s="31"/>
    </row>
    <row r="122" customFormat="false" ht="15" hidden="false" customHeight="false" outlineLevel="0" collapsed="false">
      <c r="A122" s="30"/>
      <c r="B122" s="31"/>
      <c r="C122" s="31"/>
      <c r="D122" s="31"/>
      <c r="E122" s="31"/>
    </row>
    <row r="123" customFormat="false" ht="15" hidden="false" customHeight="false" outlineLevel="0" collapsed="false">
      <c r="A123" s="30"/>
      <c r="B123" s="31"/>
      <c r="C123" s="31"/>
      <c r="D123" s="31"/>
      <c r="E123" s="31"/>
    </row>
    <row r="124" customFormat="false" ht="15" hidden="false" customHeight="false" outlineLevel="0" collapsed="false">
      <c r="A124" s="30"/>
      <c r="B124" s="31"/>
      <c r="C124" s="31"/>
      <c r="D124" s="31"/>
      <c r="E124" s="31"/>
    </row>
    <row r="125" customFormat="false" ht="15" hidden="false" customHeight="false" outlineLevel="0" collapsed="false">
      <c r="A125" s="30"/>
      <c r="B125" s="31"/>
      <c r="C125" s="31"/>
      <c r="D125" s="31"/>
      <c r="E125" s="31"/>
    </row>
    <row r="126" customFormat="false" ht="15" hidden="false" customHeight="false" outlineLevel="0" collapsed="false">
      <c r="A126" s="30"/>
      <c r="B126" s="31"/>
      <c r="C126" s="31"/>
      <c r="D126" s="31"/>
      <c r="E126" s="31"/>
    </row>
    <row r="127" customFormat="false" ht="15" hidden="false" customHeight="false" outlineLevel="0" collapsed="false">
      <c r="A127" s="30"/>
      <c r="B127" s="31"/>
      <c r="C127" s="31"/>
      <c r="D127" s="31"/>
      <c r="E127" s="31"/>
    </row>
    <row r="128" customFormat="false" ht="15" hidden="false" customHeight="false" outlineLevel="0" collapsed="false">
      <c r="A128" s="30"/>
      <c r="B128" s="31"/>
      <c r="C128" s="31"/>
      <c r="D128" s="31"/>
      <c r="E128" s="31"/>
    </row>
    <row r="129" customFormat="false" ht="15" hidden="false" customHeight="false" outlineLevel="0" collapsed="false">
      <c r="A129" s="30"/>
      <c r="B129" s="31"/>
      <c r="C129" s="31"/>
      <c r="D129" s="31"/>
      <c r="E129" s="31"/>
    </row>
    <row r="130" customFormat="false" ht="15" hidden="false" customHeight="false" outlineLevel="0" collapsed="false">
      <c r="A130" s="30"/>
      <c r="B130" s="31"/>
      <c r="C130" s="31"/>
      <c r="D130" s="31"/>
      <c r="E130" s="31"/>
    </row>
    <row r="131" customFormat="false" ht="15" hidden="false" customHeight="false" outlineLevel="0" collapsed="false">
      <c r="A131" s="30"/>
      <c r="B131" s="31"/>
      <c r="C131" s="31"/>
      <c r="D131" s="31"/>
      <c r="E131" s="31"/>
    </row>
    <row r="132" customFormat="false" ht="15" hidden="false" customHeight="false" outlineLevel="0" collapsed="false">
      <c r="A132" s="30"/>
      <c r="B132" s="31"/>
      <c r="C132" s="31"/>
      <c r="D132" s="31"/>
      <c r="E132" s="31"/>
    </row>
    <row r="133" customFormat="false" ht="15" hidden="false" customHeight="false" outlineLevel="0" collapsed="false">
      <c r="A133" s="30"/>
      <c r="B133" s="31"/>
      <c r="C133" s="31"/>
      <c r="D133" s="31"/>
      <c r="E133" s="31"/>
    </row>
    <row r="134" customFormat="false" ht="15" hidden="false" customHeight="false" outlineLevel="0" collapsed="false">
      <c r="A134" s="30"/>
      <c r="B134" s="31"/>
      <c r="C134" s="31"/>
      <c r="D134" s="31"/>
      <c r="E134" s="31"/>
    </row>
    <row r="135" customFormat="false" ht="15" hidden="false" customHeight="false" outlineLevel="0" collapsed="false">
      <c r="A135" s="30"/>
      <c r="B135" s="31"/>
      <c r="C135" s="31"/>
      <c r="D135" s="31"/>
      <c r="E135" s="31"/>
    </row>
    <row r="136" customFormat="false" ht="15" hidden="false" customHeight="false" outlineLevel="0" collapsed="false">
      <c r="A136" s="30"/>
      <c r="B136" s="31"/>
      <c r="C136" s="31"/>
      <c r="D136" s="31"/>
      <c r="E136" s="31"/>
    </row>
    <row r="137" customFormat="false" ht="15" hidden="false" customHeight="false" outlineLevel="0" collapsed="false">
      <c r="A137" s="30"/>
      <c r="B137" s="31"/>
      <c r="C137" s="31"/>
      <c r="D137" s="31"/>
      <c r="E137" s="31"/>
    </row>
    <row r="138" customFormat="false" ht="15" hidden="false" customHeight="false" outlineLevel="0" collapsed="false">
      <c r="A138" s="30"/>
      <c r="B138" s="31"/>
      <c r="C138" s="31"/>
      <c r="D138" s="31"/>
      <c r="E138" s="31"/>
    </row>
    <row r="139" customFormat="false" ht="15" hidden="false" customHeight="false" outlineLevel="0" collapsed="false">
      <c r="A139" s="30"/>
      <c r="B139" s="31"/>
      <c r="C139" s="31"/>
      <c r="D139" s="31"/>
      <c r="E139" s="31"/>
    </row>
    <row r="140" customFormat="false" ht="15" hidden="false" customHeight="false" outlineLevel="0" collapsed="false">
      <c r="A140" s="30"/>
      <c r="B140" s="31"/>
      <c r="C140" s="31"/>
      <c r="D140" s="31"/>
      <c r="E140" s="31"/>
    </row>
    <row r="141" customFormat="false" ht="15" hidden="false" customHeight="false" outlineLevel="0" collapsed="false">
      <c r="A141" s="30"/>
      <c r="B141" s="31"/>
      <c r="C141" s="31"/>
      <c r="D141" s="31"/>
      <c r="E141" s="31"/>
    </row>
    <row r="142" customFormat="false" ht="15" hidden="false" customHeight="false" outlineLevel="0" collapsed="false">
      <c r="A142" s="30"/>
      <c r="B142" s="31"/>
      <c r="C142" s="31"/>
      <c r="D142" s="31"/>
      <c r="E142" s="31"/>
    </row>
    <row r="143" customFormat="false" ht="15" hidden="false" customHeight="false" outlineLevel="0" collapsed="false">
      <c r="A143" s="30"/>
      <c r="B143" s="31"/>
      <c r="C143" s="31"/>
      <c r="D143" s="31"/>
      <c r="E143" s="31"/>
    </row>
    <row r="144" customFormat="false" ht="15" hidden="false" customHeight="false" outlineLevel="0" collapsed="false">
      <c r="A144" s="30"/>
      <c r="B144" s="31"/>
      <c r="C144" s="31"/>
      <c r="D144" s="31"/>
      <c r="E144" s="31"/>
    </row>
    <row r="145" customFormat="false" ht="15" hidden="false" customHeight="false" outlineLevel="0" collapsed="false">
      <c r="A145" s="30"/>
      <c r="B145" s="31"/>
      <c r="C145" s="31"/>
      <c r="D145" s="31"/>
      <c r="E145" s="31"/>
    </row>
    <row r="146" customFormat="false" ht="15" hidden="false" customHeight="false" outlineLevel="0" collapsed="false">
      <c r="A146" s="30"/>
      <c r="B146" s="31"/>
      <c r="C146" s="31"/>
      <c r="D146" s="31"/>
      <c r="E146" s="31"/>
    </row>
    <row r="147" customFormat="false" ht="15" hidden="false" customHeight="false" outlineLevel="0" collapsed="false">
      <c r="A147" s="30"/>
      <c r="B147" s="31"/>
      <c r="C147" s="31"/>
      <c r="D147" s="31"/>
      <c r="E147" s="31"/>
    </row>
    <row r="148" customFormat="false" ht="15" hidden="false" customHeight="false" outlineLevel="0" collapsed="false">
      <c r="A148" s="30"/>
      <c r="B148" s="31"/>
      <c r="C148" s="31"/>
      <c r="D148" s="31"/>
      <c r="E148" s="31"/>
    </row>
    <row r="149" customFormat="false" ht="15" hidden="false" customHeight="false" outlineLevel="0" collapsed="false">
      <c r="A149" s="30"/>
      <c r="B149" s="31"/>
      <c r="C149" s="31"/>
      <c r="D149" s="31"/>
      <c r="E149" s="31"/>
    </row>
    <row r="150" customFormat="false" ht="15" hidden="false" customHeight="false" outlineLevel="0" collapsed="false">
      <c r="A150" s="30"/>
      <c r="B150" s="31"/>
      <c r="C150" s="31"/>
      <c r="D150" s="31"/>
      <c r="E150" s="31"/>
    </row>
    <row r="151" customFormat="false" ht="15" hidden="false" customHeight="false" outlineLevel="0" collapsed="false">
      <c r="A151" s="30"/>
      <c r="B151" s="31"/>
      <c r="C151" s="31"/>
      <c r="D151" s="31"/>
      <c r="E151" s="31"/>
    </row>
    <row r="152" customFormat="false" ht="15" hidden="false" customHeight="false" outlineLevel="0" collapsed="false">
      <c r="A152" s="30"/>
      <c r="B152" s="31"/>
      <c r="C152" s="31"/>
      <c r="D152" s="31"/>
      <c r="E152" s="31"/>
    </row>
    <row r="153" customFormat="false" ht="15" hidden="false" customHeight="false" outlineLevel="0" collapsed="false">
      <c r="A153" s="30"/>
      <c r="B153" s="31"/>
      <c r="C153" s="31"/>
      <c r="D153" s="31"/>
      <c r="E153" s="31"/>
    </row>
    <row r="154" customFormat="false" ht="15" hidden="false" customHeight="false" outlineLevel="0" collapsed="false">
      <c r="A154" s="30"/>
      <c r="B154" s="31"/>
      <c r="C154" s="31"/>
      <c r="D154" s="31"/>
      <c r="E154" s="31"/>
    </row>
    <row r="155" customFormat="false" ht="15" hidden="false" customHeight="false" outlineLevel="0" collapsed="false">
      <c r="A155" s="30"/>
      <c r="B155" s="31"/>
      <c r="C155" s="31"/>
      <c r="D155" s="31"/>
      <c r="E155" s="31"/>
    </row>
    <row r="156" customFormat="false" ht="15" hidden="false" customHeight="false" outlineLevel="0" collapsed="false">
      <c r="A156" s="30"/>
      <c r="B156" s="31"/>
      <c r="C156" s="31"/>
      <c r="D156" s="31"/>
      <c r="E156" s="31"/>
    </row>
    <row r="157" customFormat="false" ht="15" hidden="false" customHeight="false" outlineLevel="0" collapsed="false">
      <c r="A157" s="30"/>
      <c r="B157" s="31"/>
      <c r="C157" s="31"/>
      <c r="D157" s="31"/>
      <c r="E157" s="31"/>
    </row>
    <row r="158" customFormat="false" ht="15" hidden="false" customHeight="false" outlineLevel="0" collapsed="false">
      <c r="A158" s="30"/>
      <c r="B158" s="31"/>
      <c r="C158" s="31"/>
      <c r="D158" s="31"/>
      <c r="E158" s="31"/>
    </row>
    <row r="159" customFormat="false" ht="15" hidden="false" customHeight="false" outlineLevel="0" collapsed="false">
      <c r="A159" s="30"/>
      <c r="B159" s="31"/>
      <c r="C159" s="31"/>
      <c r="D159" s="31"/>
      <c r="E159" s="31"/>
    </row>
    <row r="160" customFormat="false" ht="15" hidden="false" customHeight="false" outlineLevel="0" collapsed="false">
      <c r="A160" s="30"/>
      <c r="B160" s="31"/>
      <c r="C160" s="31"/>
      <c r="D160" s="31"/>
      <c r="E160" s="31"/>
    </row>
    <row r="161" customFormat="false" ht="15" hidden="false" customHeight="false" outlineLevel="0" collapsed="false">
      <c r="A161" s="30"/>
      <c r="B161" s="31"/>
      <c r="C161" s="31"/>
      <c r="D161" s="31"/>
      <c r="E161" s="31"/>
    </row>
    <row r="162" customFormat="false" ht="15" hidden="false" customHeight="false" outlineLevel="0" collapsed="false">
      <c r="A162" s="30"/>
      <c r="B162" s="31"/>
      <c r="C162" s="31"/>
      <c r="D162" s="31"/>
      <c r="E162" s="31"/>
    </row>
    <row r="163" customFormat="false" ht="15" hidden="false" customHeight="false" outlineLevel="0" collapsed="false">
      <c r="A163" s="30"/>
      <c r="B163" s="31"/>
      <c r="C163" s="31"/>
      <c r="D163" s="31"/>
      <c r="E163" s="31"/>
    </row>
    <row r="164" customFormat="false" ht="15" hidden="false" customHeight="false" outlineLevel="0" collapsed="false">
      <c r="A164" s="30"/>
      <c r="B164" s="31"/>
      <c r="C164" s="31"/>
      <c r="D164" s="31"/>
      <c r="E164" s="31"/>
    </row>
    <row r="165" customFormat="false" ht="15" hidden="false" customHeight="false" outlineLevel="0" collapsed="false">
      <c r="A165" s="30"/>
      <c r="B165" s="31"/>
      <c r="C165" s="31"/>
      <c r="D165" s="31"/>
      <c r="E165" s="31"/>
    </row>
    <row r="166" customFormat="false" ht="15" hidden="false" customHeight="false" outlineLevel="0" collapsed="false">
      <c r="A166" s="30"/>
      <c r="B166" s="31"/>
      <c r="C166" s="31"/>
      <c r="D166" s="31"/>
      <c r="E166" s="31"/>
    </row>
    <row r="167" customFormat="false" ht="15" hidden="false" customHeight="false" outlineLevel="0" collapsed="false">
      <c r="C167" s="31"/>
      <c r="D167" s="31"/>
      <c r="E167" s="31"/>
    </row>
    <row r="168" customFormat="false" ht="15" hidden="false" customHeight="false" outlineLevel="0" collapsed="false">
      <c r="C168" s="31"/>
      <c r="D168" s="31"/>
      <c r="E168" s="31"/>
    </row>
    <row r="169" customFormat="false" ht="15" hidden="false" customHeight="false" outlineLevel="0" collapsed="false">
      <c r="C169" s="31"/>
      <c r="D169" s="31"/>
      <c r="E169" s="31"/>
    </row>
  </sheetData>
  <autoFilter ref="A1:F97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K120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6" activeCellId="0" sqref="D16"/>
    </sheetView>
  </sheetViews>
  <sheetFormatPr defaultRowHeight="15"/>
  <cols>
    <col collapsed="false" hidden="false" max="1" min="1" style="0" width="16.502024291498"/>
    <col collapsed="false" hidden="false" max="5" min="2" style="0" width="6.63562753036437"/>
    <col collapsed="false" hidden="false" max="6" min="6" style="0" width="6.36437246963563"/>
    <col collapsed="false" hidden="false" max="1025" min="7" style="0" width="8.12145748987854"/>
  </cols>
  <sheetData>
    <row r="1" customFormat="false" ht="15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K1" s="29" t="s">
        <v>216</v>
      </c>
    </row>
    <row r="2" customFormat="false" ht="13.8" hidden="false" customHeight="false" outlineLevel="0" collapsed="false">
      <c r="A2" s="32" t="s">
        <v>217</v>
      </c>
      <c r="B2" s="37" t="n">
        <v>0</v>
      </c>
      <c r="C2" s="37" t="n">
        <v>0</v>
      </c>
      <c r="D2" s="37" t="n">
        <v>0</v>
      </c>
      <c r="E2" s="37" t="n">
        <v>0</v>
      </c>
      <c r="G2" s="36"/>
    </row>
    <row r="3" customFormat="false" ht="13.8" hidden="false" customHeight="false" outlineLevel="0" collapsed="false">
      <c r="A3" s="32" t="s">
        <v>218</v>
      </c>
      <c r="B3" s="37" t="n">
        <v>0</v>
      </c>
      <c r="C3" s="37" t="n">
        <v>0</v>
      </c>
      <c r="D3" s="37" t="n">
        <v>0</v>
      </c>
      <c r="E3" s="37" t="n">
        <v>0</v>
      </c>
      <c r="G3" s="36"/>
    </row>
    <row r="4" customFormat="false" ht="13.8" hidden="false" customHeight="false" outlineLevel="0" collapsed="false">
      <c r="A4" s="32" t="s">
        <v>219</v>
      </c>
      <c r="B4" s="37" t="n">
        <v>0</v>
      </c>
      <c r="C4" s="37" t="n">
        <v>0</v>
      </c>
      <c r="D4" s="37" t="n">
        <v>0</v>
      </c>
      <c r="E4" s="37" t="n">
        <v>0</v>
      </c>
      <c r="G4" s="36"/>
    </row>
    <row r="5" customFormat="false" ht="13.8" hidden="false" customHeight="false" outlineLevel="0" collapsed="false">
      <c r="A5" s="32" t="s">
        <v>220</v>
      </c>
      <c r="B5" s="37" t="n">
        <v>0</v>
      </c>
      <c r="C5" s="37" t="n">
        <v>0</v>
      </c>
      <c r="D5" s="37" t="n">
        <v>0</v>
      </c>
      <c r="E5" s="37" t="n">
        <v>0</v>
      </c>
      <c r="G5" s="36"/>
    </row>
    <row r="6" customFormat="false" ht="13.8" hidden="false" customHeight="false" outlineLevel="0" collapsed="false">
      <c r="A6" s="32" t="s">
        <v>221</v>
      </c>
      <c r="B6" s="37" t="n">
        <v>0</v>
      </c>
      <c r="C6" s="37" t="n">
        <v>0</v>
      </c>
      <c r="D6" s="37" t="n">
        <v>0</v>
      </c>
      <c r="E6" s="37" t="n">
        <v>0</v>
      </c>
      <c r="G6" s="36"/>
    </row>
    <row r="7" customFormat="false" ht="13.8" hidden="false" customHeight="false" outlineLevel="0" collapsed="false">
      <c r="A7" s="32" t="s">
        <v>222</v>
      </c>
      <c r="B7" s="37" t="n">
        <v>0</v>
      </c>
      <c r="C7" s="37" t="n">
        <v>0</v>
      </c>
      <c r="D7" s="37" t="n">
        <v>0</v>
      </c>
      <c r="E7" s="37" t="n">
        <v>0</v>
      </c>
      <c r="G7" s="36"/>
    </row>
    <row r="8" customFormat="false" ht="13.8" hidden="false" customHeight="false" outlineLevel="0" collapsed="false">
      <c r="A8" s="32" t="s">
        <v>223</v>
      </c>
      <c r="B8" s="37" t="n">
        <v>0</v>
      </c>
      <c r="C8" s="37" t="n">
        <v>0</v>
      </c>
      <c r="D8" s="37" t="n">
        <v>0</v>
      </c>
      <c r="E8" s="37" t="n">
        <v>0</v>
      </c>
      <c r="G8" s="36"/>
    </row>
    <row r="9" customFormat="false" ht="13.8" hidden="false" customHeight="false" outlineLevel="0" collapsed="false">
      <c r="A9" s="0" t="s">
        <v>224</v>
      </c>
      <c r="B9" s="37" t="n">
        <v>0</v>
      </c>
      <c r="C9" s="37" t="n">
        <v>0</v>
      </c>
      <c r="D9" s="37" t="n">
        <v>0</v>
      </c>
      <c r="E9" s="37" t="n">
        <v>0</v>
      </c>
      <c r="G9" s="36"/>
    </row>
    <row r="10" customFormat="false" ht="13.8" hidden="false" customHeight="false" outlineLevel="0" collapsed="false">
      <c r="A10" s="0" t="s">
        <v>225</v>
      </c>
      <c r="B10" s="37" t="n">
        <v>0</v>
      </c>
      <c r="C10" s="37" t="n">
        <v>0</v>
      </c>
      <c r="D10" s="37" t="n">
        <v>0</v>
      </c>
      <c r="E10" s="37" t="n">
        <v>0</v>
      </c>
      <c r="G10" s="36"/>
    </row>
    <row r="11" customFormat="false" ht="13.8" hidden="false" customHeight="false" outlineLevel="0" collapsed="false">
      <c r="A11" s="0" t="s">
        <v>226</v>
      </c>
      <c r="B11" s="37" t="n">
        <v>0</v>
      </c>
      <c r="C11" s="37" t="n">
        <v>0</v>
      </c>
      <c r="D11" s="37" t="n">
        <v>0</v>
      </c>
      <c r="E11" s="37" t="n">
        <v>0</v>
      </c>
      <c r="G11" s="36"/>
    </row>
    <row r="12" customFormat="false" ht="13.8" hidden="false" customHeight="false" outlineLevel="0" collapsed="false">
      <c r="A12" s="0" t="s">
        <v>227</v>
      </c>
      <c r="B12" s="37" t="n">
        <v>0</v>
      </c>
      <c r="C12" s="37" t="n">
        <v>0</v>
      </c>
      <c r="D12" s="37" t="n">
        <v>0</v>
      </c>
      <c r="E12" s="37" t="n">
        <v>0</v>
      </c>
      <c r="G12" s="36"/>
    </row>
    <row r="13" customFormat="false" ht="13.8" hidden="false" customHeight="false" outlineLevel="0" collapsed="false">
      <c r="A13" s="0" t="s">
        <v>228</v>
      </c>
      <c r="B13" s="37" t="n">
        <v>0</v>
      </c>
      <c r="C13" s="37" t="n">
        <v>0</v>
      </c>
      <c r="D13" s="37" t="n">
        <v>0</v>
      </c>
      <c r="E13" s="37" t="n">
        <v>0</v>
      </c>
      <c r="G13" s="36"/>
    </row>
    <row r="14" customFormat="false" ht="13.8" hidden="false" customHeight="false" outlineLevel="0" collapsed="false">
      <c r="A14" s="0" t="s">
        <v>229</v>
      </c>
      <c r="B14" s="37" t="n">
        <v>0</v>
      </c>
      <c r="C14" s="37" t="n">
        <v>0</v>
      </c>
      <c r="D14" s="37" t="n">
        <v>0</v>
      </c>
      <c r="E14" s="37" t="n">
        <v>0</v>
      </c>
      <c r="G14" s="36"/>
    </row>
    <row r="15" customFormat="false" ht="13.8" hidden="false" customHeight="false" outlineLevel="0" collapsed="false">
      <c r="A15" s="0" t="s">
        <v>230</v>
      </c>
      <c r="B15" s="37" t="n">
        <v>0</v>
      </c>
      <c r="C15" s="37" t="n">
        <v>0</v>
      </c>
      <c r="D15" s="37" t="n">
        <v>0</v>
      </c>
      <c r="E15" s="37" t="n">
        <v>0</v>
      </c>
      <c r="G15" s="36"/>
    </row>
    <row r="16" customFormat="false" ht="13.8" hidden="false" customHeight="false" outlineLevel="0" collapsed="false">
      <c r="A16" s="0" t="s">
        <v>231</v>
      </c>
      <c r="B16" s="37" t="n">
        <v>0</v>
      </c>
      <c r="C16" s="37" t="n">
        <v>0</v>
      </c>
      <c r="D16" s="37" t="n">
        <v>0</v>
      </c>
      <c r="E16" s="37" t="n">
        <v>0</v>
      </c>
      <c r="G16" s="36"/>
    </row>
    <row r="17" customFormat="false" ht="13.8" hidden="false" customHeight="false" outlineLevel="0" collapsed="false">
      <c r="A17" s="0" t="s">
        <v>232</v>
      </c>
      <c r="B17" s="37" t="n">
        <v>0</v>
      </c>
      <c r="C17" s="37" t="n">
        <v>0</v>
      </c>
      <c r="D17" s="37" t="n">
        <v>0</v>
      </c>
      <c r="E17" s="37" t="n">
        <v>0</v>
      </c>
      <c r="G17" s="36"/>
    </row>
    <row r="18" customFormat="false" ht="13.8" hidden="false" customHeight="false" outlineLevel="0" collapsed="false">
      <c r="A18" s="0" t="s">
        <v>233</v>
      </c>
      <c r="B18" s="37" t="n">
        <v>0</v>
      </c>
      <c r="C18" s="37" t="n">
        <v>0</v>
      </c>
      <c r="D18" s="37" t="n">
        <v>0</v>
      </c>
      <c r="E18" s="37" t="n">
        <v>0</v>
      </c>
      <c r="G18" s="36"/>
    </row>
    <row r="19" customFormat="false" ht="13.8" hidden="false" customHeight="false" outlineLevel="0" collapsed="false">
      <c r="A19" s="0" t="s">
        <v>234</v>
      </c>
      <c r="B19" s="37" t="n">
        <v>0</v>
      </c>
      <c r="C19" s="37" t="n">
        <v>0</v>
      </c>
      <c r="D19" s="37" t="n">
        <v>0</v>
      </c>
      <c r="E19" s="37" t="n">
        <v>0</v>
      </c>
      <c r="G19" s="36"/>
    </row>
    <row r="20" customFormat="false" ht="13.8" hidden="false" customHeight="false" outlineLevel="0" collapsed="false">
      <c r="A20" s="0" t="s">
        <v>235</v>
      </c>
      <c r="B20" s="37" t="n">
        <v>0</v>
      </c>
      <c r="C20" s="37" t="n">
        <v>0</v>
      </c>
      <c r="D20" s="37" t="n">
        <v>0</v>
      </c>
      <c r="E20" s="37" t="n">
        <v>0</v>
      </c>
      <c r="G20" s="36"/>
    </row>
    <row r="21" customFormat="false" ht="13.8" hidden="false" customHeight="false" outlineLevel="0" collapsed="false">
      <c r="A21" s="0" t="s">
        <v>236</v>
      </c>
      <c r="B21" s="37" t="n">
        <v>0</v>
      </c>
      <c r="C21" s="37" t="n">
        <v>0</v>
      </c>
      <c r="D21" s="37" t="n">
        <v>0</v>
      </c>
      <c r="E21" s="37" t="n">
        <v>0</v>
      </c>
      <c r="G21" s="36"/>
    </row>
    <row r="22" customFormat="false" ht="13.8" hidden="false" customHeight="false" outlineLevel="0" collapsed="false">
      <c r="A22" s="0" t="s">
        <v>237</v>
      </c>
      <c r="B22" s="37" t="n">
        <v>0</v>
      </c>
      <c r="C22" s="37" t="n">
        <v>0</v>
      </c>
      <c r="D22" s="37" t="n">
        <v>0</v>
      </c>
      <c r="E22" s="37" t="n">
        <v>0</v>
      </c>
      <c r="G22" s="36"/>
    </row>
    <row r="23" customFormat="false" ht="13.8" hidden="false" customHeight="false" outlineLevel="0" collapsed="false">
      <c r="A23" s="0" t="s">
        <v>238</v>
      </c>
      <c r="B23" s="37" t="n">
        <v>0</v>
      </c>
      <c r="C23" s="37" t="n">
        <v>0</v>
      </c>
      <c r="D23" s="37" t="n">
        <v>0</v>
      </c>
      <c r="E23" s="37" t="n">
        <v>0</v>
      </c>
      <c r="G23" s="36"/>
    </row>
    <row r="24" customFormat="false" ht="13.8" hidden="false" customHeight="false" outlineLevel="0" collapsed="false">
      <c r="A24" s="0" t="s">
        <v>239</v>
      </c>
      <c r="B24" s="37" t="n">
        <v>0</v>
      </c>
      <c r="C24" s="37" t="n">
        <v>0</v>
      </c>
      <c r="D24" s="37" t="n">
        <v>0</v>
      </c>
      <c r="E24" s="37" t="n">
        <v>0</v>
      </c>
      <c r="G24" s="36"/>
    </row>
    <row r="25" customFormat="false" ht="13.8" hidden="false" customHeight="false" outlineLevel="0" collapsed="false">
      <c r="A25" s="0" t="s">
        <v>240</v>
      </c>
      <c r="B25" s="37" t="n">
        <v>0</v>
      </c>
      <c r="C25" s="37" t="n">
        <v>0</v>
      </c>
      <c r="D25" s="37" t="n">
        <v>0</v>
      </c>
      <c r="E25" s="37" t="n">
        <v>0</v>
      </c>
      <c r="G25" s="36"/>
    </row>
    <row r="26" customFormat="false" ht="13.8" hidden="false" customHeight="false" outlineLevel="0" collapsed="false">
      <c r="A26" s="0" t="s">
        <v>241</v>
      </c>
      <c r="B26" s="37" t="n">
        <v>0</v>
      </c>
      <c r="C26" s="37" t="n">
        <v>0</v>
      </c>
      <c r="D26" s="37" t="n">
        <v>0</v>
      </c>
      <c r="E26" s="37" t="n">
        <v>0</v>
      </c>
      <c r="G26" s="36"/>
    </row>
    <row r="27" customFormat="false" ht="13.8" hidden="false" customHeight="false" outlineLevel="0" collapsed="false">
      <c r="A27" s="0" t="s">
        <v>242</v>
      </c>
      <c r="B27" s="37" t="n">
        <v>0</v>
      </c>
      <c r="C27" s="37" t="n">
        <v>0</v>
      </c>
      <c r="D27" s="37" t="n">
        <v>0</v>
      </c>
      <c r="E27" s="37" t="n">
        <v>0</v>
      </c>
      <c r="G27" s="36"/>
    </row>
    <row r="28" customFormat="false" ht="13.8" hidden="false" customHeight="false" outlineLevel="0" collapsed="false">
      <c r="A28" s="0" t="s">
        <v>243</v>
      </c>
      <c r="B28" s="37" t="n">
        <v>0</v>
      </c>
      <c r="C28" s="37" t="n">
        <v>0</v>
      </c>
      <c r="D28" s="37" t="n">
        <v>0</v>
      </c>
      <c r="E28" s="37" t="n">
        <v>0</v>
      </c>
      <c r="G28" s="36"/>
    </row>
    <row r="29" customFormat="false" ht="13.8" hidden="false" customHeight="false" outlineLevel="0" collapsed="false">
      <c r="A29" s="0" t="s">
        <v>244</v>
      </c>
      <c r="B29" s="37" t="n">
        <v>0</v>
      </c>
      <c r="C29" s="37" t="n">
        <v>0</v>
      </c>
      <c r="D29" s="37" t="n">
        <v>0</v>
      </c>
      <c r="E29" s="37" t="n">
        <v>0</v>
      </c>
      <c r="G29" s="36"/>
    </row>
    <row r="30" customFormat="false" ht="13.8" hidden="false" customHeight="false" outlineLevel="0" collapsed="false">
      <c r="A30" s="0" t="s">
        <v>245</v>
      </c>
      <c r="B30" s="37" t="n">
        <v>0</v>
      </c>
      <c r="C30" s="37" t="n">
        <v>0</v>
      </c>
      <c r="D30" s="37" t="n">
        <v>0</v>
      </c>
      <c r="E30" s="37" t="n">
        <v>0</v>
      </c>
      <c r="G30" s="36"/>
    </row>
    <row r="31" customFormat="false" ht="13.8" hidden="false" customHeight="false" outlineLevel="0" collapsed="false">
      <c r="A31" s="0" t="s">
        <v>246</v>
      </c>
      <c r="B31" s="37" t="n">
        <v>0</v>
      </c>
      <c r="C31" s="37" t="n">
        <v>0</v>
      </c>
      <c r="D31" s="37" t="n">
        <v>0</v>
      </c>
      <c r="E31" s="37" t="n">
        <v>0</v>
      </c>
      <c r="G31" s="36"/>
    </row>
    <row r="32" customFormat="false" ht="13.8" hidden="false" customHeight="false" outlineLevel="0" collapsed="false">
      <c r="A32" s="0" t="s">
        <v>247</v>
      </c>
      <c r="B32" s="37" t="n">
        <v>0</v>
      </c>
      <c r="C32" s="37" t="n">
        <v>0</v>
      </c>
      <c r="D32" s="37" t="n">
        <v>0</v>
      </c>
      <c r="E32" s="37" t="n">
        <v>0</v>
      </c>
      <c r="G32" s="36"/>
    </row>
    <row r="33" customFormat="false" ht="13.8" hidden="false" customHeight="false" outlineLevel="0" collapsed="false">
      <c r="A33" s="0" t="s">
        <v>248</v>
      </c>
      <c r="B33" s="37" t="n">
        <v>0</v>
      </c>
      <c r="C33" s="37" t="n">
        <v>0</v>
      </c>
      <c r="D33" s="37" t="n">
        <v>0</v>
      </c>
      <c r="E33" s="37" t="n">
        <v>0</v>
      </c>
      <c r="G33" s="36"/>
    </row>
    <row r="34" customFormat="false" ht="13.8" hidden="false" customHeight="false" outlineLevel="0" collapsed="false">
      <c r="A34" s="0" t="s">
        <v>249</v>
      </c>
      <c r="B34" s="37" t="n">
        <v>0</v>
      </c>
      <c r="C34" s="37" t="n">
        <v>0</v>
      </c>
      <c r="D34" s="37" t="n">
        <v>0</v>
      </c>
      <c r="E34" s="37" t="n">
        <v>0</v>
      </c>
      <c r="G34" s="36"/>
    </row>
    <row r="35" customFormat="false" ht="13.8" hidden="false" customHeight="false" outlineLevel="0" collapsed="false">
      <c r="A35" s="0" t="s">
        <v>250</v>
      </c>
      <c r="B35" s="37" t="n">
        <v>0</v>
      </c>
      <c r="C35" s="37" t="n">
        <v>0</v>
      </c>
      <c r="D35" s="37" t="n">
        <v>0</v>
      </c>
      <c r="E35" s="37" t="n">
        <v>0</v>
      </c>
      <c r="G35" s="36"/>
    </row>
    <row r="36" customFormat="false" ht="13.8" hidden="false" customHeight="false" outlineLevel="0" collapsed="false">
      <c r="A36" s="0" t="s">
        <v>251</v>
      </c>
      <c r="B36" s="37" t="n">
        <v>0</v>
      </c>
      <c r="C36" s="37" t="n">
        <v>0</v>
      </c>
      <c r="D36" s="37" t="n">
        <v>0</v>
      </c>
      <c r="E36" s="37" t="n">
        <v>0</v>
      </c>
      <c r="G36" s="36"/>
    </row>
    <row r="37" customFormat="false" ht="13.8" hidden="false" customHeight="false" outlineLevel="0" collapsed="false">
      <c r="A37" s="0" t="s">
        <v>252</v>
      </c>
      <c r="B37" s="37" t="n">
        <v>0</v>
      </c>
      <c r="C37" s="37" t="n">
        <v>0</v>
      </c>
      <c r="D37" s="37" t="n">
        <v>0</v>
      </c>
      <c r="E37" s="37" t="n">
        <v>0</v>
      </c>
      <c r="G37" s="36"/>
    </row>
    <row r="38" customFormat="false" ht="13.8" hidden="false" customHeight="false" outlineLevel="0" collapsed="false">
      <c r="A38" s="0" t="s">
        <v>253</v>
      </c>
      <c r="B38" s="37" t="n">
        <v>0</v>
      </c>
      <c r="C38" s="37" t="n">
        <v>0</v>
      </c>
      <c r="D38" s="37" t="n">
        <v>0</v>
      </c>
      <c r="E38" s="37" t="n">
        <v>0</v>
      </c>
      <c r="G38" s="36"/>
    </row>
    <row r="39" customFormat="false" ht="13.8" hidden="false" customHeight="false" outlineLevel="0" collapsed="false">
      <c r="A39" s="0" t="s">
        <v>254</v>
      </c>
      <c r="B39" s="37" t="n">
        <v>0</v>
      </c>
      <c r="C39" s="37" t="n">
        <v>0</v>
      </c>
      <c r="D39" s="37" t="n">
        <v>0</v>
      </c>
      <c r="E39" s="37" t="n">
        <v>0</v>
      </c>
      <c r="G39" s="36"/>
    </row>
    <row r="40" customFormat="false" ht="13.8" hidden="false" customHeight="false" outlineLevel="0" collapsed="false">
      <c r="A40" s="0" t="s">
        <v>255</v>
      </c>
      <c r="B40" s="37" t="n">
        <v>0</v>
      </c>
      <c r="C40" s="37" t="n">
        <v>0</v>
      </c>
      <c r="D40" s="37" t="n">
        <v>0</v>
      </c>
      <c r="E40" s="37" t="n">
        <v>0</v>
      </c>
      <c r="G40" s="36"/>
    </row>
    <row r="41" customFormat="false" ht="13.8" hidden="false" customHeight="false" outlineLevel="0" collapsed="false">
      <c r="A41" s="0" t="s">
        <v>256</v>
      </c>
      <c r="B41" s="37" t="n">
        <v>0</v>
      </c>
      <c r="C41" s="37" t="n">
        <v>0</v>
      </c>
      <c r="D41" s="37" t="n">
        <v>0</v>
      </c>
      <c r="E41" s="37" t="n">
        <v>0</v>
      </c>
      <c r="G41" s="36"/>
    </row>
    <row r="42" customFormat="false" ht="13.8" hidden="false" customHeight="false" outlineLevel="0" collapsed="false">
      <c r="A42" s="0" t="s">
        <v>257</v>
      </c>
      <c r="B42" s="37" t="n">
        <v>0</v>
      </c>
      <c r="C42" s="37" t="n">
        <v>0</v>
      </c>
      <c r="D42" s="37" t="n">
        <v>0</v>
      </c>
      <c r="E42" s="37" t="n">
        <v>0</v>
      </c>
      <c r="G42" s="36"/>
    </row>
    <row r="43" customFormat="false" ht="13.8" hidden="false" customHeight="false" outlineLevel="0" collapsed="false">
      <c r="A43" s="0" t="s">
        <v>258</v>
      </c>
      <c r="B43" s="37" t="n">
        <v>0</v>
      </c>
      <c r="C43" s="37" t="n">
        <v>0</v>
      </c>
      <c r="D43" s="37" t="n">
        <v>0</v>
      </c>
      <c r="E43" s="37" t="n">
        <v>0</v>
      </c>
      <c r="G43" s="36"/>
    </row>
    <row r="44" customFormat="false" ht="13.8" hidden="false" customHeight="false" outlineLevel="0" collapsed="false">
      <c r="A44" s="0" t="s">
        <v>259</v>
      </c>
      <c r="B44" s="37" t="n">
        <v>0</v>
      </c>
      <c r="C44" s="37" t="n">
        <v>0</v>
      </c>
      <c r="D44" s="37" t="n">
        <v>0</v>
      </c>
      <c r="E44" s="37" t="n">
        <v>0</v>
      </c>
      <c r="G44" s="36"/>
    </row>
    <row r="45" customFormat="false" ht="13.8" hidden="false" customHeight="false" outlineLevel="0" collapsed="false">
      <c r="A45" s="0" t="s">
        <v>260</v>
      </c>
      <c r="B45" s="37" t="n">
        <v>0</v>
      </c>
      <c r="C45" s="37" t="n">
        <v>0</v>
      </c>
      <c r="D45" s="37" t="n">
        <v>0</v>
      </c>
      <c r="E45" s="37" t="n">
        <v>0</v>
      </c>
      <c r="G45" s="36"/>
    </row>
    <row r="46" customFormat="false" ht="13.8" hidden="false" customHeight="false" outlineLevel="0" collapsed="false">
      <c r="A46" s="0" t="s">
        <v>261</v>
      </c>
      <c r="B46" s="37" t="n">
        <v>0</v>
      </c>
      <c r="C46" s="37" t="n">
        <v>0</v>
      </c>
      <c r="D46" s="37" t="n">
        <v>0</v>
      </c>
      <c r="E46" s="37" t="n">
        <v>0</v>
      </c>
      <c r="G46" s="36"/>
    </row>
    <row r="47" customFormat="false" ht="13.8" hidden="false" customHeight="false" outlineLevel="0" collapsed="false">
      <c r="A47" s="0" t="s">
        <v>262</v>
      </c>
      <c r="B47" s="37" t="n">
        <v>0</v>
      </c>
      <c r="C47" s="37" t="n">
        <v>0</v>
      </c>
      <c r="D47" s="37" t="n">
        <v>0</v>
      </c>
      <c r="E47" s="37" t="n">
        <v>0</v>
      </c>
      <c r="G47" s="36"/>
    </row>
    <row r="48" customFormat="false" ht="13.8" hidden="false" customHeight="false" outlineLevel="0" collapsed="false">
      <c r="A48" s="0" t="s">
        <v>263</v>
      </c>
      <c r="B48" s="37" t="n">
        <v>0</v>
      </c>
      <c r="C48" s="37" t="n">
        <v>0</v>
      </c>
      <c r="D48" s="37" t="n">
        <v>0</v>
      </c>
      <c r="E48" s="37" t="n">
        <v>0</v>
      </c>
      <c r="G48" s="36"/>
    </row>
    <row r="49" customFormat="false" ht="13.8" hidden="false" customHeight="false" outlineLevel="0" collapsed="false">
      <c r="A49" s="0" t="s">
        <v>264</v>
      </c>
      <c r="B49" s="37" t="n">
        <v>0</v>
      </c>
      <c r="C49" s="37" t="n">
        <v>0</v>
      </c>
      <c r="D49" s="37" t="n">
        <v>0</v>
      </c>
      <c r="E49" s="37" t="n">
        <v>0</v>
      </c>
      <c r="G49" s="36"/>
    </row>
    <row r="50" customFormat="false" ht="13.8" hidden="false" customHeight="false" outlineLevel="0" collapsed="false">
      <c r="A50" s="0" t="s">
        <v>265</v>
      </c>
      <c r="B50" s="37" t="n">
        <v>0</v>
      </c>
      <c r="C50" s="37" t="n">
        <v>0</v>
      </c>
      <c r="D50" s="37" t="n">
        <v>0</v>
      </c>
      <c r="E50" s="37" t="n">
        <v>0</v>
      </c>
      <c r="G50" s="36"/>
    </row>
    <row r="51" customFormat="false" ht="13.8" hidden="false" customHeight="false" outlineLevel="0" collapsed="false">
      <c r="A51" s="0" t="s">
        <v>266</v>
      </c>
      <c r="B51" s="37" t="n">
        <v>0</v>
      </c>
      <c r="C51" s="37" t="n">
        <v>0</v>
      </c>
      <c r="D51" s="37" t="n">
        <v>0</v>
      </c>
      <c r="E51" s="37" t="n">
        <v>0</v>
      </c>
      <c r="G51" s="36"/>
    </row>
    <row r="52" customFormat="false" ht="13.8" hidden="false" customHeight="false" outlineLevel="0" collapsed="false">
      <c r="A52" s="0" t="s">
        <v>267</v>
      </c>
      <c r="B52" s="37" t="n">
        <v>0</v>
      </c>
      <c r="C52" s="37" t="n">
        <v>0</v>
      </c>
      <c r="D52" s="37" t="n">
        <v>0</v>
      </c>
      <c r="E52" s="37" t="n">
        <v>0</v>
      </c>
      <c r="G52" s="36"/>
    </row>
    <row r="53" customFormat="false" ht="13.8" hidden="false" customHeight="false" outlineLevel="0" collapsed="false">
      <c r="A53" s="0" t="s">
        <v>268</v>
      </c>
      <c r="B53" s="37" t="n">
        <v>0</v>
      </c>
      <c r="C53" s="37" t="n">
        <v>0</v>
      </c>
      <c r="D53" s="37" t="n">
        <v>0</v>
      </c>
      <c r="E53" s="37" t="n">
        <v>0</v>
      </c>
      <c r="G53" s="36"/>
    </row>
    <row r="54" customFormat="false" ht="13.8" hidden="false" customHeight="false" outlineLevel="0" collapsed="false">
      <c r="A54" s="0" t="s">
        <v>269</v>
      </c>
      <c r="B54" s="37" t="n">
        <v>0</v>
      </c>
      <c r="C54" s="37" t="n">
        <v>0</v>
      </c>
      <c r="D54" s="37" t="n">
        <v>0</v>
      </c>
      <c r="E54" s="37" t="n">
        <v>0</v>
      </c>
      <c r="G54" s="36"/>
    </row>
    <row r="55" customFormat="false" ht="13.8" hidden="false" customHeight="false" outlineLevel="0" collapsed="false">
      <c r="A55" s="0" t="s">
        <v>270</v>
      </c>
      <c r="B55" s="37" t="n">
        <v>0</v>
      </c>
      <c r="C55" s="37" t="n">
        <v>0</v>
      </c>
      <c r="D55" s="37" t="n">
        <v>0</v>
      </c>
      <c r="E55" s="37" t="n">
        <v>0</v>
      </c>
      <c r="G55" s="36"/>
    </row>
    <row r="56" customFormat="false" ht="13.8" hidden="false" customHeight="false" outlineLevel="0" collapsed="false">
      <c r="A56" s="0" t="s">
        <v>271</v>
      </c>
      <c r="B56" s="37" t="n">
        <v>0</v>
      </c>
      <c r="C56" s="37" t="n">
        <v>0</v>
      </c>
      <c r="D56" s="37" t="n">
        <v>0</v>
      </c>
      <c r="E56" s="37" t="n">
        <v>0</v>
      </c>
      <c r="G56" s="36"/>
    </row>
    <row r="57" customFormat="false" ht="13.8" hidden="false" customHeight="false" outlineLevel="0" collapsed="false">
      <c r="A57" s="0" t="s">
        <v>272</v>
      </c>
      <c r="B57" s="37" t="n">
        <v>0</v>
      </c>
      <c r="C57" s="37" t="n">
        <v>0</v>
      </c>
      <c r="D57" s="37" t="n">
        <v>0</v>
      </c>
      <c r="E57" s="37" t="n">
        <v>0</v>
      </c>
      <c r="G57" s="36"/>
    </row>
    <row r="58" customFormat="false" ht="13.8" hidden="false" customHeight="false" outlineLevel="0" collapsed="false">
      <c r="A58" s="0" t="s">
        <v>273</v>
      </c>
      <c r="B58" s="37" t="n">
        <v>0</v>
      </c>
      <c r="C58" s="37" t="n">
        <v>0</v>
      </c>
      <c r="D58" s="37" t="n">
        <v>0</v>
      </c>
      <c r="E58" s="37" t="n">
        <v>0</v>
      </c>
      <c r="G58" s="36"/>
    </row>
    <row r="59" customFormat="false" ht="13.8" hidden="false" customHeight="false" outlineLevel="0" collapsed="false">
      <c r="A59" s="0" t="s">
        <v>274</v>
      </c>
      <c r="B59" s="37" t="n">
        <v>0</v>
      </c>
      <c r="C59" s="37" t="n">
        <v>0</v>
      </c>
      <c r="D59" s="37" t="n">
        <v>0</v>
      </c>
      <c r="E59" s="37" t="n">
        <v>0</v>
      </c>
      <c r="G59" s="36"/>
    </row>
    <row r="60" customFormat="false" ht="13.8" hidden="false" customHeight="false" outlineLevel="0" collapsed="false">
      <c r="A60" s="0" t="s">
        <v>275</v>
      </c>
      <c r="B60" s="37" t="n">
        <v>0</v>
      </c>
      <c r="C60" s="37" t="n">
        <v>0</v>
      </c>
      <c r="D60" s="37" t="n">
        <v>0</v>
      </c>
      <c r="E60" s="37" t="n">
        <v>0</v>
      </c>
      <c r="G60" s="36"/>
    </row>
    <row r="61" customFormat="false" ht="13.8" hidden="false" customHeight="false" outlineLevel="0" collapsed="false">
      <c r="A61" s="0" t="s">
        <v>276</v>
      </c>
      <c r="B61" s="37" t="n">
        <v>0</v>
      </c>
      <c r="C61" s="37" t="n">
        <v>0</v>
      </c>
      <c r="D61" s="37" t="n">
        <v>0</v>
      </c>
      <c r="E61" s="37" t="n">
        <v>0</v>
      </c>
      <c r="G61" s="36"/>
    </row>
    <row r="62" customFormat="false" ht="13.8" hidden="false" customHeight="false" outlineLevel="0" collapsed="false">
      <c r="A62" s="0" t="s">
        <v>277</v>
      </c>
      <c r="B62" s="37" t="n">
        <v>0</v>
      </c>
      <c r="C62" s="37" t="n">
        <v>0</v>
      </c>
      <c r="D62" s="37" t="n">
        <v>0</v>
      </c>
      <c r="E62" s="37" t="n">
        <v>0</v>
      </c>
      <c r="G62" s="36"/>
    </row>
    <row r="63" customFormat="false" ht="13.8" hidden="false" customHeight="false" outlineLevel="0" collapsed="false">
      <c r="A63" s="0" t="s">
        <v>278</v>
      </c>
      <c r="B63" s="37" t="n">
        <v>0</v>
      </c>
      <c r="C63" s="37" t="n">
        <v>0</v>
      </c>
      <c r="D63" s="37" t="n">
        <v>0</v>
      </c>
      <c r="E63" s="37" t="n">
        <v>0</v>
      </c>
      <c r="G63" s="36"/>
    </row>
    <row r="64" customFormat="false" ht="13.8" hidden="false" customHeight="false" outlineLevel="0" collapsed="false">
      <c r="A64" s="0" t="s">
        <v>279</v>
      </c>
      <c r="B64" s="37" t="n">
        <v>0</v>
      </c>
      <c r="C64" s="37" t="n">
        <v>0</v>
      </c>
      <c r="D64" s="37" t="n">
        <v>0</v>
      </c>
      <c r="E64" s="37" t="n">
        <v>0</v>
      </c>
      <c r="G64" s="36"/>
    </row>
    <row r="65" customFormat="false" ht="13.8" hidden="false" customHeight="false" outlineLevel="0" collapsed="false">
      <c r="A65" s="0" t="s">
        <v>280</v>
      </c>
      <c r="B65" s="37" t="n">
        <v>0</v>
      </c>
      <c r="C65" s="37" t="n">
        <v>0</v>
      </c>
      <c r="D65" s="37" t="n">
        <v>0</v>
      </c>
      <c r="E65" s="37" t="n">
        <v>0</v>
      </c>
      <c r="G65" s="36"/>
    </row>
    <row r="66" customFormat="false" ht="13.8" hidden="false" customHeight="false" outlineLevel="0" collapsed="false">
      <c r="A66" s="0" t="s">
        <v>281</v>
      </c>
      <c r="B66" s="37" t="n">
        <v>0</v>
      </c>
      <c r="C66" s="37" t="n">
        <v>0</v>
      </c>
      <c r="D66" s="37" t="n">
        <v>0</v>
      </c>
      <c r="E66" s="37" t="n">
        <v>0</v>
      </c>
      <c r="G66" s="36"/>
    </row>
    <row r="67" customFormat="false" ht="13.8" hidden="false" customHeight="false" outlineLevel="0" collapsed="false">
      <c r="A67" s="0" t="s">
        <v>282</v>
      </c>
      <c r="B67" s="37" t="n">
        <v>0</v>
      </c>
      <c r="C67" s="37" t="n">
        <v>0</v>
      </c>
      <c r="D67" s="37" t="n">
        <v>0</v>
      </c>
      <c r="E67" s="37" t="n">
        <v>0</v>
      </c>
      <c r="G67" s="36"/>
    </row>
    <row r="68" customFormat="false" ht="13.8" hidden="false" customHeight="false" outlineLevel="0" collapsed="false">
      <c r="A68" s="0" t="s">
        <v>283</v>
      </c>
      <c r="B68" s="37" t="n">
        <v>0</v>
      </c>
      <c r="C68" s="37" t="n">
        <v>0</v>
      </c>
      <c r="D68" s="37" t="n">
        <v>0</v>
      </c>
      <c r="E68" s="37" t="n">
        <v>0</v>
      </c>
      <c r="G68" s="36"/>
    </row>
    <row r="69" customFormat="false" ht="13.8" hidden="false" customHeight="false" outlineLevel="0" collapsed="false">
      <c r="A69" s="0" t="s">
        <v>284</v>
      </c>
      <c r="B69" s="37" t="n">
        <v>0</v>
      </c>
      <c r="C69" s="37" t="n">
        <v>0</v>
      </c>
      <c r="D69" s="37" t="n">
        <v>0</v>
      </c>
      <c r="E69" s="37" t="n">
        <v>0</v>
      </c>
      <c r="G69" s="36"/>
    </row>
    <row r="70" customFormat="false" ht="13.8" hidden="false" customHeight="false" outlineLevel="0" collapsed="false">
      <c r="A70" s="0" t="s">
        <v>285</v>
      </c>
      <c r="B70" s="37" t="n">
        <v>0</v>
      </c>
      <c r="C70" s="37" t="n">
        <v>0</v>
      </c>
      <c r="D70" s="37" t="n">
        <v>0</v>
      </c>
      <c r="E70" s="37" t="n">
        <v>0</v>
      </c>
      <c r="G70" s="36"/>
    </row>
    <row r="71" customFormat="false" ht="13.8" hidden="false" customHeight="false" outlineLevel="0" collapsed="false">
      <c r="A71" s="0" t="s">
        <v>286</v>
      </c>
      <c r="B71" s="37" t="n">
        <v>0</v>
      </c>
      <c r="C71" s="37" t="n">
        <v>0</v>
      </c>
      <c r="D71" s="37" t="n">
        <v>0</v>
      </c>
      <c r="E71" s="37" t="n">
        <v>0</v>
      </c>
      <c r="G71" s="36"/>
    </row>
    <row r="72" customFormat="false" ht="13.8" hidden="false" customHeight="false" outlineLevel="0" collapsed="false">
      <c r="A72" s="0" t="s">
        <v>287</v>
      </c>
      <c r="B72" s="37" t="n">
        <v>0</v>
      </c>
      <c r="C72" s="37" t="n">
        <v>0</v>
      </c>
      <c r="D72" s="37" t="n">
        <v>0</v>
      </c>
      <c r="E72" s="37" t="n">
        <v>0</v>
      </c>
      <c r="G72" s="36"/>
    </row>
    <row r="73" customFormat="false" ht="13.8" hidden="false" customHeight="false" outlineLevel="0" collapsed="false">
      <c r="A73" s="0" t="s">
        <v>288</v>
      </c>
      <c r="B73" s="37" t="n">
        <v>0</v>
      </c>
      <c r="C73" s="37" t="n">
        <v>0</v>
      </c>
      <c r="D73" s="37" t="n">
        <v>0</v>
      </c>
      <c r="E73" s="37" t="n">
        <v>0</v>
      </c>
      <c r="G73" s="36"/>
    </row>
    <row r="74" customFormat="false" ht="13.8" hidden="false" customHeight="false" outlineLevel="0" collapsed="false">
      <c r="A74" s="0" t="s">
        <v>289</v>
      </c>
      <c r="B74" s="37" t="n">
        <v>0</v>
      </c>
      <c r="C74" s="37" t="n">
        <v>0</v>
      </c>
      <c r="D74" s="37" t="n">
        <v>0</v>
      </c>
      <c r="E74" s="37" t="n">
        <v>0</v>
      </c>
      <c r="G74" s="36"/>
    </row>
    <row r="75" customFormat="false" ht="13.8" hidden="false" customHeight="false" outlineLevel="0" collapsed="false">
      <c r="A75" s="0" t="s">
        <v>290</v>
      </c>
      <c r="B75" s="37" t="n">
        <v>0</v>
      </c>
      <c r="C75" s="37" t="n">
        <v>0</v>
      </c>
      <c r="D75" s="37" t="n">
        <v>0</v>
      </c>
      <c r="E75" s="37" t="n">
        <v>0</v>
      </c>
      <c r="G75" s="36"/>
    </row>
    <row r="76" customFormat="false" ht="13.8" hidden="false" customHeight="false" outlineLevel="0" collapsed="false">
      <c r="A76" s="0" t="s">
        <v>291</v>
      </c>
      <c r="B76" s="37" t="n">
        <v>0</v>
      </c>
      <c r="C76" s="37" t="n">
        <v>0</v>
      </c>
      <c r="D76" s="37" t="n">
        <v>0</v>
      </c>
      <c r="E76" s="37" t="n">
        <v>0</v>
      </c>
      <c r="G76" s="36"/>
    </row>
    <row r="77" customFormat="false" ht="13.8" hidden="false" customHeight="false" outlineLevel="0" collapsed="false">
      <c r="A77" s="0" t="s">
        <v>292</v>
      </c>
      <c r="B77" s="37" t="n">
        <v>0</v>
      </c>
      <c r="C77" s="37" t="n">
        <v>0</v>
      </c>
      <c r="D77" s="37" t="n">
        <v>0</v>
      </c>
      <c r="E77" s="37" t="n">
        <v>0</v>
      </c>
      <c r="G77" s="36"/>
    </row>
    <row r="78" customFormat="false" ht="13.8" hidden="false" customHeight="false" outlineLevel="0" collapsed="false">
      <c r="A78" s="0" t="s">
        <v>293</v>
      </c>
      <c r="B78" s="37" t="n">
        <v>0</v>
      </c>
      <c r="C78" s="37" t="n">
        <v>0</v>
      </c>
      <c r="D78" s="37" t="n">
        <v>0</v>
      </c>
      <c r="E78" s="37" t="n">
        <v>0</v>
      </c>
      <c r="G78" s="36"/>
    </row>
    <row r="79" customFormat="false" ht="13.8" hidden="false" customHeight="false" outlineLevel="0" collapsed="false">
      <c r="A79" s="0" t="s">
        <v>294</v>
      </c>
      <c r="B79" s="37" t="n">
        <v>0</v>
      </c>
      <c r="C79" s="37" t="n">
        <v>0</v>
      </c>
      <c r="D79" s="37" t="n">
        <v>0</v>
      </c>
      <c r="E79" s="37" t="n">
        <v>0</v>
      </c>
      <c r="G79" s="36"/>
    </row>
    <row r="80" customFormat="false" ht="13.8" hidden="false" customHeight="false" outlineLevel="0" collapsed="false">
      <c r="A80" s="0" t="s">
        <v>295</v>
      </c>
      <c r="B80" s="37" t="n">
        <v>0</v>
      </c>
      <c r="C80" s="37" t="n">
        <v>0</v>
      </c>
      <c r="D80" s="37" t="n">
        <v>0</v>
      </c>
      <c r="E80" s="37" t="n">
        <v>0</v>
      </c>
      <c r="G80" s="36"/>
    </row>
    <row r="81" customFormat="false" ht="13.8" hidden="false" customHeight="false" outlineLevel="0" collapsed="false">
      <c r="A81" s="0" t="s">
        <v>296</v>
      </c>
      <c r="B81" s="37" t="n">
        <v>0</v>
      </c>
      <c r="C81" s="37" t="n">
        <v>0</v>
      </c>
      <c r="D81" s="37" t="n">
        <v>0</v>
      </c>
      <c r="E81" s="37" t="n">
        <v>0</v>
      </c>
      <c r="G81" s="36"/>
    </row>
    <row r="82" customFormat="false" ht="13.8" hidden="false" customHeight="false" outlineLevel="0" collapsed="false">
      <c r="A82" s="0" t="s">
        <v>297</v>
      </c>
      <c r="B82" s="37" t="n">
        <v>0</v>
      </c>
      <c r="C82" s="37" t="n">
        <v>0</v>
      </c>
      <c r="D82" s="37" t="n">
        <v>0</v>
      </c>
      <c r="E82" s="37" t="n">
        <v>0</v>
      </c>
      <c r="G82" s="36"/>
    </row>
    <row r="83" customFormat="false" ht="13.8" hidden="false" customHeight="false" outlineLevel="0" collapsed="false">
      <c r="A83" s="0" t="s">
        <v>298</v>
      </c>
      <c r="B83" s="37" t="n">
        <v>0</v>
      </c>
      <c r="C83" s="37" t="n">
        <v>0</v>
      </c>
      <c r="D83" s="37" t="n">
        <v>0</v>
      </c>
      <c r="E83" s="37" t="n">
        <v>0</v>
      </c>
      <c r="G83" s="36"/>
    </row>
    <row r="84" customFormat="false" ht="13.8" hidden="false" customHeight="false" outlineLevel="0" collapsed="false">
      <c r="A84" s="0" t="s">
        <v>299</v>
      </c>
      <c r="B84" s="37" t="n">
        <v>0</v>
      </c>
      <c r="C84" s="37" t="n">
        <v>0</v>
      </c>
      <c r="D84" s="37" t="n">
        <v>0</v>
      </c>
      <c r="E84" s="37" t="n">
        <v>0</v>
      </c>
      <c r="G84" s="36"/>
    </row>
    <row r="85" customFormat="false" ht="13.8" hidden="false" customHeight="false" outlineLevel="0" collapsed="false">
      <c r="A85" s="0" t="s">
        <v>300</v>
      </c>
      <c r="B85" s="37" t="n">
        <v>0</v>
      </c>
      <c r="C85" s="37" t="n">
        <v>0</v>
      </c>
      <c r="D85" s="37" t="n">
        <v>0</v>
      </c>
      <c r="E85" s="37" t="n">
        <v>0</v>
      </c>
      <c r="G85" s="36"/>
    </row>
    <row r="86" customFormat="false" ht="13.8" hidden="false" customHeight="false" outlineLevel="0" collapsed="false">
      <c r="A86" s="0" t="s">
        <v>301</v>
      </c>
      <c r="B86" s="37" t="n">
        <v>0</v>
      </c>
      <c r="C86" s="37" t="n">
        <v>0</v>
      </c>
      <c r="D86" s="37" t="n">
        <v>0</v>
      </c>
      <c r="E86" s="37" t="n">
        <v>0</v>
      </c>
      <c r="G86" s="36"/>
    </row>
    <row r="87" customFormat="false" ht="13.8" hidden="false" customHeight="false" outlineLevel="0" collapsed="false">
      <c r="A87" s="0" t="s">
        <v>302</v>
      </c>
      <c r="B87" s="37" t="n">
        <v>0</v>
      </c>
      <c r="C87" s="37" t="n">
        <v>0</v>
      </c>
      <c r="D87" s="37" t="n">
        <v>0</v>
      </c>
      <c r="E87" s="37" t="n">
        <v>0</v>
      </c>
      <c r="G87" s="36"/>
    </row>
    <row r="88" customFormat="false" ht="13.8" hidden="false" customHeight="false" outlineLevel="0" collapsed="false">
      <c r="A88" s="0" t="s">
        <v>303</v>
      </c>
      <c r="B88" s="37" t="n">
        <v>0</v>
      </c>
      <c r="C88" s="37" t="n">
        <v>0</v>
      </c>
      <c r="D88" s="37" t="n">
        <v>0</v>
      </c>
      <c r="E88" s="37" t="n">
        <v>0</v>
      </c>
      <c r="G88" s="36"/>
    </row>
    <row r="89" customFormat="false" ht="13.8" hidden="false" customHeight="false" outlineLevel="0" collapsed="false">
      <c r="A89" s="0" t="s">
        <v>304</v>
      </c>
      <c r="B89" s="37" t="n">
        <v>0</v>
      </c>
      <c r="C89" s="37" t="n">
        <v>0</v>
      </c>
      <c r="D89" s="37" t="n">
        <v>0</v>
      </c>
      <c r="E89" s="37" t="n">
        <v>0</v>
      </c>
      <c r="G89" s="36"/>
    </row>
    <row r="90" customFormat="false" ht="13.8" hidden="false" customHeight="false" outlineLevel="0" collapsed="false">
      <c r="A90" s="0" t="s">
        <v>305</v>
      </c>
      <c r="B90" s="37" t="n">
        <v>0</v>
      </c>
      <c r="C90" s="37" t="n">
        <v>0</v>
      </c>
      <c r="D90" s="37" t="n">
        <v>0</v>
      </c>
      <c r="E90" s="37" t="n">
        <v>0</v>
      </c>
      <c r="G90" s="36"/>
    </row>
    <row r="91" customFormat="false" ht="13.8" hidden="false" customHeight="false" outlineLevel="0" collapsed="false">
      <c r="A91" s="0" t="s">
        <v>306</v>
      </c>
      <c r="B91" s="37" t="n">
        <v>0</v>
      </c>
      <c r="C91" s="37" t="n">
        <v>0</v>
      </c>
      <c r="D91" s="37" t="n">
        <v>0</v>
      </c>
      <c r="E91" s="37" t="n">
        <v>0</v>
      </c>
      <c r="G91" s="36"/>
    </row>
    <row r="92" customFormat="false" ht="13.8" hidden="false" customHeight="false" outlineLevel="0" collapsed="false">
      <c r="A92" s="0" t="s">
        <v>307</v>
      </c>
      <c r="B92" s="37" t="n">
        <v>0</v>
      </c>
      <c r="C92" s="37" t="n">
        <v>0</v>
      </c>
      <c r="D92" s="37" t="n">
        <v>0</v>
      </c>
      <c r="E92" s="37" t="n">
        <v>0</v>
      </c>
      <c r="G92" s="36"/>
    </row>
    <row r="93" customFormat="false" ht="13.8" hidden="false" customHeight="false" outlineLevel="0" collapsed="false">
      <c r="A93" s="0" t="s">
        <v>308</v>
      </c>
      <c r="B93" s="37" t="n">
        <v>0</v>
      </c>
      <c r="C93" s="37" t="n">
        <v>0</v>
      </c>
      <c r="D93" s="37" t="n">
        <v>0</v>
      </c>
      <c r="E93" s="37" t="n">
        <v>0</v>
      </c>
      <c r="G93" s="36"/>
    </row>
    <row r="94" customFormat="false" ht="13.8" hidden="false" customHeight="false" outlineLevel="0" collapsed="false">
      <c r="A94" s="0" t="s">
        <v>309</v>
      </c>
      <c r="B94" s="37" t="n">
        <v>0</v>
      </c>
      <c r="C94" s="37" t="n">
        <v>0</v>
      </c>
      <c r="D94" s="37" t="n">
        <v>0</v>
      </c>
      <c r="E94" s="37" t="n">
        <v>0</v>
      </c>
      <c r="G94" s="36"/>
    </row>
    <row r="95" customFormat="false" ht="13.8" hidden="false" customHeight="false" outlineLevel="0" collapsed="false">
      <c r="A95" s="0" t="s">
        <v>310</v>
      </c>
      <c r="B95" s="37" t="n">
        <v>0</v>
      </c>
      <c r="C95" s="37" t="n">
        <v>0</v>
      </c>
      <c r="D95" s="37" t="n">
        <v>0</v>
      </c>
      <c r="E95" s="37" t="n">
        <v>0</v>
      </c>
      <c r="G95" s="36"/>
    </row>
    <row r="96" customFormat="false" ht="13.8" hidden="false" customHeight="false" outlineLevel="0" collapsed="false">
      <c r="A96" s="0" t="s">
        <v>311</v>
      </c>
      <c r="B96" s="37" t="n">
        <v>0</v>
      </c>
      <c r="C96" s="37" t="n">
        <v>0</v>
      </c>
      <c r="D96" s="37" t="n">
        <v>0</v>
      </c>
      <c r="E96" s="37" t="n">
        <v>0</v>
      </c>
      <c r="G96" s="36"/>
    </row>
    <row r="97" customFormat="false" ht="13.8" hidden="false" customHeight="false" outlineLevel="0" collapsed="false">
      <c r="A97" s="0" t="s">
        <v>312</v>
      </c>
      <c r="B97" s="37" t="n">
        <v>0</v>
      </c>
      <c r="C97" s="37" t="n">
        <v>0</v>
      </c>
      <c r="D97" s="37" t="n">
        <v>0</v>
      </c>
      <c r="E97" s="37" t="n">
        <v>0</v>
      </c>
      <c r="G97" s="36"/>
    </row>
    <row r="98" customFormat="false" ht="13.8" hidden="false" customHeight="false" outlineLevel="0" collapsed="false">
      <c r="A98" s="0" t="s">
        <v>313</v>
      </c>
      <c r="B98" s="37" t="n">
        <v>0</v>
      </c>
      <c r="C98" s="37" t="n">
        <v>0</v>
      </c>
      <c r="D98" s="37" t="n">
        <v>0</v>
      </c>
      <c r="E98" s="37" t="n">
        <v>0</v>
      </c>
      <c r="G98" s="36"/>
    </row>
    <row r="99" customFormat="false" ht="13.8" hidden="false" customHeight="false" outlineLevel="0" collapsed="false">
      <c r="A99" s="0" t="s">
        <v>314</v>
      </c>
      <c r="B99" s="37" t="n">
        <v>0</v>
      </c>
      <c r="C99" s="37" t="n">
        <v>0</v>
      </c>
      <c r="D99" s="37" t="n">
        <v>0</v>
      </c>
      <c r="E99" s="37" t="n">
        <v>0</v>
      </c>
      <c r="G99" s="36"/>
    </row>
    <row r="100" customFormat="false" ht="13.8" hidden="false" customHeight="false" outlineLevel="0" collapsed="false">
      <c r="A100" s="0" t="s">
        <v>315</v>
      </c>
      <c r="B100" s="37" t="n">
        <v>0</v>
      </c>
      <c r="C100" s="37" t="n">
        <v>0</v>
      </c>
      <c r="D100" s="37" t="n">
        <v>0</v>
      </c>
      <c r="E100" s="37" t="n">
        <v>0</v>
      </c>
      <c r="G100" s="36"/>
    </row>
    <row r="101" customFormat="false" ht="13.8" hidden="false" customHeight="false" outlineLevel="0" collapsed="false">
      <c r="A101" s="0" t="s">
        <v>316</v>
      </c>
      <c r="B101" s="37" t="n">
        <v>0</v>
      </c>
      <c r="C101" s="37" t="n">
        <v>0</v>
      </c>
      <c r="D101" s="37" t="n">
        <v>0</v>
      </c>
      <c r="E101" s="37" t="n">
        <v>0</v>
      </c>
      <c r="G101" s="36"/>
    </row>
    <row r="102" customFormat="false" ht="13.8" hidden="false" customHeight="false" outlineLevel="0" collapsed="false">
      <c r="A102" s="0" t="s">
        <v>317</v>
      </c>
      <c r="B102" s="37" t="n">
        <v>0</v>
      </c>
      <c r="C102" s="37" t="n">
        <v>0</v>
      </c>
      <c r="D102" s="37" t="n">
        <v>0</v>
      </c>
      <c r="E102" s="37" t="n">
        <v>0</v>
      </c>
      <c r="G102" s="36"/>
    </row>
    <row r="103" customFormat="false" ht="13.8" hidden="false" customHeight="false" outlineLevel="0" collapsed="false">
      <c r="A103" s="0" t="s">
        <v>318</v>
      </c>
      <c r="B103" s="37" t="n">
        <v>0</v>
      </c>
      <c r="C103" s="37" t="n">
        <v>0</v>
      </c>
      <c r="D103" s="37" t="n">
        <v>0</v>
      </c>
      <c r="E103" s="37" t="n">
        <v>0</v>
      </c>
      <c r="G103" s="36"/>
    </row>
    <row r="104" customFormat="false" ht="13.8" hidden="false" customHeight="false" outlineLevel="0" collapsed="false">
      <c r="A104" s="0" t="s">
        <v>319</v>
      </c>
      <c r="B104" s="37" t="n">
        <v>0</v>
      </c>
      <c r="C104" s="37" t="n">
        <v>0</v>
      </c>
      <c r="D104" s="37" t="n">
        <v>0</v>
      </c>
      <c r="E104" s="37" t="n">
        <v>0</v>
      </c>
      <c r="G104" s="36"/>
    </row>
    <row r="105" customFormat="false" ht="13.8" hidden="false" customHeight="false" outlineLevel="0" collapsed="false">
      <c r="A105" s="0" t="s">
        <v>320</v>
      </c>
      <c r="B105" s="37" t="n">
        <v>0</v>
      </c>
      <c r="C105" s="37" t="n">
        <v>0</v>
      </c>
      <c r="D105" s="37" t="n">
        <v>0</v>
      </c>
      <c r="E105" s="37" t="n">
        <v>0</v>
      </c>
      <c r="G105" s="36"/>
    </row>
    <row r="106" customFormat="false" ht="13.8" hidden="false" customHeight="false" outlineLevel="0" collapsed="false">
      <c r="A106" s="0" t="s">
        <v>321</v>
      </c>
      <c r="B106" s="37" t="n">
        <v>0</v>
      </c>
      <c r="C106" s="37" t="n">
        <v>0</v>
      </c>
      <c r="D106" s="37" t="n">
        <v>0</v>
      </c>
      <c r="E106" s="37" t="n">
        <v>0</v>
      </c>
      <c r="G106" s="36"/>
    </row>
    <row r="107" customFormat="false" ht="13.8" hidden="false" customHeight="false" outlineLevel="0" collapsed="false">
      <c r="A107" s="0" t="s">
        <v>322</v>
      </c>
      <c r="B107" s="37" t="n">
        <v>0</v>
      </c>
      <c r="C107" s="37" t="n">
        <v>0</v>
      </c>
      <c r="D107" s="37" t="n">
        <v>0</v>
      </c>
      <c r="E107" s="37" t="n">
        <v>0</v>
      </c>
      <c r="G107" s="36"/>
    </row>
    <row r="108" customFormat="false" ht="13.8" hidden="false" customHeight="false" outlineLevel="0" collapsed="false">
      <c r="A108" s="0" t="s">
        <v>323</v>
      </c>
      <c r="B108" s="37" t="n">
        <v>0</v>
      </c>
      <c r="C108" s="37" t="n">
        <v>0</v>
      </c>
      <c r="D108" s="37" t="n">
        <v>0</v>
      </c>
      <c r="E108" s="37" t="n">
        <v>0</v>
      </c>
      <c r="G108" s="36"/>
    </row>
    <row r="109" customFormat="false" ht="13.8" hidden="false" customHeight="false" outlineLevel="0" collapsed="false">
      <c r="A109" s="0" t="s">
        <v>324</v>
      </c>
      <c r="B109" s="37" t="n">
        <v>0</v>
      </c>
      <c r="C109" s="37" t="n">
        <v>0</v>
      </c>
      <c r="D109" s="37" t="n">
        <v>0</v>
      </c>
      <c r="E109" s="37" t="n">
        <v>0</v>
      </c>
      <c r="G109" s="36"/>
    </row>
    <row r="110" customFormat="false" ht="13.8" hidden="false" customHeight="false" outlineLevel="0" collapsed="false">
      <c r="A110" s="0" t="s">
        <v>325</v>
      </c>
      <c r="B110" s="37" t="n">
        <v>0</v>
      </c>
      <c r="C110" s="37" t="n">
        <v>0</v>
      </c>
      <c r="D110" s="37" t="n">
        <v>0</v>
      </c>
      <c r="E110" s="37" t="n">
        <v>0</v>
      </c>
      <c r="G110" s="36"/>
    </row>
    <row r="111" customFormat="false" ht="13.8" hidden="false" customHeight="false" outlineLevel="0" collapsed="false">
      <c r="A111" s="0" t="s">
        <v>326</v>
      </c>
      <c r="B111" s="37" t="n">
        <v>0</v>
      </c>
      <c r="C111" s="37" t="n">
        <v>0</v>
      </c>
      <c r="D111" s="37" t="n">
        <v>0</v>
      </c>
      <c r="E111" s="37" t="n">
        <v>0</v>
      </c>
      <c r="G111" s="36"/>
    </row>
    <row r="112" customFormat="false" ht="13.8" hidden="false" customHeight="false" outlineLevel="0" collapsed="false">
      <c r="A112" s="0" t="s">
        <v>327</v>
      </c>
      <c r="B112" s="37" t="n">
        <v>0</v>
      </c>
      <c r="C112" s="37" t="n">
        <v>0</v>
      </c>
      <c r="D112" s="37" t="n">
        <v>0</v>
      </c>
      <c r="E112" s="37" t="n">
        <v>0</v>
      </c>
      <c r="G112" s="36"/>
    </row>
    <row r="113" customFormat="false" ht="13.8" hidden="false" customHeight="false" outlineLevel="0" collapsed="false">
      <c r="A113" s="0" t="s">
        <v>328</v>
      </c>
      <c r="B113" s="37" t="n">
        <v>0</v>
      </c>
      <c r="C113" s="37" t="n">
        <v>0</v>
      </c>
      <c r="D113" s="37" t="n">
        <v>0</v>
      </c>
      <c r="E113" s="37" t="n">
        <v>0</v>
      </c>
      <c r="G113" s="36"/>
    </row>
    <row r="114" customFormat="false" ht="13.8" hidden="false" customHeight="false" outlineLevel="0" collapsed="false">
      <c r="A114" s="0" t="s">
        <v>329</v>
      </c>
      <c r="B114" s="37" t="n">
        <v>0</v>
      </c>
      <c r="C114" s="37" t="n">
        <v>0</v>
      </c>
      <c r="D114" s="37" t="n">
        <v>0</v>
      </c>
      <c r="E114" s="37" t="n">
        <v>0</v>
      </c>
      <c r="G114" s="36"/>
    </row>
    <row r="115" customFormat="false" ht="13.8" hidden="false" customHeight="false" outlineLevel="0" collapsed="false">
      <c r="A115" s="0" t="s">
        <v>330</v>
      </c>
      <c r="B115" s="37" t="n">
        <v>0</v>
      </c>
      <c r="C115" s="37" t="n">
        <v>0</v>
      </c>
      <c r="D115" s="37" t="n">
        <v>0</v>
      </c>
      <c r="E115" s="37" t="n">
        <v>0</v>
      </c>
      <c r="G115" s="36"/>
    </row>
    <row r="116" customFormat="false" ht="13.8" hidden="false" customHeight="false" outlineLevel="0" collapsed="false">
      <c r="A116" s="0" t="s">
        <v>331</v>
      </c>
      <c r="B116" s="37" t="n">
        <v>0</v>
      </c>
      <c r="C116" s="37" t="n">
        <v>0</v>
      </c>
      <c r="D116" s="37" t="n">
        <v>0</v>
      </c>
      <c r="E116" s="37" t="n">
        <v>0</v>
      </c>
      <c r="G116" s="36"/>
    </row>
    <row r="117" customFormat="false" ht="13.8" hidden="false" customHeight="false" outlineLevel="0" collapsed="false">
      <c r="A117" s="0" t="s">
        <v>332</v>
      </c>
      <c r="B117" s="37" t="n">
        <v>0</v>
      </c>
      <c r="C117" s="37" t="n">
        <v>0</v>
      </c>
      <c r="D117" s="37" t="n">
        <v>0</v>
      </c>
      <c r="E117" s="37" t="n">
        <v>0</v>
      </c>
      <c r="G117" s="36"/>
    </row>
    <row r="118" customFormat="false" ht="13.8" hidden="false" customHeight="false" outlineLevel="0" collapsed="false">
      <c r="A118" s="0" t="s">
        <v>333</v>
      </c>
      <c r="B118" s="37" t="n">
        <v>0</v>
      </c>
      <c r="C118" s="37" t="n">
        <v>0</v>
      </c>
      <c r="D118" s="37" t="n">
        <v>0</v>
      </c>
      <c r="E118" s="37" t="n">
        <v>0</v>
      </c>
      <c r="G118" s="36"/>
    </row>
    <row r="119" customFormat="false" ht="13.8" hidden="false" customHeight="false" outlineLevel="0" collapsed="false">
      <c r="A119" s="0" t="s">
        <v>334</v>
      </c>
      <c r="B119" s="37" t="n">
        <v>0</v>
      </c>
      <c r="C119" s="37" t="n">
        <v>0</v>
      </c>
      <c r="D119" s="37" t="n">
        <v>0</v>
      </c>
      <c r="E119" s="37" t="n">
        <v>0</v>
      </c>
      <c r="G119" s="36"/>
    </row>
    <row r="120" customFormat="false" ht="13.8" hidden="false" customHeight="false" outlineLevel="0" collapsed="false">
      <c r="A120" s="0" t="s">
        <v>335</v>
      </c>
      <c r="B120" s="37" t="n">
        <v>0</v>
      </c>
      <c r="C120" s="37" t="n">
        <v>0</v>
      </c>
      <c r="D120" s="37" t="n">
        <v>0</v>
      </c>
      <c r="E120" s="37" t="n">
        <v>0</v>
      </c>
      <c r="G120" s="36"/>
    </row>
  </sheetData>
  <autoFilter ref="A1:E120"/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E30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6" activeCellId="0" sqref="B16"/>
    </sheetView>
  </sheetViews>
  <sheetFormatPr defaultRowHeight="15"/>
  <cols>
    <col collapsed="false" hidden="false" max="1" min="1" style="38" width="18.2672064777328"/>
    <col collapsed="false" hidden="false" max="2" min="2" style="38" width="15.4251012145749"/>
    <col collapsed="false" hidden="false" max="3" min="3" style="0" width="8.12145748987854"/>
    <col collapsed="false" hidden="false" max="4" min="4" style="38" width="14.6113360323887"/>
    <col collapsed="false" hidden="false" max="1025" min="5" style="0" width="8.12145748987854"/>
  </cols>
  <sheetData>
    <row r="1" customFormat="false" ht="15" hidden="false" customHeight="true" outlineLevel="0" collapsed="false">
      <c r="A1" s="39" t="s">
        <v>119</v>
      </c>
      <c r="B1" s="40" t="s">
        <v>336</v>
      </c>
      <c r="D1" s="39" t="s">
        <v>119</v>
      </c>
    </row>
    <row r="2" customFormat="false" ht="15" hidden="false" customHeight="false" outlineLevel="0" collapsed="false">
      <c r="A2" s="0" t="str">
        <f aca="false">CONCATENATE($D2,"F")</f>
        <v>BBR0F0000K02DF</v>
      </c>
      <c r="B2" s="41" t="n">
        <v>0</v>
      </c>
      <c r="D2" s="41" t="s">
        <v>337</v>
      </c>
      <c r="E2" s="0" t="str">
        <f aca="false">CONCATENATE($D2,"F")</f>
        <v>BBR0F0000K02DF</v>
      </c>
    </row>
    <row r="3" customFormat="false" ht="15" hidden="false" customHeight="false" outlineLevel="0" collapsed="false">
      <c r="A3" s="0" t="str">
        <f aca="false">CONCATENATE($D3,"F")</f>
        <v>BBR0FTRIMK05DF</v>
      </c>
      <c r="B3" s="41" t="n">
        <v>0</v>
      </c>
      <c r="D3" s="41" t="s">
        <v>338</v>
      </c>
      <c r="E3" s="0" t="str">
        <f aca="false">CONCATENATE($D3,"F")</f>
        <v>BBR0FTRIMK05DF</v>
      </c>
    </row>
    <row r="4" customFormat="false" ht="15" hidden="false" customHeight="false" outlineLevel="0" collapsed="false">
      <c r="A4" s="0" t="str">
        <f aca="false">CONCATENATE($D4,"F")</f>
        <v>BBR0FTRWZK15DF</v>
      </c>
      <c r="B4" s="41" t="n">
        <v>0</v>
      </c>
      <c r="D4" s="41" t="s">
        <v>339</v>
      </c>
      <c r="E4" s="0" t="str">
        <f aca="false">CONCATENATE($D4,"F")</f>
        <v>BBR0FTRWZK15DF</v>
      </c>
    </row>
    <row r="5" customFormat="false" ht="15" hidden="false" customHeight="false" outlineLevel="0" collapsed="false">
      <c r="A5" s="0" t="str">
        <f aca="false">CONCATENATE($D5,"F")</f>
        <v>BBRS07595P24DF</v>
      </c>
      <c r="B5" s="41" t="n">
        <v>0</v>
      </c>
      <c r="D5" s="41" t="s">
        <v>340</v>
      </c>
      <c r="E5" s="0" t="str">
        <f aca="false">CONCATENATE($D5,"F")</f>
        <v>BBRS07595P24DF</v>
      </c>
    </row>
    <row r="6" customFormat="false" ht="15" hidden="false" customHeight="false" outlineLevel="0" collapsed="false">
      <c r="A6" s="0" t="str">
        <f aca="false">CONCATENATE($D6,"F")</f>
        <v>BBRS16180K05DF</v>
      </c>
      <c r="B6" s="41" t="n">
        <v>0</v>
      </c>
      <c r="D6" s="41" t="s">
        <v>341</v>
      </c>
      <c r="E6" s="0" t="str">
        <f aca="false">CONCATENATE($D6,"F")</f>
        <v>BBRS16180K05DF</v>
      </c>
    </row>
    <row r="7" customFormat="false" ht="15" hidden="false" customHeight="false" outlineLevel="0" collapsed="false">
      <c r="A7" s="0" t="str">
        <f aca="false">CONCATENATE($D7,"F")</f>
        <v>BBRS1821FK02DF</v>
      </c>
      <c r="B7" s="41" t="n">
        <v>0</v>
      </c>
      <c r="D7" s="41" t="s">
        <v>342</v>
      </c>
      <c r="E7" s="0" t="str">
        <f aca="false">CONCATENATE($D7,"F")</f>
        <v>BBRS1821FK02DF</v>
      </c>
    </row>
    <row r="8" customFormat="false" ht="15" hidden="false" customHeight="false" outlineLevel="0" collapsed="false">
      <c r="A8" s="0" t="str">
        <f aca="false">CONCATENATE($D8,"F")</f>
        <v>BBRS1823FK02DF</v>
      </c>
      <c r="B8" s="41" t="n">
        <v>0</v>
      </c>
      <c r="D8" s="41" t="s">
        <v>343</v>
      </c>
      <c r="E8" s="0" t="str">
        <f aca="false">CONCATENATE($D8,"F")</f>
        <v>BBRS1823FK02DF</v>
      </c>
    </row>
    <row r="9" customFormat="false" ht="15" hidden="false" customHeight="false" outlineLevel="0" collapsed="false">
      <c r="A9" s="0" t="str">
        <f aca="false">CONCATENATE($D9,"F")</f>
        <v>BBRS2325FK06DF</v>
      </c>
      <c r="B9" s="41" t="n">
        <v>0</v>
      </c>
      <c r="D9" s="41" t="s">
        <v>344</v>
      </c>
      <c r="E9" s="0" t="str">
        <f aca="false">CONCATENATE($D9,"F")</f>
        <v>BBRS2325FK06DF</v>
      </c>
    </row>
    <row r="10" customFormat="false" ht="15" hidden="false" customHeight="false" outlineLevel="0" collapsed="false">
      <c r="A10" s="0" t="str">
        <f aca="false">CONCATENATE($D10,"F")</f>
        <v>BBRSF0000K02DF</v>
      </c>
      <c r="B10" s="41" t="n">
        <v>0</v>
      </c>
      <c r="D10" s="41" t="s">
        <v>345</v>
      </c>
      <c r="E10" s="0" t="str">
        <f aca="false">CONCATENATE($D10,"F")</f>
        <v>BBRSF0000K02DF</v>
      </c>
    </row>
    <row r="11" customFormat="false" ht="15" hidden="false" customHeight="false" outlineLevel="0" collapsed="false">
      <c r="A11" s="0" t="str">
        <f aca="false">CONCATENATE($D11,"F")</f>
        <v>BBRSF3540K02DF</v>
      </c>
      <c r="B11" s="41" t="n">
        <v>0</v>
      </c>
      <c r="D11" s="41" t="s">
        <v>346</v>
      </c>
      <c r="E11" s="0" t="str">
        <f aca="false">CONCATENATE($D11,"F")</f>
        <v>BBRSF3540K02DF</v>
      </c>
    </row>
    <row r="12" customFormat="false" ht="15" hidden="false" customHeight="false" outlineLevel="0" collapsed="false">
      <c r="A12" s="0" t="str">
        <f aca="false">CONCATENATE($D12,"F")</f>
        <v>BBRSMF000K04DF</v>
      </c>
      <c r="B12" s="41" t="n">
        <v>0</v>
      </c>
      <c r="D12" s="41" t="s">
        <v>347</v>
      </c>
      <c r="E12" s="0" t="str">
        <f aca="false">CONCATENATE($D12,"F")</f>
        <v>BBRSMF000K04DF</v>
      </c>
    </row>
    <row r="13" customFormat="false" ht="15" hidden="false" customHeight="false" outlineLevel="0" collapsed="false">
      <c r="A13" s="0" t="str">
        <f aca="false">CONCATENATE($D13,"F")</f>
        <v>BCH019220K02DF</v>
      </c>
      <c r="B13" s="41" t="n">
        <v>0</v>
      </c>
      <c r="D13" s="41" t="s">
        <v>348</v>
      </c>
      <c r="E13" s="0" t="str">
        <f aca="false">CONCATENATE($D13,"F")</f>
        <v>BCH019220K02DF</v>
      </c>
    </row>
    <row r="14" customFormat="false" ht="15" hidden="false" customHeight="false" outlineLevel="0" collapsed="false">
      <c r="A14" s="0" t="str">
        <f aca="false">CONCATENATE($D14,"F")</f>
        <v>BCH0192JZK06DF</v>
      </c>
      <c r="B14" s="41" t="n">
        <v>0</v>
      </c>
      <c r="D14" s="41" t="s">
        <v>349</v>
      </c>
      <c r="E14" s="0" t="str">
        <f aca="false">CONCATENATE($D14,"F")</f>
        <v>BCH0192JZK06DF</v>
      </c>
    </row>
    <row r="15" customFormat="false" ht="15" hidden="false" customHeight="false" outlineLevel="0" collapsed="false">
      <c r="A15" s="0" t="str">
        <f aca="false">CONCATENATE($D15,"F")</f>
        <v>BFL003540K02DF</v>
      </c>
      <c r="B15" s="41" t="n">
        <v>0</v>
      </c>
      <c r="D15" s="41" t="s">
        <v>350</v>
      </c>
      <c r="E15" s="0" t="str">
        <f aca="false">CONCATENATE($D15,"F")</f>
        <v>BFL003540K02DF</v>
      </c>
    </row>
    <row r="16" customFormat="false" ht="15" hidden="false" customHeight="false" outlineLevel="0" collapsed="false">
      <c r="A16" s="0" t="str">
        <f aca="false">CONCATENATE($D16,"F")</f>
        <v>BFL004047K02DF</v>
      </c>
      <c r="B16" s="41" t="n">
        <v>0</v>
      </c>
      <c r="D16" s="41" t="s">
        <v>351</v>
      </c>
      <c r="E16" s="0" t="str">
        <f aca="false">CONCATENATE($D16,"F")</f>
        <v>BFL004047K02DF</v>
      </c>
    </row>
    <row r="17" customFormat="false" ht="15" hidden="false" customHeight="false" outlineLevel="0" collapsed="false">
      <c r="A17" s="0" t="str">
        <f aca="false">CONCATENATE($D17,"F")</f>
        <v>BFL0F0000K02DF</v>
      </c>
      <c r="B17" s="41" t="n">
        <v>0</v>
      </c>
      <c r="D17" s="41" t="s">
        <v>352</v>
      </c>
      <c r="E17" s="0" t="str">
        <f aca="false">CONCATENATE($D17,"F")</f>
        <v>BFL0F0000K02DF</v>
      </c>
    </row>
    <row r="18" customFormat="false" ht="15" hidden="false" customHeight="false" outlineLevel="0" collapsed="false">
      <c r="A18" s="0" t="str">
        <f aca="false">CONCATENATE($D18,"F")</f>
        <v>BFL0FWOTZK12DF</v>
      </c>
      <c r="B18" s="41" t="n">
        <v>0</v>
      </c>
      <c r="D18" s="41" t="s">
        <v>353</v>
      </c>
      <c r="E18" s="0" t="str">
        <f aca="false">CONCATENATE($D18,"F")</f>
        <v>BFL0FWOTZK12DF</v>
      </c>
    </row>
    <row r="19" customFormat="false" ht="15" hidden="false" customHeight="false" outlineLevel="0" collapsed="false">
      <c r="A19" s="0" t="str">
        <f aca="false">CONCATENATE($D19,"F")</f>
        <v>BFL0MEATZK02DF</v>
      </c>
      <c r="B19" s="41" t="n">
        <v>0</v>
      </c>
      <c r="D19" s="42" t="s">
        <v>354</v>
      </c>
      <c r="E19" s="0" t="str">
        <f aca="false">CONCATENATE($D19,"F")</f>
        <v>BFL0MEATZK02DF</v>
      </c>
    </row>
    <row r="20" customFormat="false" ht="15" hidden="false" customHeight="false" outlineLevel="0" collapsed="false">
      <c r="A20" s="0" t="str">
        <f aca="false">CONCATENATE($D20,"F")</f>
        <v>BLG018230K02DF</v>
      </c>
      <c r="B20" s="41" t="n">
        <v>0</v>
      </c>
      <c r="D20" s="41" t="s">
        <v>355</v>
      </c>
      <c r="E20" s="0" t="str">
        <f aca="false">CONCATENATE($D20,"F")</f>
        <v>BLG018230K02DF</v>
      </c>
    </row>
    <row r="21" customFormat="false" ht="15" hidden="false" customHeight="false" outlineLevel="0" collapsed="false">
      <c r="A21" s="0" t="str">
        <f aca="false">CONCATENATE($D21,"F")</f>
        <v>BLG0F0000K02DF</v>
      </c>
      <c r="B21" s="41" t="n">
        <v>0</v>
      </c>
      <c r="D21" s="41" t="s">
        <v>356</v>
      </c>
      <c r="E21" s="0" t="str">
        <f aca="false">CONCATENATE($D21,"F")</f>
        <v>BLG0F0000K02DF</v>
      </c>
    </row>
    <row r="22" customFormat="false" ht="15" hidden="false" customHeight="false" outlineLevel="0" collapsed="false">
      <c r="A22" s="0" t="str">
        <f aca="false">CONCATENATE($D22,"F")</f>
        <v>BLG0FTRIMK05DF</v>
      </c>
      <c r="B22" s="41" t="n">
        <v>0</v>
      </c>
      <c r="D22" s="41" t="s">
        <v>357</v>
      </c>
      <c r="E22" s="0" t="str">
        <f aca="false">CONCATENATE($D22,"F")</f>
        <v>BLG0FTRIMK05DF</v>
      </c>
    </row>
    <row r="23" customFormat="false" ht="15" hidden="false" customHeight="false" outlineLevel="0" collapsed="false">
      <c r="A23" s="0" t="str">
        <f aca="false">CONCATENATE($D23,"F")</f>
        <v>BLGS07595P24DF</v>
      </c>
      <c r="B23" s="41" t="n">
        <v>0</v>
      </c>
      <c r="D23" s="41" t="s">
        <v>358</v>
      </c>
      <c r="E23" s="0" t="str">
        <f aca="false">CONCATENATE($D23,"F")</f>
        <v>BLGS07595P24DF</v>
      </c>
    </row>
    <row r="24" customFormat="false" ht="15" hidden="false" customHeight="false" outlineLevel="0" collapsed="false">
      <c r="A24" s="0" t="str">
        <f aca="false">CONCATENATE($D24,"F")</f>
        <v>BLGSFBSDZK12DF</v>
      </c>
      <c r="B24" s="41" t="n">
        <v>0</v>
      </c>
      <c r="D24" s="41" t="s">
        <v>359</v>
      </c>
      <c r="E24" s="0" t="str">
        <f aca="false">CONCATENATE($D24,"F")</f>
        <v>BLGSFBSDZK12DF</v>
      </c>
    </row>
    <row r="25" customFormat="false" ht="15" hidden="false" customHeight="false" outlineLevel="0" collapsed="false">
      <c r="A25" s="0" t="str">
        <f aca="false">CONCATENATE($D25,"F")</f>
        <v>BLGSMF000K05DF</v>
      </c>
      <c r="B25" s="41" t="n">
        <v>0</v>
      </c>
      <c r="D25" s="41" t="s">
        <v>360</v>
      </c>
      <c r="E25" s="0" t="str">
        <f aca="false">CONCATENATE($D25,"F")</f>
        <v>BLGSMF000K05DF</v>
      </c>
    </row>
    <row r="26" customFormat="false" ht="15" hidden="false" customHeight="false" outlineLevel="0" collapsed="false">
      <c r="A26" s="0" t="str">
        <f aca="false">CONCATENATE($D26,"F")</f>
        <v>BTH005565K06DF</v>
      </c>
      <c r="B26" s="41" t="n">
        <v>0</v>
      </c>
      <c r="D26" s="41" t="s">
        <v>361</v>
      </c>
      <c r="E26" s="0" t="str">
        <f aca="false">CONCATENATE($D26,"F")</f>
        <v>BTH005565K06DF</v>
      </c>
    </row>
    <row r="27" customFormat="false" ht="15" hidden="false" customHeight="false" outlineLevel="0" collapsed="false">
      <c r="A27" s="0" t="str">
        <f aca="false">CONCATENATE($D27,"F")</f>
        <v>BTH007585K04DF</v>
      </c>
      <c r="B27" s="41" t="n">
        <v>0</v>
      </c>
      <c r="D27" s="41" t="s">
        <v>362</v>
      </c>
      <c r="E27" s="0" t="str">
        <f aca="false">CONCATENATE($D27,"F")</f>
        <v>BTH007585K04DF</v>
      </c>
    </row>
    <row r="28" customFormat="false" ht="15" hidden="false" customHeight="false" outlineLevel="0" collapsed="false">
      <c r="A28" s="0" t="str">
        <f aca="false">CONCATENATE($D28,"F")</f>
        <v>BTH007585P12DF</v>
      </c>
      <c r="B28" s="41" t="n">
        <v>0</v>
      </c>
      <c r="D28" s="41" t="s">
        <v>363</v>
      </c>
      <c r="E28" s="0" t="str">
        <f aca="false">CONCATENATE($D28,"F")</f>
        <v>BTH007585P12DF</v>
      </c>
    </row>
    <row r="29" customFormat="false" ht="15" hidden="false" customHeight="false" outlineLevel="0" collapsed="false">
      <c r="A29" s="0" t="str">
        <f aca="false">CONCATENATE($D29,"F")</f>
        <v>BTH009100K06DF</v>
      </c>
      <c r="B29" s="41" t="n">
        <v>0</v>
      </c>
      <c r="D29" s="41" t="s">
        <v>364</v>
      </c>
      <c r="E29" s="0" t="str">
        <f aca="false">CONCATENATE($D29,"F")</f>
        <v>BTH009100K06DF</v>
      </c>
    </row>
    <row r="30" customFormat="false" ht="15" hidden="false" customHeight="false" outlineLevel="0" collapsed="false">
      <c r="A30" s="0" t="str">
        <f aca="false">CONCATENATE($D30,"F")</f>
        <v>BTH0CU020K02DF</v>
      </c>
      <c r="B30" s="41" t="n">
        <v>0</v>
      </c>
      <c r="D30" s="41" t="s">
        <v>365</v>
      </c>
      <c r="E30" s="0" t="str">
        <f aca="false">CONCATENATE($D30,"F")</f>
        <v>BTH0CU020K02DF</v>
      </c>
    </row>
    <row r="31" customFormat="false" ht="15" hidden="false" customHeight="false" outlineLevel="0" collapsed="false">
      <c r="A31" s="0" t="str">
        <f aca="false">CONCATENATE($D31,"F")</f>
        <v>BTH0F0000K02DF</v>
      </c>
      <c r="B31" s="41" t="n">
        <v>0</v>
      </c>
      <c r="D31" s="41" t="s">
        <v>366</v>
      </c>
      <c r="E31" s="0" t="str">
        <f aca="false">CONCATENATE($D31,"F")</f>
        <v>BTH0F0000K02DF</v>
      </c>
    </row>
    <row r="32" customFormat="false" ht="15" hidden="false" customHeight="false" outlineLevel="0" collapsed="false">
      <c r="A32" s="0" t="str">
        <f aca="false">CONCATENATE($D32,"F")</f>
        <v>BTHS07595P24DF</v>
      </c>
      <c r="B32" s="41" t="n">
        <v>0</v>
      </c>
      <c r="D32" s="41" t="s">
        <v>367</v>
      </c>
      <c r="E32" s="0" t="str">
        <f aca="false">CONCATENATE($D32,"F")</f>
        <v>BTHS07595P24DF</v>
      </c>
    </row>
    <row r="33" customFormat="false" ht="15" hidden="false" customHeight="false" outlineLevel="0" collapsed="false">
      <c r="A33" s="0" t="str">
        <f aca="false">CONCATENATE($D33,"F")</f>
        <v>BTHSF0000K02DF</v>
      </c>
      <c r="B33" s="41" t="n">
        <v>0</v>
      </c>
      <c r="D33" s="41" t="s">
        <v>368</v>
      </c>
      <c r="E33" s="0" t="str">
        <f aca="false">CONCATENATE($D33,"F")</f>
        <v>BTHSF0000K02DF</v>
      </c>
    </row>
    <row r="34" customFormat="false" ht="15" hidden="false" customHeight="false" outlineLevel="0" collapsed="false">
      <c r="A34" s="0" t="str">
        <f aca="false">CONCATENATE($D34,"F")</f>
        <v>BTHSMF000K04DF</v>
      </c>
      <c r="B34" s="41" t="n">
        <v>0</v>
      </c>
      <c r="D34" s="41" t="s">
        <v>369</v>
      </c>
      <c r="E34" s="0" t="str">
        <f aca="false">CONCATENATE($D34,"F")</f>
        <v>BTHSMF000K04DF</v>
      </c>
    </row>
    <row r="35" customFormat="false" ht="15" hidden="false" customHeight="false" outlineLevel="0" collapsed="false">
      <c r="A35" s="0" t="str">
        <f aca="false">CONCATENATE($D35,"F")</f>
        <v>BTHSMF02CK02DF</v>
      </c>
      <c r="B35" s="41" t="n">
        <v>0</v>
      </c>
      <c r="D35" s="41" t="s">
        <v>370</v>
      </c>
      <c r="E35" s="0" t="str">
        <f aca="false">CONCATENATE($D35,"F")</f>
        <v>BTHSMF02CK02DF</v>
      </c>
    </row>
    <row r="36" customFormat="false" ht="15" hidden="false" customHeight="false" outlineLevel="0" collapsed="false">
      <c r="A36" s="0" t="str">
        <f aca="false">CONCATENATE($D36,"F")</f>
        <v>C3JW00BRUK02DF</v>
      </c>
      <c r="B36" s="41" t="n">
        <v>0</v>
      </c>
      <c r="D36" s="41" t="s">
        <v>371</v>
      </c>
      <c r="E36" s="0" t="str">
        <f aca="false">CONCATENATE($D36,"F")</f>
        <v>C3JW00BRUK02DF</v>
      </c>
    </row>
    <row r="37" customFormat="false" ht="15" hidden="false" customHeight="false" outlineLevel="0" collapsed="false">
      <c r="A37" s="0" t="str">
        <f aca="false">CONCATENATE($D37,"F")</f>
        <v>C3JW07100K02DF</v>
      </c>
      <c r="B37" s="41" t="n">
        <v>0</v>
      </c>
      <c r="D37" s="41" t="s">
        <v>372</v>
      </c>
      <c r="E37" s="0" t="str">
        <f aca="false">CONCATENATE($D37,"F")</f>
        <v>C3JW07100K02DF</v>
      </c>
    </row>
    <row r="38" customFormat="false" ht="15" hidden="false" customHeight="false" outlineLevel="0" collapsed="false">
      <c r="A38" s="0" t="str">
        <f aca="false">CONCATENATE($D38,"F")</f>
        <v>C3JW09120K04DF</v>
      </c>
      <c r="B38" s="41" t="n">
        <v>0</v>
      </c>
      <c r="D38" s="41" t="s">
        <v>373</v>
      </c>
      <c r="E38" s="0" t="str">
        <f aca="false">CONCATENATE($D38,"F")</f>
        <v>C3JW09120K04DF</v>
      </c>
    </row>
    <row r="39" customFormat="false" ht="15" hidden="false" customHeight="false" outlineLevel="0" collapsed="false">
      <c r="A39" s="0" t="str">
        <f aca="false">CONCATENATE($D39,"F")</f>
        <v>C3JW09130K02DF</v>
      </c>
      <c r="B39" s="41" t="n">
        <v>0</v>
      </c>
      <c r="D39" s="41" t="s">
        <v>374</v>
      </c>
      <c r="E39" s="0" t="str">
        <f aca="false">CONCATENATE($D39,"F")</f>
        <v>C3JW09130K02DF</v>
      </c>
    </row>
    <row r="40" customFormat="false" ht="15" hidden="false" customHeight="false" outlineLevel="0" collapsed="false">
      <c r="A40" s="0" t="str">
        <f aca="false">CONCATENATE($D40,"F")</f>
        <v>C3JW0913VP06DF</v>
      </c>
      <c r="B40" s="41" t="n">
        <v>0</v>
      </c>
      <c r="D40" s="41" t="s">
        <v>375</v>
      </c>
      <c r="E40" s="0" t="str">
        <f aca="false">CONCATENATE($D40,"F")</f>
        <v>C3JW0913VP06DF</v>
      </c>
    </row>
    <row r="41" customFormat="false" ht="15" hidden="false" customHeight="false" outlineLevel="0" collapsed="false">
      <c r="A41" s="0" t="str">
        <f aca="false">CONCATENATE($D41,"F")</f>
        <v>C3JWL0000K02DF</v>
      </c>
      <c r="B41" s="41" t="n">
        <v>0</v>
      </c>
      <c r="D41" s="41" t="s">
        <v>376</v>
      </c>
      <c r="E41" s="0" t="str">
        <f aca="false">CONCATENATE($D41,"F")</f>
        <v>C3JWL0000K02DF</v>
      </c>
    </row>
    <row r="42" customFormat="false" ht="15" hidden="false" customHeight="false" outlineLevel="0" collapsed="false">
      <c r="A42" s="0" t="str">
        <f aca="false">CONCATENATE($D42,"F")</f>
        <v>C3JWNSBRUK02DF</v>
      </c>
      <c r="B42" s="41" t="n">
        <v>0</v>
      </c>
      <c r="D42" s="41" t="s">
        <v>377</v>
      </c>
      <c r="E42" s="0" t="str">
        <f aca="false">CONCATENATE($D42,"F")</f>
        <v>C3JWNSBRUK02DF</v>
      </c>
    </row>
    <row r="43" customFormat="false" ht="15" hidden="false" customHeight="false" outlineLevel="0" collapsed="false">
      <c r="A43" s="0" t="str">
        <f aca="false">CONCATENATE($D43,"F")</f>
        <v>C9PC00KFCP18DF</v>
      </c>
      <c r="B43" s="41" t="n">
        <v>0</v>
      </c>
      <c r="D43" s="41" t="s">
        <v>378</v>
      </c>
      <c r="E43" s="0" t="str">
        <f aca="false">CONCATENATE($D43,"F")</f>
        <v>C9PC00KFCP18DF</v>
      </c>
    </row>
    <row r="44" customFormat="false" ht="15" hidden="false" customHeight="false" outlineLevel="0" collapsed="false">
      <c r="A44" s="0" t="str">
        <f aca="false">CONCATENATE($D44,"F")</f>
        <v>C9PCAW000P18DF</v>
      </c>
      <c r="B44" s="41" t="n">
        <v>0</v>
      </c>
      <c r="D44" s="41" t="s">
        <v>379</v>
      </c>
      <c r="E44" s="0" t="str">
        <f aca="false">CONCATENATE($D44,"F")</f>
        <v>C9PCAW000P18DF</v>
      </c>
    </row>
    <row r="45" customFormat="false" ht="15" hidden="false" customHeight="false" outlineLevel="0" collapsed="false">
      <c r="A45" s="0" t="str">
        <f aca="false">CONCATENATE($D45,"F")</f>
        <v>C9PCGCH00P18DF</v>
      </c>
      <c r="B45" s="41" t="n">
        <v>0</v>
      </c>
      <c r="D45" s="41" t="s">
        <v>380</v>
      </c>
      <c r="E45" s="0" t="str">
        <f aca="false">CONCATENATE($D45,"F")</f>
        <v>C9PCGCH00P18DF</v>
      </c>
    </row>
    <row r="46" customFormat="false" ht="15" hidden="false" customHeight="false" outlineLevel="0" collapsed="false">
      <c r="A46" s="0" t="str">
        <f aca="false">CONCATENATE($D46,"F")</f>
        <v>C9PCKFC00P14DF</v>
      </c>
      <c r="B46" s="41" t="n">
        <v>0</v>
      </c>
      <c r="D46" s="41" t="s">
        <v>381</v>
      </c>
      <c r="E46" s="0" t="str">
        <f aca="false">CONCATENATE($D46,"F")</f>
        <v>C9PCKFC00P14DF</v>
      </c>
    </row>
    <row r="47" customFormat="false" ht="15" hidden="false" customHeight="false" outlineLevel="0" collapsed="false">
      <c r="A47" s="0" t="str">
        <f aca="false">CONCATENATE($D47,"F")</f>
        <v>C9PCMD000P18DF</v>
      </c>
      <c r="B47" s="41" t="n">
        <v>0</v>
      </c>
      <c r="D47" s="41" t="s">
        <v>382</v>
      </c>
      <c r="E47" s="0" t="str">
        <f aca="false">CONCATENATE($D47,"F")</f>
        <v>C9PCMD000P18DF</v>
      </c>
    </row>
    <row r="48" customFormat="false" ht="15" hidden="false" customHeight="false" outlineLevel="0" collapsed="false">
      <c r="A48" s="0" t="str">
        <f aca="false">CONCATENATE($D48,"F")</f>
        <v>C9PCMD00ZP18DF</v>
      </c>
      <c r="B48" s="41" t="n">
        <v>0</v>
      </c>
      <c r="D48" s="41" t="s">
        <v>383</v>
      </c>
      <c r="E48" s="0" t="str">
        <f aca="false">CONCATENATE($D48,"F")</f>
        <v>C9PCMD00ZP18DF</v>
      </c>
    </row>
    <row r="49" customFormat="false" ht="15" hidden="false" customHeight="false" outlineLevel="0" collapsed="false">
      <c r="A49" s="0" t="str">
        <f aca="false">CONCATENATE($D49,"F")</f>
        <v>C9PCWBM20P18DF</v>
      </c>
      <c r="B49" s="41" t="n">
        <v>0</v>
      </c>
      <c r="D49" s="41" t="s">
        <v>384</v>
      </c>
      <c r="E49" s="0" t="str">
        <f aca="false">CONCATENATE($D49,"F")</f>
        <v>C9PCWBM20P18DF</v>
      </c>
    </row>
    <row r="50" customFormat="false" ht="15" hidden="false" customHeight="false" outlineLevel="0" collapsed="false">
      <c r="A50" s="0" t="str">
        <f aca="false">CONCATENATE($D50,"F")</f>
        <v>CBR0F0000K06DF</v>
      </c>
      <c r="B50" s="41" t="n">
        <v>0</v>
      </c>
      <c r="D50" s="41" t="s">
        <v>385</v>
      </c>
      <c r="E50" s="0" t="str">
        <f aca="false">CONCATENATE($D50,"F")</f>
        <v>CBR0F0000K06DF</v>
      </c>
    </row>
    <row r="51" customFormat="false" ht="15" hidden="false" customHeight="false" outlineLevel="0" collapsed="false">
      <c r="A51" s="0" t="str">
        <f aca="false">CONCATENATE($D51,"F")</f>
        <v>CBRSH2332P10DF</v>
      </c>
      <c r="B51" s="41" t="n">
        <v>0</v>
      </c>
      <c r="D51" s="41" t="s">
        <v>386</v>
      </c>
      <c r="E51" s="0" t="str">
        <f aca="false">CONCATENATE($D51,"F")</f>
        <v>CBRSH2332P10DF</v>
      </c>
    </row>
    <row r="52" customFormat="false" ht="15" hidden="false" customHeight="false" outlineLevel="0" collapsed="false">
      <c r="A52" s="0" t="str">
        <f aca="false">CONCATENATE($D52,"F")</f>
        <v>CCHICU000K02DF</v>
      </c>
      <c r="B52" s="41" t="n">
        <v>0</v>
      </c>
      <c r="D52" s="41" t="s">
        <v>387</v>
      </c>
      <c r="E52" s="0" t="str">
        <f aca="false">CONCATENATE($D52,"F")</f>
        <v>CCHICU000K02DF</v>
      </c>
    </row>
    <row r="53" customFormat="false" ht="15" hidden="false" customHeight="false" outlineLevel="0" collapsed="false">
      <c r="A53" s="0" t="str">
        <f aca="false">CONCATENATE($D53,"F")</f>
        <v>CCHICU000K06DF</v>
      </c>
      <c r="B53" s="41" t="n">
        <v>0</v>
      </c>
      <c r="D53" s="41" t="s">
        <v>388</v>
      </c>
      <c r="E53" s="0" t="str">
        <f aca="false">CONCATENATE($D53,"F")</f>
        <v>CCHICU000K06DF</v>
      </c>
    </row>
    <row r="54" customFormat="false" ht="15" hidden="false" customHeight="false" outlineLevel="0" collapsed="false">
      <c r="A54" s="0" t="str">
        <f aca="false">CONCATENATE($D54,"F")</f>
        <v>CDS008110K02DF</v>
      </c>
      <c r="B54" s="41" t="n">
        <v>0</v>
      </c>
      <c r="D54" s="41" t="s">
        <v>389</v>
      </c>
      <c r="E54" s="0" t="str">
        <f aca="false">CONCATENATE($D54,"F")</f>
        <v>CDS008110K02DF</v>
      </c>
    </row>
    <row r="55" customFormat="false" ht="15" hidden="false" customHeight="false" outlineLevel="0" collapsed="false">
      <c r="A55" s="0" t="str">
        <f aca="false">CONCATENATE($D55,"F")</f>
        <v>CDS0081BZK12DF</v>
      </c>
      <c r="B55" s="41" t="n">
        <v>0</v>
      </c>
      <c r="D55" s="41" t="s">
        <v>390</v>
      </c>
      <c r="E55" s="0" t="str">
        <f aca="false">CONCATENATE($D55,"F")</f>
        <v>CDS0081BZK12DF</v>
      </c>
    </row>
    <row r="56" customFormat="false" ht="15" hidden="false" customHeight="false" outlineLevel="0" collapsed="false">
      <c r="A56" s="0" t="str">
        <f aca="false">CONCATENATE($D56,"F")</f>
        <v>CDS010140K02DF</v>
      </c>
      <c r="B56" s="41" t="n">
        <v>0</v>
      </c>
      <c r="D56" s="41" t="s">
        <v>391</v>
      </c>
      <c r="E56" s="0" t="str">
        <f aca="false">CONCATENATE($D56,"F")</f>
        <v>CDS010140K02DF</v>
      </c>
    </row>
    <row r="57" customFormat="false" ht="15" hidden="false" customHeight="false" outlineLevel="0" collapsed="false">
      <c r="A57" s="0" t="str">
        <f aca="false">CONCATENATE($D57,"F")</f>
        <v>CDS010140P20DF</v>
      </c>
      <c r="B57" s="41" t="n">
        <v>0</v>
      </c>
      <c r="D57" s="41" t="s">
        <v>392</v>
      </c>
      <c r="E57" s="0" t="str">
        <f aca="false">CONCATENATE($D57,"F")</f>
        <v>CDS010140P20DF</v>
      </c>
    </row>
    <row r="58" customFormat="false" ht="15" hidden="false" customHeight="false" outlineLevel="0" collapsed="false">
      <c r="A58" s="0" t="str">
        <f aca="false">CONCATENATE($D58,"F")</f>
        <v>CDS01014VP06DF</v>
      </c>
      <c r="B58" s="41" t="n">
        <v>0</v>
      </c>
      <c r="D58" s="41" t="s">
        <v>393</v>
      </c>
      <c r="E58" s="0" t="str">
        <f aca="false">CONCATENATE($D58,"F")</f>
        <v>CDS01014VP06DF</v>
      </c>
    </row>
    <row r="59" customFormat="false" ht="15" hidden="false" customHeight="false" outlineLevel="0" collapsed="false">
      <c r="A59" s="0" t="str">
        <f aca="false">CONCATENATE($D59,"F")</f>
        <v>CDS0CU000K02DF</v>
      </c>
      <c r="B59" s="41" t="n">
        <v>0</v>
      </c>
      <c r="D59" s="41" t="s">
        <v>394</v>
      </c>
      <c r="E59" s="0" t="str">
        <f aca="false">CONCATENATE($D59,"F")</f>
        <v>CDS0CU000K02DF</v>
      </c>
    </row>
    <row r="60" customFormat="false" ht="15" hidden="false" customHeight="false" outlineLevel="0" collapsed="false">
      <c r="A60" s="0" t="str">
        <f aca="false">CONCATENATE($D60,"F")</f>
        <v>CDS0J0000K02DF</v>
      </c>
      <c r="B60" s="41" t="n">
        <v>0</v>
      </c>
      <c r="D60" s="41" t="s">
        <v>395</v>
      </c>
      <c r="E60" s="0" t="str">
        <f aca="false">CONCATENATE($D60,"F")</f>
        <v>CDS0J0000K02DF</v>
      </c>
    </row>
    <row r="61" customFormat="false" ht="15" hidden="false" customHeight="false" outlineLevel="0" collapsed="false">
      <c r="A61" s="0" t="str">
        <f aca="false">CONCATENATE($D61,"F")</f>
        <v>CDS0S0000K02DF</v>
      </c>
      <c r="B61" s="41" t="n">
        <v>0</v>
      </c>
      <c r="D61" s="41" t="s">
        <v>396</v>
      </c>
      <c r="E61" s="0" t="str">
        <f aca="false">CONCATENATE($D61,"F")</f>
        <v>CDS0S0000K02DF</v>
      </c>
    </row>
    <row r="62" customFormat="false" ht="15" hidden="false" customHeight="false" outlineLevel="0" collapsed="false">
      <c r="A62" s="0" t="str">
        <f aca="false">CONCATENATE($D62,"F")</f>
        <v>CKE01218VP04DF</v>
      </c>
      <c r="B62" s="41" t="n">
        <v>0</v>
      </c>
      <c r="D62" s="41" t="s">
        <v>397</v>
      </c>
      <c r="E62" s="0" t="str">
        <f aca="false">CONCATENATE($D62,"F")</f>
        <v>CKE01218VP04DF</v>
      </c>
    </row>
    <row r="63" customFormat="false" ht="15" hidden="false" customHeight="false" outlineLevel="0" collapsed="false">
      <c r="A63" s="0" t="str">
        <f aca="false">CONCATENATE($D63,"F")</f>
        <v>CKE0F0000K02DF</v>
      </c>
      <c r="B63" s="41" t="n">
        <v>0</v>
      </c>
      <c r="D63" s="41" t="s">
        <v>398</v>
      </c>
      <c r="E63" s="0" t="str">
        <f aca="false">CONCATENATE($D63,"F")</f>
        <v>CKE0F0000K02DF</v>
      </c>
    </row>
    <row r="64" customFormat="false" ht="15" hidden="false" customHeight="false" outlineLevel="0" collapsed="false">
      <c r="A64" s="0" t="str">
        <f aca="false">CONCATENATE($D64,"F")</f>
        <v>CLG022270K06DF</v>
      </c>
      <c r="B64" s="41" t="n">
        <v>0</v>
      </c>
      <c r="D64" s="41" t="s">
        <v>399</v>
      </c>
      <c r="E64" s="0" t="str">
        <f aca="false">CONCATENATE($D64,"F")</f>
        <v>CLG022270K06DF</v>
      </c>
    </row>
    <row r="65" customFormat="false" ht="15" hidden="false" customHeight="false" outlineLevel="0" collapsed="false">
      <c r="A65" s="0" t="str">
        <f aca="false">CONCATENATE($D65,"F")</f>
        <v>CLG022270P10DF</v>
      </c>
      <c r="B65" s="41" t="n">
        <v>0</v>
      </c>
      <c r="D65" s="41" t="s">
        <v>400</v>
      </c>
      <c r="E65" s="0" t="str">
        <f aca="false">CONCATENATE($D65,"F")</f>
        <v>CLG022270P10DF</v>
      </c>
    </row>
    <row r="66" customFormat="false" ht="15" hidden="false" customHeight="false" outlineLevel="0" collapsed="false">
      <c r="A66" s="0" t="str">
        <f aca="false">CONCATENATE($D66,"F")</f>
        <v>CLG026340K06DF</v>
      </c>
      <c r="B66" s="41" t="n">
        <v>0</v>
      </c>
      <c r="D66" s="41" t="s">
        <v>401</v>
      </c>
      <c r="E66" s="0" t="str">
        <f aca="false">CONCATENATE($D66,"F")</f>
        <v>CLG026340K06DF</v>
      </c>
    </row>
    <row r="67" customFormat="false" ht="15" hidden="false" customHeight="false" outlineLevel="0" collapsed="false">
      <c r="A67" s="0" t="str">
        <f aca="false">CONCATENATE($D67,"F")</f>
        <v>CRB015190K02DF</v>
      </c>
      <c r="B67" s="41" t="n">
        <v>0</v>
      </c>
      <c r="D67" s="41" t="s">
        <v>402</v>
      </c>
      <c r="E67" s="0" t="str">
        <f aca="false">CONCATENATE($D67,"F")</f>
        <v>CRB015190K02DF</v>
      </c>
    </row>
    <row r="68" customFormat="false" ht="15" hidden="false" customHeight="false" outlineLevel="0" collapsed="false">
      <c r="A68" s="0" t="str">
        <f aca="false">CONCATENATE($D68,"F")</f>
        <v>CRB015190K06DF</v>
      </c>
      <c r="B68" s="41" t="n">
        <v>0</v>
      </c>
      <c r="D68" s="41" t="s">
        <v>403</v>
      </c>
      <c r="E68" s="0" t="str">
        <f aca="false">CONCATENATE($D68,"F")</f>
        <v>CRB015190K06DF</v>
      </c>
    </row>
    <row r="69" customFormat="false" ht="15" hidden="false" customHeight="false" outlineLevel="0" collapsed="false">
      <c r="A69" s="0" t="str">
        <f aca="false">CONCATENATE($D69,"F")</f>
        <v>CRB019240K02DF</v>
      </c>
      <c r="B69" s="41" t="n">
        <v>0</v>
      </c>
      <c r="D69" s="41" t="s">
        <v>404</v>
      </c>
      <c r="E69" s="0" t="str">
        <f aca="false">CONCATENATE($D69,"F")</f>
        <v>CRB019240K02DF</v>
      </c>
    </row>
    <row r="70" customFormat="false" ht="15" hidden="false" customHeight="false" outlineLevel="0" collapsed="false">
      <c r="A70" s="0" t="str">
        <f aca="false">CONCATENATE($D70,"F")</f>
        <v>CRB019240K06DF</v>
      </c>
      <c r="B70" s="41" t="n">
        <v>0</v>
      </c>
      <c r="D70" s="41" t="s">
        <v>405</v>
      </c>
      <c r="E70" s="0" t="str">
        <f aca="false">CONCATENATE($D70,"F")</f>
        <v>CRB019240K06DF</v>
      </c>
    </row>
    <row r="71" customFormat="false" ht="15" hidden="false" customHeight="false" outlineLevel="0" collapsed="false">
      <c r="A71" s="0" t="str">
        <f aca="false">CONCATENATE($D71,"F")</f>
        <v>CRB01924VP04DF</v>
      </c>
      <c r="B71" s="41" t="n">
        <v>0</v>
      </c>
      <c r="D71" s="41" t="s">
        <v>406</v>
      </c>
      <c r="E71" s="0" t="str">
        <f aca="false">CONCATENATE($D71,"F")</f>
        <v>CRB01924VP04DF</v>
      </c>
    </row>
    <row r="72" customFormat="false" ht="15" hidden="false" customHeight="false" outlineLevel="0" collapsed="false">
      <c r="A72" s="0" t="str">
        <f aca="false">CONCATENATE($D72,"F")</f>
        <v>CTH013160K02DF</v>
      </c>
      <c r="B72" s="41" t="n">
        <v>0</v>
      </c>
      <c r="D72" s="41" t="s">
        <v>407</v>
      </c>
      <c r="E72" s="0" t="str">
        <f aca="false">CONCATENATE($D72,"F")</f>
        <v>CTH013160K02DF</v>
      </c>
    </row>
    <row r="73" customFormat="false" ht="15" hidden="false" customHeight="false" outlineLevel="0" collapsed="false">
      <c r="A73" s="0" t="str">
        <f aca="false">CONCATENATE($D73,"F")</f>
        <v>CTH015180P12DF</v>
      </c>
      <c r="B73" s="41" t="n">
        <v>0</v>
      </c>
      <c r="D73" s="41" t="s">
        <v>408</v>
      </c>
      <c r="E73" s="0" t="str">
        <f aca="false">CONCATENATE($D73,"F")</f>
        <v>CTH015180P12DF</v>
      </c>
    </row>
    <row r="74" customFormat="false" ht="15" hidden="false" customHeight="false" outlineLevel="0" collapsed="false">
      <c r="A74" s="0" t="str">
        <f aca="false">CONCATENATE($D74,"F")</f>
        <v>CTH016190K02DF</v>
      </c>
      <c r="B74" s="41" t="n">
        <v>0</v>
      </c>
      <c r="D74" s="41" t="s">
        <v>409</v>
      </c>
      <c r="E74" s="0" t="str">
        <f aca="false">CONCATENATE($D74,"F")</f>
        <v>CTH016190K02DF</v>
      </c>
    </row>
    <row r="75" customFormat="false" ht="15" hidden="false" customHeight="false" outlineLevel="0" collapsed="false">
      <c r="A75" s="0" t="str">
        <f aca="false">CONCATENATE($D75,"F")</f>
        <v>CTH016210K02DF</v>
      </c>
      <c r="B75" s="41" t="n">
        <v>0</v>
      </c>
      <c r="D75" s="41" t="s">
        <v>410</v>
      </c>
      <c r="E75" s="0" t="str">
        <f aca="false">CONCATENATE($D75,"F")</f>
        <v>CTH016210K02DF</v>
      </c>
    </row>
    <row r="76" customFormat="false" ht="15" hidden="false" customHeight="false" outlineLevel="0" collapsed="false">
      <c r="A76" s="0" t="str">
        <f aca="false">CONCATENATE($D76,"F")</f>
        <v>CTH01621VP04DF</v>
      </c>
      <c r="B76" s="41" t="n">
        <v>0</v>
      </c>
      <c r="D76" s="41" t="s">
        <v>411</v>
      </c>
      <c r="E76" s="0" t="str">
        <f aca="false">CONCATENATE($D76,"F")</f>
        <v>CTH01621VP04DF</v>
      </c>
    </row>
    <row r="77" customFormat="false" ht="15" hidden="false" customHeight="false" outlineLevel="0" collapsed="false">
      <c r="A77" s="0" t="str">
        <f aca="false">CONCATENATE($D77,"F")</f>
        <v>FFNSNFGCH2X1FF</v>
      </c>
      <c r="B77" s="41" t="n">
        <v>0</v>
      </c>
      <c r="D77" s="41" t="s">
        <v>412</v>
      </c>
      <c r="E77" s="0" t="str">
        <f aca="false">CONCATENATE($D77,"F")</f>
        <v>FFNSNFGCH2X1FF</v>
      </c>
    </row>
    <row r="78" customFormat="false" ht="15" hidden="false" customHeight="false" outlineLevel="0" collapsed="false">
      <c r="A78" s="0" t="str">
        <f aca="false">CONCATENATE($D78,"F")</f>
        <v>FFNSNUGSF2X1FF</v>
      </c>
      <c r="B78" s="41" t="n">
        <v>0</v>
      </c>
      <c r="D78" s="41" t="s">
        <v>413</v>
      </c>
      <c r="E78" s="0" t="str">
        <f aca="false">CONCATENATE($D78,"F")</f>
        <v>FFNSNUGSF2X1FF</v>
      </c>
    </row>
    <row r="79" customFormat="false" ht="15" hidden="false" customHeight="false" outlineLevel="0" collapsed="false">
      <c r="A79" s="0" t="str">
        <f aca="false">CONCATENATE($D79,"F")</f>
        <v>FFNSNUGSF2X1HF</v>
      </c>
      <c r="B79" s="41" t="n">
        <v>0</v>
      </c>
      <c r="D79" s="41" t="s">
        <v>414</v>
      </c>
      <c r="E79" s="0" t="str">
        <f aca="false">CONCATENATE($D79,"F")</f>
        <v>FFNSNUGSF2X1HF</v>
      </c>
    </row>
    <row r="80" customFormat="false" ht="15" hidden="false" customHeight="false" outlineLevel="0" collapsed="false">
      <c r="A80" s="0" t="str">
        <f aca="false">CONCATENATE($D80,"F")</f>
        <v>FFNSNUGSF2X1JF</v>
      </c>
      <c r="B80" s="41" t="n">
        <v>0</v>
      </c>
      <c r="D80" s="41" t="s">
        <v>415</v>
      </c>
      <c r="E80" s="0" t="str">
        <f aca="false">CONCATENATE($D80,"F")</f>
        <v>FFNSNUGSF2X1JF</v>
      </c>
    </row>
    <row r="81" customFormat="false" ht="15" hidden="false" customHeight="false" outlineLevel="0" collapsed="false">
      <c r="A81" s="0" t="str">
        <f aca="false">CONCATENATE($D81,"F")</f>
        <v>FFOMBAL00400DF</v>
      </c>
      <c r="B81" s="41" t="n">
        <v>0</v>
      </c>
      <c r="D81" s="41" t="s">
        <v>416</v>
      </c>
      <c r="E81" s="0" t="str">
        <f aca="false">CONCATENATE($D81,"F")</f>
        <v>FFOMBAL00400DF</v>
      </c>
    </row>
    <row r="82" customFormat="false" ht="15" hidden="false" customHeight="false" outlineLevel="0" collapsed="false">
      <c r="A82" s="0" t="str">
        <f aca="false">CONCATENATE($D82,"F")</f>
        <v>FFOMBAL00800DF</v>
      </c>
      <c r="B82" s="41" t="n">
        <v>0</v>
      </c>
      <c r="D82" s="41" t="s">
        <v>417</v>
      </c>
      <c r="E82" s="0" t="str">
        <f aca="false">CONCATENATE($D82,"F")</f>
        <v>FFOMBAL00800DF</v>
      </c>
    </row>
    <row r="83" customFormat="false" ht="15" hidden="false" customHeight="false" outlineLevel="0" collapsed="false">
      <c r="A83" s="0" t="str">
        <f aca="false">CONCATENATE($D83,"F")</f>
        <v>FFOMBAL00850FF</v>
      </c>
      <c r="B83" s="41" t="n">
        <v>0</v>
      </c>
      <c r="D83" s="41" t="s">
        <v>418</v>
      </c>
      <c r="E83" s="0" t="str">
        <f aca="false">CONCATENATE($D83,"F")</f>
        <v>FFOMBAL00850FF</v>
      </c>
    </row>
    <row r="84" customFormat="false" ht="15" hidden="false" customHeight="false" outlineLevel="0" collapsed="false">
      <c r="A84" s="0" t="str">
        <f aca="false">CONCATENATE($D84,"F")</f>
        <v>FFOMBALL0850FF</v>
      </c>
      <c r="B84" s="41" t="n">
        <v>0</v>
      </c>
      <c r="D84" s="41" t="s">
        <v>419</v>
      </c>
      <c r="E84" s="0" t="str">
        <f aca="false">CONCATENATE($D84,"F")</f>
        <v>FFOMBALL0850FF</v>
      </c>
    </row>
    <row r="85" customFormat="false" ht="15" hidden="false" customHeight="false" outlineLevel="0" collapsed="false">
      <c r="A85" s="0" t="str">
        <f aca="false">CONCATENATE($D85,"F")</f>
        <v>FFOMBUR00600DF</v>
      </c>
      <c r="B85" s="41" t="n">
        <v>0</v>
      </c>
      <c r="D85" s="41" t="s">
        <v>420</v>
      </c>
      <c r="E85" s="0" t="str">
        <f aca="false">CONCATENATE($D85,"F")</f>
        <v>FFOMBUR00600DF</v>
      </c>
    </row>
    <row r="86" customFormat="false" ht="15" hidden="false" customHeight="false" outlineLevel="0" collapsed="false">
      <c r="A86" s="0" t="str">
        <f aca="false">CONCATENATE($D86,"F")</f>
        <v>FFOMBUR00K01JF</v>
      </c>
      <c r="B86" s="41" t="n">
        <v>0</v>
      </c>
      <c r="D86" s="41" t="s">
        <v>421</v>
      </c>
      <c r="E86" s="0" t="str">
        <f aca="false">CONCATENATE($D86,"F")</f>
        <v>FFOMBUR00K01JF</v>
      </c>
    </row>
    <row r="87" customFormat="false" ht="15" hidden="false" customHeight="false" outlineLevel="0" collapsed="false">
      <c r="A87" s="0" t="str">
        <f aca="false">CONCATENATE($D87,"F")</f>
        <v>FFOMML000200FF</v>
      </c>
      <c r="B87" s="41" t="n">
        <v>0</v>
      </c>
      <c r="D87" s="41" t="s">
        <v>422</v>
      </c>
      <c r="E87" s="0" t="str">
        <f aca="false">CONCATENATE($D87,"F")</f>
        <v>FFOMML000200FF</v>
      </c>
    </row>
    <row r="88" customFormat="false" ht="15" hidden="false" customHeight="false" outlineLevel="0" collapsed="false">
      <c r="A88" s="0" t="str">
        <f aca="false">CONCATENATE($D88,"F")</f>
        <v>FFOMML000500DF</v>
      </c>
      <c r="B88" s="41" t="n">
        <v>0</v>
      </c>
      <c r="D88" s="41" t="s">
        <v>423</v>
      </c>
      <c r="E88" s="0" t="str">
        <f aca="false">CONCATENATE($D88,"F")</f>
        <v>FFOMML000500DF</v>
      </c>
    </row>
    <row r="89" customFormat="false" ht="15" hidden="false" customHeight="false" outlineLevel="0" collapsed="false">
      <c r="A89" s="0" t="str">
        <f aca="false">CONCATENATE($D89,"F")</f>
        <v>FFOMML000P32DF</v>
      </c>
      <c r="B89" s="41" t="n">
        <v>0</v>
      </c>
      <c r="D89" s="41" t="s">
        <v>424</v>
      </c>
      <c r="E89" s="0" t="str">
        <f aca="false">CONCATENATE($D89,"F")</f>
        <v>FFOMML000P32DF</v>
      </c>
    </row>
    <row r="90" customFormat="false" ht="15" hidden="false" customHeight="false" outlineLevel="0" collapsed="false">
      <c r="A90" s="0" t="str">
        <f aca="false">CONCATENATE($D90,"F")</f>
        <v>FFOMML0HR500DF</v>
      </c>
      <c r="B90" s="41" t="n">
        <v>0</v>
      </c>
      <c r="D90" s="41" t="s">
        <v>425</v>
      </c>
      <c r="E90" s="0" t="str">
        <f aca="false">CONCATENATE($D90,"F")</f>
        <v>FFOMML0HR500DF</v>
      </c>
    </row>
    <row r="91" customFormat="false" ht="15" hidden="false" customHeight="false" outlineLevel="0" collapsed="false">
      <c r="A91" s="0" t="str">
        <f aca="false">CONCATENATE($D91,"F")</f>
        <v>FFOMNUG00400FF</v>
      </c>
      <c r="B91" s="41" t="n">
        <v>0</v>
      </c>
      <c r="D91" s="41" t="s">
        <v>426</v>
      </c>
      <c r="E91" s="0" t="str">
        <f aca="false">CONCATENATE($D91,"F")</f>
        <v>FFOMNUG00400FF</v>
      </c>
    </row>
    <row r="92" customFormat="false" ht="15" hidden="false" customHeight="false" outlineLevel="0" collapsed="false">
      <c r="A92" s="0" t="str">
        <f aca="false">CONCATENATE($D92,"F")</f>
        <v>FFOMNUG00800DF</v>
      </c>
      <c r="B92" s="41" t="n">
        <v>0</v>
      </c>
      <c r="D92" s="41" t="s">
        <v>427</v>
      </c>
      <c r="E92" s="0" t="str">
        <f aca="false">CONCATENATE($D92,"F")</f>
        <v>FFOMNUG00800DF</v>
      </c>
    </row>
    <row r="93" customFormat="false" ht="15" hidden="false" customHeight="false" outlineLevel="0" collapsed="false">
      <c r="A93" s="0" t="str">
        <f aca="false">CONCATENATE($D93,"F")</f>
        <v>FFOMNUG00800HF</v>
      </c>
      <c r="B93" s="41" t="n">
        <v>0</v>
      </c>
      <c r="D93" s="41" t="s">
        <v>428</v>
      </c>
      <c r="E93" s="0" t="str">
        <f aca="false">CONCATENATE($D93,"F")</f>
        <v>FFOMNUG00800HF</v>
      </c>
    </row>
    <row r="94" customFormat="false" ht="15" hidden="false" customHeight="false" outlineLevel="0" collapsed="false">
      <c r="A94" s="0" t="str">
        <f aca="false">CONCATENATE($D94,"F")</f>
        <v>FFOMNUG00K01JF</v>
      </c>
      <c r="B94" s="41" t="n">
        <v>0</v>
      </c>
      <c r="D94" s="41" t="s">
        <v>429</v>
      </c>
      <c r="E94" s="0" t="str">
        <f aca="false">CONCATENATE($D94,"F")</f>
        <v>FFOMNUG00K01JF</v>
      </c>
    </row>
    <row r="95" customFormat="false" ht="15" hidden="false" customHeight="false" outlineLevel="0" collapsed="false">
      <c r="A95" s="0" t="str">
        <f aca="false">CONCATENATE($D95,"F")</f>
        <v>FFOMNUG00K02FF</v>
      </c>
      <c r="B95" s="41" t="n">
        <v>0</v>
      </c>
      <c r="D95" s="41" t="s">
        <v>430</v>
      </c>
      <c r="E95" s="0" t="str">
        <f aca="false">CONCATENATE($D95,"F")</f>
        <v>FFOMNUG00K02FF</v>
      </c>
    </row>
    <row r="96" customFormat="false" ht="15" hidden="false" customHeight="false" outlineLevel="0" collapsed="false">
      <c r="A96" s="0" t="str">
        <f aca="false">CONCATENATE($D96,"F")</f>
        <v>FFOMNUG12850FF</v>
      </c>
      <c r="B96" s="41" t="n">
        <v>0</v>
      </c>
      <c r="D96" s="41" t="s">
        <v>431</v>
      </c>
      <c r="E96" s="0" t="str">
        <f aca="false">CONCATENATE($D96,"F")</f>
        <v>FFOMNUG12850FF</v>
      </c>
    </row>
    <row r="97" customFormat="false" ht="15" hidden="false" customHeight="false" outlineLevel="0" collapsed="false">
      <c r="A97" s="0" t="str">
        <f aca="false">CONCATENATE($D97,"F")</f>
        <v>FFOMNUGCZ800DF</v>
      </c>
      <c r="B97" s="41" t="n">
        <v>0</v>
      </c>
      <c r="D97" s="41" t="s">
        <v>432</v>
      </c>
      <c r="E97" s="0" t="str">
        <f aca="false">CONCATENATE($D97,"F")</f>
        <v>FFOMNUGCZ800DF</v>
      </c>
    </row>
    <row r="98" customFormat="false" ht="15" hidden="false" customHeight="false" outlineLevel="0" collapsed="false">
      <c r="A98" s="0" t="str">
        <f aca="false">CONCATENATE($D98,"F")</f>
        <v>FFOMNUGGCP12CF</v>
      </c>
      <c r="B98" s="41" t="n">
        <v>0</v>
      </c>
      <c r="D98" s="41" t="s">
        <v>433</v>
      </c>
      <c r="E98" s="0" t="str">
        <f aca="false">CONCATENATE($D98,"F")</f>
        <v>FFOMNUGGCP12CF</v>
      </c>
    </row>
    <row r="99" customFormat="false" ht="15" hidden="false" customHeight="false" outlineLevel="0" collapsed="false">
      <c r="A99" s="0" t="str">
        <f aca="false">CONCATENATE($D99,"F")</f>
        <v>FFOMNUGST800HF</v>
      </c>
      <c r="B99" s="41" t="n">
        <v>0</v>
      </c>
      <c r="D99" s="41" t="s">
        <v>434</v>
      </c>
      <c r="E99" s="0" t="str">
        <f aca="false">CONCATENATE($D99,"F")</f>
        <v>FFOMNUGST800HF</v>
      </c>
    </row>
    <row r="100" customFormat="false" ht="15" hidden="false" customHeight="false" outlineLevel="0" collapsed="false">
      <c r="A100" s="0" t="str">
        <f aca="false">CONCATENATE($D100,"F")</f>
        <v>FFOMNUGSTK01JF</v>
      </c>
      <c r="B100" s="41" t="n">
        <v>0</v>
      </c>
      <c r="D100" s="41" t="s">
        <v>435</v>
      </c>
      <c r="E100" s="0" t="str">
        <f aca="false">CONCATENATE($D100,"F")</f>
        <v>FFOMNUGSTK01JF</v>
      </c>
    </row>
    <row r="101" customFormat="false" ht="15" hidden="false" customHeight="false" outlineLevel="0" collapsed="false">
      <c r="A101" s="0" t="str">
        <f aca="false">CONCATENATE($D101,"F")</f>
        <v>FFOMNUGTE800DF</v>
      </c>
      <c r="B101" s="41" t="n">
        <v>0</v>
      </c>
      <c r="D101" s="41" t="s">
        <v>436</v>
      </c>
      <c r="E101" s="0" t="str">
        <f aca="false">CONCATENATE($D101,"F")</f>
        <v>FFOMNUGTE800DF</v>
      </c>
    </row>
    <row r="102" customFormat="false" ht="15" hidden="false" customHeight="false" outlineLevel="0" collapsed="false">
      <c r="A102" s="0" t="str">
        <f aca="false">CONCATENATE($D102,"F")</f>
        <v>FFOMNUGTE850FF</v>
      </c>
      <c r="B102" s="41" t="n">
        <v>0</v>
      </c>
      <c r="D102" s="41" t="s">
        <v>437</v>
      </c>
      <c r="E102" s="0" t="str">
        <f aca="false">CONCATENATE($D102,"F")</f>
        <v>FFOMNUGTE850FF</v>
      </c>
    </row>
    <row r="103" customFormat="false" ht="15" hidden="false" customHeight="false" outlineLevel="0" collapsed="false">
      <c r="A103" s="0" t="str">
        <f aca="false">CONCATENATE($D103,"F")</f>
        <v>FFOMNUGTEK01JF</v>
      </c>
      <c r="B103" s="41" t="n">
        <v>0</v>
      </c>
      <c r="D103" s="41" t="s">
        <v>438</v>
      </c>
      <c r="E103" s="0" t="str">
        <f aca="false">CONCATENATE($D103,"F")</f>
        <v>FFOMNUGTEK01JF</v>
      </c>
    </row>
    <row r="104" customFormat="false" ht="15" hidden="false" customHeight="false" outlineLevel="0" collapsed="false">
      <c r="A104" s="0" t="str">
        <f aca="false">CONCATENATE($D104,"F")</f>
        <v>FGRBBC00K05DFF</v>
      </c>
      <c r="B104" s="41" t="n">
        <v>0</v>
      </c>
      <c r="D104" s="41" t="s">
        <v>439</v>
      </c>
      <c r="E104" s="0" t="str">
        <f aca="false">CONCATENATE($D104,"F")</f>
        <v>FGRBBC00K05DFF</v>
      </c>
    </row>
    <row r="105" customFormat="false" ht="15" hidden="false" customHeight="false" outlineLevel="0" collapsed="false">
      <c r="A105" s="0" t="str">
        <f aca="false">CONCATENATE($D105,"F")</f>
        <v>FGRDCTG00K05DF</v>
      </c>
      <c r="B105" s="41" t="n">
        <v>0</v>
      </c>
      <c r="D105" s="41" t="s">
        <v>440</v>
      </c>
      <c r="E105" s="0" t="str">
        <f aca="false">CONCATENATE($D105,"F")</f>
        <v>FGRDCTG00K05DF</v>
      </c>
    </row>
    <row r="106" customFormat="false" ht="15" hidden="false" customHeight="false" outlineLevel="0" collapsed="false">
      <c r="A106" s="0" t="str">
        <f aca="false">CONCATENATE($D106,"F")</f>
        <v>FGRDMDM00K05DF</v>
      </c>
      <c r="B106" s="41" t="n">
        <v>0</v>
      </c>
      <c r="D106" s="41" t="s">
        <v>441</v>
      </c>
      <c r="E106" s="0" t="str">
        <f aca="false">CONCATENATE($D106,"F")</f>
        <v>FGRDMDM00K05DF</v>
      </c>
    </row>
    <row r="107" customFormat="false" ht="15" hidden="false" customHeight="false" outlineLevel="0" collapsed="false">
      <c r="A107" s="0" t="str">
        <f aca="false">CONCATENATE($D107,"F")</f>
        <v>FGRDMDMIMK06PF</v>
      </c>
      <c r="B107" s="41" t="n">
        <v>0</v>
      </c>
      <c r="D107" s="41" t="s">
        <v>442</v>
      </c>
      <c r="E107" s="0" t="str">
        <f aca="false">CONCATENATE($D107,"F")</f>
        <v>FGRDMDMIMK06PF</v>
      </c>
    </row>
    <row r="108" customFormat="false" ht="15" hidden="false" customHeight="false" outlineLevel="0" collapsed="false">
      <c r="A108" s="0" t="str">
        <f aca="false">CONCATENATE($D108,"F")</f>
        <v>FGRDMGM00K05DF</v>
      </c>
      <c r="B108" s="41" t="n">
        <v>0</v>
      </c>
      <c r="D108" s="41" t="s">
        <v>443</v>
      </c>
      <c r="E108" s="0" t="str">
        <f aca="false">CONCATENATE($D108,"F")</f>
        <v>FGRDMGM00K05DF</v>
      </c>
    </row>
    <row r="109" customFormat="false" ht="15" hidden="false" customHeight="false" outlineLevel="0" collapsed="false">
      <c r="A109" s="0" t="str">
        <f aca="false">CONCATENATE($D109,"F")</f>
        <v>FGRDMGWPPK05DF</v>
      </c>
      <c r="B109" s="41" t="n">
        <v>0</v>
      </c>
      <c r="D109" s="41" t="s">
        <v>444</v>
      </c>
      <c r="E109" s="0" t="str">
        <f aca="false">CONCATENATE($D109,"F")</f>
        <v>FGRDMGWPPK05DF</v>
      </c>
    </row>
    <row r="110" customFormat="false" ht="15" hidden="false" customHeight="false" outlineLevel="0" collapsed="false">
      <c r="A110" s="0" t="str">
        <f aca="false">CONCATENATE($D110,"F")</f>
        <v>FPORBDSCBK02DF</v>
      </c>
      <c r="B110" s="41" t="n">
        <v>0</v>
      </c>
      <c r="D110" s="41" t="s">
        <v>445</v>
      </c>
      <c r="E110" s="0" t="str">
        <f aca="false">CONCATENATE($D110,"F")</f>
        <v>FPORBDSCBK02DF</v>
      </c>
    </row>
    <row r="111" customFormat="false" ht="15" hidden="false" customHeight="false" outlineLevel="0" collapsed="false">
      <c r="A111" s="0" t="str">
        <f aca="false">CONCATENATE($D111,"F")</f>
        <v>FPORBUR00700FF</v>
      </c>
      <c r="B111" s="41" t="n">
        <v>0</v>
      </c>
      <c r="D111" s="41" t="s">
        <v>446</v>
      </c>
      <c r="E111" s="0" t="str">
        <f aca="false">CONCATENATE($D111,"F")</f>
        <v>FPORBUR00700FF</v>
      </c>
    </row>
    <row r="112" customFormat="false" ht="15" hidden="false" customHeight="false" outlineLevel="0" collapsed="false">
      <c r="A112" s="0" t="str">
        <f aca="false">CONCATENATE($D112,"F")</f>
        <v>FPORCH0EKP10DF</v>
      </c>
      <c r="B112" s="41" t="n">
        <v>0</v>
      </c>
      <c r="D112" s="41" t="s">
        <v>447</v>
      </c>
      <c r="E112" s="0" t="str">
        <f aca="false">CONCATENATE($D112,"F")</f>
        <v>FPORCH0EKP10DF</v>
      </c>
    </row>
    <row r="113" customFormat="false" ht="15" hidden="false" customHeight="false" outlineLevel="0" collapsed="false">
      <c r="A113" s="0" t="str">
        <f aca="false">CONCATENATE($D113,"F")</f>
        <v>FPORCH0ORP05DF</v>
      </c>
      <c r="B113" s="41" t="n">
        <v>0</v>
      </c>
      <c r="D113" s="41" t="s">
        <v>448</v>
      </c>
      <c r="E113" s="0" t="str">
        <f aca="false">CONCATENATE($D113,"F")</f>
        <v>FPORCH0ORP05DF</v>
      </c>
    </row>
    <row r="114" customFormat="false" ht="15" hidden="false" customHeight="false" outlineLevel="0" collapsed="false">
      <c r="A114" s="0" t="str">
        <f aca="false">CONCATENATE($D114,"F")</f>
        <v>FPORCHI00800DF</v>
      </c>
      <c r="B114" s="41" t="n">
        <v>0</v>
      </c>
      <c r="D114" s="41" t="s">
        <v>449</v>
      </c>
      <c r="E114" s="0" t="str">
        <f aca="false">CONCATENATE($D114,"F")</f>
        <v>FPORCHI00800DF</v>
      </c>
    </row>
    <row r="115" customFormat="false" ht="15" hidden="false" customHeight="false" outlineLevel="0" collapsed="false">
      <c r="A115" s="0" t="str">
        <f aca="false">CONCATENATE($D115,"F")</f>
        <v>FPORCHI00850FF</v>
      </c>
      <c r="B115" s="41" t="n">
        <v>0</v>
      </c>
      <c r="D115" s="41" t="s">
        <v>450</v>
      </c>
      <c r="E115" s="0" t="str">
        <f aca="false">CONCATENATE($D115,"F")</f>
        <v>FPORCHI00850FF</v>
      </c>
    </row>
    <row r="116" customFormat="false" ht="15" hidden="false" customHeight="false" outlineLevel="0" collapsed="false">
      <c r="A116" s="0" t="str">
        <f aca="false">CONCATENATE($D116,"F")</f>
        <v>FPORCHIHT800DF</v>
      </c>
      <c r="B116" s="41" t="n">
        <v>0</v>
      </c>
      <c r="D116" s="41" t="s">
        <v>451</v>
      </c>
      <c r="E116" s="0" t="str">
        <f aca="false">CONCATENATE($D116,"F")</f>
        <v>FPORCHIHT800DF</v>
      </c>
    </row>
    <row r="117" customFormat="false" ht="15" hidden="false" customHeight="false" outlineLevel="0" collapsed="false">
      <c r="A117" s="0" t="str">
        <f aca="false">CONCATENATE($D117,"F")</f>
        <v>FPORDLITEK01DF</v>
      </c>
      <c r="B117" s="41" t="n">
        <v>0</v>
      </c>
      <c r="D117" s="41" t="s">
        <v>452</v>
      </c>
      <c r="E117" s="0" t="str">
        <f aca="false">CONCATENATE($D117,"F")</f>
        <v>FPORDLITEK01DF</v>
      </c>
    </row>
    <row r="118" customFormat="false" ht="15" hidden="false" customHeight="false" outlineLevel="0" collapsed="false">
      <c r="A118" s="0" t="str">
        <f aca="false">CONCATENATE($D118,"F")</f>
        <v>FPORDLITEP04DF</v>
      </c>
      <c r="B118" s="41" t="n">
        <v>0</v>
      </c>
      <c r="D118" s="41" t="s">
        <v>453</v>
      </c>
      <c r="E118" s="0" t="str">
        <f aca="false">CONCATENATE($D118,"F")</f>
        <v>FPORDLITEP04DF</v>
      </c>
    </row>
    <row r="119" customFormat="false" ht="15" hidden="false" customHeight="false" outlineLevel="0" collapsed="false">
      <c r="A119" s="0" t="str">
        <f aca="false">CONCATENATE($D119,"F")</f>
        <v>FPORDT000800DF</v>
      </c>
      <c r="B119" s="41" t="n">
        <v>0</v>
      </c>
      <c r="D119" s="41" t="s">
        <v>454</v>
      </c>
      <c r="E119" s="0" t="str">
        <f aca="false">CONCATENATE($D119,"F")</f>
        <v>FPORDT000800DF</v>
      </c>
    </row>
    <row r="120" customFormat="false" ht="15" hidden="false" customHeight="false" outlineLevel="0" collapsed="false">
      <c r="A120" s="0" t="str">
        <f aca="false">CONCATENATE($D120,"F")</f>
        <v>FPORDT0HS800DF</v>
      </c>
      <c r="B120" s="41" t="n">
        <v>0</v>
      </c>
      <c r="D120" s="41" t="s">
        <v>455</v>
      </c>
      <c r="E120" s="0" t="str">
        <f aca="false">CONCATENATE($D120,"F")</f>
        <v>FPORDT0HS800DF</v>
      </c>
    </row>
    <row r="121" customFormat="false" ht="15" hidden="false" customHeight="false" outlineLevel="0" collapsed="false">
      <c r="A121" s="0" t="str">
        <f aca="false">CONCATENATE($D121,"F")</f>
        <v>FPORFILCBK02DF</v>
      </c>
      <c r="B121" s="41" t="n">
        <v>0</v>
      </c>
      <c r="D121" s="41" t="s">
        <v>456</v>
      </c>
      <c r="E121" s="0" t="str">
        <f aca="false">CONCATENATE($D121,"F")</f>
        <v>FPORFILCBK02DF</v>
      </c>
    </row>
    <row r="122" customFormat="false" ht="15" hidden="false" customHeight="false" outlineLevel="0" collapsed="false">
      <c r="A122" s="0" t="str">
        <f aca="false">CONCATENATE($D122,"F")</f>
        <v>FPORFIN00400DF</v>
      </c>
      <c r="B122" s="41" t="n">
        <v>0</v>
      </c>
      <c r="D122" s="41" t="s">
        <v>457</v>
      </c>
      <c r="E122" s="0" t="str">
        <f aca="false">CONCATENATE($D122,"F")</f>
        <v>FPORFIN00400DF</v>
      </c>
    </row>
    <row r="123" customFormat="false" ht="15" hidden="false" customHeight="false" outlineLevel="0" collapsed="false">
      <c r="A123" s="0" t="str">
        <f aca="false">CONCATENATE($D123,"F")</f>
        <v>FPORPCORN400FF</v>
      </c>
      <c r="B123" s="41" t="n">
        <v>0</v>
      </c>
      <c r="D123" s="41" t="s">
        <v>458</v>
      </c>
      <c r="E123" s="0" t="str">
        <f aca="false">CONCATENATE($D123,"F")</f>
        <v>FPORPCORN400FF</v>
      </c>
    </row>
    <row r="124" customFormat="false" ht="15" hidden="false" customHeight="false" outlineLevel="0" collapsed="false">
      <c r="A124" s="0" t="str">
        <f aca="false">CONCATENATE($D124,"F")</f>
        <v>FPORSATAYP10DF</v>
      </c>
      <c r="B124" s="41" t="n">
        <v>0</v>
      </c>
      <c r="D124" s="41" t="s">
        <v>459</v>
      </c>
      <c r="E124" s="0" t="str">
        <f aca="false">CONCATENATE($D124,"F")</f>
        <v>FPORSATAYP10DF</v>
      </c>
    </row>
    <row r="125" customFormat="false" ht="15" hidden="false" customHeight="false" outlineLevel="0" collapsed="false">
      <c r="A125" s="0" t="str">
        <f aca="false">CONCATENATE($D125,"F")</f>
        <v>FPORSATAYP12DF</v>
      </c>
      <c r="B125" s="41" t="n">
        <v>0</v>
      </c>
      <c r="D125" s="41" t="s">
        <v>460</v>
      </c>
      <c r="E125" s="0" t="str">
        <f aca="false">CONCATENATE($D125,"F")</f>
        <v>FPORSATAYP12DF</v>
      </c>
    </row>
    <row r="126" customFormat="false" ht="15" hidden="false" customHeight="false" outlineLevel="0" collapsed="false">
      <c r="A126" s="0" t="str">
        <f aca="false">CONCATENATE($D126,"F")</f>
        <v>FPORTBSHRK01DF</v>
      </c>
      <c r="B126" s="41" t="n">
        <v>0</v>
      </c>
      <c r="D126" s="41" t="s">
        <v>461</v>
      </c>
      <c r="E126" s="0" t="str">
        <f aca="false">CONCATENATE($D126,"F")</f>
        <v>FPORTBSHRK01DF</v>
      </c>
    </row>
    <row r="127" customFormat="false" ht="15" hidden="false" customHeight="false" outlineLevel="0" collapsed="false">
      <c r="A127" s="0" t="str">
        <f aca="false">CONCATENATE($D127,"F")</f>
        <v>FPORTL000400FF</v>
      </c>
      <c r="B127" s="41" t="n">
        <v>0</v>
      </c>
      <c r="D127" s="41" t="s">
        <v>462</v>
      </c>
      <c r="E127" s="0" t="str">
        <f aca="false">CONCATENATE($D127,"F")</f>
        <v>FPORTL000400FF</v>
      </c>
    </row>
    <row r="128" customFormat="false" ht="15" hidden="false" customHeight="false" outlineLevel="0" collapsed="false">
      <c r="A128" s="0" t="str">
        <f aca="false">CONCATENATE($D128,"F")</f>
        <v>FPORWG0HS850FF</v>
      </c>
      <c r="B128" s="41" t="n">
        <v>0</v>
      </c>
      <c r="D128" s="41" t="s">
        <v>463</v>
      </c>
      <c r="E128" s="0" t="str">
        <f aca="false">CONCATENATE($D128,"F")</f>
        <v>FPORWG0HS850FF</v>
      </c>
    </row>
    <row r="129" customFormat="false" ht="15" hidden="false" customHeight="false" outlineLevel="0" collapsed="false">
      <c r="A129" s="0" t="str">
        <f aca="false">CONCATENATE($D129,"F")</f>
        <v>FSGECKT00800DF</v>
      </c>
      <c r="B129" s="41" t="n">
        <v>0</v>
      </c>
      <c r="D129" s="41" t="s">
        <v>464</v>
      </c>
      <c r="E129" s="0" t="str">
        <f aca="false">CONCATENATE($D129,"F")</f>
        <v>FSGECKT00800DF</v>
      </c>
    </row>
    <row r="130" customFormat="false" ht="15" hidden="false" customHeight="false" outlineLevel="0" collapsed="false">
      <c r="A130" s="0" t="str">
        <f aca="false">CONCATENATE($D130,"F")</f>
        <v>FSGECKT00850FF</v>
      </c>
      <c r="B130" s="41" t="n">
        <v>0</v>
      </c>
      <c r="D130" s="41" t="s">
        <v>465</v>
      </c>
      <c r="E130" s="0" t="str">
        <f aca="false">CONCATENATE($D130,"F")</f>
        <v>FSGECKT00850FF</v>
      </c>
    </row>
    <row r="131" customFormat="false" ht="15" hidden="false" customHeight="false" outlineLevel="0" collapsed="false">
      <c r="A131" s="0" t="str">
        <f aca="false">CONCATENATE($D131,"F")</f>
        <v>FSGESFR00270HF</v>
      </c>
      <c r="B131" s="41" t="n">
        <v>0</v>
      </c>
      <c r="D131" s="41" t="s">
        <v>466</v>
      </c>
      <c r="E131" s="0" t="str">
        <f aca="false">CONCATENATE($D131,"F")</f>
        <v>FSGESFR00270HF</v>
      </c>
    </row>
    <row r="132" customFormat="false" ht="15" hidden="false" customHeight="false" outlineLevel="0" collapsed="false">
      <c r="A132" s="0" t="str">
        <f aca="false">CONCATENATE($D132,"F")</f>
        <v>FSGESFR00270JF</v>
      </c>
      <c r="B132" s="41" t="n">
        <v>0</v>
      </c>
      <c r="D132" s="41" t="s">
        <v>467</v>
      </c>
      <c r="E132" s="0" t="str">
        <f aca="false">CONCATENATE($D132,"F")</f>
        <v>FSGESFR00270JF</v>
      </c>
    </row>
    <row r="133" customFormat="false" ht="15" hidden="false" customHeight="false" outlineLevel="0" collapsed="false">
      <c r="A133" s="0" t="str">
        <f aca="false">CONCATENATE($D133,"F")</f>
        <v>FSGESFR00300DF</v>
      </c>
      <c r="B133" s="41" t="n">
        <v>0</v>
      </c>
      <c r="D133" s="41" t="s">
        <v>468</v>
      </c>
      <c r="E133" s="0" t="str">
        <f aca="false">CONCATENATE($D133,"F")</f>
        <v>FSGESFR00300DF</v>
      </c>
    </row>
    <row r="134" customFormat="false" ht="15" hidden="false" customHeight="false" outlineLevel="0" collapsed="false">
      <c r="A134" s="0" t="str">
        <f aca="false">CONCATENATE($D134,"F")</f>
        <v>FSGESFR00300JF</v>
      </c>
      <c r="B134" s="41" t="n">
        <v>0</v>
      </c>
      <c r="D134" s="41" t="s">
        <v>469</v>
      </c>
      <c r="E134" s="0" t="str">
        <f aca="false">CONCATENATE($D134,"F")</f>
        <v>FSGESFR00300JF</v>
      </c>
    </row>
    <row r="135" customFormat="false" ht="15" hidden="false" customHeight="false" outlineLevel="0" collapsed="false">
      <c r="A135" s="0" t="str">
        <f aca="false">CONCATENATE($D135,"F")</f>
        <v>FSGESFR00800DF</v>
      </c>
      <c r="B135" s="41" t="n">
        <v>0</v>
      </c>
      <c r="D135" s="41" t="s">
        <v>470</v>
      </c>
      <c r="E135" s="0" t="str">
        <f aca="false">CONCATENATE($D135,"F")</f>
        <v>FSGESFR00800DF</v>
      </c>
    </row>
    <row r="136" customFormat="false" ht="15" hidden="false" customHeight="false" outlineLevel="0" collapsed="false">
      <c r="A136" s="0" t="str">
        <f aca="false">CONCATENATE($D136,"F")</f>
        <v>FSGESFR00P11FF</v>
      </c>
      <c r="B136" s="41" t="n">
        <v>0</v>
      </c>
      <c r="D136" s="41" t="s">
        <v>471</v>
      </c>
      <c r="E136" s="0" t="str">
        <f aca="false">CONCATENATE($D136,"F")</f>
        <v>FSGESFR00P11FF</v>
      </c>
    </row>
    <row r="137" customFormat="false" ht="15" hidden="false" customHeight="false" outlineLevel="0" collapsed="false">
      <c r="A137" s="0" t="str">
        <f aca="false">CONCATENATE($D137,"F")</f>
        <v>FSGESFR00P12DF</v>
      </c>
      <c r="B137" s="41" t="n">
        <v>0</v>
      </c>
      <c r="D137" s="41" t="s">
        <v>472</v>
      </c>
      <c r="E137" s="0" t="str">
        <f aca="false">CONCATENATE($D137,"F")</f>
        <v>FSGESFR00P12DF</v>
      </c>
    </row>
    <row r="138" customFormat="false" ht="15" hidden="false" customHeight="false" outlineLevel="0" collapsed="false">
      <c r="A138" s="0" t="str">
        <f aca="false">CONCATENATE($D138,"F")</f>
        <v>FSGESFR00P22FF</v>
      </c>
      <c r="B138" s="41" t="n">
        <v>0</v>
      </c>
      <c r="D138" s="41" t="s">
        <v>473</v>
      </c>
      <c r="E138" s="0" t="str">
        <f aca="false">CONCATENATE($D138,"F")</f>
        <v>FSGESFR00P22FF</v>
      </c>
    </row>
    <row r="139" customFormat="false" ht="15" hidden="false" customHeight="false" outlineLevel="0" collapsed="false">
      <c r="A139" s="0" t="str">
        <f aca="false">CONCATENATE($D139,"F")</f>
        <v>FSGESFR00P30JF</v>
      </c>
      <c r="B139" s="41" t="n">
        <v>0</v>
      </c>
      <c r="D139" s="41" t="s">
        <v>474</v>
      </c>
      <c r="E139" s="0" t="str">
        <f aca="false">CONCATENATE($D139,"F")</f>
        <v>FSGESFR00P30JF</v>
      </c>
    </row>
    <row r="140" customFormat="false" ht="15" hidden="false" customHeight="false" outlineLevel="0" collapsed="false">
      <c r="A140" s="0" t="str">
        <f aca="false">CONCATENATE($D140,"F")</f>
        <v>FSGESFRCZ300FF</v>
      </c>
      <c r="B140" s="41" t="n">
        <v>0</v>
      </c>
      <c r="D140" s="41" t="s">
        <v>475</v>
      </c>
      <c r="E140" s="0" t="str">
        <f aca="false">CONCATENATE($D140,"F")</f>
        <v>FSGESFRCZ300FF</v>
      </c>
    </row>
    <row r="141" customFormat="false" ht="15" hidden="false" customHeight="false" outlineLevel="0" collapsed="false">
      <c r="A141" s="0" t="str">
        <f aca="false">CONCATENATE($D141,"F")</f>
        <v>FSGESFRCZ300JF</v>
      </c>
      <c r="B141" s="41" t="n">
        <v>0</v>
      </c>
      <c r="D141" s="41" t="s">
        <v>476</v>
      </c>
      <c r="E141" s="0" t="str">
        <f aca="false">CONCATENATE($D141,"F")</f>
        <v>FSGESFRCZ300JF</v>
      </c>
    </row>
    <row r="142" customFormat="false" ht="15" hidden="false" customHeight="false" outlineLevel="0" collapsed="false">
      <c r="A142" s="0" t="str">
        <f aca="false">CONCATENATE($D142,"F")</f>
        <v>FSGESFRCZ800DF</v>
      </c>
      <c r="B142" s="41" t="n">
        <v>0</v>
      </c>
      <c r="D142" s="41" t="s">
        <v>477</v>
      </c>
      <c r="E142" s="0" t="str">
        <f aca="false">CONCATENATE($D142,"F")</f>
        <v>FSGESFRCZ800DF</v>
      </c>
    </row>
    <row r="143" customFormat="false" ht="15" hidden="false" customHeight="false" outlineLevel="0" collapsed="false">
      <c r="A143" s="0" t="str">
        <f aca="false">CONCATENATE($D143,"F")</f>
        <v>FSGESFRCZP06DF</v>
      </c>
      <c r="B143" s="41" t="n">
        <v>0</v>
      </c>
      <c r="D143" s="41" t="s">
        <v>478</v>
      </c>
      <c r="E143" s="0" t="str">
        <f aca="false">CONCATENATE($D143,"F")</f>
        <v>FSGESFRCZP06DF</v>
      </c>
    </row>
    <row r="144" customFormat="false" ht="15" hidden="false" customHeight="false" outlineLevel="0" collapsed="false">
      <c r="A144" s="0" t="str">
        <f aca="false">CONCATENATE($D144,"F")</f>
        <v>FSGESFRCZP12DF</v>
      </c>
      <c r="B144" s="41" t="n">
        <v>0</v>
      </c>
      <c r="D144" s="41" t="s">
        <v>479</v>
      </c>
      <c r="E144" s="0" t="str">
        <f aca="false">CONCATENATE($D144,"F")</f>
        <v>FSGESFRCZP12DF</v>
      </c>
    </row>
    <row r="145" customFormat="false" ht="15" hidden="false" customHeight="false" outlineLevel="0" collapsed="false">
      <c r="A145" s="0" t="str">
        <f aca="false">CONCATENATE($D145,"F")</f>
        <v>FSGESFRCZP20FF</v>
      </c>
      <c r="B145" s="41" t="n">
        <v>0</v>
      </c>
      <c r="D145" s="41" t="s">
        <v>480</v>
      </c>
      <c r="E145" s="0" t="str">
        <f aca="false">CONCATENATE($D145,"F")</f>
        <v>FSGESFRCZP20FF</v>
      </c>
    </row>
    <row r="146" customFormat="false" ht="15" hidden="false" customHeight="false" outlineLevel="0" collapsed="false">
      <c r="A146" s="0" t="str">
        <f aca="false">CONCATENATE($D146,"F")</f>
        <v>FSGESFRGCP32CF</v>
      </c>
      <c r="B146" s="41" t="n">
        <v>0</v>
      </c>
      <c r="D146" s="41" t="s">
        <v>481</v>
      </c>
      <c r="E146" s="0" t="str">
        <f aca="false">CONCATENATE($D146,"F")</f>
        <v>FSGESFRGCP32CF</v>
      </c>
    </row>
    <row r="147" customFormat="false" ht="15" hidden="false" customHeight="false" outlineLevel="0" collapsed="false">
      <c r="A147" s="0" t="str">
        <f aca="false">CONCATENATE($D147,"F")</f>
        <v>FSGESFRHLP11CF</v>
      </c>
      <c r="B147" s="41" t="n">
        <v>0</v>
      </c>
      <c r="D147" s="41" t="s">
        <v>482</v>
      </c>
      <c r="E147" s="0" t="str">
        <f aca="false">CONCATENATE($D147,"F")</f>
        <v>FSGESFRHLP11CF</v>
      </c>
    </row>
    <row r="148" customFormat="false" ht="15" hidden="false" customHeight="false" outlineLevel="0" collapsed="false">
      <c r="A148" s="0" t="str">
        <f aca="false">CONCATENATE($D148,"F")</f>
        <v>FSGESFRHY270HF</v>
      </c>
      <c r="B148" s="41" t="n">
        <v>0</v>
      </c>
      <c r="D148" s="41" t="s">
        <v>483</v>
      </c>
      <c r="E148" s="0" t="str">
        <f aca="false">CONCATENATE($D148,"F")</f>
        <v>FSGESFRHY270HF</v>
      </c>
    </row>
    <row r="149" customFormat="false" ht="15" hidden="false" customHeight="false" outlineLevel="0" collapsed="false">
      <c r="A149" s="0" t="str">
        <f aca="false">CONCATENATE($D149,"F")</f>
        <v>FSGESFRHY300FF</v>
      </c>
      <c r="B149" s="41" t="n">
        <v>0</v>
      </c>
      <c r="D149" s="41" t="s">
        <v>484</v>
      </c>
      <c r="E149" s="0" t="str">
        <f aca="false">CONCATENATE($D149,"F")</f>
        <v>FSGESFRHY300FF</v>
      </c>
    </row>
    <row r="150" customFormat="false" ht="15" hidden="false" customHeight="false" outlineLevel="0" collapsed="false">
      <c r="A150" s="0" t="str">
        <f aca="false">CONCATENATE($D150,"F")</f>
        <v>FSGESFRHYP20FF</v>
      </c>
      <c r="B150" s="41" t="n">
        <v>0</v>
      </c>
      <c r="D150" s="41" t="s">
        <v>485</v>
      </c>
      <c r="E150" s="0" t="str">
        <f aca="false">CONCATENATE($D150,"F")</f>
        <v>FSGESFRHYP20FF</v>
      </c>
    </row>
    <row r="151" customFormat="false" ht="15" hidden="false" customHeight="false" outlineLevel="0" collapsed="false">
      <c r="A151" s="0" t="str">
        <f aca="false">CONCATENATE($D151,"F")</f>
        <v>GCARF0000K10DF</v>
      </c>
      <c r="B151" s="41" t="n">
        <v>0</v>
      </c>
      <c r="D151" s="41" t="s">
        <v>486</v>
      </c>
      <c r="E151" s="0" t="str">
        <f aca="false">CONCATENATE($D151,"F")</f>
        <v>GCARF0000K10DF</v>
      </c>
    </row>
    <row r="152" customFormat="false" ht="15" hidden="false" customHeight="false" outlineLevel="0" collapsed="false">
      <c r="A152" s="0" t="str">
        <f aca="false">CONCATENATE($D152,"F")</f>
        <v>GCTGF0000K12DF</v>
      </c>
      <c r="B152" s="41" t="n">
        <v>0</v>
      </c>
      <c r="D152" s="41" t="s">
        <v>487</v>
      </c>
      <c r="E152" s="0" t="str">
        <f aca="false">CONCATENATE($D152,"F")</f>
        <v>GCTGF0000K12DF</v>
      </c>
    </row>
    <row r="153" customFormat="false" ht="15" hidden="false" customHeight="false" outlineLevel="0" collapsed="false">
      <c r="A153" s="0" t="str">
        <f aca="false">CONCATENATE($D153,"F")</f>
        <v>GCTGFFILZK12DF</v>
      </c>
      <c r="B153" s="41" t="n">
        <v>0</v>
      </c>
      <c r="D153" s="41" t="s">
        <v>488</v>
      </c>
      <c r="E153" s="0" t="str">
        <f aca="false">CONCATENATE($D153,"F")</f>
        <v>GCTGFFILZK12DF</v>
      </c>
    </row>
    <row r="154" customFormat="false" ht="15" hidden="false" customHeight="false" outlineLevel="0" collapsed="false">
      <c r="A154" s="0" t="str">
        <f aca="false">CONCATENATE($D154,"F")</f>
        <v>GFAT000SKK01DF</v>
      </c>
      <c r="B154" s="41" t="n">
        <v>0</v>
      </c>
      <c r="D154" s="41" t="s">
        <v>489</v>
      </c>
      <c r="E154" s="0" t="str">
        <f aca="false">CONCATENATE($D154,"F")</f>
        <v>GFAT000SKK01DF</v>
      </c>
    </row>
    <row r="155" customFormat="false" ht="15" hidden="false" customHeight="false" outlineLevel="0" collapsed="false">
      <c r="A155" s="0" t="str">
        <f aca="false">CONCATENATE($D155,"F")</f>
        <v>GFATF0000K05DF</v>
      </c>
      <c r="B155" s="41" t="n">
        <v>0</v>
      </c>
      <c r="D155" s="41" t="s">
        <v>490</v>
      </c>
      <c r="E155" s="0" t="str">
        <f aca="false">CONCATENATE($D155,"F")</f>
        <v>GFATF0000K05DF</v>
      </c>
    </row>
    <row r="156" customFormat="false" ht="15" hidden="false" customHeight="false" outlineLevel="0" collapsed="false">
      <c r="A156" s="0" t="str">
        <f aca="false">CONCATENATE($D156,"F")</f>
        <v>GFT0FBK00K06DF</v>
      </c>
      <c r="B156" s="41" t="n">
        <v>0</v>
      </c>
      <c r="D156" s="41" t="s">
        <v>491</v>
      </c>
      <c r="E156" s="0" t="str">
        <f aca="false">CONCATENATE($D156,"F")</f>
        <v>GFT0FBK00K06DF</v>
      </c>
    </row>
    <row r="157" customFormat="false" ht="15" hidden="false" customHeight="false" outlineLevel="0" collapsed="false">
      <c r="A157" s="0" t="str">
        <f aca="false">CONCATENATE($D157,"F")</f>
        <v>GFT0J0000K06DF</v>
      </c>
      <c r="B157" s="41" t="n">
        <v>0</v>
      </c>
      <c r="D157" s="41" t="s">
        <v>492</v>
      </c>
      <c r="E157" s="0" t="str">
        <f aca="false">CONCATENATE($D157,"F")</f>
        <v>GFT0J0000K06DF</v>
      </c>
    </row>
    <row r="158" customFormat="false" ht="15" hidden="false" customHeight="false" outlineLevel="0" collapsed="false">
      <c r="A158" s="0" t="str">
        <f aca="false">CONCATENATE($D158,"F")</f>
        <v>GFT0RG000K06DF</v>
      </c>
      <c r="B158" s="41" t="n">
        <v>0</v>
      </c>
      <c r="D158" s="41" t="s">
        <v>493</v>
      </c>
      <c r="E158" s="0" t="str">
        <f aca="false">CONCATENATE($D158,"F")</f>
        <v>GFT0RG000K06DF</v>
      </c>
    </row>
    <row r="159" customFormat="false" ht="15" hidden="false" customHeight="false" outlineLevel="0" collapsed="false">
      <c r="A159" s="0" t="str">
        <f aca="false">CONCATENATE($D159,"F")</f>
        <v>GGB0F0000K10DF</v>
      </c>
      <c r="B159" s="41" t="n">
        <v>0</v>
      </c>
      <c r="D159" s="41" t="s">
        <v>494</v>
      </c>
      <c r="E159" s="0" t="str">
        <f aca="false">CONCATENATE($D159,"F")</f>
        <v>GGB0F0000K10DF</v>
      </c>
    </row>
    <row r="160" customFormat="false" ht="15" hidden="false" customHeight="false" outlineLevel="0" collapsed="false">
      <c r="A160" s="0" t="str">
        <f aca="false">CONCATENATE($D160,"F")</f>
        <v>GGIZF0000K02DF</v>
      </c>
      <c r="B160" s="41" t="n">
        <v>0</v>
      </c>
      <c r="D160" s="41" t="s">
        <v>495</v>
      </c>
      <c r="E160" s="0" t="str">
        <f aca="false">CONCATENATE($D160,"F")</f>
        <v>GGIZF0000K02DF</v>
      </c>
    </row>
    <row r="161" customFormat="false" ht="15" hidden="false" customHeight="false" outlineLevel="0" collapsed="false">
      <c r="A161" s="0" t="str">
        <f aca="false">CONCATENATE($D161,"F")</f>
        <v>GGRDMMTPRK01DF</v>
      </c>
      <c r="B161" s="41" t="n">
        <v>0</v>
      </c>
      <c r="D161" s="41" t="s">
        <v>496</v>
      </c>
      <c r="E161" s="0" t="str">
        <f aca="false">CONCATENATE($D161,"F")</f>
        <v>GGRDMMTPRK01DF</v>
      </c>
    </row>
    <row r="162" customFormat="false" ht="15" hidden="false" customHeight="false" outlineLevel="0" collapsed="false">
      <c r="A162" s="0" t="str">
        <f aca="false">CONCATENATE($D162,"F")</f>
        <v>GGRDMMTSKK02DF</v>
      </c>
      <c r="B162" s="41" t="n">
        <v>0</v>
      </c>
      <c r="D162" s="41" t="s">
        <v>497</v>
      </c>
      <c r="E162" s="0" t="str">
        <f aca="false">CONCATENATE($D162,"F")</f>
        <v>GGRDMMTSKK02DF</v>
      </c>
    </row>
    <row r="163" customFormat="false" ht="15" hidden="false" customHeight="false" outlineLevel="0" collapsed="false">
      <c r="A163" s="0" t="str">
        <f aca="false">CONCATENATE($D163,"F")</f>
        <v>GHD0F0000K05DF</v>
      </c>
      <c r="B163" s="41" t="n">
        <v>0</v>
      </c>
      <c r="D163" s="41" t="s">
        <v>498</v>
      </c>
      <c r="E163" s="0" t="str">
        <f aca="false">CONCATENATE($D163,"F")</f>
        <v>GHD0F0000K05DF</v>
      </c>
    </row>
    <row r="164" customFormat="false" ht="15" hidden="false" customHeight="false" outlineLevel="0" collapsed="false">
      <c r="A164" s="0" t="str">
        <f aca="false">CONCATENATE($D164,"F")</f>
        <v>GLGBF0000K06DF</v>
      </c>
      <c r="B164" s="41" t="n">
        <v>0</v>
      </c>
      <c r="D164" s="41" t="s">
        <v>499</v>
      </c>
      <c r="E164" s="0" t="str">
        <f aca="false">CONCATENATE($D164,"F")</f>
        <v>GLGBF0000K06DF</v>
      </c>
    </row>
    <row r="165" customFormat="false" ht="15" hidden="false" customHeight="false" outlineLevel="0" collapsed="false">
      <c r="A165" s="0" t="str">
        <f aca="false">CONCATENATE($D165,"F")</f>
        <v>GLH0F0000K02DF</v>
      </c>
      <c r="B165" s="41" t="n">
        <v>0</v>
      </c>
      <c r="D165" s="41" t="s">
        <v>500</v>
      </c>
      <c r="E165" s="0" t="str">
        <f aca="false">CONCATENATE($D165,"F")</f>
        <v>GLH0F0000K02DF</v>
      </c>
    </row>
    <row r="166" customFormat="false" ht="15" hidden="false" customHeight="false" outlineLevel="0" collapsed="false">
      <c r="A166" s="0" t="str">
        <f aca="false">CONCATENATE($D166,"F")</f>
        <v>GNKSF0000K06DF</v>
      </c>
      <c r="B166" s="41" t="n">
        <v>0</v>
      </c>
      <c r="D166" s="41" t="s">
        <v>501</v>
      </c>
      <c r="E166" s="0" t="str">
        <f aca="false">CONCATENATE($D166,"F")</f>
        <v>GNKSF0000K06DF</v>
      </c>
    </row>
    <row r="167" customFormat="false" ht="15" hidden="false" customHeight="false" outlineLevel="0" collapsed="false">
      <c r="A167" s="0" t="str">
        <f aca="false">CONCATENATE($D167,"F")</f>
        <v>GSK0F0000K05DF</v>
      </c>
      <c r="B167" s="41" t="n">
        <v>0</v>
      </c>
      <c r="D167" s="41" t="s">
        <v>502</v>
      </c>
      <c r="E167" s="0" t="str">
        <f aca="false">CONCATENATE($D167,"F")</f>
        <v>GSK0F0000K05DF</v>
      </c>
    </row>
    <row r="168" customFormat="false" ht="15" hidden="false" customHeight="false" outlineLevel="0" collapsed="false">
      <c r="A168" s="0" t="str">
        <f aca="false">CONCATENATE($D168,"F")</f>
        <v>GSK0MF000K04DF</v>
      </c>
      <c r="B168" s="41" t="n">
        <v>0</v>
      </c>
      <c r="D168" s="41" t="s">
        <v>503</v>
      </c>
      <c r="E168" s="0" t="str">
        <f aca="false">CONCATENATE($D168,"F")</f>
        <v>GSK0MF000K04DF</v>
      </c>
    </row>
    <row r="169" customFormat="false" ht="15" hidden="false" customHeight="false" outlineLevel="0" collapsed="false">
      <c r="A169" s="0" t="str">
        <f aca="false">CONCATENATE($D169,"F")</f>
        <v>GSKNF0000K05DF</v>
      </c>
      <c r="B169" s="41" t="n">
        <v>0</v>
      </c>
      <c r="D169" s="41" t="s">
        <v>504</v>
      </c>
      <c r="E169" s="0" t="str">
        <f aca="false">CONCATENATE($D169,"F")</f>
        <v>GSKNF0000K05DF</v>
      </c>
    </row>
    <row r="170" customFormat="false" ht="15" hidden="false" customHeight="false" outlineLevel="0" collapsed="false">
      <c r="A170" s="0" t="str">
        <f aca="false">CONCATENATE($D170,"F")</f>
        <v>GSKTF0000K05DF</v>
      </c>
      <c r="B170" s="41" t="n">
        <v>0</v>
      </c>
      <c r="D170" s="41" t="s">
        <v>505</v>
      </c>
      <c r="E170" s="0" t="str">
        <f aca="false">CONCATENATE($D170,"F")</f>
        <v>GSKTF0000K05DF</v>
      </c>
    </row>
    <row r="171" customFormat="false" ht="15" hidden="false" customHeight="false" outlineLevel="0" collapsed="false">
      <c r="A171" s="0" t="str">
        <f aca="false">CONCATENATE($D171,"F")</f>
        <v>GTL0F0000K06DF</v>
      </c>
      <c r="B171" s="41" t="n">
        <v>0</v>
      </c>
      <c r="D171" s="41" t="s">
        <v>506</v>
      </c>
      <c r="E171" s="0" t="str">
        <f aca="false">CONCATENATE($D171,"F")</f>
        <v>GTL0F0000K06DF</v>
      </c>
    </row>
    <row r="172" customFormat="false" ht="15" hidden="false" customHeight="false" outlineLevel="0" collapsed="false">
      <c r="A172" s="0" t="str">
        <f aca="false">CONCATENATE($D172,"F")</f>
        <v>GTL0F0BRUK06DF</v>
      </c>
      <c r="B172" s="41" t="n">
        <v>0</v>
      </c>
      <c r="D172" s="41" t="s">
        <v>507</v>
      </c>
      <c r="E172" s="0" t="str">
        <f aca="false">CONCATENATE($D172,"F")</f>
        <v>GTL0F0BRUK06DF</v>
      </c>
    </row>
    <row r="173" customFormat="false" ht="15" hidden="false" customHeight="false" outlineLevel="0" collapsed="false">
      <c r="A173" s="0" t="str">
        <f aca="false">CONCATENATE($D173,"F")</f>
        <v>MCONBS000K02DF</v>
      </c>
      <c r="B173" s="41" t="n">
        <v>0</v>
      </c>
      <c r="D173" s="41" t="s">
        <v>508</v>
      </c>
      <c r="E173" s="0" t="str">
        <f aca="false">CONCATENATE($D173,"F")</f>
        <v>MCONBS000K02DF</v>
      </c>
    </row>
    <row r="174" customFormat="false" ht="15" hidden="false" customHeight="false" outlineLevel="0" collapsed="false">
      <c r="A174" s="0" t="str">
        <f aca="false">CONCATENATE($D174,"F")</f>
        <v>MCONCS000K02DF</v>
      </c>
      <c r="B174" s="41" t="n">
        <v>0</v>
      </c>
      <c r="D174" s="41" t="s">
        <v>509</v>
      </c>
      <c r="E174" s="0" t="str">
        <f aca="false">CONCATENATE($D174,"F")</f>
        <v>MCONCS000K02DF</v>
      </c>
    </row>
    <row r="175" customFormat="false" ht="15" hidden="false" customHeight="false" outlineLevel="0" collapsed="false">
      <c r="A175" s="0" t="str">
        <f aca="false">CONCATENATE($D175,"F")</f>
        <v>MPORBBSAWP10DF</v>
      </c>
      <c r="B175" s="41" t="n">
        <v>0</v>
      </c>
      <c r="D175" s="41" t="s">
        <v>510</v>
      </c>
      <c r="E175" s="0" t="str">
        <f aca="false">CONCATENATE($D175,"F")</f>
        <v>MPORBBSAWP10DF</v>
      </c>
    </row>
    <row r="176" customFormat="false" ht="15" hidden="false" customHeight="false" outlineLevel="0" collapsed="false">
      <c r="A176" s="0" t="str">
        <f aca="false">CONCATENATE($D176,"F")</f>
        <v>MPORBBSNDP05DF</v>
      </c>
      <c r="B176" s="41" t="n">
        <v>0</v>
      </c>
      <c r="D176" s="41" t="s">
        <v>511</v>
      </c>
      <c r="E176" s="0" t="str">
        <f aca="false">CONCATENATE($D176,"F")</f>
        <v>MPORBBSNDP05DF</v>
      </c>
    </row>
    <row r="177" customFormat="false" ht="15" hidden="false" customHeight="false" outlineLevel="0" collapsed="false">
      <c r="A177" s="0" t="str">
        <f aca="false">CONCATENATE($D177,"F")</f>
        <v>MPORBFTEXK02DF</v>
      </c>
      <c r="B177" s="41" t="n">
        <v>0</v>
      </c>
      <c r="D177" s="41" t="s">
        <v>512</v>
      </c>
      <c r="E177" s="0" t="str">
        <f aca="false">CONCATENATE($D177,"F")</f>
        <v>MPORBFTEXK02DF</v>
      </c>
    </row>
    <row r="178" customFormat="false" ht="15" hidden="false" customHeight="false" outlineLevel="0" collapsed="false">
      <c r="A178" s="0" t="str">
        <f aca="false">CONCATENATE($D178,"F")</f>
        <v>MPORBSTEKP12DF</v>
      </c>
      <c r="B178" s="41" t="n">
        <v>0</v>
      </c>
      <c r="D178" s="41" t="s">
        <v>513</v>
      </c>
      <c r="E178" s="0" t="str">
        <f aca="false">CONCATENATE($D178,"F")</f>
        <v>MPORBSTEKP12DF</v>
      </c>
    </row>
    <row r="179" customFormat="false" ht="15" hidden="false" customHeight="false" outlineLevel="0" collapsed="false">
      <c r="A179" s="0" t="str">
        <f aca="false">CONCATENATE($D179,"F")</f>
        <v>MPORBSTNDP10DF</v>
      </c>
      <c r="B179" s="41" t="n">
        <v>0</v>
      </c>
      <c r="D179" s="41" t="s">
        <v>514</v>
      </c>
      <c r="E179" s="0" t="str">
        <f aca="false">CONCATENATE($D179,"F")</f>
        <v>MPORBSTNDP10DF</v>
      </c>
    </row>
    <row r="180" customFormat="false" ht="15" hidden="false" customHeight="false" outlineLevel="0" collapsed="false">
      <c r="A180" s="0" t="str">
        <f aca="false">CONCATENATE($D180,"F")</f>
        <v>MPORBTSTXK02DF</v>
      </c>
      <c r="B180" s="41" t="n">
        <v>0</v>
      </c>
      <c r="D180" s="41" t="s">
        <v>515</v>
      </c>
      <c r="E180" s="0" t="str">
        <f aca="false">CONCATENATE($D180,"F")</f>
        <v>MPORBTSTXK02DF</v>
      </c>
    </row>
    <row r="181" customFormat="false" ht="15" hidden="false" customHeight="false" outlineLevel="0" collapsed="false">
      <c r="A181" s="0" t="str">
        <f aca="false">CONCATENATE($D181,"F")</f>
        <v>MPORBTSWDP20DF</v>
      </c>
      <c r="B181" s="41" t="n">
        <v>0</v>
      </c>
      <c r="D181" s="41" t="s">
        <v>516</v>
      </c>
      <c r="E181" s="0" t="str">
        <f aca="false">CONCATENATE($D181,"F")</f>
        <v>MPORBTSWDP20DF</v>
      </c>
    </row>
    <row r="182" customFormat="false" ht="15" hidden="false" customHeight="false" outlineLevel="0" collapsed="false">
      <c r="A182" s="0" t="str">
        <f aca="false">CONCATENATE($D182,"F")</f>
        <v>MPORC9AW0P09DF</v>
      </c>
      <c r="B182" s="41" t="n">
        <v>0</v>
      </c>
      <c r="D182" s="41" t="s">
        <v>517</v>
      </c>
      <c r="E182" s="0" t="str">
        <f aca="false">CONCATENATE($D182,"F")</f>
        <v>MPORC9AW0P09DF</v>
      </c>
    </row>
    <row r="183" customFormat="false" ht="15" hidden="false" customHeight="false" outlineLevel="0" collapsed="false">
      <c r="A183" s="0" t="str">
        <f aca="false">CONCATENATE($D183,"F")</f>
        <v>MPORC9AWSP09DF</v>
      </c>
      <c r="B183" s="41" t="n">
        <v>0</v>
      </c>
      <c r="D183" s="41" t="s">
        <v>518</v>
      </c>
      <c r="E183" s="0" t="str">
        <f aca="false">CONCATENATE($D183,"F")</f>
        <v>MPORC9AWSP09DF</v>
      </c>
    </row>
    <row r="184" customFormat="false" ht="15" hidden="false" customHeight="false" outlineLevel="0" collapsed="false">
      <c r="A184" s="0" t="str">
        <f aca="false">CONCATENATE($D184,"F")</f>
        <v>MPORC9MD0P09DF</v>
      </c>
      <c r="B184" s="41" t="n">
        <v>0</v>
      </c>
      <c r="D184" s="41" t="s">
        <v>519</v>
      </c>
      <c r="E184" s="0" t="str">
        <f aca="false">CONCATENATE($D184,"F")</f>
        <v>MPORC9MD0P09DF</v>
      </c>
    </row>
    <row r="185" customFormat="false" ht="15" hidden="false" customHeight="false" outlineLevel="0" collapsed="false">
      <c r="A185" s="0" t="str">
        <f aca="false">CONCATENATE($D185,"F")</f>
        <v>MPORC9MD0P18DF</v>
      </c>
      <c r="B185" s="41" t="n">
        <v>0</v>
      </c>
      <c r="D185" s="41" t="s">
        <v>520</v>
      </c>
      <c r="E185" s="0" t="str">
        <f aca="false">CONCATENATE($D185,"F")</f>
        <v>MPORC9MD0P18DF</v>
      </c>
    </row>
    <row r="186" customFormat="false" ht="15" hidden="false" customHeight="false" outlineLevel="0" collapsed="false">
      <c r="A186" s="0" t="str">
        <f aca="false">CONCATENATE($D186,"F")</f>
        <v>MPORC9MDSP09DF</v>
      </c>
      <c r="B186" s="41" t="n">
        <v>0</v>
      </c>
      <c r="D186" s="41" t="s">
        <v>521</v>
      </c>
      <c r="E186" s="0" t="str">
        <f aca="false">CONCATENATE($D186,"F")</f>
        <v>MPORC9MDSP09DF</v>
      </c>
    </row>
    <row r="187" customFormat="false" ht="15" hidden="false" customHeight="false" outlineLevel="0" collapsed="false">
      <c r="A187" s="0" t="str">
        <f aca="false">CONCATENATE($D187,"F")</f>
        <v>MPORC9MDSP18DF</v>
      </c>
      <c r="B187" s="41" t="n">
        <v>0</v>
      </c>
      <c r="D187" s="41" t="s">
        <v>522</v>
      </c>
      <c r="E187" s="0" t="str">
        <f aca="false">CONCATENATE($D187,"F")</f>
        <v>MPORC9MDSP18DF</v>
      </c>
    </row>
    <row r="188" customFormat="false" ht="15" hidden="false" customHeight="false" outlineLevel="0" collapsed="false">
      <c r="A188" s="0" t="str">
        <f aca="false">CONCATENATE($D188,"F")</f>
        <v>MPORC9WD0P18DF</v>
      </c>
      <c r="B188" s="41" t="n">
        <v>0</v>
      </c>
      <c r="D188" s="41" t="s">
        <v>523</v>
      </c>
      <c r="E188" s="0" t="str">
        <f aca="false">CONCATENATE($D188,"F")</f>
        <v>MPORC9WD0P18DF</v>
      </c>
    </row>
    <row r="189" customFormat="false" ht="15" hidden="false" customHeight="false" outlineLevel="0" collapsed="false">
      <c r="A189" s="0" t="str">
        <f aca="false">CONCATENATE($D189,"F")</f>
        <v>MPORCH0BPP02DF</v>
      </c>
      <c r="B189" s="41" t="n">
        <v>0</v>
      </c>
      <c r="D189" s="41" t="s">
        <v>524</v>
      </c>
      <c r="E189" s="0" t="str">
        <f aca="false">CONCATENATE($D189,"F")</f>
        <v>MPORCH0BPP02DF</v>
      </c>
    </row>
    <row r="190" customFormat="false" ht="15" hidden="false" customHeight="false" outlineLevel="0" collapsed="false">
      <c r="A190" s="0" t="str">
        <f aca="false">CONCATENATE($D190,"F")</f>
        <v>MPORCHBBQP02DF</v>
      </c>
      <c r="B190" s="41" t="n">
        <v>0</v>
      </c>
      <c r="D190" s="41" t="s">
        <v>525</v>
      </c>
      <c r="E190" s="0" t="str">
        <f aca="false">CONCATENATE($D190,"F")</f>
        <v>MPORCHBBQP02DF</v>
      </c>
    </row>
    <row r="191" customFormat="false" ht="15" hidden="false" customHeight="false" outlineLevel="0" collapsed="false">
      <c r="A191" s="0" t="str">
        <f aca="false">CONCATENATE($D191,"F")</f>
        <v>MPORCHKROP10DF</v>
      </c>
      <c r="B191" s="41" t="n">
        <v>0</v>
      </c>
      <c r="D191" s="41" t="s">
        <v>526</v>
      </c>
      <c r="E191" s="0" t="str">
        <f aca="false">CONCATENATE($D191,"F")</f>
        <v>MPORCHKROP10DF</v>
      </c>
    </row>
    <row r="192" customFormat="false" ht="15" hidden="false" customHeight="false" outlineLevel="0" collapsed="false">
      <c r="A192" s="0" t="str">
        <f aca="false">CONCATENATE($D192,"F")</f>
        <v>MPORCHORIP10DF</v>
      </c>
      <c r="B192" s="41" t="n">
        <v>0</v>
      </c>
      <c r="D192" s="41" t="s">
        <v>527</v>
      </c>
      <c r="E192" s="0" t="str">
        <f aca="false">CONCATENATE($D192,"F")</f>
        <v>MPORCHORIP10DF</v>
      </c>
    </row>
    <row r="193" customFormat="false" ht="15" hidden="false" customHeight="false" outlineLevel="0" collapsed="false">
      <c r="A193" s="0" t="str">
        <f aca="false">CONCATENATE($D193,"F")</f>
        <v>MPORCHOWDP10DF</v>
      </c>
      <c r="B193" s="41" t="n">
        <v>0</v>
      </c>
      <c r="D193" s="41" t="s">
        <v>528</v>
      </c>
      <c r="E193" s="0" t="str">
        <f aca="false">CONCATENATE($D193,"F")</f>
        <v>MPORCHOWDP10DF</v>
      </c>
    </row>
    <row r="194" customFormat="false" ht="15" hidden="false" customHeight="false" outlineLevel="0" collapsed="false">
      <c r="A194" s="0" t="str">
        <f aca="false">CONCATENATE($D194,"F")</f>
        <v>MPORCKRBPP10DF</v>
      </c>
      <c r="B194" s="41" t="n">
        <v>0</v>
      </c>
      <c r="D194" s="41" t="s">
        <v>529</v>
      </c>
      <c r="E194" s="0" t="str">
        <f aca="false">CONCATENATE($D194,"F")</f>
        <v>MPORCKRBPP10DF</v>
      </c>
    </row>
    <row r="195" customFormat="false" ht="15" hidden="false" customHeight="false" outlineLevel="0" collapsed="false">
      <c r="A195" s="0" t="str">
        <f aca="false">CONCATENATE($D195,"F")</f>
        <v>MPORFILNDP20DF</v>
      </c>
      <c r="B195" s="41" t="n">
        <v>0</v>
      </c>
      <c r="D195" s="41" t="s">
        <v>530</v>
      </c>
      <c r="E195" s="0" t="str">
        <f aca="false">CONCATENATE($D195,"F")</f>
        <v>MPORFILNDP20DF</v>
      </c>
    </row>
    <row r="196" customFormat="false" ht="15" hidden="false" customHeight="false" outlineLevel="0" collapsed="false">
      <c r="A196" s="0" t="str">
        <f aca="false">CONCATENATE($D196,"F")</f>
        <v>MPORFLTEXK02DF</v>
      </c>
      <c r="B196" s="41" t="n">
        <v>0</v>
      </c>
      <c r="D196" s="41" t="s">
        <v>531</v>
      </c>
      <c r="E196" s="0" t="str">
        <f aca="false">CONCATENATE($D196,"F")</f>
        <v>MPORFLTEXK02DF</v>
      </c>
    </row>
    <row r="197" customFormat="false" ht="15" hidden="false" customHeight="false" outlineLevel="0" collapsed="false">
      <c r="A197" s="0" t="str">
        <f aca="false">CONCATENATE($D197,"F")</f>
        <v>MPORPDMT0K02CF</v>
      </c>
      <c r="B197" s="41" t="n">
        <v>0</v>
      </c>
      <c r="D197" s="41" t="s">
        <v>532</v>
      </c>
      <c r="E197" s="0" t="str">
        <f aca="false">CONCATENATE($D197,"F")</f>
        <v>MPORPDMT0K02CF</v>
      </c>
    </row>
    <row r="198" customFormat="false" ht="15" hidden="false" customHeight="false" outlineLevel="0" collapsed="false">
      <c r="A198" s="0" t="str">
        <f aca="false">CONCATENATE($D198,"F")</f>
        <v>MPORPMJW0K02CF</v>
      </c>
      <c r="B198" s="41" t="n">
        <v>0</v>
      </c>
      <c r="D198" s="41" t="s">
        <v>533</v>
      </c>
      <c r="E198" s="0" t="str">
        <f aca="false">CONCATENATE($D198,"F")</f>
        <v>MPORPMJW0K02CF</v>
      </c>
    </row>
    <row r="199" customFormat="false" ht="15" hidden="false" customHeight="false" outlineLevel="0" collapsed="false">
      <c r="A199" s="0" t="str">
        <f aca="false">CONCATENATE($D199,"F")</f>
        <v>MPORQTLHSP10DF</v>
      </c>
      <c r="B199" s="41" t="n">
        <v>0</v>
      </c>
      <c r="D199" s="41" t="s">
        <v>534</v>
      </c>
      <c r="E199" s="0" t="str">
        <f aca="false">CONCATENATE($D199,"F")</f>
        <v>MPORQTLHSP10DF</v>
      </c>
    </row>
    <row r="200" customFormat="false" ht="15" hidden="false" customHeight="false" outlineLevel="0" collapsed="false">
      <c r="A200" s="0" t="str">
        <f aca="false">CONCATENATE($D200,"F")</f>
        <v>MPORTHDNYP20DF</v>
      </c>
      <c r="B200" s="41" t="n">
        <v>0</v>
      </c>
      <c r="D200" s="41" t="s">
        <v>535</v>
      </c>
      <c r="E200" s="0" t="str">
        <f aca="false">CONCATENATE($D200,"F")</f>
        <v>MPORTHDNYP20DF</v>
      </c>
    </row>
    <row r="201" customFormat="false" ht="15" hidden="false" customHeight="false" outlineLevel="0" collapsed="false">
      <c r="A201" s="0" t="str">
        <f aca="false">CONCATENATE($D201,"F")</f>
        <v>MPORTHEKKP12DF</v>
      </c>
      <c r="B201" s="41" t="n">
        <v>0</v>
      </c>
      <c r="D201" s="41" t="s">
        <v>536</v>
      </c>
      <c r="E201" s="0" t="str">
        <f aca="false">CONCATENATE($D201,"F")</f>
        <v>MPORTHEKKP12DF</v>
      </c>
    </row>
    <row r="202" customFormat="false" ht="15" hidden="false" customHeight="false" outlineLevel="0" collapsed="false">
      <c r="A202" s="0" t="str">
        <f aca="false">CONCATENATE($D202,"F")</f>
        <v>MPORWKR00P10DF</v>
      </c>
      <c r="B202" s="41" t="n">
        <v>0</v>
      </c>
      <c r="D202" s="41" t="s">
        <v>537</v>
      </c>
      <c r="E202" s="0" t="str">
        <f aca="false">CONCATENATE($D202,"F")</f>
        <v>MPORWKR00P10DF</v>
      </c>
    </row>
    <row r="203" customFormat="false" ht="15" hidden="false" customHeight="false" outlineLevel="0" collapsed="false">
      <c r="A203" s="0" t="str">
        <f aca="false">CONCATENATE($D203,"F")</f>
        <v>MPORWKRBPP10DF</v>
      </c>
      <c r="B203" s="41" t="n">
        <v>0</v>
      </c>
      <c r="D203" s="41" t="s">
        <v>538</v>
      </c>
      <c r="E203" s="0" t="str">
        <f aca="false">CONCATENATE($D203,"F")</f>
        <v>MPORWKRBPP10DF</v>
      </c>
    </row>
    <row r="204" customFormat="false" ht="15" hidden="false" customHeight="false" outlineLevel="0" collapsed="false">
      <c r="A204" s="0" t="str">
        <f aca="false">CONCATENATE($D204,"F")</f>
        <v>MPORWM1BPP02DF</v>
      </c>
      <c r="B204" s="41" t="n">
        <v>0</v>
      </c>
      <c r="D204" s="41" t="s">
        <v>539</v>
      </c>
      <c r="E204" s="0" t="str">
        <f aca="false">CONCATENATE($D204,"F")</f>
        <v>MPORWM1BPP02DF</v>
      </c>
    </row>
    <row r="205" customFormat="false" ht="15" hidden="false" customHeight="false" outlineLevel="0" collapsed="false">
      <c r="A205" s="0" t="str">
        <f aca="false">CONCATENATE($D205,"F")</f>
        <v>MPORWM1HYP02DF</v>
      </c>
      <c r="B205" s="41" t="n">
        <v>0</v>
      </c>
      <c r="D205" s="41" t="s">
        <v>540</v>
      </c>
      <c r="E205" s="0" t="str">
        <f aca="false">CONCATENATE($D205,"F")</f>
        <v>MPORWM1HYP02DF</v>
      </c>
    </row>
    <row r="206" customFormat="false" ht="15" hidden="false" customHeight="false" outlineLevel="0" collapsed="false">
      <c r="A206" s="0" t="str">
        <f aca="false">CONCATENATE($D206,"F")</f>
        <v>MPORWMHM1P02DF</v>
      </c>
      <c r="B206" s="41" t="n">
        <v>0</v>
      </c>
      <c r="D206" s="41" t="s">
        <v>541</v>
      </c>
      <c r="E206" s="0" t="str">
        <f aca="false">CONCATENATE($D206,"F")</f>
        <v>MPORWMHM1P02DF</v>
      </c>
    </row>
    <row r="207" customFormat="false" ht="15" hidden="false" customHeight="false" outlineLevel="0" collapsed="false">
      <c r="A207" s="0" t="str">
        <f aca="false">CONCATENATE($D207,"F")</f>
        <v>MPORWNDORP04DF</v>
      </c>
      <c r="B207" s="41" t="n">
        <v>0</v>
      </c>
      <c r="D207" s="41" t="s">
        <v>542</v>
      </c>
      <c r="E207" s="0" t="str">
        <f aca="false">CONCATENATE($D207,"F")</f>
        <v>MPORWNDORP04DF</v>
      </c>
    </row>
    <row r="208" customFormat="false" ht="15" hidden="false" customHeight="false" outlineLevel="0" collapsed="false">
      <c r="A208" s="0" t="str">
        <f aca="false">CONCATENATE($D208,"F")</f>
        <v>MPORWNDORZ01DF</v>
      </c>
      <c r="B208" s="41" t="n">
        <v>0</v>
      </c>
      <c r="D208" s="41" t="s">
        <v>543</v>
      </c>
      <c r="E208" s="0" t="str">
        <f aca="false">CONCATENATE($D208,"F")</f>
        <v>MPORWNDORZ01DF</v>
      </c>
    </row>
    <row r="209" customFormat="false" ht="15" hidden="false" customHeight="false" outlineLevel="0" collapsed="false">
      <c r="A209" s="0" t="str">
        <f aca="false">CONCATENATE($D209,"F")</f>
        <v>P2JWF0000K02DF</v>
      </c>
      <c r="B209" s="41" t="n">
        <v>0</v>
      </c>
      <c r="D209" s="41" t="s">
        <v>544</v>
      </c>
      <c r="E209" s="0" t="str">
        <f aca="false">CONCATENATE($D209,"F")</f>
        <v>P2JWF0000K02DF</v>
      </c>
    </row>
    <row r="210" customFormat="false" ht="15" hidden="false" customHeight="false" outlineLevel="0" collapsed="false">
      <c r="A210" s="0" t="str">
        <f aca="false">CONCATENATE($D210,"F")</f>
        <v>P3JW00BRUK02DF</v>
      </c>
      <c r="B210" s="41" t="n">
        <v>0</v>
      </c>
      <c r="D210" s="41" t="s">
        <v>545</v>
      </c>
      <c r="E210" s="0" t="str">
        <f aca="false">CONCATENATE($D210,"F")</f>
        <v>P3JW00BRUK02DF</v>
      </c>
    </row>
    <row r="211" customFormat="false" ht="15" hidden="false" customHeight="false" outlineLevel="0" collapsed="false">
      <c r="A211" s="0" t="str">
        <f aca="false">CONCATENATE($D211,"F")</f>
        <v>P3JW07090K02DF</v>
      </c>
      <c r="B211" s="41" t="n">
        <v>0</v>
      </c>
      <c r="D211" s="41" t="s">
        <v>546</v>
      </c>
      <c r="E211" s="0" t="str">
        <f aca="false">CONCATENATE($D211,"F")</f>
        <v>P3JW07090K02DF</v>
      </c>
    </row>
    <row r="212" customFormat="false" ht="15" hidden="false" customHeight="false" outlineLevel="0" collapsed="false">
      <c r="A212" s="0" t="str">
        <f aca="false">CONCATENATE($D212,"F")</f>
        <v>P3JW08100K02DF</v>
      </c>
      <c r="B212" s="41" t="n">
        <v>0</v>
      </c>
      <c r="D212" s="41" t="s">
        <v>547</v>
      </c>
      <c r="E212" s="0" t="str">
        <f aca="false">CONCATENATE($D212,"F")</f>
        <v>P3JW08100K02DF</v>
      </c>
    </row>
    <row r="213" customFormat="false" ht="15" hidden="false" customHeight="false" outlineLevel="0" collapsed="false">
      <c r="A213" s="0" t="str">
        <f aca="false">CONCATENATE($D213,"F")</f>
        <v>P3JWLTGIFK02DF</v>
      </c>
      <c r="B213" s="41" t="n">
        <v>0</v>
      </c>
      <c r="D213" s="41" t="s">
        <v>548</v>
      </c>
      <c r="E213" s="0" t="str">
        <f aca="false">CONCATENATE($D213,"F")</f>
        <v>P3JWLTGIFK02DF</v>
      </c>
    </row>
    <row r="214" customFormat="false" ht="15" hidden="false" customHeight="false" outlineLevel="0" collapsed="false">
      <c r="A214" s="0" t="str">
        <f aca="false">CONCATENATE($D214,"F")</f>
        <v>P3JWS0000K02DF</v>
      </c>
      <c r="B214" s="41" t="n">
        <v>0</v>
      </c>
      <c r="D214" s="41" t="s">
        <v>549</v>
      </c>
      <c r="E214" s="0" t="str">
        <f aca="false">CONCATENATE($D214,"F")</f>
        <v>P3JWS0000K02DF</v>
      </c>
    </row>
    <row r="215" customFormat="false" ht="15" hidden="false" customHeight="false" outlineLevel="0" collapsed="false">
      <c r="A215" s="0" t="str">
        <f aca="false">CONCATENATE($D215,"F")</f>
        <v>P3JWSFPDZK12DF</v>
      </c>
      <c r="B215" s="41" t="n">
        <v>0</v>
      </c>
      <c r="D215" s="41" t="s">
        <v>550</v>
      </c>
      <c r="E215" s="0" t="str">
        <f aca="false">CONCATENATE($D215,"F")</f>
        <v>P3JWSFPDZK12DF</v>
      </c>
    </row>
    <row r="216" customFormat="false" ht="15" hidden="false" customHeight="false" outlineLevel="0" collapsed="false">
      <c r="A216" s="0" t="str">
        <f aca="false">CONCATENATE($D216,"F")</f>
        <v>PDMT04050K02DF</v>
      </c>
      <c r="B216" s="41" t="n">
        <v>0</v>
      </c>
      <c r="D216" s="41" t="s">
        <v>551</v>
      </c>
      <c r="E216" s="0" t="str">
        <f aca="false">CONCATENATE($D216,"F")</f>
        <v>PDMT04050K02DF</v>
      </c>
    </row>
    <row r="217" customFormat="false" ht="15" hidden="false" customHeight="false" outlineLevel="0" collapsed="false">
      <c r="A217" s="0" t="str">
        <f aca="false">CONCATENATE($D217,"F")</f>
        <v>PDMTF0000K02DF</v>
      </c>
      <c r="B217" s="41" t="n">
        <v>0</v>
      </c>
      <c r="D217" s="41" t="s">
        <v>552</v>
      </c>
      <c r="E217" s="0" t="str">
        <f aca="false">CONCATENATE($D217,"F")</f>
        <v>PDMTF0000K02DF</v>
      </c>
    </row>
    <row r="218" customFormat="false" ht="15" hidden="false" customHeight="false" outlineLevel="0" collapsed="false">
      <c r="A218" s="0" t="str">
        <f aca="false">CONCATENATE($D218,"F")</f>
        <v>PDMTFBRDZK12DF</v>
      </c>
      <c r="B218" s="41" t="n">
        <v>0</v>
      </c>
      <c r="D218" s="41" t="s">
        <v>553</v>
      </c>
      <c r="E218" s="0" t="str">
        <f aca="false">CONCATENATE($D218,"F")</f>
        <v>PDMTFBRDZK12DF</v>
      </c>
    </row>
    <row r="219" customFormat="false" ht="15" hidden="false" customHeight="false" outlineLevel="0" collapsed="false">
      <c r="A219" s="0" t="str">
        <f aca="false">CONCATENATE($D219,"F")</f>
        <v>PDMTFFPDZK12DF</v>
      </c>
      <c r="B219" s="41" t="n">
        <v>0</v>
      </c>
      <c r="D219" s="41" t="s">
        <v>554</v>
      </c>
      <c r="E219" s="0" t="str">
        <f aca="false">CONCATENATE($D219,"F")</f>
        <v>PDMTFFPDZK12DF</v>
      </c>
    </row>
    <row r="220" customFormat="false" ht="15" hidden="false" customHeight="false" outlineLevel="0" collapsed="false">
      <c r="A220" s="0" t="str">
        <f aca="false">CONCATENATE($D220,"F")</f>
        <v>PDMTMF000150DF</v>
      </c>
      <c r="B220" s="41" t="n">
        <v>0</v>
      </c>
      <c r="D220" s="41" t="s">
        <v>555</v>
      </c>
      <c r="E220" s="0" t="str">
        <f aca="false">CONCATENATE($D220,"F")</f>
        <v>PDMTMF000150DF</v>
      </c>
    </row>
    <row r="221" customFormat="false" ht="15" hidden="false" customHeight="false" outlineLevel="0" collapsed="false">
      <c r="A221" s="0" t="str">
        <f aca="false">CONCATENATE($D221,"F")</f>
        <v>PMJWF0000K01DF</v>
      </c>
      <c r="B221" s="41" t="n">
        <v>0</v>
      </c>
      <c r="D221" s="41" t="s">
        <v>556</v>
      </c>
      <c r="E221" s="0" t="str">
        <f aca="false">CONCATENATE($D221,"F")</f>
        <v>PMJWF0000K01DF</v>
      </c>
    </row>
    <row r="222" customFormat="false" ht="15" hidden="false" customHeight="false" outlineLevel="0" collapsed="false">
      <c r="A222" s="0" t="str">
        <f aca="false">CONCATENATE($D222,"F")</f>
        <v>PMJWF0000K02DF</v>
      </c>
      <c r="B222" s="41" t="n">
        <v>0</v>
      </c>
      <c r="D222" s="41" t="s">
        <v>557</v>
      </c>
      <c r="E222" s="0" t="str">
        <f aca="false">CONCATENATE($D222,"F")</f>
        <v>PMJWF0000K02DF</v>
      </c>
    </row>
    <row r="223" customFormat="false" ht="15" hidden="false" customHeight="false" outlineLevel="0" collapsed="false">
      <c r="A223" s="0" t="str">
        <f aca="false">CONCATENATE($D223,"F")</f>
        <v>PMJWF00FZK12DF</v>
      </c>
      <c r="B223" s="41" t="n">
        <v>0</v>
      </c>
      <c r="D223" s="41" t="s">
        <v>558</v>
      </c>
      <c r="E223" s="0" t="str">
        <f aca="false">CONCATENATE($D223,"F")</f>
        <v>PMJWF00FZK12DF</v>
      </c>
    </row>
    <row r="224" customFormat="false" ht="15" hidden="false" customHeight="false" outlineLevel="0" collapsed="false">
      <c r="A224" s="0" t="str">
        <f aca="false">CONCATENATE($D224,"F")</f>
        <v>SBH0F000HP05DF</v>
      </c>
      <c r="B224" s="41" t="n">
        <v>0</v>
      </c>
      <c r="D224" s="41" t="s">
        <v>559</v>
      </c>
      <c r="E224" s="0" t="str">
        <f aca="false">CONCATENATE($D224,"F")</f>
        <v>SBH0F000HP05DF</v>
      </c>
    </row>
    <row r="225" customFormat="false" ht="15" hidden="false" customHeight="false" outlineLevel="0" collapsed="false">
      <c r="A225" s="0" t="str">
        <f aca="false">CONCATENATE($D225,"F")</f>
        <v>WBL1BP000P10DF</v>
      </c>
      <c r="B225" s="41" t="n">
        <v>0</v>
      </c>
      <c r="D225" s="41" t="s">
        <v>560</v>
      </c>
      <c r="E225" s="0" t="str">
        <f aca="false">CONCATENATE($D225,"F")</f>
        <v>WBL1BP000P10DF</v>
      </c>
    </row>
    <row r="226" customFormat="false" ht="15" hidden="false" customHeight="false" outlineLevel="0" collapsed="false">
      <c r="A226" s="0" t="str">
        <f aca="false">CONCATENATE($D226,"F")</f>
        <v>WBL1SPG41P01DF</v>
      </c>
      <c r="B226" s="41" t="n">
        <v>0</v>
      </c>
      <c r="D226" s="41" t="s">
        <v>561</v>
      </c>
      <c r="E226" s="0" t="str">
        <f aca="false">CONCATENATE($D226,"F")</f>
        <v>WBL1SPG41P01DF</v>
      </c>
    </row>
    <row r="227" customFormat="false" ht="15" hidden="false" customHeight="false" outlineLevel="0" collapsed="false">
      <c r="A227" s="0" t="str">
        <f aca="false">CONCATENATE($D227,"F")</f>
        <v>WBL1SPHFGP01DF</v>
      </c>
      <c r="B227" s="41" t="n">
        <v>0</v>
      </c>
      <c r="D227" s="41" t="s">
        <v>562</v>
      </c>
      <c r="E227" s="0" t="str">
        <f aca="false">CONCATENATE($D227,"F")</f>
        <v>WBL1SPHFGP01DF</v>
      </c>
    </row>
    <row r="228" customFormat="false" ht="15" hidden="false" customHeight="false" outlineLevel="0" collapsed="false">
      <c r="A228" s="0" t="str">
        <f aca="false">CONCATENATE($D228,"F")</f>
        <v>WBM1BP000P10DF</v>
      </c>
      <c r="B228" s="41" t="n">
        <v>0</v>
      </c>
      <c r="D228" s="41" t="s">
        <v>563</v>
      </c>
      <c r="E228" s="0" t="str">
        <f aca="false">CONCATENATE($D228,"F")</f>
        <v>WBM1BP000P10DF</v>
      </c>
    </row>
    <row r="229" customFormat="false" ht="15" hidden="false" customHeight="false" outlineLevel="0" collapsed="false">
      <c r="A229" s="0" t="str">
        <f aca="false">CONCATENATE($D229,"F")</f>
        <v>WBM1SP000P01DF</v>
      </c>
      <c r="B229" s="41" t="n">
        <v>0</v>
      </c>
      <c r="D229" s="41" t="s">
        <v>564</v>
      </c>
      <c r="E229" s="0" t="str">
        <f aca="false">CONCATENATE($D229,"F")</f>
        <v>WBM1SP000P01DF</v>
      </c>
    </row>
    <row r="230" customFormat="false" ht="15" hidden="false" customHeight="false" outlineLevel="0" collapsed="false">
      <c r="A230" s="0" t="str">
        <f aca="false">CONCATENATE($D230,"F")</f>
        <v>WBM1SP0JDP01DF</v>
      </c>
      <c r="B230" s="41" t="n">
        <v>0</v>
      </c>
      <c r="D230" s="41" t="s">
        <v>565</v>
      </c>
      <c r="E230" s="0" t="str">
        <f aca="false">CONCATENATE($D230,"F")</f>
        <v>WBM1SP0JDP01DF</v>
      </c>
    </row>
    <row r="231" customFormat="false" ht="15" hidden="false" customHeight="false" outlineLevel="0" collapsed="false">
      <c r="A231" s="0" t="str">
        <f aca="false">CONCATENATE($D231,"F")</f>
        <v>WBM2BP000P10DF</v>
      </c>
      <c r="B231" s="41" t="n">
        <v>0</v>
      </c>
      <c r="D231" s="41" t="s">
        <v>566</v>
      </c>
      <c r="E231" s="0" t="str">
        <f aca="false">CONCATENATE($D231,"F")</f>
        <v>WBM2BP000P10DF</v>
      </c>
    </row>
    <row r="232" customFormat="false" ht="15" hidden="false" customHeight="false" outlineLevel="0" collapsed="false">
      <c r="A232" s="0" t="str">
        <f aca="false">CONCATENATE($D232,"F")</f>
        <v>WBM2DE00ZP10DF</v>
      </c>
      <c r="B232" s="41" t="n">
        <v>0</v>
      </c>
      <c r="D232" s="41" t="s">
        <v>567</v>
      </c>
      <c r="E232" s="0" t="str">
        <f aca="false">CONCATENATE($D232,"F")</f>
        <v>WBM2DE00ZP10DF</v>
      </c>
    </row>
    <row r="233" customFormat="false" ht="15" hidden="false" customHeight="false" outlineLevel="0" collapsed="false">
      <c r="A233" s="0" t="str">
        <f aca="false">CONCATENATE($D233,"F")</f>
        <v>WBM2SP000P01DF</v>
      </c>
      <c r="B233" s="41" t="n">
        <v>0</v>
      </c>
      <c r="D233" s="41" t="s">
        <v>568</v>
      </c>
      <c r="E233" s="0" t="str">
        <f aca="false">CONCATENATE($D233,"F")</f>
        <v>WBM2SP000P01DF</v>
      </c>
    </row>
    <row r="234" customFormat="false" ht="15" hidden="false" customHeight="false" outlineLevel="0" collapsed="false">
      <c r="A234" s="0" t="str">
        <f aca="false">CONCATENATE($D234,"F")</f>
        <v>WBM2SPGCHP01DF</v>
      </c>
      <c r="B234" s="41" t="n">
        <v>0</v>
      </c>
      <c r="D234" s="41" t="s">
        <v>569</v>
      </c>
      <c r="E234" s="0" t="str">
        <f aca="false">CONCATENATE($D234,"F")</f>
        <v>WBM2SPGCHP01DF</v>
      </c>
    </row>
    <row r="235" customFormat="false" ht="15" hidden="false" customHeight="false" outlineLevel="0" collapsed="false">
      <c r="A235" s="0" t="str">
        <f aca="false">CONCATENATE($D235,"F")</f>
        <v>WBS2BP000P10DF</v>
      </c>
      <c r="B235" s="41" t="n">
        <v>0</v>
      </c>
      <c r="D235" s="41" t="s">
        <v>570</v>
      </c>
      <c r="E235" s="0" t="str">
        <f aca="false">CONCATENATE($D235,"F")</f>
        <v>WBS2BP000P10DF</v>
      </c>
    </row>
    <row r="236" customFormat="false" ht="15" hidden="false" customHeight="false" outlineLevel="0" collapsed="false">
      <c r="A236" s="0" t="str">
        <f aca="false">CONCATENATE($D236,"F")</f>
        <v>WBSM1214ZP10DF</v>
      </c>
      <c r="B236" s="41" t="n">
        <v>0</v>
      </c>
      <c r="D236" s="41" t="s">
        <v>571</v>
      </c>
      <c r="E236" s="0" t="str">
        <f aca="false">CONCATENATE($D236,"F")</f>
        <v>WBSM1214ZP10DF</v>
      </c>
    </row>
    <row r="237" customFormat="false" ht="15" hidden="false" customHeight="false" outlineLevel="0" collapsed="false">
      <c r="A237" s="0" t="str">
        <f aca="false">CONCATENATE($D237,"F")</f>
        <v>WNC03P000P03DF</v>
      </c>
      <c r="B237" s="41" t="n">
        <v>0</v>
      </c>
      <c r="D237" s="41" t="s">
        <v>572</v>
      </c>
      <c r="E237" s="0" t="str">
        <f aca="false">CONCATENATE($D237,"F")</f>
        <v>WNC03P000P03DF</v>
      </c>
    </row>
    <row r="238" customFormat="false" ht="15" hidden="false" customHeight="false" outlineLevel="0" collapsed="false">
      <c r="A238" s="0" t="str">
        <f aca="false">CONCATENATE($D238,"F")</f>
        <v>WNC03P0S2P03DF</v>
      </c>
      <c r="B238" s="41" t="n">
        <v>0</v>
      </c>
      <c r="D238" s="41" t="s">
        <v>573</v>
      </c>
      <c r="E238" s="0" t="str">
        <f aca="false">CONCATENATE($D238,"F")</f>
        <v>WNC03P0S2P03DF</v>
      </c>
    </row>
    <row r="239" customFormat="false" ht="15" hidden="false" customHeight="false" outlineLevel="0" collapsed="false">
      <c r="A239" s="0" t="str">
        <f aca="false">CONCATENATE($D239,"F")</f>
        <v>WNCB0FP0ZP12DF</v>
      </c>
      <c r="B239" s="41" t="n">
        <v>0</v>
      </c>
      <c r="D239" s="41" t="s">
        <v>574</v>
      </c>
      <c r="E239" s="0" t="str">
        <f aca="false">CONCATENATE($D239,"F")</f>
        <v>WNCB0FP0ZP12DF</v>
      </c>
    </row>
    <row r="240" customFormat="false" ht="15" hidden="true" customHeight="false" outlineLevel="0" collapsed="false">
      <c r="A240" s="41"/>
      <c r="B240" s="41"/>
      <c r="D240" s="41"/>
    </row>
    <row r="241" customFormat="false" ht="15" hidden="true" customHeight="false" outlineLevel="0" collapsed="false">
      <c r="A241" s="41"/>
      <c r="B241" s="41"/>
      <c r="D241" s="41"/>
    </row>
    <row r="242" customFormat="false" ht="15" hidden="true" customHeight="false" outlineLevel="0" collapsed="false">
      <c r="A242" s="43"/>
      <c r="B242" s="43"/>
      <c r="D242" s="43"/>
    </row>
    <row r="243" customFormat="false" ht="15" hidden="true" customHeight="false" outlineLevel="0" collapsed="false">
      <c r="A243" s="44"/>
      <c r="B243" s="44"/>
      <c r="D243" s="44"/>
    </row>
    <row r="244" customFormat="false" ht="15" hidden="true" customHeight="false" outlineLevel="0" collapsed="false">
      <c r="A244" s="45"/>
      <c r="B244" s="45"/>
      <c r="D244" s="45"/>
    </row>
    <row r="245" customFormat="false" ht="15" hidden="true" customHeight="false" outlineLevel="0" collapsed="false">
      <c r="A245" s="45"/>
      <c r="B245" s="45"/>
      <c r="D245" s="45"/>
    </row>
    <row r="246" customFormat="false" ht="15" hidden="true" customHeight="false" outlineLevel="0" collapsed="false">
      <c r="A246" s="45"/>
      <c r="B246" s="45"/>
      <c r="D246" s="45"/>
    </row>
    <row r="247" customFormat="false" ht="15" hidden="true" customHeight="false" outlineLevel="0" collapsed="false">
      <c r="A247" s="41"/>
      <c r="B247" s="41"/>
      <c r="D247" s="41"/>
    </row>
    <row r="248" customFormat="false" ht="15" hidden="true" customHeight="false" outlineLevel="0" collapsed="false">
      <c r="A248" s="45"/>
      <c r="B248" s="45"/>
      <c r="D248" s="45"/>
    </row>
    <row r="249" customFormat="false" ht="15" hidden="true" customHeight="false" outlineLevel="0" collapsed="false">
      <c r="A249" s="46"/>
      <c r="B249" s="46"/>
      <c r="D249" s="46"/>
    </row>
    <row r="250" customFormat="false" ht="15" hidden="true" customHeight="false" outlineLevel="0" collapsed="false">
      <c r="A250" s="41"/>
      <c r="B250" s="41"/>
      <c r="D250" s="41"/>
    </row>
    <row r="251" customFormat="false" ht="15" hidden="true" customHeight="false" outlineLevel="0" collapsed="false">
      <c r="A251" s="44"/>
      <c r="B251" s="44"/>
      <c r="D251" s="44"/>
    </row>
    <row r="252" customFormat="false" ht="15" hidden="true" customHeight="false" outlineLevel="0" collapsed="false">
      <c r="A252" s="47"/>
      <c r="B252" s="47"/>
      <c r="D252" s="47"/>
    </row>
    <row r="253" customFormat="false" ht="15" hidden="true" customHeight="false" outlineLevel="0" collapsed="false">
      <c r="A253" s="41"/>
      <c r="B253" s="41"/>
      <c r="D253" s="41"/>
    </row>
    <row r="254" customFormat="false" ht="15" hidden="true" customHeight="false" outlineLevel="0" collapsed="false">
      <c r="A254" s="44"/>
      <c r="B254" s="44"/>
      <c r="D254" s="44"/>
    </row>
    <row r="255" customFormat="false" ht="15" hidden="true" customHeight="false" outlineLevel="0" collapsed="false">
      <c r="A255" s="41"/>
      <c r="B255" s="41"/>
      <c r="D255" s="41"/>
    </row>
    <row r="256" customFormat="false" ht="15" hidden="true" customHeight="false" outlineLevel="0" collapsed="false">
      <c r="A256" s="41"/>
      <c r="B256" s="41"/>
      <c r="D256" s="41"/>
    </row>
    <row r="257" customFormat="false" ht="15" hidden="true" customHeight="false" outlineLevel="0" collapsed="false">
      <c r="A257" s="41"/>
      <c r="B257" s="41"/>
      <c r="D257" s="41"/>
    </row>
    <row r="258" customFormat="false" ht="15" hidden="true" customHeight="false" outlineLevel="0" collapsed="false">
      <c r="A258" s="41"/>
      <c r="B258" s="41"/>
      <c r="D258" s="41"/>
    </row>
    <row r="259" customFormat="false" ht="15" hidden="true" customHeight="false" outlineLevel="0" collapsed="false">
      <c r="A259" s="41"/>
      <c r="B259" s="41"/>
      <c r="D259" s="41"/>
    </row>
    <row r="260" customFormat="false" ht="15" hidden="true" customHeight="false" outlineLevel="0" collapsed="false">
      <c r="A260" s="41"/>
      <c r="B260" s="41"/>
      <c r="D260" s="41"/>
    </row>
    <row r="261" customFormat="false" ht="15" hidden="true" customHeight="false" outlineLevel="0" collapsed="false">
      <c r="A261" s="44"/>
      <c r="B261" s="44"/>
      <c r="D261" s="44"/>
    </row>
    <row r="262" customFormat="false" ht="15" hidden="true" customHeight="false" outlineLevel="0" collapsed="false">
      <c r="A262" s="45"/>
      <c r="B262" s="45"/>
      <c r="D262" s="45"/>
    </row>
    <row r="263" customFormat="false" ht="15" hidden="true" customHeight="false" outlineLevel="0" collapsed="false">
      <c r="A263" s="41"/>
      <c r="B263" s="41"/>
      <c r="D263" s="41"/>
    </row>
    <row r="264" customFormat="false" ht="15" hidden="true" customHeight="false" outlineLevel="0" collapsed="false">
      <c r="A264" s="41"/>
      <c r="B264" s="41"/>
      <c r="D264" s="41"/>
    </row>
    <row r="265" customFormat="false" ht="15" hidden="true" customHeight="false" outlineLevel="0" collapsed="false">
      <c r="A265" s="41"/>
      <c r="B265" s="41"/>
      <c r="D265" s="41"/>
    </row>
    <row r="266" customFormat="false" ht="15" hidden="true" customHeight="false" outlineLevel="0" collapsed="false">
      <c r="A266" s="46"/>
      <c r="B266" s="46"/>
      <c r="D266" s="46"/>
    </row>
    <row r="267" customFormat="false" ht="15" hidden="true" customHeight="false" outlineLevel="0" collapsed="false">
      <c r="A267" s="44"/>
      <c r="B267" s="44"/>
      <c r="D267" s="44"/>
    </row>
    <row r="268" customFormat="false" ht="15" hidden="true" customHeight="false" outlineLevel="0" collapsed="false">
      <c r="A268" s="44"/>
      <c r="B268" s="44"/>
      <c r="D268" s="44"/>
    </row>
    <row r="269" customFormat="false" ht="15" hidden="true" customHeight="false" outlineLevel="0" collapsed="false">
      <c r="A269" s="46"/>
      <c r="B269" s="46"/>
      <c r="D269" s="46"/>
    </row>
    <row r="270" customFormat="false" ht="15" hidden="true" customHeight="false" outlineLevel="0" collapsed="false">
      <c r="A270" s="41"/>
      <c r="B270" s="41"/>
      <c r="D270" s="41"/>
    </row>
    <row r="271" customFormat="false" ht="15" hidden="true" customHeight="false" outlineLevel="0" collapsed="false">
      <c r="A271" s="46"/>
      <c r="B271" s="46"/>
      <c r="D271" s="46"/>
    </row>
    <row r="272" customFormat="false" ht="15" hidden="true" customHeight="false" outlineLevel="0" collapsed="false">
      <c r="A272" s="41"/>
      <c r="B272" s="41"/>
      <c r="D272" s="41"/>
    </row>
    <row r="273" customFormat="false" ht="15" hidden="true" customHeight="false" outlineLevel="0" collapsed="false">
      <c r="A273" s="41"/>
      <c r="B273" s="41"/>
      <c r="D273" s="41"/>
    </row>
    <row r="274" customFormat="false" ht="15" hidden="true" customHeight="false" outlineLevel="0" collapsed="false">
      <c r="A274" s="48"/>
      <c r="B274" s="48"/>
      <c r="D274" s="48"/>
    </row>
    <row r="275" customFormat="false" ht="15" hidden="true" customHeight="false" outlineLevel="0" collapsed="false">
      <c r="A275" s="41"/>
      <c r="B275" s="41"/>
      <c r="D275" s="41"/>
    </row>
    <row r="276" customFormat="false" ht="15" hidden="true" customHeight="false" outlineLevel="0" collapsed="false">
      <c r="A276" s="41"/>
      <c r="B276" s="41"/>
      <c r="D276" s="41"/>
    </row>
    <row r="277" customFormat="false" ht="15" hidden="true" customHeight="false" outlineLevel="0" collapsed="false">
      <c r="A277" s="42"/>
      <c r="B277" s="42"/>
      <c r="D277" s="42"/>
    </row>
    <row r="278" customFormat="false" ht="15" hidden="true" customHeight="false" outlineLevel="0" collapsed="false">
      <c r="A278" s="45"/>
      <c r="B278" s="45"/>
      <c r="D278" s="45"/>
    </row>
    <row r="279" customFormat="false" ht="15" hidden="true" customHeight="false" outlineLevel="0" collapsed="false">
      <c r="A279" s="41"/>
      <c r="B279" s="41"/>
      <c r="D279" s="41"/>
    </row>
    <row r="280" customFormat="false" ht="15" hidden="true" customHeight="false" outlineLevel="0" collapsed="false">
      <c r="A280" s="41"/>
      <c r="B280" s="41"/>
      <c r="D280" s="41"/>
    </row>
    <row r="281" customFormat="false" ht="15" hidden="true" customHeight="false" outlineLevel="0" collapsed="false">
      <c r="A281" s="41"/>
      <c r="B281" s="41"/>
      <c r="D281" s="41"/>
    </row>
    <row r="282" customFormat="false" ht="15" hidden="true" customHeight="false" outlineLevel="0" collapsed="false">
      <c r="A282" s="41"/>
      <c r="B282" s="41"/>
      <c r="D282" s="41"/>
    </row>
    <row r="283" customFormat="false" ht="15" hidden="true" customHeight="false" outlineLevel="0" collapsed="false">
      <c r="A283" s="45"/>
      <c r="B283" s="45"/>
      <c r="D283" s="45"/>
    </row>
    <row r="284" customFormat="false" ht="15" hidden="true" customHeight="false" outlineLevel="0" collapsed="false">
      <c r="A284" s="41"/>
      <c r="B284" s="41"/>
      <c r="D284" s="41"/>
    </row>
    <row r="285" customFormat="false" ht="15" hidden="true" customHeight="false" outlineLevel="0" collapsed="false">
      <c r="A285" s="41"/>
      <c r="B285" s="41"/>
      <c r="D285" s="41"/>
    </row>
    <row r="286" customFormat="false" ht="15" hidden="true" customHeight="false" outlineLevel="0" collapsed="false">
      <c r="A286" s="45"/>
      <c r="B286" s="45"/>
      <c r="D286" s="45"/>
    </row>
    <row r="287" customFormat="false" ht="15" hidden="true" customHeight="false" outlineLevel="0" collapsed="false">
      <c r="A287" s="41"/>
      <c r="B287" s="41"/>
      <c r="D287" s="41"/>
    </row>
    <row r="288" customFormat="false" ht="15" hidden="true" customHeight="false" outlineLevel="0" collapsed="false">
      <c r="A288" s="49"/>
      <c r="B288" s="49"/>
      <c r="D288" s="49"/>
    </row>
    <row r="289" customFormat="false" ht="15" hidden="true" customHeight="false" outlineLevel="0" collapsed="false">
      <c r="A289" s="41"/>
      <c r="B289" s="41"/>
      <c r="D289" s="41"/>
    </row>
    <row r="290" customFormat="false" ht="15" hidden="true" customHeight="false" outlineLevel="0" collapsed="false">
      <c r="A290" s="41"/>
      <c r="B290" s="41"/>
      <c r="D290" s="41"/>
    </row>
    <row r="291" customFormat="false" ht="15" hidden="true" customHeight="false" outlineLevel="0" collapsed="false">
      <c r="A291" s="45"/>
      <c r="B291" s="45"/>
      <c r="D291" s="45"/>
    </row>
    <row r="292" customFormat="false" ht="15" hidden="true" customHeight="false" outlineLevel="0" collapsed="false">
      <c r="A292" s="45"/>
      <c r="B292" s="45"/>
      <c r="D292" s="45"/>
    </row>
    <row r="293" customFormat="false" ht="15" hidden="true" customHeight="false" outlineLevel="0" collapsed="false">
      <c r="A293" s="41"/>
      <c r="B293" s="41"/>
      <c r="D293" s="41"/>
    </row>
    <row r="294" customFormat="false" ht="15" hidden="true" customHeight="false" outlineLevel="0" collapsed="false">
      <c r="A294" s="41"/>
      <c r="B294" s="41"/>
      <c r="D294" s="41"/>
    </row>
    <row r="295" customFormat="false" ht="15" hidden="true" customHeight="false" outlineLevel="0" collapsed="false">
      <c r="A295" s="41"/>
      <c r="B295" s="41"/>
      <c r="D295" s="41"/>
    </row>
    <row r="296" customFormat="false" ht="15" hidden="true" customHeight="false" outlineLevel="0" collapsed="false">
      <c r="A296" s="41"/>
      <c r="B296" s="41"/>
      <c r="D296" s="41"/>
    </row>
    <row r="297" customFormat="false" ht="15" hidden="true" customHeight="false" outlineLevel="0" collapsed="false">
      <c r="A297" s="41"/>
      <c r="B297" s="41"/>
      <c r="D297" s="41"/>
    </row>
    <row r="298" customFormat="false" ht="15" hidden="true" customHeight="false" outlineLevel="0" collapsed="false">
      <c r="A298" s="41"/>
      <c r="B298" s="41"/>
      <c r="D298" s="41"/>
    </row>
    <row r="299" customFormat="false" ht="15" hidden="true" customHeight="false" outlineLevel="0" collapsed="false">
      <c r="A299" s="41"/>
      <c r="B299" s="41"/>
      <c r="D299" s="41"/>
    </row>
    <row r="300" customFormat="false" ht="15" hidden="true" customHeight="false" outlineLevel="0" collapsed="false">
      <c r="A300" s="41"/>
      <c r="B300" s="41"/>
      <c r="D300" s="41"/>
    </row>
    <row r="301" customFormat="false" ht="15" hidden="true" customHeight="false" outlineLevel="0" collapsed="false">
      <c r="A301" s="41"/>
      <c r="B301" s="41"/>
      <c r="D301" s="41"/>
    </row>
    <row r="302" customFormat="false" ht="15" hidden="true" customHeight="false" outlineLevel="0" collapsed="false">
      <c r="A302" s="45"/>
      <c r="B302" s="45"/>
      <c r="D302" s="45"/>
    </row>
    <row r="303" customFormat="false" ht="15" hidden="true" customHeight="false" outlineLevel="0" collapsed="false">
      <c r="A303" s="41"/>
      <c r="B303" s="41"/>
      <c r="D303" s="41"/>
    </row>
    <row r="304" customFormat="false" ht="15" hidden="true" customHeight="false" outlineLevel="0" collapsed="false">
      <c r="A304" s="44"/>
      <c r="B304" s="44"/>
      <c r="D304" s="44"/>
    </row>
    <row r="305" customFormat="false" ht="15" hidden="true" customHeight="false" outlineLevel="0" collapsed="false">
      <c r="A305" s="41"/>
      <c r="B305" s="41"/>
      <c r="D305" s="41"/>
    </row>
    <row r="306" customFormat="false" ht="15" hidden="true" customHeight="false" outlineLevel="0" collapsed="false">
      <c r="A306" s="41"/>
      <c r="B306" s="41"/>
      <c r="D306" s="41"/>
    </row>
    <row r="307" customFormat="false" ht="15" hidden="true" customHeight="false" outlineLevel="0" collapsed="false">
      <c r="A307" s="50"/>
      <c r="B307" s="50"/>
      <c r="D307" s="50"/>
    </row>
  </sheetData>
  <autoFilter ref="A1:B239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H9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5"/>
  <cols>
    <col collapsed="false" hidden="false" max="1" min="1" style="0" width="19.2186234817814"/>
    <col collapsed="false" hidden="false" max="2" min="2" style="0" width="23.8178137651822"/>
    <col collapsed="false" hidden="false" max="3" min="3" style="0" width="9.87449392712551"/>
    <col collapsed="false" hidden="false" max="1019" min="4" style="0" width="8.12145748987854"/>
    <col collapsed="false" hidden="false" max="1025" min="1020" style="0" width="8.25506072874494"/>
  </cols>
  <sheetData>
    <row r="1" customFormat="false" ht="15" hidden="false" customHeight="false" outlineLevel="0" collapsed="false">
      <c r="A1" s="27" t="s">
        <v>119</v>
      </c>
      <c r="B1" s="27" t="s">
        <v>575</v>
      </c>
      <c r="C1" s="27" t="s">
        <v>576</v>
      </c>
      <c r="H1" s="29" t="s">
        <v>216</v>
      </c>
    </row>
    <row r="2" customFormat="false" ht="15" hidden="false" customHeight="false" outlineLevel="0" collapsed="false">
      <c r="A2" s="30" t="s">
        <v>120</v>
      </c>
      <c r="B2" s="51" t="n">
        <v>14.1249123465045</v>
      </c>
      <c r="C2" s="0" t="n">
        <v>2</v>
      </c>
    </row>
    <row r="3" customFormat="false" ht="15" hidden="false" customHeight="false" outlineLevel="0" collapsed="false">
      <c r="A3" s="30" t="s">
        <v>121</v>
      </c>
      <c r="B3" s="51" t="n">
        <v>14.2916585378055</v>
      </c>
      <c r="C3" s="0" t="n">
        <v>2</v>
      </c>
    </row>
    <row r="4" customFormat="false" ht="15" hidden="false" customHeight="false" outlineLevel="0" collapsed="false">
      <c r="A4" s="30" t="s">
        <v>122</v>
      </c>
      <c r="B4" s="51" t="n">
        <v>12.1407858749466</v>
      </c>
      <c r="C4" s="0" t="n">
        <v>3</v>
      </c>
    </row>
    <row r="5" customFormat="false" ht="15" hidden="false" customHeight="false" outlineLevel="0" collapsed="false">
      <c r="A5" s="30" t="s">
        <v>123</v>
      </c>
      <c r="B5" s="51" t="n">
        <v>12.1474018689582</v>
      </c>
      <c r="C5" s="0" t="n">
        <v>2</v>
      </c>
    </row>
    <row r="6" customFormat="false" ht="15" hidden="false" customHeight="false" outlineLevel="0" collapsed="false">
      <c r="A6" s="30" t="s">
        <v>124</v>
      </c>
      <c r="B6" s="51" t="n">
        <v>13.868657320422</v>
      </c>
      <c r="C6" s="0" t="n">
        <v>2</v>
      </c>
    </row>
    <row r="7" customFormat="false" ht="15" hidden="false" customHeight="false" outlineLevel="0" collapsed="false">
      <c r="A7" s="30" t="s">
        <v>125</v>
      </c>
      <c r="B7" s="51" t="n">
        <v>14</v>
      </c>
      <c r="C7" s="0" t="n">
        <v>2</v>
      </c>
    </row>
    <row r="8" customFormat="false" ht="15" hidden="false" customHeight="false" outlineLevel="0" collapsed="false">
      <c r="A8" s="30" t="s">
        <v>126</v>
      </c>
      <c r="B8" s="51" t="n">
        <v>14.089997455585</v>
      </c>
      <c r="C8" s="0" t="n">
        <v>2</v>
      </c>
    </row>
    <row r="9" customFormat="false" ht="15" hidden="false" customHeight="false" outlineLevel="0" collapsed="false">
      <c r="A9" s="30" t="s">
        <v>127</v>
      </c>
      <c r="B9" s="51" t="n">
        <v>14.2</v>
      </c>
      <c r="C9" s="0" t="n">
        <v>2</v>
      </c>
    </row>
    <row r="10" customFormat="false" ht="15" hidden="false" customHeight="false" outlineLevel="0" collapsed="false">
      <c r="A10" s="30" t="s">
        <v>128</v>
      </c>
      <c r="B10" s="51" t="n">
        <v>11.8499946881972</v>
      </c>
      <c r="C10" s="0" t="n">
        <v>3</v>
      </c>
    </row>
    <row r="11" customFormat="false" ht="15" hidden="false" customHeight="false" outlineLevel="0" collapsed="false">
      <c r="A11" s="30" t="s">
        <v>129</v>
      </c>
      <c r="B11" s="51" t="n">
        <v>12.9400023228654</v>
      </c>
      <c r="C11" s="0" t="n">
        <v>3</v>
      </c>
    </row>
    <row r="12" customFormat="false" ht="15" hidden="false" customHeight="false" outlineLevel="0" collapsed="false">
      <c r="A12" s="30" t="s">
        <v>130</v>
      </c>
      <c r="B12" s="51" t="n">
        <v>10.3669552035415</v>
      </c>
      <c r="C12" s="0" t="n">
        <v>2</v>
      </c>
    </row>
    <row r="13" customFormat="false" ht="15" hidden="false" customHeight="false" outlineLevel="0" collapsed="false">
      <c r="A13" s="30" t="s">
        <v>131</v>
      </c>
      <c r="B13" s="51" t="n">
        <v>10.387441619097</v>
      </c>
      <c r="C13" s="0" t="n">
        <v>2</v>
      </c>
    </row>
    <row r="14" customFormat="false" ht="15" hidden="false" customHeight="false" outlineLevel="0" collapsed="false">
      <c r="A14" s="30" t="s">
        <v>132</v>
      </c>
      <c r="B14" s="51" t="n">
        <v>8.98999602677481</v>
      </c>
      <c r="C14" s="0" t="n">
        <v>2</v>
      </c>
    </row>
    <row r="15" customFormat="false" ht="15" hidden="false" customHeight="false" outlineLevel="0" collapsed="false">
      <c r="A15" s="30" t="s">
        <v>133</v>
      </c>
      <c r="B15" s="51" t="n">
        <v>10.3</v>
      </c>
      <c r="C15" s="0" t="n">
        <v>2</v>
      </c>
    </row>
    <row r="16" customFormat="false" ht="15" hidden="false" customHeight="false" outlineLevel="0" collapsed="false">
      <c r="A16" s="30" t="s">
        <v>134</v>
      </c>
      <c r="B16" s="51" t="n">
        <v>7.34396499034995</v>
      </c>
      <c r="C16" s="0" t="n">
        <v>3</v>
      </c>
    </row>
    <row r="17" customFormat="false" ht="15" hidden="false" customHeight="false" outlineLevel="0" collapsed="false">
      <c r="A17" s="30" t="s">
        <v>135</v>
      </c>
      <c r="B17" s="51" t="n">
        <v>8.71599386317</v>
      </c>
      <c r="C17" s="0" t="n">
        <v>3</v>
      </c>
    </row>
    <row r="18" customFormat="false" ht="15" hidden="false" customHeight="false" outlineLevel="0" collapsed="false">
      <c r="A18" s="30" t="s">
        <v>136</v>
      </c>
      <c r="B18" s="51" t="n">
        <v>9.56136625614269</v>
      </c>
      <c r="C18" s="0" t="n">
        <v>2</v>
      </c>
    </row>
    <row r="19" customFormat="false" ht="15" hidden="false" customHeight="false" outlineLevel="0" collapsed="false">
      <c r="A19" s="30" t="s">
        <v>137</v>
      </c>
      <c r="B19" s="51" t="n">
        <v>8.8475027706453</v>
      </c>
      <c r="C19" s="0" t="n">
        <v>2</v>
      </c>
    </row>
    <row r="20" customFormat="false" ht="15" hidden="false" customHeight="false" outlineLevel="0" collapsed="false">
      <c r="A20" s="30" t="s">
        <v>138</v>
      </c>
      <c r="B20" s="52" t="n">
        <f aca="false">Selling_Price_Fresh!B23</f>
        <v>10.3882269348492</v>
      </c>
      <c r="C20" s="0" t="n">
        <v>2</v>
      </c>
    </row>
    <row r="21" customFormat="false" ht="15" hidden="false" customHeight="false" outlineLevel="0" collapsed="false">
      <c r="A21" s="30" t="s">
        <v>139</v>
      </c>
      <c r="B21" s="51" t="n">
        <v>8.00774647887324</v>
      </c>
      <c r="C21" s="0" t="n">
        <v>2</v>
      </c>
    </row>
    <row r="22" customFormat="false" ht="15" hidden="false" customHeight="false" outlineLevel="0" collapsed="false">
      <c r="A22" s="30" t="s">
        <v>140</v>
      </c>
      <c r="B22" s="51" t="n">
        <v>9.8519194326565</v>
      </c>
      <c r="C22" s="0" t="n">
        <v>2</v>
      </c>
    </row>
    <row r="23" customFormat="false" ht="15" hidden="false" customHeight="false" outlineLevel="0" collapsed="false">
      <c r="A23" s="30" t="s">
        <v>141</v>
      </c>
      <c r="B23" s="51" t="n">
        <v>10.3882269348492</v>
      </c>
      <c r="C23" s="0" t="n">
        <v>2</v>
      </c>
    </row>
    <row r="24" customFormat="false" ht="15" hidden="false" customHeight="false" outlineLevel="0" collapsed="false">
      <c r="A24" s="30" t="s">
        <v>142</v>
      </c>
      <c r="B24" s="51" t="n">
        <v>11.6021699015096</v>
      </c>
      <c r="C24" s="0" t="n">
        <v>2</v>
      </c>
    </row>
    <row r="25" customFormat="false" ht="15" hidden="false" customHeight="false" outlineLevel="0" collapsed="false">
      <c r="A25" s="30" t="s">
        <v>143</v>
      </c>
      <c r="B25" s="51" t="n">
        <v>7.6800729409981</v>
      </c>
      <c r="C25" s="0" t="n">
        <v>2</v>
      </c>
    </row>
    <row r="26" customFormat="false" ht="15" hidden="false" customHeight="false" outlineLevel="0" collapsed="false">
      <c r="A26" s="30" t="s">
        <v>144</v>
      </c>
      <c r="B26" s="51" t="n">
        <v>9.41962689683404</v>
      </c>
      <c r="C26" s="0" t="n">
        <v>2</v>
      </c>
    </row>
    <row r="27" customFormat="false" ht="15" hidden="false" customHeight="false" outlineLevel="0" collapsed="false">
      <c r="A27" s="30" t="s">
        <v>145</v>
      </c>
      <c r="B27" s="51" t="n">
        <v>11.1890543955313</v>
      </c>
      <c r="C27" s="0" t="n">
        <v>2</v>
      </c>
    </row>
    <row r="28" customFormat="false" ht="15" hidden="false" customHeight="false" outlineLevel="0" collapsed="false">
      <c r="A28" s="30" t="s">
        <v>146</v>
      </c>
      <c r="B28" s="51" t="n">
        <v>12.5010201999592</v>
      </c>
      <c r="C28" s="0" t="n">
        <v>2</v>
      </c>
    </row>
    <row r="29" customFormat="false" ht="15" hidden="false" customHeight="false" outlineLevel="0" collapsed="false">
      <c r="A29" s="30" t="s">
        <v>147</v>
      </c>
      <c r="B29" s="51" t="n">
        <v>11.4372508609254</v>
      </c>
      <c r="C29" s="0" t="n">
        <v>2</v>
      </c>
    </row>
    <row r="30" customFormat="false" ht="15" hidden="false" customHeight="false" outlineLevel="0" collapsed="false">
      <c r="A30" s="30" t="s">
        <v>148</v>
      </c>
      <c r="B30" s="51" t="n">
        <v>9.1372480946949</v>
      </c>
      <c r="C30" s="0" t="n">
        <v>2</v>
      </c>
    </row>
    <row r="31" customFormat="false" ht="15" hidden="false" customHeight="false" outlineLevel="0" collapsed="false">
      <c r="A31" s="30" t="s">
        <v>149</v>
      </c>
      <c r="B31" s="52" t="n">
        <f aca="false">Selling_Price_Fresh!B46</f>
        <v>3.18917896329928</v>
      </c>
      <c r="C31" s="0" t="n">
        <v>2</v>
      </c>
    </row>
    <row r="32" customFormat="false" ht="15" hidden="false" customHeight="false" outlineLevel="0" collapsed="false">
      <c r="A32" s="30" t="s">
        <v>150</v>
      </c>
      <c r="B32" s="51" t="n">
        <v>9.01507185855525</v>
      </c>
      <c r="C32" s="0" t="n">
        <v>2</v>
      </c>
    </row>
    <row r="33" customFormat="false" ht="15" hidden="false" customHeight="false" outlineLevel="0" collapsed="false">
      <c r="A33" s="30" t="s">
        <v>151</v>
      </c>
      <c r="B33" s="52" t="e">
        <f aca="false">Selling_Price_Fresh!B44</f>
        <v>#VALUE!</v>
      </c>
      <c r="C33" s="0" t="n">
        <v>2</v>
      </c>
    </row>
    <row r="34" customFormat="false" ht="15" hidden="false" customHeight="false" outlineLevel="0" collapsed="false">
      <c r="A34" s="30" t="s">
        <v>152</v>
      </c>
      <c r="B34" s="51" t="n">
        <v>8.97410856663926</v>
      </c>
      <c r="C34" s="0" t="n">
        <v>2</v>
      </c>
    </row>
    <row r="35" customFormat="false" ht="15" hidden="false" customHeight="false" outlineLevel="0" collapsed="false">
      <c r="A35" s="30" t="s">
        <v>153</v>
      </c>
      <c r="B35" s="51" t="n">
        <v>8.96307285426622</v>
      </c>
      <c r="C35" s="0" t="n">
        <v>2</v>
      </c>
    </row>
    <row r="36" customFormat="false" ht="15" hidden="false" customHeight="false" outlineLevel="0" collapsed="false">
      <c r="A36" s="30" t="s">
        <v>154</v>
      </c>
      <c r="B36" s="51" t="n">
        <v>5.54857622416747</v>
      </c>
      <c r="C36" s="0" t="n">
        <v>2</v>
      </c>
    </row>
    <row r="37" customFormat="false" ht="15" hidden="false" customHeight="false" outlineLevel="0" collapsed="false">
      <c r="A37" s="30" t="s">
        <v>155</v>
      </c>
      <c r="B37" s="52" t="n">
        <f aca="false">AVERAGE(Selling_Price_Fresh!B2:B3)</f>
        <v>14.208285442155</v>
      </c>
      <c r="C37" s="0" t="n">
        <v>2</v>
      </c>
    </row>
    <row r="38" customFormat="false" ht="15" hidden="false" customHeight="false" outlineLevel="0" collapsed="false">
      <c r="A38" s="30" t="s">
        <v>156</v>
      </c>
      <c r="B38" s="51" t="n">
        <v>3.19140463967267</v>
      </c>
      <c r="C38" s="0" t="n">
        <v>2</v>
      </c>
    </row>
    <row r="39" customFormat="false" ht="15" hidden="false" customHeight="false" outlineLevel="0" collapsed="false">
      <c r="A39" s="30" t="s">
        <v>157</v>
      </c>
      <c r="B39" s="51" t="n">
        <v>1.6</v>
      </c>
      <c r="C39" s="0" t="n">
        <v>2</v>
      </c>
    </row>
    <row r="40" customFormat="false" ht="15" hidden="false" customHeight="false" outlineLevel="0" collapsed="false">
      <c r="A40" s="30" t="s">
        <v>158</v>
      </c>
      <c r="B40" s="51" t="n">
        <v>5.50404608016275</v>
      </c>
      <c r="C40" s="0" t="n">
        <v>2</v>
      </c>
    </row>
    <row r="41" customFormat="false" ht="15" hidden="false" customHeight="false" outlineLevel="0" collapsed="false">
      <c r="A41" s="30" t="s">
        <v>159</v>
      </c>
      <c r="B41" s="51" t="n">
        <v>0.7</v>
      </c>
      <c r="C41" s="0" t="n">
        <v>2</v>
      </c>
    </row>
    <row r="42" customFormat="false" ht="15" hidden="false" customHeight="false" outlineLevel="0" collapsed="false">
      <c r="A42" s="30" t="s">
        <v>160</v>
      </c>
      <c r="B42" s="51" t="n">
        <v>1.88714089562986</v>
      </c>
      <c r="C42" s="0" t="n">
        <v>2</v>
      </c>
    </row>
    <row r="43" customFormat="false" ht="15" hidden="false" customHeight="false" outlineLevel="0" collapsed="false">
      <c r="A43" s="30" t="s">
        <v>161</v>
      </c>
      <c r="B43" s="51" t="n">
        <v>1.84691751345088</v>
      </c>
      <c r="C43" s="0" t="n">
        <v>2</v>
      </c>
    </row>
    <row r="44" customFormat="false" ht="15" hidden="false" customHeight="false" outlineLevel="0" collapsed="false">
      <c r="A44" s="30" t="s">
        <v>162</v>
      </c>
      <c r="B44" s="52" t="e">
        <f aca="false">Selling_Price_Fresh!B1*0.5</f>
        <v>#VALUE!</v>
      </c>
      <c r="C44" s="0" t="n">
        <v>2</v>
      </c>
    </row>
    <row r="45" customFormat="false" ht="15" hidden="false" customHeight="false" outlineLevel="0" collapsed="false">
      <c r="A45" s="30" t="s">
        <v>163</v>
      </c>
      <c r="B45" s="51" t="n">
        <v>3.96285058832237</v>
      </c>
      <c r="C45" s="0" t="n">
        <v>2</v>
      </c>
    </row>
    <row r="46" customFormat="false" ht="15" hidden="false" customHeight="false" outlineLevel="0" collapsed="false">
      <c r="A46" s="30" t="s">
        <v>164</v>
      </c>
      <c r="B46" s="51" t="n">
        <v>3.18917896329928</v>
      </c>
      <c r="C46" s="0" t="n">
        <v>2</v>
      </c>
    </row>
    <row r="47" customFormat="false" ht="15" hidden="false" customHeight="false" outlineLevel="0" collapsed="false">
      <c r="A47" s="30" t="s">
        <v>165</v>
      </c>
      <c r="B47" s="51" t="n">
        <v>3.17112133957088</v>
      </c>
      <c r="C47" s="0" t="n">
        <v>3</v>
      </c>
    </row>
    <row r="48" customFormat="false" ht="15" hidden="false" customHeight="false" outlineLevel="0" collapsed="false">
      <c r="A48" s="30" t="s">
        <v>166</v>
      </c>
      <c r="B48" s="51" t="n">
        <v>7.52303763739314</v>
      </c>
      <c r="C48" s="0" t="n">
        <v>2</v>
      </c>
    </row>
    <row r="49" customFormat="false" ht="15" hidden="false" customHeight="false" outlineLevel="0" collapsed="false">
      <c r="A49" s="30" t="s">
        <v>167</v>
      </c>
      <c r="B49" s="51" t="n">
        <v>14.6994478995616</v>
      </c>
      <c r="C49" s="0" t="n">
        <v>3</v>
      </c>
    </row>
    <row r="50" customFormat="false" ht="15" hidden="false" customHeight="false" outlineLevel="0" collapsed="false">
      <c r="A50" s="30" t="s">
        <v>168</v>
      </c>
      <c r="B50" s="51" t="n">
        <v>15.2988655027764</v>
      </c>
      <c r="C50" s="0" t="n">
        <v>3</v>
      </c>
    </row>
    <row r="51" customFormat="false" ht="15" hidden="false" customHeight="false" outlineLevel="0" collapsed="false">
      <c r="A51" s="30" t="s">
        <v>169</v>
      </c>
      <c r="B51" s="51" t="n">
        <v>18.2693082548201</v>
      </c>
      <c r="C51" s="0" t="n">
        <v>3</v>
      </c>
    </row>
    <row r="52" customFormat="false" ht="15" hidden="false" customHeight="false" outlineLevel="0" collapsed="false">
      <c r="A52" s="30" t="s">
        <v>170</v>
      </c>
      <c r="B52" s="51" t="n">
        <v>7.99212733185007</v>
      </c>
      <c r="C52" s="0" t="n">
        <v>3</v>
      </c>
    </row>
    <row r="53" customFormat="false" ht="15" hidden="false" customHeight="false" outlineLevel="0" collapsed="false">
      <c r="A53" s="30" t="s">
        <v>171</v>
      </c>
      <c r="B53" s="51" t="n">
        <v>7.93180999090059</v>
      </c>
      <c r="C53" s="0" t="n">
        <v>3</v>
      </c>
    </row>
    <row r="54" customFormat="false" ht="15" hidden="false" customHeight="false" outlineLevel="0" collapsed="false">
      <c r="A54" s="30" t="s">
        <v>172</v>
      </c>
      <c r="B54" s="51" t="n">
        <v>8.92310774420456</v>
      </c>
      <c r="C54" s="0" t="n">
        <v>3</v>
      </c>
    </row>
    <row r="55" customFormat="false" ht="15" hidden="false" customHeight="false" outlineLevel="0" collapsed="false">
      <c r="A55" s="30" t="s">
        <v>173</v>
      </c>
      <c r="B55" s="51" t="n">
        <v>9.3938424000122</v>
      </c>
      <c r="C55" s="0" t="n">
        <v>3</v>
      </c>
    </row>
    <row r="56" customFormat="false" ht="15" hidden="false" customHeight="false" outlineLevel="0" collapsed="false">
      <c r="A56" s="30" t="s">
        <v>174</v>
      </c>
      <c r="B56" s="51" t="n">
        <v>9.140354907653</v>
      </c>
      <c r="C56" s="0" t="n">
        <v>3</v>
      </c>
    </row>
    <row r="57" customFormat="false" ht="15" hidden="false" customHeight="false" outlineLevel="0" collapsed="false">
      <c r="A57" s="30" t="s">
        <v>175</v>
      </c>
      <c r="B57" s="51" t="n">
        <v>13.022128606503</v>
      </c>
      <c r="C57" s="0" t="n">
        <v>3</v>
      </c>
    </row>
    <row r="58" customFormat="false" ht="15" hidden="false" customHeight="false" outlineLevel="0" collapsed="false">
      <c r="A58" s="30" t="s">
        <v>176</v>
      </c>
      <c r="B58" s="52" t="n">
        <f aca="false">Selling_Price_Fresh!B63</f>
        <v>13.5493413708417</v>
      </c>
      <c r="C58" s="0" t="n">
        <v>3</v>
      </c>
    </row>
    <row r="59" customFormat="false" ht="15" hidden="false" customHeight="false" outlineLevel="0" collapsed="false">
      <c r="A59" s="30" t="s">
        <v>177</v>
      </c>
      <c r="B59" s="51" t="n">
        <v>10.4673626143821</v>
      </c>
      <c r="C59" s="0" t="n">
        <v>3</v>
      </c>
    </row>
    <row r="60" customFormat="false" ht="15" hidden="false" customHeight="false" outlineLevel="0" collapsed="false">
      <c r="A60" s="30" t="s">
        <v>178</v>
      </c>
      <c r="B60" s="51" t="n">
        <v>9.47089652781039</v>
      </c>
      <c r="C60" s="0" t="n">
        <v>2</v>
      </c>
    </row>
    <row r="61" customFormat="false" ht="15" hidden="false" customHeight="false" outlineLevel="0" collapsed="false">
      <c r="A61" s="30" t="s">
        <v>179</v>
      </c>
      <c r="B61" s="51" t="n">
        <v>13.2168321860445</v>
      </c>
      <c r="C61" s="0" t="n">
        <v>2</v>
      </c>
    </row>
    <row r="62" customFormat="false" ht="15" hidden="false" customHeight="false" outlineLevel="0" collapsed="false">
      <c r="A62" s="30" t="s">
        <v>180</v>
      </c>
      <c r="B62" s="51" t="n">
        <v>13.4319926054563</v>
      </c>
      <c r="C62" s="0" t="n">
        <v>2</v>
      </c>
    </row>
    <row r="63" customFormat="false" ht="15" hidden="false" customHeight="false" outlineLevel="0" collapsed="false">
      <c r="A63" s="30" t="s">
        <v>181</v>
      </c>
      <c r="B63" s="51" t="n">
        <v>13.5493413708417</v>
      </c>
      <c r="C63" s="0" t="n">
        <v>2</v>
      </c>
    </row>
    <row r="64" customFormat="false" ht="15" hidden="false" customHeight="false" outlineLevel="0" collapsed="false">
      <c r="A64" s="30" t="s">
        <v>182</v>
      </c>
      <c r="B64" s="51" t="n">
        <v>8.80243380156756</v>
      </c>
      <c r="C64" s="0" t="n">
        <v>2</v>
      </c>
    </row>
    <row r="65" customFormat="false" ht="15" hidden="false" customHeight="false" outlineLevel="0" collapsed="false">
      <c r="A65" s="30" t="s">
        <v>183</v>
      </c>
      <c r="B65" s="52" t="n">
        <f aca="false">Selling_Price_Fresh!B49</f>
        <v>14.6994478995616</v>
      </c>
      <c r="C65" s="0" t="n">
        <v>2</v>
      </c>
    </row>
    <row r="66" customFormat="false" ht="15" hidden="false" customHeight="false" outlineLevel="0" collapsed="false">
      <c r="A66" s="30" t="s">
        <v>184</v>
      </c>
      <c r="B66" s="51" t="n">
        <v>9.72446131180591</v>
      </c>
      <c r="C66" s="0" t="n">
        <v>2</v>
      </c>
    </row>
    <row r="67" customFormat="false" ht="15" hidden="false" customHeight="false" outlineLevel="0" collapsed="false">
      <c r="A67" s="30" t="s">
        <v>185</v>
      </c>
      <c r="B67" s="51" t="n">
        <v>6.32882945487398</v>
      </c>
      <c r="C67" s="0" t="n">
        <v>3</v>
      </c>
    </row>
    <row r="68" customFormat="false" ht="15" hidden="false" customHeight="false" outlineLevel="0" collapsed="false">
      <c r="A68" s="30" t="s">
        <v>186</v>
      </c>
      <c r="B68" s="51" t="n">
        <v>6.34742111347105</v>
      </c>
      <c r="C68" s="0" t="n">
        <v>3</v>
      </c>
    </row>
    <row r="69" customFormat="false" ht="15" hidden="false" customHeight="false" outlineLevel="0" collapsed="false">
      <c r="A69" s="30" t="s">
        <v>187</v>
      </c>
      <c r="B69" s="52" t="n">
        <f aca="false">Selling_Price_Fresh!B16</f>
        <v>7.34396499034995</v>
      </c>
      <c r="C69" s="0" t="n">
        <v>3</v>
      </c>
    </row>
    <row r="70" customFormat="false" ht="15" hidden="false" customHeight="false" outlineLevel="0" collapsed="false">
      <c r="A70" s="30" t="s">
        <v>188</v>
      </c>
      <c r="B70" s="51" t="n">
        <v>13.9764816368941</v>
      </c>
      <c r="C70" s="0" t="n">
        <v>2</v>
      </c>
    </row>
    <row r="71" customFormat="false" ht="15" hidden="false" customHeight="false" outlineLevel="0" collapsed="false">
      <c r="A71" s="30" t="s">
        <v>189</v>
      </c>
      <c r="B71" s="51" t="n">
        <v>9.97337870245972</v>
      </c>
      <c r="C71" s="0" t="n">
        <v>2</v>
      </c>
    </row>
    <row r="72" customFormat="false" ht="15" hidden="false" customHeight="false" outlineLevel="0" collapsed="false">
      <c r="A72" s="30" t="s">
        <v>190</v>
      </c>
      <c r="B72" s="51" t="n">
        <v>11.2727272727273</v>
      </c>
      <c r="C72" s="0" t="n">
        <v>2</v>
      </c>
    </row>
    <row r="73" customFormat="false" ht="15" hidden="false" customHeight="false" outlineLevel="0" collapsed="false">
      <c r="A73" s="30" t="s">
        <v>191</v>
      </c>
      <c r="B73" s="51" t="n">
        <v>15.4319343987141</v>
      </c>
      <c r="C73" s="0" t="n">
        <v>2</v>
      </c>
    </row>
    <row r="74" customFormat="false" ht="15" hidden="false" customHeight="false" outlineLevel="0" collapsed="false">
      <c r="A74" s="30" t="s">
        <v>192</v>
      </c>
      <c r="B74" s="51" t="n">
        <v>11.2727272727273</v>
      </c>
      <c r="C74" s="0" t="n">
        <v>2</v>
      </c>
    </row>
    <row r="75" customFormat="false" ht="15" hidden="false" customHeight="false" outlineLevel="0" collapsed="false">
      <c r="A75" s="30" t="s">
        <v>193</v>
      </c>
      <c r="B75" s="51" t="n">
        <v>10.9537555645319</v>
      </c>
      <c r="C75" s="0" t="n">
        <v>2</v>
      </c>
    </row>
    <row r="76" customFormat="false" ht="15" hidden="false" customHeight="false" outlineLevel="0" collapsed="false">
      <c r="A76" s="30" t="s">
        <v>194</v>
      </c>
      <c r="B76" s="51" t="n">
        <v>11.2727272727273</v>
      </c>
      <c r="C76" s="0" t="n">
        <v>2</v>
      </c>
    </row>
    <row r="77" customFormat="false" ht="15" hidden="false" customHeight="false" outlineLevel="0" collapsed="false">
      <c r="A77" s="30" t="s">
        <v>195</v>
      </c>
      <c r="B77" s="51" t="n">
        <v>11.2727272727273</v>
      </c>
      <c r="C77" s="0" t="n">
        <v>2</v>
      </c>
    </row>
    <row r="78" customFormat="false" ht="15" hidden="false" customHeight="false" outlineLevel="0" collapsed="false">
      <c r="A78" s="30" t="s">
        <v>196</v>
      </c>
      <c r="B78" s="51" t="n">
        <v>9.28727074632286</v>
      </c>
      <c r="C78" s="0" t="n">
        <v>2</v>
      </c>
    </row>
    <row r="79" customFormat="false" ht="15" hidden="false" customHeight="false" outlineLevel="0" collapsed="false">
      <c r="A79" s="30" t="s">
        <v>197</v>
      </c>
      <c r="B79" s="52" t="n">
        <f aca="false">Selling_Price_Fresh!B23</f>
        <v>10.3882269348492</v>
      </c>
      <c r="C79" s="0" t="n">
        <v>3</v>
      </c>
    </row>
    <row r="80" customFormat="false" ht="15" hidden="false" customHeight="false" outlineLevel="0" collapsed="false">
      <c r="A80" s="30" t="s">
        <v>198</v>
      </c>
      <c r="B80" s="51" t="n">
        <v>7.20960046882215</v>
      </c>
      <c r="C80" s="0" t="n">
        <v>3</v>
      </c>
    </row>
    <row r="81" customFormat="false" ht="15" hidden="false" customHeight="false" outlineLevel="0" collapsed="false">
      <c r="A81" s="30" t="s">
        <v>199</v>
      </c>
      <c r="B81" s="51" t="n">
        <v>11.4988275421019</v>
      </c>
      <c r="C81" s="0" t="n">
        <v>2</v>
      </c>
    </row>
    <row r="82" customFormat="false" ht="15" hidden="false" customHeight="false" outlineLevel="0" collapsed="false">
      <c r="A82" s="30" t="s">
        <v>200</v>
      </c>
      <c r="B82" s="51" t="n">
        <v>11.6999966064884</v>
      </c>
      <c r="C82" s="0" t="n">
        <v>2</v>
      </c>
    </row>
    <row r="83" customFormat="false" ht="15" hidden="false" customHeight="false" outlineLevel="0" collapsed="false">
      <c r="A83" s="30" t="s">
        <v>201</v>
      </c>
      <c r="B83" s="51" t="n">
        <v>11.6238073995849</v>
      </c>
      <c r="C83" s="0" t="n">
        <v>2</v>
      </c>
    </row>
    <row r="84" customFormat="false" ht="15" hidden="false" customHeight="false" outlineLevel="0" collapsed="false">
      <c r="A84" s="30" t="s">
        <v>202</v>
      </c>
      <c r="B84" s="51" t="n">
        <v>10.90031982582</v>
      </c>
      <c r="C84" s="0" t="n">
        <v>3</v>
      </c>
    </row>
    <row r="85" customFormat="false" ht="15" hidden="false" customHeight="false" outlineLevel="0" collapsed="false">
      <c r="A85" s="30" t="s">
        <v>203</v>
      </c>
      <c r="B85" s="51" t="n">
        <v>11.8</v>
      </c>
      <c r="C85" s="0" t="n">
        <v>2</v>
      </c>
    </row>
    <row r="86" customFormat="false" ht="15" hidden="false" customHeight="false" outlineLevel="0" collapsed="false">
      <c r="A86" s="30" t="s">
        <v>204</v>
      </c>
      <c r="B86" s="51" t="n">
        <v>10.9107940734465</v>
      </c>
      <c r="C86" s="0" t="n">
        <v>3</v>
      </c>
    </row>
    <row r="87" customFormat="false" ht="15" hidden="false" customHeight="false" outlineLevel="0" collapsed="false">
      <c r="A87" s="30" t="s">
        <v>205</v>
      </c>
      <c r="B87" s="51" t="n">
        <v>6.99202827171511</v>
      </c>
      <c r="C87" s="0" t="n">
        <v>3</v>
      </c>
    </row>
    <row r="88" customFormat="false" ht="15" hidden="false" customHeight="false" outlineLevel="0" collapsed="false">
      <c r="A88" s="30" t="s">
        <v>206</v>
      </c>
      <c r="B88" s="51" t="n">
        <v>6.29878110519261</v>
      </c>
      <c r="C88" s="0" t="n">
        <v>2</v>
      </c>
    </row>
    <row r="89" customFormat="false" ht="15" hidden="false" customHeight="false" outlineLevel="0" collapsed="false">
      <c r="A89" s="30" t="s">
        <v>207</v>
      </c>
      <c r="B89" s="52" t="n">
        <f aca="false">Selling_Price_Fresh!B23</f>
        <v>10.3882269348492</v>
      </c>
      <c r="C89" s="0" t="n">
        <v>2</v>
      </c>
    </row>
    <row r="90" customFormat="false" ht="15" hidden="false" customHeight="false" outlineLevel="0" collapsed="false">
      <c r="A90" s="30" t="s">
        <v>208</v>
      </c>
      <c r="B90" s="51" t="n">
        <v>6.99719223376331</v>
      </c>
      <c r="C90" s="0" t="n">
        <v>2</v>
      </c>
    </row>
    <row r="91" customFormat="false" ht="15" hidden="false" customHeight="false" outlineLevel="0" collapsed="false">
      <c r="A91" s="30" t="s">
        <v>209</v>
      </c>
      <c r="B91" s="51" t="n">
        <v>8.00678252026303</v>
      </c>
      <c r="C91" s="0" t="n">
        <v>2</v>
      </c>
    </row>
    <row r="92" customFormat="false" ht="15" hidden="false" customHeight="false" outlineLevel="0" collapsed="false">
      <c r="A92" s="30" t="s">
        <v>210</v>
      </c>
      <c r="B92" s="51" t="n">
        <v>6.94512220321502</v>
      </c>
      <c r="C92" s="0" t="n">
        <v>3</v>
      </c>
    </row>
    <row r="93" customFormat="false" ht="15" hidden="false" customHeight="false" outlineLevel="0" collapsed="false">
      <c r="A93" s="30" t="s">
        <v>211</v>
      </c>
      <c r="B93" s="51" t="n">
        <v>7.9916257152654</v>
      </c>
      <c r="C93" s="0" t="n">
        <v>2</v>
      </c>
    </row>
    <row r="94" customFormat="false" ht="15" hidden="false" customHeight="false" outlineLevel="0" collapsed="false">
      <c r="A94" s="30" t="s">
        <v>212</v>
      </c>
      <c r="B94" s="51" t="n">
        <v>7.39785133309271</v>
      </c>
      <c r="C94" s="0" t="n">
        <v>2</v>
      </c>
    </row>
    <row r="95" customFormat="false" ht="15" hidden="false" customHeight="false" outlineLevel="0" collapsed="false">
      <c r="A95" s="30" t="s">
        <v>213</v>
      </c>
      <c r="B95" s="51" t="n">
        <v>7.67841579652868</v>
      </c>
      <c r="C95" s="0" t="n">
        <v>2</v>
      </c>
    </row>
    <row r="96" customFormat="false" ht="15" hidden="false" customHeight="false" outlineLevel="0" collapsed="false">
      <c r="A96" s="30" t="s">
        <v>214</v>
      </c>
      <c r="B96" s="51" t="n">
        <v>7.45867557392037</v>
      </c>
      <c r="C96" s="0" t="n">
        <v>2</v>
      </c>
    </row>
    <row r="97" customFormat="false" ht="15" hidden="false" customHeight="false" outlineLevel="0" collapsed="false">
      <c r="A97" s="30" t="s">
        <v>215</v>
      </c>
      <c r="B97" s="51" t="n">
        <v>7.73537329562736</v>
      </c>
      <c r="C97" s="0" t="n">
        <v>2</v>
      </c>
    </row>
  </sheetData>
  <autoFilter ref="A1:C97"/>
  <hyperlinks>
    <hyperlink ref="H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5"/>
  <cols>
    <col collapsed="false" hidden="false" max="1" min="1" style="0" width="16.502024291498"/>
    <col collapsed="false" hidden="false" max="3" min="2" style="0" width="24.7570850202429"/>
    <col collapsed="false" hidden="false" max="4" min="4" style="0" width="8.39271255060729"/>
    <col collapsed="false" hidden="false" max="1025" min="5" style="0" width="8.12145748987854"/>
  </cols>
  <sheetData>
    <row r="1" customFormat="false" ht="15" hidden="false" customHeight="false" outlineLevel="0" collapsed="false">
      <c r="A1" s="27" t="s">
        <v>119</v>
      </c>
      <c r="B1" s="27" t="s">
        <v>577</v>
      </c>
      <c r="C1" s="53" t="s">
        <v>576</v>
      </c>
      <c r="N1" s="29" t="s">
        <v>216</v>
      </c>
    </row>
    <row r="2" customFormat="false" ht="15" hidden="false" customHeight="false" outlineLevel="0" collapsed="false">
      <c r="A2" s="32" t="s">
        <v>217</v>
      </c>
      <c r="B2" s="51" t="n">
        <v>13.7794687029469</v>
      </c>
      <c r="C2" s="0" t="n">
        <v>2</v>
      </c>
    </row>
    <row r="3" customFormat="false" ht="15" hidden="false" customHeight="false" outlineLevel="0" collapsed="false">
      <c r="A3" s="32" t="s">
        <v>218</v>
      </c>
      <c r="B3" s="51" t="n">
        <v>13.2841096187448</v>
      </c>
      <c r="C3" s="0" t="n">
        <v>3</v>
      </c>
    </row>
    <row r="4" customFormat="false" ht="15" hidden="false" customHeight="false" outlineLevel="0" collapsed="false">
      <c r="A4" s="32" t="s">
        <v>219</v>
      </c>
      <c r="B4" s="51" t="n">
        <v>13.0699750155572</v>
      </c>
      <c r="C4" s="0" t="n">
        <v>2</v>
      </c>
    </row>
    <row r="5" customFormat="false" ht="15" hidden="false" customHeight="false" outlineLevel="0" collapsed="false">
      <c r="A5" s="32" t="s">
        <v>220</v>
      </c>
      <c r="B5" s="51" t="n">
        <v>14.0088539824628</v>
      </c>
      <c r="C5" s="0" t="n">
        <v>2</v>
      </c>
    </row>
    <row r="6" customFormat="false" ht="15" hidden="false" customHeight="false" outlineLevel="0" collapsed="false">
      <c r="A6" s="32" t="s">
        <v>221</v>
      </c>
      <c r="B6" s="51" t="n">
        <v>13.0199890707846</v>
      </c>
      <c r="C6" s="0" t="n">
        <v>2</v>
      </c>
    </row>
    <row r="7" customFormat="false" ht="15" hidden="false" customHeight="false" outlineLevel="0" collapsed="false">
      <c r="A7" s="32" t="s">
        <v>222</v>
      </c>
      <c r="B7" s="51" t="n">
        <v>14.2500412065271</v>
      </c>
      <c r="C7" s="0" t="n">
        <v>2</v>
      </c>
    </row>
    <row r="8" customFormat="false" ht="15" hidden="false" customHeight="false" outlineLevel="0" collapsed="false">
      <c r="A8" s="32" t="s">
        <v>223</v>
      </c>
      <c r="B8" s="51" t="n">
        <v>12.9299435339738</v>
      </c>
      <c r="C8" s="0" t="n">
        <v>2</v>
      </c>
    </row>
    <row r="9" customFormat="false" ht="15" hidden="false" customHeight="false" outlineLevel="0" collapsed="false">
      <c r="A9" s="0" t="s">
        <v>224</v>
      </c>
      <c r="B9" s="51" t="n">
        <v>11.1699961477079</v>
      </c>
      <c r="C9" s="0" t="n">
        <v>2</v>
      </c>
    </row>
    <row r="10" customFormat="false" ht="15" hidden="false" customHeight="false" outlineLevel="0" collapsed="false">
      <c r="A10" s="0" t="s">
        <v>225</v>
      </c>
      <c r="B10" s="51" t="n">
        <v>14.0638888230794</v>
      </c>
      <c r="C10" s="0" t="n">
        <v>2</v>
      </c>
    </row>
    <row r="11" customFormat="false" ht="15" hidden="false" customHeight="false" outlineLevel="0" collapsed="false">
      <c r="A11" s="0" t="s">
        <v>226</v>
      </c>
      <c r="B11" s="51" t="n">
        <v>11.1700066479906</v>
      </c>
      <c r="C11" s="0" t="n">
        <v>2</v>
      </c>
    </row>
    <row r="12" customFormat="false" ht="15" hidden="false" customHeight="false" outlineLevel="0" collapsed="false">
      <c r="A12" s="0" t="s">
        <v>227</v>
      </c>
      <c r="B12" s="51" t="n">
        <v>11.9351149164342</v>
      </c>
      <c r="C12" s="0" t="n">
        <v>2</v>
      </c>
    </row>
    <row r="13" customFormat="false" ht="15" hidden="false" customHeight="false" outlineLevel="0" collapsed="false">
      <c r="A13" s="0" t="s">
        <v>228</v>
      </c>
      <c r="B13" s="51" t="n">
        <v>12.9970548110104</v>
      </c>
      <c r="C13" s="0" t="n">
        <v>3</v>
      </c>
    </row>
    <row r="14" customFormat="false" ht="15" hidden="false" customHeight="false" outlineLevel="0" collapsed="false">
      <c r="A14" s="0" t="s">
        <v>229</v>
      </c>
      <c r="B14" s="52" t="n">
        <f aca="false">Selling_Price_Frozen!B13</f>
        <v>12.9970548110104</v>
      </c>
      <c r="C14" s="0" t="n">
        <v>2</v>
      </c>
    </row>
    <row r="15" customFormat="false" ht="15" hidden="false" customHeight="false" outlineLevel="0" collapsed="false">
      <c r="A15" s="0" t="s">
        <v>230</v>
      </c>
      <c r="B15" s="51" t="n">
        <v>13.3284389300834</v>
      </c>
      <c r="C15" s="0" t="n">
        <v>2</v>
      </c>
    </row>
    <row r="16" customFormat="false" ht="15" hidden="false" customHeight="false" outlineLevel="0" collapsed="false">
      <c r="A16" s="0" t="s">
        <v>231</v>
      </c>
      <c r="B16" s="51" t="n">
        <v>13.8876724734964</v>
      </c>
      <c r="C16" s="0" t="n">
        <v>2</v>
      </c>
    </row>
    <row r="17" customFormat="false" ht="15" hidden="false" customHeight="false" outlineLevel="0" collapsed="false">
      <c r="A17" s="0" t="s">
        <v>232</v>
      </c>
      <c r="B17" s="51" t="n">
        <v>13.95</v>
      </c>
      <c r="C17" s="0" t="n">
        <v>3</v>
      </c>
    </row>
    <row r="18" customFormat="false" ht="15" hidden="false" customHeight="false" outlineLevel="0" collapsed="false">
      <c r="A18" s="0" t="s">
        <v>233</v>
      </c>
      <c r="B18" s="51" t="n">
        <v>14.31</v>
      </c>
      <c r="C18" s="0" t="n">
        <v>3</v>
      </c>
    </row>
    <row r="19" customFormat="false" ht="15" hidden="false" customHeight="false" outlineLevel="0" collapsed="false">
      <c r="A19" s="0" t="s">
        <v>234</v>
      </c>
      <c r="B19" s="52" t="n">
        <f aca="false">Selling_Price_Frozen!B16</f>
        <v>13.8876724734964</v>
      </c>
      <c r="C19" s="0" t="n">
        <v>2</v>
      </c>
    </row>
    <row r="20" customFormat="false" ht="15" hidden="false" customHeight="false" outlineLevel="0" collapsed="false">
      <c r="A20" s="0" t="s">
        <v>235</v>
      </c>
      <c r="B20" s="52" t="n">
        <f aca="false">Selling_Price_Frozen!B14</f>
        <v>12.9970548110104</v>
      </c>
      <c r="C20" s="0" t="n">
        <v>2</v>
      </c>
    </row>
    <row r="21" customFormat="false" ht="15" hidden="false" customHeight="false" outlineLevel="0" collapsed="false">
      <c r="A21" s="0" t="s">
        <v>236</v>
      </c>
      <c r="B21" s="51" t="n">
        <v>13.2535709925528</v>
      </c>
      <c r="C21" s="0" t="n">
        <v>3</v>
      </c>
    </row>
    <row r="22" customFormat="false" ht="15" hidden="false" customHeight="false" outlineLevel="0" collapsed="false">
      <c r="A22" s="0" t="s">
        <v>237</v>
      </c>
      <c r="B22" s="51" t="n">
        <v>14.2316317737112</v>
      </c>
      <c r="C22" s="0" t="n">
        <v>2</v>
      </c>
    </row>
    <row r="23" customFormat="false" ht="15" hidden="false" customHeight="false" outlineLevel="0" collapsed="false">
      <c r="A23" s="0" t="s">
        <v>238</v>
      </c>
      <c r="B23" s="51" t="n">
        <v>11.9199859436831</v>
      </c>
      <c r="C23" s="0" t="n">
        <v>3</v>
      </c>
    </row>
    <row r="24" customFormat="false" ht="15" hidden="false" customHeight="false" outlineLevel="0" collapsed="false">
      <c r="A24" s="0" t="s">
        <v>239</v>
      </c>
      <c r="B24" s="51" t="n">
        <v>12.2014686371547</v>
      </c>
      <c r="C24" s="0" t="n">
        <v>3</v>
      </c>
    </row>
    <row r="25" customFormat="false" ht="15" hidden="false" customHeight="false" outlineLevel="0" collapsed="false">
      <c r="A25" s="0" t="s">
        <v>240</v>
      </c>
      <c r="B25" s="51" t="n">
        <v>11.5411798676203</v>
      </c>
      <c r="C25" s="0" t="n">
        <v>3</v>
      </c>
    </row>
    <row r="26" customFormat="false" ht="15" hidden="false" customHeight="false" outlineLevel="0" collapsed="false">
      <c r="A26" s="0" t="s">
        <v>241</v>
      </c>
      <c r="B26" s="51" t="n">
        <v>10.0525962552228</v>
      </c>
      <c r="C26" s="0" t="n">
        <v>2</v>
      </c>
    </row>
    <row r="27" customFormat="false" ht="15" hidden="false" customHeight="false" outlineLevel="0" collapsed="false">
      <c r="A27" s="0" t="s">
        <v>242</v>
      </c>
      <c r="B27" s="52" t="n">
        <f aca="false">Selling_Price_Frozen!B26</f>
        <v>10.0525962552228</v>
      </c>
      <c r="C27" s="0" t="n">
        <v>2</v>
      </c>
    </row>
    <row r="28" customFormat="false" ht="15" hidden="false" customHeight="false" outlineLevel="0" collapsed="false">
      <c r="A28" s="0" t="s">
        <v>243</v>
      </c>
      <c r="B28" s="51" t="n">
        <v>9.93353284444301</v>
      </c>
      <c r="C28" s="0" t="n">
        <v>2</v>
      </c>
    </row>
    <row r="29" customFormat="false" ht="15" hidden="false" customHeight="false" outlineLevel="0" collapsed="false">
      <c r="A29" s="0" t="s">
        <v>244</v>
      </c>
      <c r="B29" s="51" t="n">
        <v>10.200015842839</v>
      </c>
      <c r="C29" s="0" t="n">
        <v>2</v>
      </c>
    </row>
    <row r="30" customFormat="false" ht="15" hidden="false" customHeight="false" outlineLevel="0" collapsed="false">
      <c r="A30" s="0" t="s">
        <v>245</v>
      </c>
      <c r="B30" s="51" t="n">
        <v>11.5558557628012</v>
      </c>
      <c r="C30" s="0" t="n">
        <v>3</v>
      </c>
    </row>
    <row r="31" customFormat="false" ht="15" hidden="false" customHeight="false" outlineLevel="0" collapsed="false">
      <c r="A31" s="0" t="s">
        <v>246</v>
      </c>
      <c r="B31" s="52" t="n">
        <f aca="false">Selling_Price_Frozen!B35</f>
        <v>10.1999983359819</v>
      </c>
      <c r="C31" s="0" t="n">
        <v>2</v>
      </c>
    </row>
    <row r="32" customFormat="false" ht="15" hidden="false" customHeight="false" outlineLevel="0" collapsed="false">
      <c r="A32" s="0" t="s">
        <v>247</v>
      </c>
      <c r="B32" s="51" t="n">
        <v>8.84289781240635</v>
      </c>
      <c r="C32" s="0" t="n">
        <v>3</v>
      </c>
    </row>
    <row r="33" customFormat="false" ht="15" hidden="false" customHeight="false" outlineLevel="0" collapsed="false">
      <c r="A33" s="0" t="s">
        <v>248</v>
      </c>
      <c r="B33" s="51" t="n">
        <v>8.68818285228597</v>
      </c>
      <c r="C33" s="0" t="n">
        <v>3</v>
      </c>
    </row>
    <row r="34" customFormat="false" ht="15" hidden="false" customHeight="false" outlineLevel="0" collapsed="false">
      <c r="A34" s="0" t="s">
        <v>249</v>
      </c>
      <c r="B34" s="51" t="n">
        <v>7.37292708370805</v>
      </c>
      <c r="C34" s="0" t="n">
        <v>3</v>
      </c>
    </row>
    <row r="35" customFormat="false" ht="15" hidden="false" customHeight="false" outlineLevel="0" collapsed="false">
      <c r="A35" s="0" t="s">
        <v>250</v>
      </c>
      <c r="B35" s="51" t="n">
        <v>10.1999983359819</v>
      </c>
      <c r="C35" s="0" t="n">
        <v>2</v>
      </c>
    </row>
    <row r="36" customFormat="false" ht="15" hidden="false" customHeight="false" outlineLevel="0" collapsed="false">
      <c r="A36" s="0" t="s">
        <v>251</v>
      </c>
      <c r="B36" s="51" t="n">
        <v>8.83694484579025</v>
      </c>
      <c r="C36" s="0" t="n">
        <v>2</v>
      </c>
    </row>
    <row r="37" customFormat="false" ht="15" hidden="false" customHeight="false" outlineLevel="0" collapsed="false">
      <c r="A37" s="0" t="s">
        <v>252</v>
      </c>
      <c r="B37" s="51" t="n">
        <v>7.8039094303547</v>
      </c>
      <c r="C37" s="0" t="n">
        <v>2</v>
      </c>
    </row>
    <row r="38" customFormat="false" ht="15" hidden="false" customHeight="false" outlineLevel="0" collapsed="false">
      <c r="A38" s="0" t="s">
        <v>253</v>
      </c>
      <c r="B38" s="51" t="n">
        <v>9.71395736118098</v>
      </c>
      <c r="C38" s="0" t="n">
        <v>2</v>
      </c>
    </row>
    <row r="39" customFormat="false" ht="15" hidden="false" customHeight="false" outlineLevel="0" collapsed="false">
      <c r="A39" s="0" t="s">
        <v>254</v>
      </c>
      <c r="B39" s="51" t="n">
        <v>10.080123030403</v>
      </c>
      <c r="C39" s="0" t="n">
        <v>2</v>
      </c>
    </row>
    <row r="40" customFormat="false" ht="15" hidden="false" customHeight="false" outlineLevel="0" collapsed="false">
      <c r="A40" s="0" t="s">
        <v>255</v>
      </c>
      <c r="B40" s="52" t="n">
        <f aca="false">Selling_Price_Frozen!B41</f>
        <v>10.3000678886626</v>
      </c>
      <c r="C40" s="0" t="n">
        <v>2</v>
      </c>
    </row>
    <row r="41" customFormat="false" ht="15" hidden="false" customHeight="false" outlineLevel="0" collapsed="false">
      <c r="A41" s="0" t="s">
        <v>256</v>
      </c>
      <c r="B41" s="51" t="n">
        <v>10.3000678886626</v>
      </c>
      <c r="C41" s="0" t="n">
        <v>2</v>
      </c>
    </row>
    <row r="42" customFormat="false" ht="15" hidden="false" customHeight="false" outlineLevel="0" collapsed="false">
      <c r="A42" s="0" t="s">
        <v>257</v>
      </c>
      <c r="B42" s="51" t="n">
        <v>8</v>
      </c>
      <c r="C42" s="0" t="n">
        <v>2</v>
      </c>
    </row>
    <row r="43" customFormat="false" ht="15" hidden="false" customHeight="false" outlineLevel="0" collapsed="false">
      <c r="A43" s="0" t="s">
        <v>258</v>
      </c>
      <c r="B43" s="51" t="n">
        <v>9.74598917676357</v>
      </c>
      <c r="C43" s="0" t="n">
        <v>2</v>
      </c>
    </row>
    <row r="44" customFormat="false" ht="15" hidden="false" customHeight="false" outlineLevel="0" collapsed="false">
      <c r="A44" s="0" t="s">
        <v>259</v>
      </c>
      <c r="B44" s="51" t="n">
        <v>8.99816940696832</v>
      </c>
      <c r="C44" s="0" t="n">
        <v>2</v>
      </c>
    </row>
    <row r="45" customFormat="false" ht="15" hidden="false" customHeight="false" outlineLevel="0" collapsed="false">
      <c r="A45" s="0" t="s">
        <v>260</v>
      </c>
      <c r="B45" s="51" t="n">
        <v>9.29988851727982</v>
      </c>
      <c r="C45" s="0" t="n">
        <v>2</v>
      </c>
    </row>
    <row r="46" customFormat="false" ht="15" hidden="false" customHeight="false" outlineLevel="0" collapsed="false">
      <c r="A46" s="0" t="s">
        <v>261</v>
      </c>
      <c r="B46" s="51" t="n">
        <v>9.25081858922266</v>
      </c>
      <c r="C46" s="0" t="n">
        <v>2</v>
      </c>
    </row>
    <row r="47" customFormat="false" ht="15" hidden="false" customHeight="false" outlineLevel="0" collapsed="false">
      <c r="A47" s="0" t="s">
        <v>262</v>
      </c>
      <c r="B47" s="51" t="n">
        <v>11.2550129548271</v>
      </c>
      <c r="C47" s="0" t="n">
        <v>2</v>
      </c>
    </row>
    <row r="48" customFormat="false" ht="15" hidden="false" customHeight="false" outlineLevel="0" collapsed="false">
      <c r="A48" s="0" t="s">
        <v>263</v>
      </c>
      <c r="B48" s="51" t="n">
        <v>12.8016946520862</v>
      </c>
      <c r="C48" s="0" t="n">
        <v>2</v>
      </c>
    </row>
    <row r="49" customFormat="false" ht="15" hidden="false" customHeight="false" outlineLevel="0" collapsed="false">
      <c r="A49" s="0" t="s">
        <v>264</v>
      </c>
      <c r="B49" s="51" t="n">
        <v>11.5848168495595</v>
      </c>
      <c r="C49" s="0" t="n">
        <v>2</v>
      </c>
    </row>
    <row r="50" customFormat="false" ht="15" hidden="false" customHeight="false" outlineLevel="0" collapsed="false">
      <c r="A50" s="0" t="s">
        <v>265</v>
      </c>
      <c r="B50" s="51" t="n">
        <v>9.2</v>
      </c>
      <c r="C50" s="0" t="n">
        <v>2</v>
      </c>
    </row>
    <row r="51" customFormat="false" ht="15" hidden="false" customHeight="false" outlineLevel="0" collapsed="false">
      <c r="A51" s="0" t="s">
        <v>266</v>
      </c>
      <c r="B51" s="51" t="n">
        <v>9.08454659908965</v>
      </c>
      <c r="C51" s="0" t="n">
        <v>2</v>
      </c>
    </row>
    <row r="52" customFormat="false" ht="15" hidden="false" customHeight="false" outlineLevel="0" collapsed="false">
      <c r="A52" s="0" t="s">
        <v>267</v>
      </c>
      <c r="B52" s="51" t="n">
        <v>9</v>
      </c>
      <c r="C52" s="0" t="n">
        <v>2</v>
      </c>
    </row>
    <row r="53" customFormat="false" ht="15" hidden="false" customHeight="false" outlineLevel="0" collapsed="false">
      <c r="A53" s="0" t="s">
        <v>268</v>
      </c>
      <c r="B53" s="51" t="n">
        <v>7.95242248014541</v>
      </c>
      <c r="C53" s="0" t="n">
        <v>2</v>
      </c>
    </row>
    <row r="54" customFormat="false" ht="15" hidden="false" customHeight="false" outlineLevel="0" collapsed="false">
      <c r="A54" s="0" t="s">
        <v>269</v>
      </c>
      <c r="B54" s="51" t="n">
        <v>7.03592913855615</v>
      </c>
      <c r="C54" s="0" t="n">
        <v>2</v>
      </c>
    </row>
    <row r="55" customFormat="false" ht="15" hidden="false" customHeight="false" outlineLevel="0" collapsed="false">
      <c r="A55" s="0" t="s">
        <v>270</v>
      </c>
      <c r="B55" s="51" t="n">
        <v>8.80000021425296</v>
      </c>
      <c r="C55" s="0" t="n">
        <v>2</v>
      </c>
    </row>
    <row r="56" customFormat="false" ht="15" hidden="false" customHeight="false" outlineLevel="0" collapsed="false">
      <c r="A56" s="0" t="s">
        <v>271</v>
      </c>
      <c r="B56" s="51" t="n">
        <v>8.74004000470644</v>
      </c>
      <c r="C56" s="0" t="n">
        <v>2</v>
      </c>
    </row>
    <row r="57" customFormat="false" ht="15" hidden="false" customHeight="false" outlineLevel="0" collapsed="false">
      <c r="A57" s="0" t="s">
        <v>272</v>
      </c>
      <c r="B57" s="51" t="n">
        <v>9</v>
      </c>
      <c r="C57" s="0" t="n">
        <v>2</v>
      </c>
    </row>
    <row r="58" customFormat="false" ht="15" hidden="false" customHeight="false" outlineLevel="0" collapsed="false">
      <c r="A58" s="0" t="s">
        <v>273</v>
      </c>
      <c r="B58" s="51" t="n">
        <v>2.11481713977846</v>
      </c>
      <c r="C58" s="0" t="n">
        <v>2</v>
      </c>
    </row>
    <row r="59" customFormat="false" ht="15" hidden="false" customHeight="false" outlineLevel="0" collapsed="false">
      <c r="A59" s="0" t="s">
        <v>274</v>
      </c>
      <c r="B59" s="51" t="n">
        <v>3.16671320860095</v>
      </c>
      <c r="C59" s="0" t="n">
        <v>2</v>
      </c>
    </row>
    <row r="60" customFormat="false" ht="15" hidden="false" customHeight="false" outlineLevel="0" collapsed="false">
      <c r="A60" s="0" t="s">
        <v>275</v>
      </c>
      <c r="B60" s="51" t="n">
        <v>1.89999897871297</v>
      </c>
      <c r="C60" s="0" t="n">
        <v>2</v>
      </c>
    </row>
    <row r="61" customFormat="false" ht="15" hidden="false" customHeight="false" outlineLevel="0" collapsed="false">
      <c r="A61" s="0" t="s">
        <v>276</v>
      </c>
      <c r="B61" s="51" t="n">
        <v>1.53363961992134</v>
      </c>
      <c r="C61" s="0" t="n">
        <v>2</v>
      </c>
    </row>
    <row r="62" customFormat="false" ht="15" hidden="false" customHeight="false" outlineLevel="0" collapsed="false">
      <c r="A62" s="0" t="s">
        <v>277</v>
      </c>
      <c r="B62" s="51" t="n">
        <v>2.81958817043993</v>
      </c>
      <c r="C62" s="0" t="n">
        <v>2</v>
      </c>
    </row>
    <row r="63" customFormat="false" ht="15" hidden="false" customHeight="false" outlineLevel="0" collapsed="false">
      <c r="A63" s="0" t="s">
        <v>278</v>
      </c>
      <c r="B63" s="51" t="n">
        <v>2.71022844206627</v>
      </c>
      <c r="C63" s="0" t="n">
        <v>2</v>
      </c>
    </row>
    <row r="64" customFormat="false" ht="15" hidden="false" customHeight="false" outlineLevel="0" collapsed="false">
      <c r="A64" s="0" t="s">
        <v>279</v>
      </c>
      <c r="B64" s="51" t="n">
        <v>2.27188879764837</v>
      </c>
      <c r="C64" s="0" t="n">
        <v>2</v>
      </c>
    </row>
    <row r="65" customFormat="false" ht="15" hidden="false" customHeight="false" outlineLevel="0" collapsed="false">
      <c r="A65" s="0" t="s">
        <v>280</v>
      </c>
      <c r="B65" s="51" t="n">
        <v>4.98523517152458</v>
      </c>
      <c r="C65" s="0" t="n">
        <v>2</v>
      </c>
    </row>
    <row r="66" customFormat="false" ht="15" hidden="false" customHeight="false" outlineLevel="0" collapsed="false">
      <c r="A66" s="0" t="s">
        <v>281</v>
      </c>
      <c r="B66" s="51" t="n">
        <v>11.4424046434494</v>
      </c>
      <c r="C66" s="0" t="n">
        <v>2</v>
      </c>
    </row>
    <row r="67" customFormat="false" ht="15" hidden="false" customHeight="false" outlineLevel="0" collapsed="false">
      <c r="A67" s="0" t="s">
        <v>282</v>
      </c>
      <c r="B67" s="51" t="n">
        <v>12.4856486796785</v>
      </c>
      <c r="C67" s="0" t="n">
        <v>2</v>
      </c>
    </row>
    <row r="68" customFormat="false" ht="15" hidden="false" customHeight="false" outlineLevel="0" collapsed="false">
      <c r="A68" s="0" t="s">
        <v>283</v>
      </c>
      <c r="B68" s="52" t="n">
        <f aca="false">Selling_Price_Frozen!B69</f>
        <v>1.29587315126043</v>
      </c>
      <c r="C68" s="0" t="n">
        <v>2</v>
      </c>
    </row>
    <row r="69" customFormat="false" ht="15" hidden="false" customHeight="false" outlineLevel="0" collapsed="false">
      <c r="A69" s="0" t="s">
        <v>284</v>
      </c>
      <c r="B69" s="51" t="n">
        <v>1.29587315126043</v>
      </c>
      <c r="C69" s="0" t="n">
        <v>2</v>
      </c>
    </row>
    <row r="70" customFormat="false" ht="15" hidden="false" customHeight="false" outlineLevel="0" collapsed="false">
      <c r="A70" s="0" t="s">
        <v>285</v>
      </c>
      <c r="B70" s="52" t="n">
        <f aca="false">Selling_Price_Frozen!B71*0.7</f>
        <v>1.49143762964914</v>
      </c>
      <c r="C70" s="0" t="n">
        <v>2</v>
      </c>
    </row>
    <row r="71" customFormat="false" ht="15" hidden="false" customHeight="false" outlineLevel="0" collapsed="false">
      <c r="A71" s="0" t="s">
        <v>286</v>
      </c>
      <c r="B71" s="51" t="n">
        <v>2.13062518521306</v>
      </c>
      <c r="C71" s="0" t="n">
        <v>2</v>
      </c>
    </row>
    <row r="72" customFormat="false" ht="15" hidden="false" customHeight="false" outlineLevel="0" collapsed="false">
      <c r="A72" s="0" t="s">
        <v>287</v>
      </c>
      <c r="B72" s="51" t="n">
        <v>1.65031428477997</v>
      </c>
      <c r="C72" s="0" t="n">
        <v>2</v>
      </c>
    </row>
    <row r="73" customFormat="false" ht="15" hidden="false" customHeight="false" outlineLevel="0" collapsed="false">
      <c r="A73" s="0" t="s">
        <v>288</v>
      </c>
      <c r="B73" s="51" t="n">
        <v>7.00132656643328</v>
      </c>
      <c r="C73" s="0" t="n">
        <v>2</v>
      </c>
    </row>
    <row r="74" customFormat="false" ht="15" hidden="false" customHeight="false" outlineLevel="0" collapsed="false">
      <c r="A74" s="0" t="s">
        <v>289</v>
      </c>
      <c r="B74" s="51" t="n">
        <v>8.9533901813064</v>
      </c>
      <c r="C74" s="0" t="n">
        <v>2</v>
      </c>
    </row>
    <row r="75" customFormat="false" ht="15" hidden="false" customHeight="false" outlineLevel="0" collapsed="false">
      <c r="A75" s="0" t="s">
        <v>290</v>
      </c>
      <c r="B75" s="51" t="n">
        <v>13.4892893858968</v>
      </c>
      <c r="C75" s="0" t="n">
        <v>3</v>
      </c>
    </row>
    <row r="76" customFormat="false" ht="15" hidden="false" customHeight="false" outlineLevel="0" collapsed="false">
      <c r="A76" s="0" t="s">
        <v>291</v>
      </c>
      <c r="B76" s="51" t="n">
        <v>11.3881206693956</v>
      </c>
      <c r="C76" s="0" t="n">
        <v>3</v>
      </c>
    </row>
    <row r="77" customFormat="false" ht="15" hidden="false" customHeight="false" outlineLevel="0" collapsed="false">
      <c r="A77" s="0" t="s">
        <v>292</v>
      </c>
      <c r="B77" s="51" t="n">
        <v>14.9225707964963</v>
      </c>
      <c r="C77" s="0" t="n">
        <v>3</v>
      </c>
    </row>
    <row r="78" customFormat="false" ht="15" hidden="false" customHeight="false" outlineLevel="0" collapsed="false">
      <c r="A78" s="0" t="s">
        <v>293</v>
      </c>
      <c r="B78" s="51" t="n">
        <v>11.209723620306</v>
      </c>
      <c r="C78" s="0" t="n">
        <v>3</v>
      </c>
    </row>
    <row r="79" customFormat="false" ht="15" hidden="false" customHeight="false" outlineLevel="0" collapsed="false">
      <c r="A79" s="0" t="s">
        <v>294</v>
      </c>
      <c r="B79" s="51" t="n">
        <v>12.5756455083378</v>
      </c>
      <c r="C79" s="0" t="n">
        <v>3</v>
      </c>
    </row>
    <row r="80" customFormat="false" ht="15" hidden="false" customHeight="false" outlineLevel="0" collapsed="false">
      <c r="A80" s="0" t="s">
        <v>295</v>
      </c>
      <c r="B80" s="51" t="n">
        <v>9.8500140490232</v>
      </c>
      <c r="C80" s="0" t="n">
        <v>3</v>
      </c>
    </row>
    <row r="81" customFormat="false" ht="15" hidden="false" customHeight="false" outlineLevel="0" collapsed="false">
      <c r="A81" s="0" t="s">
        <v>296</v>
      </c>
      <c r="B81" s="51" t="n">
        <v>9.85000532354477</v>
      </c>
      <c r="C81" s="0" t="n">
        <v>3</v>
      </c>
    </row>
    <row r="82" customFormat="false" ht="15" hidden="false" customHeight="false" outlineLevel="0" collapsed="false">
      <c r="A82" s="0" t="s">
        <v>297</v>
      </c>
      <c r="B82" s="51" t="n">
        <v>8.91913666406667</v>
      </c>
      <c r="C82" s="0" t="n">
        <v>3</v>
      </c>
    </row>
    <row r="83" customFormat="false" ht="15" hidden="false" customHeight="false" outlineLevel="0" collapsed="false">
      <c r="A83" s="0" t="s">
        <v>298</v>
      </c>
      <c r="B83" s="51" t="n">
        <v>9.52967236690853</v>
      </c>
      <c r="C83" s="0" t="n">
        <v>3</v>
      </c>
    </row>
    <row r="84" customFormat="false" ht="15" hidden="false" customHeight="false" outlineLevel="0" collapsed="false">
      <c r="A84" s="0" t="s">
        <v>299</v>
      </c>
      <c r="B84" s="51" t="n">
        <v>7.53427152317881</v>
      </c>
      <c r="C84" s="0" t="n">
        <v>3</v>
      </c>
    </row>
    <row r="85" customFormat="false" ht="15" hidden="false" customHeight="false" outlineLevel="0" collapsed="false">
      <c r="A85" s="0" t="s">
        <v>300</v>
      </c>
      <c r="B85" s="51" t="n">
        <v>14.6502977321677</v>
      </c>
      <c r="C85" s="0" t="n">
        <v>2</v>
      </c>
    </row>
    <row r="86" customFormat="false" ht="15" hidden="false" customHeight="false" outlineLevel="0" collapsed="false">
      <c r="A86" s="0" t="s">
        <v>301</v>
      </c>
      <c r="B86" s="51" t="n">
        <v>16.1640178311852</v>
      </c>
      <c r="C86" s="0" t="n">
        <v>2</v>
      </c>
    </row>
    <row r="87" customFormat="false" ht="15" hidden="false" customHeight="false" outlineLevel="0" collapsed="false">
      <c r="A87" s="0" t="s">
        <v>302</v>
      </c>
      <c r="B87" s="51" t="n">
        <v>16.0900900900901</v>
      </c>
      <c r="C87" s="0" t="n">
        <v>2</v>
      </c>
    </row>
    <row r="88" customFormat="false" ht="15" hidden="false" customHeight="false" outlineLevel="0" collapsed="false">
      <c r="A88" s="0" t="s">
        <v>303</v>
      </c>
      <c r="B88" s="51" t="n">
        <v>15.9157729188965</v>
      </c>
      <c r="C88" s="0" t="n">
        <v>2</v>
      </c>
    </row>
    <row r="89" customFormat="false" ht="15" hidden="false" customHeight="false" outlineLevel="0" collapsed="false">
      <c r="A89" s="0" t="s">
        <v>304</v>
      </c>
      <c r="B89" s="52" t="n">
        <f aca="false">Selling_Price_Frozen!B88</f>
        <v>15.9157729188965</v>
      </c>
      <c r="C89" s="0" t="n">
        <v>2</v>
      </c>
    </row>
    <row r="90" customFormat="false" ht="15" hidden="false" customHeight="false" outlineLevel="0" collapsed="false">
      <c r="A90" s="0" t="s">
        <v>305</v>
      </c>
      <c r="B90" s="51" t="n">
        <v>8.53501667781212</v>
      </c>
      <c r="C90" s="0" t="n">
        <v>3</v>
      </c>
    </row>
    <row r="91" customFormat="false" ht="15" hidden="false" customHeight="false" outlineLevel="0" collapsed="false">
      <c r="A91" s="0" t="s">
        <v>306</v>
      </c>
      <c r="B91" s="52" t="n">
        <f aca="false">Selling_Price_Frozen!B92</f>
        <v>11.3885144243732</v>
      </c>
      <c r="C91" s="0" t="n">
        <v>2</v>
      </c>
    </row>
    <row r="92" customFormat="false" ht="15" hidden="false" customHeight="false" outlineLevel="0" collapsed="false">
      <c r="A92" s="0" t="s">
        <v>307</v>
      </c>
      <c r="B92" s="51" t="n">
        <v>11.3885144243732</v>
      </c>
      <c r="C92" s="0" t="n">
        <v>3</v>
      </c>
    </row>
    <row r="93" customFormat="false" ht="15" hidden="false" customHeight="false" outlineLevel="0" collapsed="false">
      <c r="A93" s="0" t="s">
        <v>308</v>
      </c>
      <c r="B93" s="51" t="n">
        <v>14.2700000000001</v>
      </c>
      <c r="C93" s="0" t="n">
        <v>3</v>
      </c>
    </row>
    <row r="94" customFormat="false" ht="15" hidden="false" customHeight="false" outlineLevel="0" collapsed="false">
      <c r="A94" s="0" t="s">
        <v>309</v>
      </c>
      <c r="B94" s="51" t="n">
        <v>14.8899999999999</v>
      </c>
      <c r="C94" s="0" t="n">
        <v>3</v>
      </c>
    </row>
    <row r="95" customFormat="false" ht="15" hidden="false" customHeight="false" outlineLevel="0" collapsed="false">
      <c r="A95" s="0" t="s">
        <v>310</v>
      </c>
      <c r="B95" s="52" t="n">
        <f aca="false">Selling_Price_Frozen!B96</f>
        <v>10.09628918746</v>
      </c>
      <c r="C95" s="0" t="n">
        <v>2</v>
      </c>
    </row>
    <row r="96" customFormat="false" ht="15" hidden="false" customHeight="false" outlineLevel="0" collapsed="false">
      <c r="A96" s="0" t="s">
        <v>311</v>
      </c>
      <c r="B96" s="51" t="n">
        <v>10.09628918746</v>
      </c>
      <c r="C96" s="0" t="n">
        <v>2</v>
      </c>
    </row>
    <row r="97" customFormat="false" ht="15" hidden="false" customHeight="false" outlineLevel="0" collapsed="false">
      <c r="A97" s="0" t="s">
        <v>312</v>
      </c>
      <c r="B97" s="52" t="e">
        <f aca="false">[1]Selling_Price_Fresh!B65+0.5</f>
        <v>#VALUE!</v>
      </c>
      <c r="C97" s="0" t="n">
        <v>2</v>
      </c>
    </row>
    <row r="98" customFormat="false" ht="15" hidden="false" customHeight="false" outlineLevel="0" collapsed="false">
      <c r="A98" s="0" t="s">
        <v>313</v>
      </c>
      <c r="B98" s="52" t="n">
        <f aca="false">[1]Selling_Price_Fresh!B71+0.5</f>
        <v>0.5</v>
      </c>
      <c r="C98" s="0" t="n">
        <v>2</v>
      </c>
    </row>
    <row r="99" customFormat="false" ht="15" hidden="false" customHeight="false" outlineLevel="0" collapsed="false">
      <c r="A99" s="0" t="s">
        <v>314</v>
      </c>
      <c r="B99" s="52" t="e">
        <f aca="false">[1]Selling_Price_Fresh!B66+0.5</f>
        <v>#VALUE!</v>
      </c>
      <c r="C99" s="0" t="n">
        <v>2</v>
      </c>
    </row>
    <row r="100" customFormat="false" ht="15" hidden="false" customHeight="false" outlineLevel="0" collapsed="false">
      <c r="A100" s="0" t="s">
        <v>315</v>
      </c>
      <c r="B100" s="51" t="n">
        <v>7.23584318522722</v>
      </c>
      <c r="C100" s="0" t="n">
        <v>2</v>
      </c>
    </row>
    <row r="101" customFormat="false" ht="15" hidden="false" customHeight="false" outlineLevel="0" collapsed="false">
      <c r="A101" s="0" t="s">
        <v>316</v>
      </c>
      <c r="B101" s="51" t="n">
        <v>7.36228336556005</v>
      </c>
      <c r="C101" s="0" t="n">
        <v>2</v>
      </c>
    </row>
    <row r="102" customFormat="false" ht="15" hidden="false" customHeight="false" outlineLevel="0" collapsed="false">
      <c r="A102" s="0" t="s">
        <v>317</v>
      </c>
      <c r="B102" s="52" t="n">
        <f aca="false">Selling_Price_Frozen!B101</f>
        <v>7.36228336556005</v>
      </c>
      <c r="C102" s="0" t="n">
        <v>2</v>
      </c>
    </row>
    <row r="103" customFormat="false" ht="15" hidden="false" customHeight="false" outlineLevel="0" collapsed="false">
      <c r="A103" s="0" t="s">
        <v>318</v>
      </c>
      <c r="B103" s="52" t="n">
        <f aca="false">[1]Selling_Price_Fresh!B75+0.5</f>
        <v>0.5</v>
      </c>
      <c r="C103" s="0" t="n">
        <v>2</v>
      </c>
    </row>
    <row r="104" customFormat="false" ht="15" hidden="false" customHeight="false" outlineLevel="0" collapsed="false">
      <c r="A104" s="0" t="s">
        <v>319</v>
      </c>
      <c r="B104" s="51" t="n">
        <v>7.13680397655144</v>
      </c>
      <c r="C104" s="0" t="n">
        <v>3</v>
      </c>
    </row>
    <row r="105" customFormat="false" ht="15" hidden="false" customHeight="false" outlineLevel="0" collapsed="false">
      <c r="A105" s="0" t="s">
        <v>320</v>
      </c>
      <c r="B105" s="51" t="n">
        <v>12.1708509093283</v>
      </c>
      <c r="C105" s="0" t="n">
        <v>2</v>
      </c>
    </row>
    <row r="106" customFormat="false" ht="15" hidden="false" customHeight="false" outlineLevel="0" collapsed="false">
      <c r="A106" s="0" t="s">
        <v>321</v>
      </c>
      <c r="B106" s="51" t="n">
        <v>11.2752525778999</v>
      </c>
      <c r="C106" s="0" t="n">
        <v>2</v>
      </c>
    </row>
    <row r="107" customFormat="false" ht="15" hidden="false" customHeight="false" outlineLevel="0" collapsed="false">
      <c r="A107" s="0" t="s">
        <v>322</v>
      </c>
      <c r="B107" s="51" t="n">
        <v>11.7</v>
      </c>
      <c r="C107" s="0" t="n">
        <v>2</v>
      </c>
    </row>
    <row r="108" customFormat="false" ht="15" hidden="false" customHeight="false" outlineLevel="0" collapsed="false">
      <c r="A108" s="0" t="s">
        <v>323</v>
      </c>
      <c r="B108" s="51" t="n">
        <v>10.7894380482073</v>
      </c>
      <c r="C108" s="0" t="n">
        <v>2</v>
      </c>
    </row>
    <row r="109" customFormat="false" ht="15" hidden="false" customHeight="false" outlineLevel="0" collapsed="false">
      <c r="A109" s="0" t="s">
        <v>324</v>
      </c>
      <c r="B109" s="51" t="n">
        <v>8.74200677636584</v>
      </c>
      <c r="C109" s="0" t="n">
        <v>2</v>
      </c>
    </row>
    <row r="110" customFormat="false" ht="15" hidden="false" customHeight="false" outlineLevel="0" collapsed="false">
      <c r="A110" s="0" t="s">
        <v>325</v>
      </c>
      <c r="B110" s="51" t="n">
        <v>11.4892469608138</v>
      </c>
      <c r="C110" s="0" t="n">
        <v>2</v>
      </c>
    </row>
    <row r="111" customFormat="false" ht="15" hidden="false" customHeight="false" outlineLevel="0" collapsed="false">
      <c r="A111" s="0" t="s">
        <v>326</v>
      </c>
      <c r="B111" s="51" t="n">
        <v>8.18630653266332</v>
      </c>
      <c r="C111" s="0" t="n">
        <v>2</v>
      </c>
    </row>
    <row r="112" customFormat="false" ht="15" hidden="false" customHeight="false" outlineLevel="0" collapsed="false">
      <c r="A112" s="0" t="s">
        <v>327</v>
      </c>
      <c r="B112" s="52" t="n">
        <f aca="false">[1]Selling_Price_Fresh!B89+0.5</f>
        <v>0.5</v>
      </c>
      <c r="C112" s="0" t="n">
        <v>2</v>
      </c>
    </row>
    <row r="113" customFormat="false" ht="15" hidden="false" customHeight="false" outlineLevel="0" collapsed="false">
      <c r="A113" s="0" t="s">
        <v>328</v>
      </c>
      <c r="B113" s="51" t="n">
        <v>7.70422787762637</v>
      </c>
      <c r="C113" s="0" t="n">
        <v>2</v>
      </c>
    </row>
    <row r="114" customFormat="false" ht="15" hidden="false" customHeight="false" outlineLevel="0" collapsed="false">
      <c r="A114" s="0" t="s">
        <v>329</v>
      </c>
      <c r="B114" s="51" t="n">
        <v>7.70419363385186</v>
      </c>
      <c r="C114" s="0" t="n">
        <v>2</v>
      </c>
    </row>
    <row r="115" customFormat="false" ht="15" hidden="false" customHeight="false" outlineLevel="0" collapsed="false">
      <c r="A115" s="0" t="s">
        <v>330</v>
      </c>
      <c r="B115" s="51" t="n">
        <v>7.79999836473051</v>
      </c>
      <c r="C115" s="0" t="n">
        <v>2</v>
      </c>
    </row>
    <row r="116" customFormat="false" ht="15" hidden="false" customHeight="false" outlineLevel="0" collapsed="false">
      <c r="A116" s="0" t="s">
        <v>331</v>
      </c>
      <c r="B116" s="52" t="n">
        <f aca="false">Selling_Price_Frozen!B118</f>
        <v>7.71928571158564</v>
      </c>
      <c r="C116" s="0" t="n">
        <v>2</v>
      </c>
    </row>
    <row r="117" customFormat="false" ht="15" hidden="false" customHeight="false" outlineLevel="0" collapsed="false">
      <c r="A117" s="0" t="s">
        <v>332</v>
      </c>
      <c r="B117" s="51" t="n">
        <v>7.74279459686061</v>
      </c>
      <c r="C117" s="0" t="n">
        <v>2</v>
      </c>
    </row>
    <row r="118" customFormat="false" ht="15" hidden="false" customHeight="false" outlineLevel="0" collapsed="false">
      <c r="A118" s="0" t="s">
        <v>333</v>
      </c>
      <c r="B118" s="51" t="n">
        <v>7.71928571158564</v>
      </c>
      <c r="C118" s="0" t="n">
        <v>2</v>
      </c>
    </row>
    <row r="119" customFormat="false" ht="15" hidden="false" customHeight="false" outlineLevel="0" collapsed="false">
      <c r="A119" s="0" t="s">
        <v>334</v>
      </c>
      <c r="B119" s="51" t="n">
        <v>6.96417049369308</v>
      </c>
      <c r="C119" s="0" t="n">
        <v>2</v>
      </c>
    </row>
    <row r="120" customFormat="false" ht="15" hidden="false" customHeight="false" outlineLevel="0" collapsed="false">
      <c r="A120" s="0" t="s">
        <v>335</v>
      </c>
      <c r="B120" s="51" t="n">
        <v>6.64453080038227</v>
      </c>
      <c r="C120" s="0" t="n">
        <v>2</v>
      </c>
    </row>
  </sheetData>
  <autoFilter ref="A1:C120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8.6761133603239"/>
    <col collapsed="false" hidden="false" max="2" min="2" style="0" width="32.1983805668016"/>
    <col collapsed="false" hidden="false" max="3" min="3" style="0" width="24.6315789473684"/>
    <col collapsed="false" hidden="false" max="1025" min="4" style="0" width="8.12145748987854"/>
  </cols>
  <sheetData>
    <row r="1" customFormat="false" ht="15" hidden="false" customHeight="false" outlineLevel="0" collapsed="false">
      <c r="A1" s="27" t="s">
        <v>119</v>
      </c>
      <c r="B1" s="27" t="s">
        <v>578</v>
      </c>
      <c r="C1" s="27" t="s">
        <v>576</v>
      </c>
      <c r="O1" s="29" t="s">
        <v>216</v>
      </c>
    </row>
    <row r="2" customFormat="false" ht="15" hidden="false" customHeight="false" outlineLevel="0" collapsed="false">
      <c r="A2" s="30" t="s">
        <v>120</v>
      </c>
      <c r="B2" s="0" t="n">
        <v>0</v>
      </c>
      <c r="C2" s="54" t="n">
        <v>2</v>
      </c>
    </row>
    <row r="3" customFormat="false" ht="15" hidden="false" customHeight="false" outlineLevel="0" collapsed="false">
      <c r="A3" s="30" t="s">
        <v>121</v>
      </c>
      <c r="B3" s="0" t="n">
        <v>0</v>
      </c>
      <c r="C3" s="54" t="n">
        <v>2</v>
      </c>
    </row>
    <row r="4" customFormat="false" ht="15" hidden="false" customHeight="false" outlineLevel="0" collapsed="false">
      <c r="A4" s="30" t="s">
        <v>122</v>
      </c>
      <c r="B4" s="0" t="n">
        <v>0</v>
      </c>
      <c r="C4" s="54" t="n">
        <v>1</v>
      </c>
    </row>
    <row r="5" customFormat="false" ht="15" hidden="false" customHeight="false" outlineLevel="0" collapsed="false">
      <c r="A5" s="30" t="s">
        <v>123</v>
      </c>
      <c r="B5" s="0" t="n">
        <v>0</v>
      </c>
      <c r="C5" s="54" t="n">
        <v>2</v>
      </c>
    </row>
    <row r="6" customFormat="false" ht="15" hidden="false" customHeight="false" outlineLevel="0" collapsed="false">
      <c r="A6" s="30" t="s">
        <v>124</v>
      </c>
      <c r="B6" s="0" t="n">
        <v>0</v>
      </c>
      <c r="C6" s="54" t="n">
        <v>2</v>
      </c>
    </row>
    <row r="7" customFormat="false" ht="15" hidden="false" customHeight="false" outlineLevel="0" collapsed="false">
      <c r="A7" s="30" t="s">
        <v>125</v>
      </c>
      <c r="B7" s="0" t="n">
        <v>0</v>
      </c>
      <c r="C7" s="54" t="n">
        <v>2</v>
      </c>
    </row>
    <row r="8" customFormat="false" ht="15" hidden="false" customHeight="false" outlineLevel="0" collapsed="false">
      <c r="A8" s="30" t="s">
        <v>126</v>
      </c>
      <c r="B8" s="0" t="n">
        <v>0</v>
      </c>
      <c r="C8" s="55" t="n">
        <v>2</v>
      </c>
    </row>
    <row r="9" customFormat="false" ht="15" hidden="false" customHeight="false" outlineLevel="0" collapsed="false">
      <c r="A9" s="30" t="s">
        <v>127</v>
      </c>
      <c r="B9" s="0" t="n">
        <v>0</v>
      </c>
      <c r="C9" s="54" t="n">
        <v>2</v>
      </c>
    </row>
    <row r="10" customFormat="false" ht="15" hidden="false" customHeight="false" outlineLevel="0" collapsed="false">
      <c r="A10" s="30" t="s">
        <v>128</v>
      </c>
      <c r="B10" s="0" t="n">
        <v>0</v>
      </c>
      <c r="C10" s="54" t="n">
        <v>1</v>
      </c>
    </row>
    <row r="11" customFormat="false" ht="15" hidden="false" customHeight="false" outlineLevel="0" collapsed="false">
      <c r="A11" s="30" t="s">
        <v>129</v>
      </c>
      <c r="B11" s="0" t="n">
        <v>0</v>
      </c>
      <c r="C11" s="54" t="n">
        <v>1</v>
      </c>
    </row>
    <row r="12" customFormat="false" ht="15" hidden="false" customHeight="false" outlineLevel="0" collapsed="false">
      <c r="A12" s="30" t="s">
        <v>130</v>
      </c>
      <c r="B12" s="0" t="n">
        <v>0</v>
      </c>
      <c r="C12" s="54" t="n">
        <v>2</v>
      </c>
    </row>
    <row r="13" customFormat="false" ht="15" hidden="false" customHeight="false" outlineLevel="0" collapsed="false">
      <c r="A13" s="30" t="s">
        <v>131</v>
      </c>
      <c r="B13" s="0" t="n">
        <v>0</v>
      </c>
      <c r="C13" s="54" t="n">
        <v>2</v>
      </c>
    </row>
    <row r="14" customFormat="false" ht="15" hidden="false" customHeight="false" outlineLevel="0" collapsed="false">
      <c r="A14" s="30" t="s">
        <v>132</v>
      </c>
      <c r="B14" s="0" t="n">
        <v>0</v>
      </c>
      <c r="C14" s="56" t="n">
        <v>2</v>
      </c>
    </row>
    <row r="15" customFormat="false" ht="15" hidden="false" customHeight="false" outlineLevel="0" collapsed="false">
      <c r="A15" s="30" t="s">
        <v>133</v>
      </c>
      <c r="B15" s="0" t="n">
        <v>0</v>
      </c>
      <c r="C15" s="55" t="n">
        <v>2</v>
      </c>
    </row>
    <row r="16" customFormat="false" ht="15" hidden="false" customHeight="false" outlineLevel="0" collapsed="false">
      <c r="A16" s="30" t="s">
        <v>134</v>
      </c>
      <c r="B16" s="0" t="n">
        <v>0</v>
      </c>
      <c r="C16" s="55" t="n">
        <v>1</v>
      </c>
    </row>
    <row r="17" customFormat="false" ht="15" hidden="false" customHeight="false" outlineLevel="0" collapsed="false">
      <c r="A17" s="30" t="s">
        <v>135</v>
      </c>
      <c r="B17" s="0" t="n">
        <v>0</v>
      </c>
      <c r="C17" s="56" t="n">
        <v>1</v>
      </c>
    </row>
    <row r="18" customFormat="false" ht="15" hidden="false" customHeight="false" outlineLevel="0" collapsed="false">
      <c r="A18" s="30" t="s">
        <v>136</v>
      </c>
      <c r="B18" s="0" t="n">
        <v>0</v>
      </c>
      <c r="C18" s="55" t="n">
        <v>2</v>
      </c>
    </row>
    <row r="19" customFormat="false" ht="15" hidden="false" customHeight="false" outlineLevel="0" collapsed="false">
      <c r="A19" s="30" t="s">
        <v>137</v>
      </c>
      <c r="B19" s="0" t="n">
        <v>0</v>
      </c>
      <c r="C19" s="55" t="n">
        <v>2</v>
      </c>
    </row>
    <row r="20" customFormat="false" ht="15" hidden="false" customHeight="false" outlineLevel="0" collapsed="false">
      <c r="A20" s="30" t="s">
        <v>138</v>
      </c>
      <c r="B20" s="0" t="n">
        <v>0</v>
      </c>
      <c r="C20" s="56" t="n">
        <v>2</v>
      </c>
    </row>
    <row r="21" customFormat="false" ht="15" hidden="false" customHeight="false" outlineLevel="0" collapsed="false">
      <c r="A21" s="30" t="s">
        <v>139</v>
      </c>
      <c r="B21" s="0" t="n">
        <v>0</v>
      </c>
      <c r="C21" s="55" t="n">
        <v>2</v>
      </c>
    </row>
    <row r="22" customFormat="false" ht="15" hidden="false" customHeight="false" outlineLevel="0" collapsed="false">
      <c r="A22" s="30" t="s">
        <v>140</v>
      </c>
      <c r="B22" s="0" t="n">
        <v>0</v>
      </c>
      <c r="C22" s="55" t="n">
        <v>2</v>
      </c>
    </row>
    <row r="23" customFormat="false" ht="15" hidden="false" customHeight="false" outlineLevel="0" collapsed="false">
      <c r="A23" s="30" t="s">
        <v>141</v>
      </c>
      <c r="B23" s="0" t="n">
        <v>0</v>
      </c>
      <c r="C23" s="55" t="n">
        <v>2</v>
      </c>
    </row>
    <row r="24" customFormat="false" ht="15" hidden="false" customHeight="false" outlineLevel="0" collapsed="false">
      <c r="A24" s="30" t="s">
        <v>142</v>
      </c>
      <c r="B24" s="0" t="n">
        <v>0</v>
      </c>
      <c r="C24" s="32" t="n">
        <v>2</v>
      </c>
    </row>
    <row r="25" customFormat="false" ht="15" hidden="false" customHeight="false" outlineLevel="0" collapsed="false">
      <c r="A25" s="30" t="s">
        <v>143</v>
      </c>
      <c r="B25" s="0" t="n">
        <v>0</v>
      </c>
      <c r="C25" s="56" t="n">
        <v>2</v>
      </c>
    </row>
    <row r="26" customFormat="false" ht="15" hidden="false" customHeight="false" outlineLevel="0" collapsed="false">
      <c r="A26" s="30" t="s">
        <v>144</v>
      </c>
      <c r="B26" s="0" t="n">
        <v>0</v>
      </c>
      <c r="C26" s="56" t="n">
        <v>2</v>
      </c>
    </row>
    <row r="27" customFormat="false" ht="15" hidden="false" customHeight="false" outlineLevel="0" collapsed="false">
      <c r="A27" s="30" t="s">
        <v>145</v>
      </c>
      <c r="B27" s="0" t="n">
        <v>0</v>
      </c>
      <c r="C27" s="32" t="n">
        <v>2</v>
      </c>
    </row>
    <row r="28" customFormat="false" ht="15" hidden="false" customHeight="false" outlineLevel="0" collapsed="false">
      <c r="A28" s="30" t="s">
        <v>146</v>
      </c>
      <c r="B28" s="0" t="n">
        <v>0</v>
      </c>
      <c r="C28" s="54" t="n">
        <v>2</v>
      </c>
    </row>
    <row r="29" customFormat="false" ht="15" hidden="false" customHeight="false" outlineLevel="0" collapsed="false">
      <c r="A29" s="30" t="s">
        <v>147</v>
      </c>
      <c r="B29" s="0" t="n">
        <v>0</v>
      </c>
      <c r="C29" s="56" t="n">
        <v>2</v>
      </c>
    </row>
    <row r="30" customFormat="false" ht="15" hidden="false" customHeight="false" outlineLevel="0" collapsed="false">
      <c r="A30" s="30" t="s">
        <v>148</v>
      </c>
      <c r="B30" s="0" t="n">
        <v>0</v>
      </c>
      <c r="C30" s="32" t="n">
        <v>2</v>
      </c>
    </row>
    <row r="31" customFormat="false" ht="15" hidden="false" customHeight="false" outlineLevel="0" collapsed="false">
      <c r="A31" s="30" t="s">
        <v>149</v>
      </c>
      <c r="B31" s="0" t="n">
        <v>0</v>
      </c>
      <c r="C31" s="56" t="n">
        <v>2</v>
      </c>
    </row>
    <row r="32" customFormat="false" ht="15" hidden="false" customHeight="false" outlineLevel="0" collapsed="false">
      <c r="A32" s="30" t="s">
        <v>150</v>
      </c>
      <c r="B32" s="0" t="n">
        <v>0</v>
      </c>
      <c r="C32" s="55" t="n">
        <v>2</v>
      </c>
    </row>
    <row r="33" customFormat="false" ht="15" hidden="false" customHeight="false" outlineLevel="0" collapsed="false">
      <c r="A33" s="30" t="s">
        <v>151</v>
      </c>
      <c r="B33" s="0" t="n">
        <v>0</v>
      </c>
      <c r="C33" s="56" t="n">
        <v>2</v>
      </c>
    </row>
    <row r="34" customFormat="false" ht="15" hidden="false" customHeight="false" outlineLevel="0" collapsed="false">
      <c r="A34" s="30" t="s">
        <v>152</v>
      </c>
      <c r="B34" s="0" t="n">
        <v>0</v>
      </c>
      <c r="C34" s="56" t="n">
        <v>2</v>
      </c>
    </row>
    <row r="35" customFormat="false" ht="15" hidden="false" customHeight="false" outlineLevel="0" collapsed="false">
      <c r="A35" s="30" t="s">
        <v>153</v>
      </c>
      <c r="B35" s="0" t="n">
        <v>0</v>
      </c>
      <c r="C35" s="55" t="n">
        <v>2</v>
      </c>
    </row>
    <row r="36" customFormat="false" ht="15" hidden="false" customHeight="false" outlineLevel="0" collapsed="false">
      <c r="A36" s="30" t="s">
        <v>154</v>
      </c>
      <c r="B36" s="0" t="n">
        <v>0</v>
      </c>
      <c r="C36" s="32" t="n">
        <v>2</v>
      </c>
    </row>
    <row r="37" customFormat="false" ht="15" hidden="false" customHeight="false" outlineLevel="0" collapsed="false">
      <c r="A37" s="30" t="s">
        <v>155</v>
      </c>
      <c r="B37" s="0" t="n">
        <v>0</v>
      </c>
      <c r="C37" s="32" t="n">
        <v>2</v>
      </c>
    </row>
    <row r="38" customFormat="false" ht="15" hidden="false" customHeight="false" outlineLevel="0" collapsed="false">
      <c r="A38" s="30" t="s">
        <v>156</v>
      </c>
      <c r="B38" s="0" t="n">
        <v>0</v>
      </c>
      <c r="C38" s="56" t="n">
        <v>2</v>
      </c>
    </row>
    <row r="39" customFormat="false" ht="15" hidden="false" customHeight="false" outlineLevel="0" collapsed="false">
      <c r="A39" s="30" t="s">
        <v>157</v>
      </c>
      <c r="B39" s="0" t="n">
        <v>0</v>
      </c>
      <c r="C39" s="32" t="n">
        <v>2</v>
      </c>
    </row>
    <row r="40" customFormat="false" ht="15" hidden="false" customHeight="false" outlineLevel="0" collapsed="false">
      <c r="A40" s="30" t="s">
        <v>158</v>
      </c>
      <c r="B40" s="0" t="n">
        <v>0</v>
      </c>
      <c r="C40" s="55" t="n">
        <v>2</v>
      </c>
    </row>
    <row r="41" customFormat="false" ht="15" hidden="false" customHeight="false" outlineLevel="0" collapsed="false">
      <c r="A41" s="30" t="s">
        <v>159</v>
      </c>
      <c r="B41" s="0" t="n">
        <v>0</v>
      </c>
      <c r="C41" s="54" t="n">
        <v>2</v>
      </c>
    </row>
    <row r="42" customFormat="false" ht="15" hidden="false" customHeight="false" outlineLevel="0" collapsed="false">
      <c r="A42" s="30" t="s">
        <v>160</v>
      </c>
      <c r="B42" s="0" t="n">
        <v>0</v>
      </c>
      <c r="C42" s="54" t="n">
        <v>2</v>
      </c>
    </row>
    <row r="43" customFormat="false" ht="15" hidden="false" customHeight="false" outlineLevel="0" collapsed="false">
      <c r="A43" s="30" t="s">
        <v>161</v>
      </c>
      <c r="B43" s="0" t="n">
        <v>0</v>
      </c>
      <c r="C43" s="32" t="n">
        <v>2</v>
      </c>
    </row>
    <row r="44" customFormat="false" ht="15" hidden="false" customHeight="false" outlineLevel="0" collapsed="false">
      <c r="A44" s="30" t="s">
        <v>162</v>
      </c>
      <c r="B44" s="0" t="n">
        <v>0</v>
      </c>
      <c r="C44" s="54" t="n">
        <v>2</v>
      </c>
    </row>
    <row r="45" customFormat="false" ht="15" hidden="false" customHeight="false" outlineLevel="0" collapsed="false">
      <c r="A45" s="30" t="s">
        <v>163</v>
      </c>
      <c r="B45" s="0" t="n">
        <v>0</v>
      </c>
      <c r="C45" s="54" t="n">
        <v>2</v>
      </c>
    </row>
    <row r="46" customFormat="false" ht="15" hidden="false" customHeight="false" outlineLevel="0" collapsed="false">
      <c r="A46" s="30" t="s">
        <v>164</v>
      </c>
      <c r="B46" s="0" t="n">
        <v>0</v>
      </c>
      <c r="C46" s="54" t="n">
        <v>2</v>
      </c>
    </row>
    <row r="47" customFormat="false" ht="15" hidden="false" customHeight="false" outlineLevel="0" collapsed="false">
      <c r="A47" s="30" t="s">
        <v>165</v>
      </c>
      <c r="B47" s="0" t="n">
        <v>0</v>
      </c>
      <c r="C47" s="57" t="n">
        <v>1</v>
      </c>
    </row>
    <row r="48" customFormat="false" ht="15" hidden="false" customHeight="false" outlineLevel="0" collapsed="false">
      <c r="A48" s="30" t="s">
        <v>166</v>
      </c>
      <c r="B48" s="0" t="n">
        <v>0</v>
      </c>
      <c r="C48" s="56" t="n">
        <v>2</v>
      </c>
    </row>
    <row r="49" customFormat="false" ht="15" hidden="false" customHeight="false" outlineLevel="0" collapsed="false">
      <c r="A49" s="30" t="s">
        <v>167</v>
      </c>
      <c r="B49" s="0" t="n">
        <v>0</v>
      </c>
      <c r="C49" s="58" t="n">
        <v>1</v>
      </c>
    </row>
    <row r="50" customFormat="false" ht="15" hidden="false" customHeight="false" outlineLevel="0" collapsed="false">
      <c r="A50" s="30" t="s">
        <v>168</v>
      </c>
      <c r="B50" s="0" t="n">
        <v>0</v>
      </c>
      <c r="C50" s="34" t="n">
        <v>1</v>
      </c>
    </row>
    <row r="51" customFormat="false" ht="15" hidden="false" customHeight="false" outlineLevel="0" collapsed="false">
      <c r="A51" s="30" t="s">
        <v>169</v>
      </c>
      <c r="B51" s="0" t="n">
        <v>0</v>
      </c>
      <c r="C51" s="59" t="n">
        <v>1</v>
      </c>
    </row>
    <row r="52" customFormat="false" ht="15" hidden="false" customHeight="false" outlineLevel="0" collapsed="false">
      <c r="A52" s="30" t="s">
        <v>170</v>
      </c>
      <c r="B52" s="0" t="n">
        <v>0</v>
      </c>
      <c r="C52" s="58" t="n">
        <v>1</v>
      </c>
    </row>
    <row r="53" customFormat="false" ht="15" hidden="false" customHeight="false" outlineLevel="0" collapsed="false">
      <c r="A53" s="30" t="s">
        <v>171</v>
      </c>
      <c r="B53" s="0" t="n">
        <v>0</v>
      </c>
      <c r="C53" s="58" t="n">
        <v>1</v>
      </c>
    </row>
    <row r="54" customFormat="false" ht="15" hidden="false" customHeight="false" outlineLevel="0" collapsed="false">
      <c r="A54" s="30" t="s">
        <v>172</v>
      </c>
      <c r="B54" s="0" t="n">
        <v>0</v>
      </c>
      <c r="C54" s="59" t="n">
        <v>1</v>
      </c>
    </row>
    <row r="55" customFormat="false" ht="15" hidden="false" customHeight="false" outlineLevel="0" collapsed="false">
      <c r="A55" s="30" t="s">
        <v>173</v>
      </c>
      <c r="B55" s="0" t="n">
        <v>0</v>
      </c>
      <c r="C55" s="58" t="n">
        <v>1</v>
      </c>
    </row>
    <row r="56" customFormat="false" ht="15" hidden="false" customHeight="false" outlineLevel="0" collapsed="false">
      <c r="A56" s="30" t="s">
        <v>174</v>
      </c>
      <c r="B56" s="0" t="n">
        <v>0</v>
      </c>
      <c r="C56" s="59" t="n">
        <v>1</v>
      </c>
    </row>
    <row r="57" customFormat="false" ht="15" hidden="false" customHeight="false" outlineLevel="0" collapsed="false">
      <c r="A57" s="30" t="s">
        <v>175</v>
      </c>
      <c r="B57" s="0" t="n">
        <v>0</v>
      </c>
      <c r="C57" s="58" t="n">
        <v>1</v>
      </c>
    </row>
    <row r="58" customFormat="false" ht="15" hidden="false" customHeight="false" outlineLevel="0" collapsed="false">
      <c r="A58" s="30" t="s">
        <v>176</v>
      </c>
      <c r="B58" s="0" t="n">
        <v>0</v>
      </c>
      <c r="C58" s="59" t="n">
        <v>1</v>
      </c>
    </row>
    <row r="59" customFormat="false" ht="15" hidden="false" customHeight="false" outlineLevel="0" collapsed="false">
      <c r="A59" s="30" t="s">
        <v>177</v>
      </c>
      <c r="B59" s="0" t="n">
        <v>0</v>
      </c>
      <c r="C59" s="59" t="n">
        <v>1</v>
      </c>
    </row>
    <row r="60" customFormat="false" ht="15" hidden="false" customHeight="false" outlineLevel="0" collapsed="false">
      <c r="A60" s="30" t="s">
        <v>178</v>
      </c>
      <c r="B60" s="0" t="n">
        <v>0</v>
      </c>
      <c r="C60" s="59" t="n">
        <v>2</v>
      </c>
    </row>
    <row r="61" customFormat="false" ht="15" hidden="false" customHeight="false" outlineLevel="0" collapsed="false">
      <c r="A61" s="30" t="s">
        <v>179</v>
      </c>
      <c r="B61" s="0" t="n">
        <v>0</v>
      </c>
      <c r="C61" s="59" t="n">
        <v>2</v>
      </c>
    </row>
    <row r="62" customFormat="false" ht="15" hidden="false" customHeight="false" outlineLevel="0" collapsed="false">
      <c r="A62" s="30" t="s">
        <v>180</v>
      </c>
      <c r="B62" s="0" t="n">
        <v>0</v>
      </c>
      <c r="C62" s="58" t="n">
        <v>2</v>
      </c>
    </row>
    <row r="63" customFormat="false" ht="15" hidden="false" customHeight="false" outlineLevel="0" collapsed="false">
      <c r="A63" s="30" t="s">
        <v>181</v>
      </c>
      <c r="B63" s="0" t="n">
        <v>0</v>
      </c>
      <c r="C63" s="58" t="n">
        <v>2</v>
      </c>
    </row>
    <row r="64" customFormat="false" ht="15" hidden="false" customHeight="false" outlineLevel="0" collapsed="false">
      <c r="A64" s="30" t="s">
        <v>182</v>
      </c>
      <c r="B64" s="0" t="n">
        <v>0</v>
      </c>
      <c r="C64" s="60" t="n">
        <v>2</v>
      </c>
    </row>
    <row r="65" customFormat="false" ht="15" hidden="false" customHeight="false" outlineLevel="0" collapsed="false">
      <c r="A65" s="30" t="s">
        <v>183</v>
      </c>
      <c r="B65" s="0" t="n">
        <v>0</v>
      </c>
      <c r="C65" s="60" t="n">
        <v>2</v>
      </c>
    </row>
    <row r="66" customFormat="false" ht="15" hidden="false" customHeight="false" outlineLevel="0" collapsed="false">
      <c r="A66" s="30" t="s">
        <v>184</v>
      </c>
      <c r="B66" s="0" t="n">
        <v>0</v>
      </c>
      <c r="C66" s="58" t="n">
        <v>2</v>
      </c>
    </row>
    <row r="67" customFormat="false" ht="15" hidden="false" customHeight="false" outlineLevel="0" collapsed="false">
      <c r="A67" s="30" t="s">
        <v>185</v>
      </c>
      <c r="B67" s="0" t="n">
        <v>0</v>
      </c>
      <c r="C67" s="59" t="n">
        <v>1</v>
      </c>
    </row>
    <row r="68" customFormat="false" ht="15" hidden="false" customHeight="false" outlineLevel="0" collapsed="false">
      <c r="A68" s="30" t="s">
        <v>186</v>
      </c>
      <c r="B68" s="0" t="n">
        <v>0</v>
      </c>
      <c r="C68" s="58" t="n">
        <v>1</v>
      </c>
    </row>
    <row r="69" customFormat="false" ht="15" hidden="false" customHeight="false" outlineLevel="0" collapsed="false">
      <c r="A69" s="30" t="s">
        <v>187</v>
      </c>
      <c r="B69" s="0" t="n">
        <v>0</v>
      </c>
      <c r="C69" s="58" t="n">
        <v>1</v>
      </c>
    </row>
    <row r="70" customFormat="false" ht="15" hidden="false" customHeight="false" outlineLevel="0" collapsed="false">
      <c r="A70" s="30" t="s">
        <v>188</v>
      </c>
      <c r="B70" s="0" t="n">
        <v>0</v>
      </c>
      <c r="C70" s="58" t="n">
        <v>2</v>
      </c>
    </row>
    <row r="71" customFormat="false" ht="15" hidden="false" customHeight="false" outlineLevel="0" collapsed="false">
      <c r="A71" s="30" t="s">
        <v>189</v>
      </c>
      <c r="B71" s="0" t="n">
        <v>0</v>
      </c>
      <c r="C71" s="58" t="n">
        <v>2</v>
      </c>
    </row>
    <row r="72" customFormat="false" ht="15" hidden="false" customHeight="false" outlineLevel="0" collapsed="false">
      <c r="A72" s="30" t="s">
        <v>190</v>
      </c>
      <c r="B72" s="0" t="n">
        <v>0</v>
      </c>
      <c r="C72" s="59" t="n">
        <v>2</v>
      </c>
    </row>
    <row r="73" customFormat="false" ht="15" hidden="false" customHeight="false" outlineLevel="0" collapsed="false">
      <c r="A73" s="30" t="s">
        <v>191</v>
      </c>
      <c r="B73" s="0" t="n">
        <v>0</v>
      </c>
      <c r="C73" s="58" t="n">
        <v>2</v>
      </c>
    </row>
    <row r="74" customFormat="false" ht="15" hidden="false" customHeight="false" outlineLevel="0" collapsed="false">
      <c r="A74" s="30" t="s">
        <v>192</v>
      </c>
      <c r="B74" s="0" t="n">
        <v>0</v>
      </c>
      <c r="C74" s="59" t="n">
        <v>2</v>
      </c>
    </row>
    <row r="75" customFormat="false" ht="15" hidden="false" customHeight="false" outlineLevel="0" collapsed="false">
      <c r="A75" s="30" t="s">
        <v>193</v>
      </c>
      <c r="B75" s="0" t="n">
        <v>0</v>
      </c>
      <c r="C75" s="58" t="n">
        <v>2</v>
      </c>
    </row>
    <row r="76" customFormat="false" ht="15" hidden="false" customHeight="false" outlineLevel="0" collapsed="false">
      <c r="A76" s="30" t="s">
        <v>194</v>
      </c>
      <c r="B76" s="0" t="n">
        <v>0</v>
      </c>
      <c r="C76" s="58" t="n">
        <v>2</v>
      </c>
    </row>
    <row r="77" customFormat="false" ht="15" hidden="false" customHeight="false" outlineLevel="0" collapsed="false">
      <c r="A77" s="30" t="s">
        <v>195</v>
      </c>
      <c r="B77" s="0" t="n">
        <v>0</v>
      </c>
      <c r="C77" s="58" t="n">
        <v>2</v>
      </c>
    </row>
    <row r="78" customFormat="false" ht="15" hidden="false" customHeight="false" outlineLevel="0" collapsed="false">
      <c r="A78" s="30" t="s">
        <v>196</v>
      </c>
      <c r="B78" s="0" t="n">
        <v>0</v>
      </c>
      <c r="C78" s="59" t="n">
        <v>2</v>
      </c>
    </row>
    <row r="79" customFormat="false" ht="15" hidden="false" customHeight="false" outlineLevel="0" collapsed="false">
      <c r="A79" s="30" t="s">
        <v>197</v>
      </c>
      <c r="B79" s="0" t="n">
        <v>0</v>
      </c>
      <c r="C79" s="59" t="n">
        <v>1</v>
      </c>
    </row>
    <row r="80" customFormat="false" ht="15" hidden="false" customHeight="false" outlineLevel="0" collapsed="false">
      <c r="A80" s="30" t="s">
        <v>198</v>
      </c>
      <c r="B80" s="0" t="n">
        <v>0</v>
      </c>
      <c r="C80" s="59" t="n">
        <v>1</v>
      </c>
    </row>
    <row r="81" customFormat="false" ht="15" hidden="false" customHeight="false" outlineLevel="0" collapsed="false">
      <c r="A81" s="30" t="s">
        <v>199</v>
      </c>
      <c r="B81" s="0" t="n">
        <v>0</v>
      </c>
      <c r="C81" s="59" t="n">
        <v>2</v>
      </c>
    </row>
    <row r="82" customFormat="false" ht="15" hidden="false" customHeight="false" outlineLevel="0" collapsed="false">
      <c r="A82" s="30" t="s">
        <v>200</v>
      </c>
      <c r="B82" s="0" t="n">
        <v>0</v>
      </c>
      <c r="C82" s="59" t="n">
        <v>2</v>
      </c>
    </row>
    <row r="83" customFormat="false" ht="15" hidden="false" customHeight="false" outlineLevel="0" collapsed="false">
      <c r="A83" s="30" t="s">
        <v>201</v>
      </c>
      <c r="B83" s="0" t="n">
        <v>0</v>
      </c>
      <c r="C83" s="58" t="n">
        <v>2</v>
      </c>
    </row>
    <row r="84" customFormat="false" ht="15" hidden="false" customHeight="false" outlineLevel="0" collapsed="false">
      <c r="A84" s="30" t="s">
        <v>202</v>
      </c>
      <c r="B84" s="0" t="n">
        <v>0</v>
      </c>
      <c r="C84" s="56" t="n">
        <v>1</v>
      </c>
    </row>
    <row r="85" customFormat="false" ht="15" hidden="false" customHeight="false" outlineLevel="0" collapsed="false">
      <c r="A85" s="30" t="s">
        <v>203</v>
      </c>
      <c r="B85" s="0" t="n">
        <v>0</v>
      </c>
      <c r="C85" s="58" t="n">
        <v>2</v>
      </c>
    </row>
    <row r="86" customFormat="false" ht="15" hidden="false" customHeight="false" outlineLevel="0" collapsed="false">
      <c r="A86" s="30" t="s">
        <v>204</v>
      </c>
      <c r="B86" s="0" t="n">
        <v>0</v>
      </c>
      <c r="C86" s="56" t="n">
        <v>1</v>
      </c>
    </row>
    <row r="87" customFormat="false" ht="15" hidden="false" customHeight="false" outlineLevel="0" collapsed="false">
      <c r="A87" s="30" t="s">
        <v>205</v>
      </c>
      <c r="B87" s="0" t="n">
        <v>0</v>
      </c>
      <c r="C87" s="59" t="n">
        <v>1</v>
      </c>
    </row>
    <row r="88" customFormat="false" ht="15" hidden="false" customHeight="false" outlineLevel="0" collapsed="false">
      <c r="A88" s="30" t="s">
        <v>206</v>
      </c>
      <c r="B88" s="0" t="n">
        <v>0</v>
      </c>
      <c r="C88" s="58" t="n">
        <v>2</v>
      </c>
    </row>
    <row r="89" customFormat="false" ht="15" hidden="false" customHeight="false" outlineLevel="0" collapsed="false">
      <c r="A89" s="30" t="s">
        <v>207</v>
      </c>
      <c r="B89" s="0" t="n">
        <v>0</v>
      </c>
      <c r="C89" s="59" t="n">
        <v>2</v>
      </c>
    </row>
    <row r="90" customFormat="false" ht="15" hidden="false" customHeight="false" outlineLevel="0" collapsed="false">
      <c r="A90" s="30" t="s">
        <v>208</v>
      </c>
      <c r="B90" s="0" t="n">
        <v>0</v>
      </c>
      <c r="C90" s="59" t="n">
        <v>2</v>
      </c>
    </row>
    <row r="91" customFormat="false" ht="15" hidden="false" customHeight="false" outlineLevel="0" collapsed="false">
      <c r="A91" s="30" t="s">
        <v>209</v>
      </c>
      <c r="B91" s="0" t="n">
        <v>0</v>
      </c>
      <c r="C91" s="59" t="n">
        <v>2</v>
      </c>
    </row>
    <row r="92" customFormat="false" ht="15" hidden="false" customHeight="false" outlineLevel="0" collapsed="false">
      <c r="A92" s="30" t="s">
        <v>210</v>
      </c>
      <c r="B92" s="0" t="n">
        <v>0</v>
      </c>
      <c r="C92" s="59" t="n">
        <v>1</v>
      </c>
    </row>
    <row r="93" customFormat="false" ht="15" hidden="false" customHeight="false" outlineLevel="0" collapsed="false">
      <c r="A93" s="30" t="s">
        <v>211</v>
      </c>
      <c r="B93" s="0" t="n">
        <v>0</v>
      </c>
      <c r="C93" s="59" t="n">
        <v>2</v>
      </c>
    </row>
    <row r="94" customFormat="false" ht="15" hidden="false" customHeight="false" outlineLevel="0" collapsed="false">
      <c r="A94" s="30" t="s">
        <v>212</v>
      </c>
      <c r="B94" s="0" t="n">
        <v>0</v>
      </c>
      <c r="C94" s="34" t="n">
        <v>2</v>
      </c>
    </row>
    <row r="95" customFormat="false" ht="15" hidden="false" customHeight="false" outlineLevel="0" collapsed="false">
      <c r="A95" s="30" t="s">
        <v>213</v>
      </c>
      <c r="B95" s="0" t="n">
        <v>0</v>
      </c>
      <c r="C95" s="34" t="n">
        <v>2</v>
      </c>
    </row>
    <row r="96" customFormat="false" ht="15" hidden="false" customHeight="false" outlineLevel="0" collapsed="false">
      <c r="A96" s="30" t="s">
        <v>214</v>
      </c>
      <c r="B96" s="0" t="n">
        <v>0</v>
      </c>
      <c r="C96" s="58" t="n">
        <v>2</v>
      </c>
    </row>
    <row r="97" customFormat="false" ht="15" hidden="false" customHeight="false" outlineLevel="0" collapsed="false">
      <c r="A97" s="30" t="s">
        <v>215</v>
      </c>
      <c r="B97" s="0" t="n">
        <v>0</v>
      </c>
      <c r="C97" s="58" t="n">
        <v>2</v>
      </c>
    </row>
    <row r="98" customFormat="false" ht="15" hidden="false" customHeight="false" outlineLevel="0" collapsed="false">
      <c r="A98" s="30"/>
      <c r="B98" s="30"/>
    </row>
    <row r="99" customFormat="false" ht="15" hidden="false" customHeight="false" outlineLevel="0" collapsed="false">
      <c r="A99" s="30"/>
      <c r="B99" s="30"/>
    </row>
    <row r="100" customFormat="false" ht="15" hidden="false" customHeight="false" outlineLevel="0" collapsed="false">
      <c r="A100" s="30"/>
      <c r="B100" s="30"/>
    </row>
    <row r="101" customFormat="false" ht="15" hidden="false" customHeight="false" outlineLevel="0" collapsed="false">
      <c r="A101" s="30"/>
      <c r="B101" s="30"/>
    </row>
    <row r="102" customFormat="false" ht="15" hidden="false" customHeight="false" outlineLevel="0" collapsed="false">
      <c r="A102" s="30"/>
      <c r="B102" s="30"/>
    </row>
    <row r="103" customFormat="false" ht="15" hidden="false" customHeight="false" outlineLevel="0" collapsed="false">
      <c r="A103" s="30"/>
      <c r="B103" s="30"/>
    </row>
    <row r="104" customFormat="false" ht="15" hidden="false" customHeight="false" outlineLevel="0" collapsed="false">
      <c r="A104" s="30"/>
      <c r="B104" s="30"/>
    </row>
    <row r="105" customFormat="false" ht="15" hidden="false" customHeight="false" outlineLevel="0" collapsed="false">
      <c r="A105" s="30"/>
      <c r="B105" s="30"/>
    </row>
    <row r="106" customFormat="false" ht="15" hidden="false" customHeight="false" outlineLevel="0" collapsed="false">
      <c r="A106" s="30"/>
      <c r="B106" s="30"/>
    </row>
    <row r="107" customFormat="false" ht="15" hidden="false" customHeight="false" outlineLevel="0" collapsed="false">
      <c r="A107" s="30"/>
      <c r="B107" s="30"/>
    </row>
    <row r="108" customFormat="false" ht="15" hidden="false" customHeight="false" outlineLevel="0" collapsed="false">
      <c r="A108" s="30"/>
      <c r="B108" s="30"/>
    </row>
    <row r="109" customFormat="false" ht="15" hidden="false" customHeight="false" outlineLevel="0" collapsed="false">
      <c r="A109" s="30"/>
      <c r="B109" s="30"/>
    </row>
    <row r="110" customFormat="false" ht="15" hidden="false" customHeight="false" outlineLevel="0" collapsed="false">
      <c r="A110" s="30"/>
      <c r="B110" s="30"/>
    </row>
    <row r="111" customFormat="false" ht="15" hidden="false" customHeight="false" outlineLevel="0" collapsed="false">
      <c r="A111" s="30"/>
      <c r="B111" s="30"/>
    </row>
    <row r="112" customFormat="false" ht="15" hidden="false" customHeight="false" outlineLevel="0" collapsed="false">
      <c r="A112" s="30"/>
      <c r="B112" s="30"/>
    </row>
    <row r="113" customFormat="false" ht="15" hidden="false" customHeight="false" outlineLevel="0" collapsed="false">
      <c r="A113" s="30"/>
      <c r="B113" s="30"/>
    </row>
    <row r="114" customFormat="false" ht="15" hidden="false" customHeight="false" outlineLevel="0" collapsed="false">
      <c r="A114" s="30"/>
      <c r="B114" s="30"/>
    </row>
    <row r="115" customFormat="false" ht="15" hidden="false" customHeight="false" outlineLevel="0" collapsed="false">
      <c r="A115" s="30"/>
      <c r="B115" s="30"/>
    </row>
    <row r="116" customFormat="false" ht="15" hidden="false" customHeight="false" outlineLevel="0" collapsed="false">
      <c r="A116" s="30"/>
      <c r="B116" s="30"/>
    </row>
    <row r="117" customFormat="false" ht="15" hidden="false" customHeight="false" outlineLevel="0" collapsed="false">
      <c r="A117" s="30"/>
      <c r="B117" s="30"/>
    </row>
    <row r="118" customFormat="false" ht="15" hidden="false" customHeight="false" outlineLevel="0" collapsed="false">
      <c r="A118" s="30"/>
      <c r="B118" s="30"/>
    </row>
    <row r="119" customFormat="false" ht="15" hidden="false" customHeight="false" outlineLevel="0" collapsed="false">
      <c r="A119" s="30"/>
      <c r="B119" s="30"/>
    </row>
    <row r="120" customFormat="false" ht="15" hidden="false" customHeight="false" outlineLevel="0" collapsed="false">
      <c r="A120" s="30"/>
      <c r="B120" s="30"/>
    </row>
    <row r="121" customFormat="false" ht="15" hidden="false" customHeight="false" outlineLevel="0" collapsed="false">
      <c r="A121" s="30"/>
      <c r="B121" s="30"/>
    </row>
    <row r="122" customFormat="false" ht="15" hidden="false" customHeight="false" outlineLevel="0" collapsed="false">
      <c r="A122" s="30"/>
      <c r="B122" s="30"/>
    </row>
    <row r="123" customFormat="false" ht="15" hidden="false" customHeight="false" outlineLevel="0" collapsed="false">
      <c r="A123" s="30"/>
      <c r="B123" s="30"/>
    </row>
    <row r="124" customFormat="false" ht="15" hidden="false" customHeight="false" outlineLevel="0" collapsed="false">
      <c r="A124" s="30"/>
      <c r="B124" s="30"/>
    </row>
    <row r="125" customFormat="false" ht="15" hidden="false" customHeight="false" outlineLevel="0" collapsed="false">
      <c r="A125" s="30"/>
      <c r="B125" s="30"/>
    </row>
    <row r="126" customFormat="false" ht="15" hidden="false" customHeight="false" outlineLevel="0" collapsed="false">
      <c r="A126" s="30"/>
      <c r="B126" s="30"/>
    </row>
    <row r="127" customFormat="false" ht="15" hidden="false" customHeight="false" outlineLevel="0" collapsed="false">
      <c r="A127" s="30"/>
      <c r="B127" s="30"/>
    </row>
    <row r="128" customFormat="false" ht="15" hidden="false" customHeight="false" outlineLevel="0" collapsed="false">
      <c r="A128" s="30"/>
      <c r="B128" s="30"/>
    </row>
    <row r="129" customFormat="false" ht="15" hidden="false" customHeight="false" outlineLevel="0" collapsed="false">
      <c r="A129" s="30"/>
      <c r="B129" s="30"/>
    </row>
    <row r="130" customFormat="false" ht="15" hidden="false" customHeight="false" outlineLevel="0" collapsed="false">
      <c r="A130" s="30"/>
      <c r="B130" s="30"/>
    </row>
    <row r="131" customFormat="false" ht="15" hidden="false" customHeight="false" outlineLevel="0" collapsed="false">
      <c r="A131" s="30"/>
      <c r="B131" s="30"/>
    </row>
    <row r="132" customFormat="false" ht="15" hidden="false" customHeight="false" outlineLevel="0" collapsed="false">
      <c r="A132" s="30"/>
      <c r="B132" s="30"/>
    </row>
    <row r="133" customFormat="false" ht="15" hidden="false" customHeight="false" outlineLevel="0" collapsed="false">
      <c r="A133" s="30"/>
      <c r="B133" s="30"/>
    </row>
    <row r="134" customFormat="false" ht="15" hidden="false" customHeight="false" outlineLevel="0" collapsed="false">
      <c r="A134" s="30"/>
      <c r="B134" s="30"/>
    </row>
    <row r="135" customFormat="false" ht="15" hidden="false" customHeight="false" outlineLevel="0" collapsed="false">
      <c r="A135" s="30"/>
      <c r="B135" s="30"/>
    </row>
    <row r="136" customFormat="false" ht="15" hidden="false" customHeight="false" outlineLevel="0" collapsed="false">
      <c r="A136" s="30"/>
      <c r="B136" s="30"/>
    </row>
    <row r="137" customFormat="false" ht="15" hidden="false" customHeight="false" outlineLevel="0" collapsed="false">
      <c r="A137" s="30"/>
      <c r="B137" s="30"/>
    </row>
    <row r="138" customFormat="false" ht="15" hidden="false" customHeight="false" outlineLevel="0" collapsed="false">
      <c r="A138" s="30"/>
      <c r="B138" s="30"/>
    </row>
    <row r="139" customFormat="false" ht="15" hidden="false" customHeight="false" outlineLevel="0" collapsed="false">
      <c r="A139" s="30"/>
      <c r="B139" s="30"/>
    </row>
    <row r="140" customFormat="false" ht="15" hidden="false" customHeight="false" outlineLevel="0" collapsed="false">
      <c r="A140" s="30"/>
      <c r="B140" s="30"/>
    </row>
    <row r="141" customFormat="false" ht="15" hidden="false" customHeight="false" outlineLevel="0" collapsed="false">
      <c r="A141" s="30"/>
      <c r="B141" s="30"/>
    </row>
    <row r="142" customFormat="false" ht="15" hidden="false" customHeight="false" outlineLevel="0" collapsed="false">
      <c r="A142" s="30"/>
      <c r="B142" s="30"/>
    </row>
    <row r="143" customFormat="false" ht="15" hidden="false" customHeight="false" outlineLevel="0" collapsed="false">
      <c r="A143" s="30"/>
      <c r="B143" s="30"/>
    </row>
    <row r="144" customFormat="false" ht="15" hidden="false" customHeight="false" outlineLevel="0" collapsed="false">
      <c r="A144" s="30"/>
      <c r="B144" s="30"/>
    </row>
    <row r="145" customFormat="false" ht="15" hidden="false" customHeight="false" outlineLevel="0" collapsed="false">
      <c r="A145" s="30"/>
      <c r="B145" s="30"/>
    </row>
    <row r="146" customFormat="false" ht="15" hidden="false" customHeight="false" outlineLevel="0" collapsed="false">
      <c r="A146" s="30"/>
      <c r="B146" s="30"/>
    </row>
    <row r="147" customFormat="false" ht="15" hidden="false" customHeight="false" outlineLevel="0" collapsed="false">
      <c r="A147" s="30"/>
      <c r="B147" s="30"/>
    </row>
    <row r="148" customFormat="false" ht="15" hidden="false" customHeight="false" outlineLevel="0" collapsed="false">
      <c r="A148" s="30"/>
      <c r="B148" s="30"/>
    </row>
    <row r="149" customFormat="false" ht="15" hidden="false" customHeight="false" outlineLevel="0" collapsed="false">
      <c r="A149" s="30"/>
      <c r="B149" s="30"/>
    </row>
    <row r="150" customFormat="false" ht="15" hidden="false" customHeight="false" outlineLevel="0" collapsed="false">
      <c r="A150" s="30"/>
      <c r="B150" s="30"/>
    </row>
    <row r="151" customFormat="false" ht="15" hidden="false" customHeight="false" outlineLevel="0" collapsed="false">
      <c r="A151" s="30"/>
      <c r="B151" s="30"/>
    </row>
    <row r="152" customFormat="false" ht="15" hidden="false" customHeight="false" outlineLevel="0" collapsed="false">
      <c r="A152" s="30"/>
      <c r="B152" s="30"/>
    </row>
    <row r="153" customFormat="false" ht="15" hidden="false" customHeight="false" outlineLevel="0" collapsed="false">
      <c r="A153" s="30"/>
      <c r="B153" s="30"/>
    </row>
    <row r="154" customFormat="false" ht="15" hidden="false" customHeight="false" outlineLevel="0" collapsed="false">
      <c r="A154" s="30"/>
      <c r="B154" s="30"/>
    </row>
    <row r="155" customFormat="false" ht="15" hidden="false" customHeight="false" outlineLevel="0" collapsed="false">
      <c r="A155" s="30"/>
      <c r="B155" s="30"/>
    </row>
    <row r="156" customFormat="false" ht="15" hidden="false" customHeight="false" outlineLevel="0" collapsed="false">
      <c r="A156" s="30"/>
      <c r="B156" s="30"/>
    </row>
    <row r="157" customFormat="false" ht="15" hidden="false" customHeight="false" outlineLevel="0" collapsed="false">
      <c r="A157" s="30"/>
      <c r="B157" s="30"/>
    </row>
    <row r="158" customFormat="false" ht="15" hidden="false" customHeight="false" outlineLevel="0" collapsed="false">
      <c r="A158" s="30"/>
      <c r="B158" s="30"/>
    </row>
    <row r="159" customFormat="false" ht="15" hidden="false" customHeight="false" outlineLevel="0" collapsed="false">
      <c r="A159" s="30"/>
      <c r="B159" s="30"/>
    </row>
    <row r="160" customFormat="false" ht="15" hidden="false" customHeight="false" outlineLevel="0" collapsed="false">
      <c r="A160" s="30"/>
      <c r="B160" s="30"/>
    </row>
    <row r="161" customFormat="false" ht="15" hidden="false" customHeight="false" outlineLevel="0" collapsed="false">
      <c r="A161" s="30"/>
      <c r="B161" s="30"/>
    </row>
    <row r="162" customFormat="false" ht="15" hidden="false" customHeight="false" outlineLevel="0" collapsed="false">
      <c r="A162" s="30"/>
      <c r="B162" s="30"/>
    </row>
    <row r="163" customFormat="false" ht="15" hidden="false" customHeight="false" outlineLevel="0" collapsed="false">
      <c r="A163" s="30"/>
      <c r="B163" s="30"/>
    </row>
    <row r="164" customFormat="false" ht="15" hidden="false" customHeight="false" outlineLevel="0" collapsed="false">
      <c r="A164" s="30"/>
      <c r="B164" s="30"/>
    </row>
    <row r="165" customFormat="false" ht="15" hidden="false" customHeight="false" outlineLevel="0" collapsed="false">
      <c r="A165" s="30"/>
      <c r="B165" s="30"/>
    </row>
    <row r="166" customFormat="false" ht="15" hidden="false" customHeight="false" outlineLevel="0" collapsed="false">
      <c r="A166" s="30"/>
      <c r="B166" s="30"/>
    </row>
    <row r="167" customFormat="false" ht="15" hidden="false" customHeight="false" outlineLevel="0" collapsed="false">
      <c r="A167" s="30"/>
      <c r="B167" s="30"/>
    </row>
    <row r="168" customFormat="false" ht="15" hidden="false" customHeight="false" outlineLevel="0" collapsed="false">
      <c r="A168" s="30"/>
      <c r="B168" s="30"/>
    </row>
    <row r="169" customFormat="false" ht="15" hidden="false" customHeight="false" outlineLevel="0" collapsed="false">
      <c r="A169" s="30"/>
      <c r="B169" s="30"/>
    </row>
  </sheetData>
  <autoFilter ref="A1:O97"/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8.9473684210526"/>
    <col collapsed="false" hidden="false" max="2" min="2" style="0" width="29.3562753036437"/>
    <col collapsed="false" hidden="false" max="3" min="3" style="0" width="25.5708502024291"/>
    <col collapsed="false" hidden="false" max="1025" min="4" style="0" width="8.12145748987854"/>
  </cols>
  <sheetData>
    <row r="1" customFormat="false" ht="15" hidden="false" customHeight="false" outlineLevel="0" collapsed="false">
      <c r="A1" s="27" t="s">
        <v>119</v>
      </c>
      <c r="B1" s="27" t="s">
        <v>579</v>
      </c>
      <c r="C1" s="27" t="s">
        <v>576</v>
      </c>
      <c r="N1" s="29" t="s">
        <v>216</v>
      </c>
    </row>
    <row r="2" customFormat="false" ht="15" hidden="false" customHeight="false" outlineLevel="0" collapsed="false">
      <c r="A2" s="32" t="s">
        <v>217</v>
      </c>
      <c r="B2" s="0" t="n">
        <v>0</v>
      </c>
      <c r="C2" s="37" t="n">
        <v>2</v>
      </c>
    </row>
    <row r="3" customFormat="false" ht="15" hidden="false" customHeight="false" outlineLevel="0" collapsed="false">
      <c r="A3" s="32" t="s">
        <v>218</v>
      </c>
      <c r="B3" s="0" t="n">
        <v>0</v>
      </c>
      <c r="C3" s="37" t="n">
        <v>1</v>
      </c>
    </row>
    <row r="4" customFormat="false" ht="15" hidden="false" customHeight="false" outlineLevel="0" collapsed="false">
      <c r="A4" s="32" t="s">
        <v>219</v>
      </c>
      <c r="B4" s="0" t="n">
        <v>0</v>
      </c>
      <c r="C4" s="37" t="n">
        <v>2</v>
      </c>
    </row>
    <row r="5" customFormat="false" ht="15" hidden="false" customHeight="false" outlineLevel="0" collapsed="false">
      <c r="A5" s="32" t="s">
        <v>220</v>
      </c>
      <c r="B5" s="0" t="n">
        <v>0</v>
      </c>
      <c r="C5" s="37" t="n">
        <v>2</v>
      </c>
    </row>
    <row r="6" customFormat="false" ht="15" hidden="false" customHeight="false" outlineLevel="0" collapsed="false">
      <c r="A6" s="32" t="s">
        <v>221</v>
      </c>
      <c r="B6" s="0" t="n">
        <v>0</v>
      </c>
      <c r="C6" s="37" t="n">
        <v>2</v>
      </c>
    </row>
    <row r="7" customFormat="false" ht="15" hidden="false" customHeight="false" outlineLevel="0" collapsed="false">
      <c r="A7" s="32" t="s">
        <v>222</v>
      </c>
      <c r="B7" s="0" t="n">
        <v>0</v>
      </c>
      <c r="C7" s="37" t="n">
        <v>2</v>
      </c>
    </row>
    <row r="8" customFormat="false" ht="15" hidden="false" customHeight="false" outlineLevel="0" collapsed="false">
      <c r="A8" s="32" t="s">
        <v>223</v>
      </c>
      <c r="B8" s="0" t="n">
        <v>0</v>
      </c>
      <c r="C8" s="37" t="n">
        <v>2</v>
      </c>
    </row>
    <row r="9" customFormat="false" ht="15" hidden="false" customHeight="false" outlineLevel="0" collapsed="false">
      <c r="A9" s="0" t="s">
        <v>224</v>
      </c>
      <c r="B9" s="0" t="n">
        <v>0</v>
      </c>
      <c r="C9" s="37" t="n">
        <v>2</v>
      </c>
    </row>
    <row r="10" customFormat="false" ht="15" hidden="false" customHeight="false" outlineLevel="0" collapsed="false">
      <c r="A10" s="0" t="s">
        <v>225</v>
      </c>
      <c r="B10" s="0" t="n">
        <v>0</v>
      </c>
      <c r="C10" s="37" t="n">
        <v>2</v>
      </c>
    </row>
    <row r="11" customFormat="false" ht="15" hidden="false" customHeight="false" outlineLevel="0" collapsed="false">
      <c r="A11" s="0" t="s">
        <v>226</v>
      </c>
      <c r="B11" s="0" t="n">
        <v>0</v>
      </c>
      <c r="C11" s="37" t="n">
        <v>2</v>
      </c>
    </row>
    <row r="12" customFormat="false" ht="15" hidden="false" customHeight="false" outlineLevel="0" collapsed="false">
      <c r="A12" s="0" t="s">
        <v>227</v>
      </c>
      <c r="B12" s="0" t="n">
        <v>0</v>
      </c>
      <c r="C12" s="37" t="n">
        <v>2</v>
      </c>
    </row>
    <row r="13" customFormat="false" ht="15" hidden="false" customHeight="false" outlineLevel="0" collapsed="false">
      <c r="A13" s="0" t="s">
        <v>228</v>
      </c>
      <c r="B13" s="0" t="n">
        <v>0</v>
      </c>
      <c r="C13" s="61" t="n">
        <v>1</v>
      </c>
    </row>
    <row r="14" customFormat="false" ht="15" hidden="false" customHeight="false" outlineLevel="0" collapsed="false">
      <c r="A14" s="0" t="s">
        <v>229</v>
      </c>
      <c r="B14" s="0" t="n">
        <v>0</v>
      </c>
      <c r="C14" s="37" t="n">
        <v>2</v>
      </c>
    </row>
    <row r="15" customFormat="false" ht="15" hidden="false" customHeight="false" outlineLevel="0" collapsed="false">
      <c r="A15" s="0" t="s">
        <v>230</v>
      </c>
      <c r="B15" s="0" t="n">
        <v>0</v>
      </c>
      <c r="C15" s="37" t="n">
        <v>2</v>
      </c>
    </row>
    <row r="16" customFormat="false" ht="15" hidden="false" customHeight="false" outlineLevel="0" collapsed="false">
      <c r="A16" s="0" t="s">
        <v>231</v>
      </c>
      <c r="B16" s="0" t="n">
        <v>0</v>
      </c>
      <c r="C16" s="37" t="n">
        <v>2</v>
      </c>
    </row>
    <row r="17" customFormat="false" ht="15" hidden="false" customHeight="false" outlineLevel="0" collapsed="false">
      <c r="A17" s="0" t="s">
        <v>232</v>
      </c>
      <c r="B17" s="0" t="n">
        <v>0</v>
      </c>
      <c r="C17" s="61" t="n">
        <v>1</v>
      </c>
    </row>
    <row r="18" customFormat="false" ht="15" hidden="false" customHeight="false" outlineLevel="0" collapsed="false">
      <c r="A18" s="0" t="s">
        <v>233</v>
      </c>
      <c r="B18" s="0" t="n">
        <v>0</v>
      </c>
      <c r="C18" s="61" t="n">
        <v>1</v>
      </c>
    </row>
    <row r="19" customFormat="false" ht="15" hidden="false" customHeight="false" outlineLevel="0" collapsed="false">
      <c r="A19" s="0" t="s">
        <v>234</v>
      </c>
      <c r="B19" s="0" t="n">
        <v>0</v>
      </c>
      <c r="C19" s="37" t="n">
        <v>2</v>
      </c>
    </row>
    <row r="20" customFormat="false" ht="15" hidden="false" customHeight="false" outlineLevel="0" collapsed="false">
      <c r="A20" s="0" t="s">
        <v>235</v>
      </c>
      <c r="B20" s="0" t="n">
        <v>0</v>
      </c>
      <c r="C20" s="37" t="n">
        <v>2</v>
      </c>
    </row>
    <row r="21" customFormat="false" ht="15" hidden="false" customHeight="false" outlineLevel="0" collapsed="false">
      <c r="A21" s="0" t="s">
        <v>236</v>
      </c>
      <c r="B21" s="0" t="n">
        <v>0</v>
      </c>
      <c r="C21" s="61" t="n">
        <v>1</v>
      </c>
    </row>
    <row r="22" customFormat="false" ht="15" hidden="false" customHeight="false" outlineLevel="0" collapsed="false">
      <c r="A22" s="0" t="s">
        <v>237</v>
      </c>
      <c r="B22" s="0" t="n">
        <v>0</v>
      </c>
      <c r="C22" s="37" t="n">
        <v>2</v>
      </c>
    </row>
    <row r="23" customFormat="false" ht="15" hidden="false" customHeight="false" outlineLevel="0" collapsed="false">
      <c r="A23" s="0" t="s">
        <v>238</v>
      </c>
      <c r="B23" s="0" t="n">
        <v>0</v>
      </c>
      <c r="C23" s="61" t="n">
        <v>1</v>
      </c>
    </row>
    <row r="24" customFormat="false" ht="15" hidden="false" customHeight="false" outlineLevel="0" collapsed="false">
      <c r="A24" s="0" t="s">
        <v>239</v>
      </c>
      <c r="B24" s="0" t="n">
        <v>0</v>
      </c>
      <c r="C24" s="61" t="n">
        <v>1</v>
      </c>
    </row>
    <row r="25" customFormat="false" ht="15" hidden="false" customHeight="false" outlineLevel="0" collapsed="false">
      <c r="A25" s="0" t="s">
        <v>240</v>
      </c>
      <c r="B25" s="0" t="n">
        <v>0</v>
      </c>
      <c r="C25" s="61" t="n">
        <v>1</v>
      </c>
    </row>
    <row r="26" customFormat="false" ht="15" hidden="false" customHeight="false" outlineLevel="0" collapsed="false">
      <c r="A26" s="0" t="s">
        <v>241</v>
      </c>
      <c r="B26" s="0" t="n">
        <v>0</v>
      </c>
      <c r="C26" s="37" t="n">
        <v>2</v>
      </c>
    </row>
    <row r="27" customFormat="false" ht="15" hidden="false" customHeight="false" outlineLevel="0" collapsed="false">
      <c r="A27" s="0" t="s">
        <v>242</v>
      </c>
      <c r="B27" s="0" t="n">
        <v>0</v>
      </c>
      <c r="C27" s="37" t="n">
        <v>2</v>
      </c>
    </row>
    <row r="28" customFormat="false" ht="15" hidden="false" customHeight="false" outlineLevel="0" collapsed="false">
      <c r="A28" s="0" t="s">
        <v>243</v>
      </c>
      <c r="B28" s="0" t="n">
        <v>0</v>
      </c>
      <c r="C28" s="37" t="n">
        <v>2</v>
      </c>
    </row>
    <row r="29" customFormat="false" ht="15" hidden="false" customHeight="false" outlineLevel="0" collapsed="false">
      <c r="A29" s="0" t="s">
        <v>244</v>
      </c>
      <c r="B29" s="0" t="n">
        <v>0</v>
      </c>
      <c r="C29" s="37" t="n">
        <v>2</v>
      </c>
    </row>
    <row r="30" customFormat="false" ht="15" hidden="false" customHeight="false" outlineLevel="0" collapsed="false">
      <c r="A30" s="0" t="s">
        <v>245</v>
      </c>
      <c r="B30" s="0" t="n">
        <v>0</v>
      </c>
      <c r="C30" s="61" t="n">
        <v>1</v>
      </c>
    </row>
    <row r="31" customFormat="false" ht="15" hidden="false" customHeight="false" outlineLevel="0" collapsed="false">
      <c r="A31" s="0" t="s">
        <v>246</v>
      </c>
      <c r="B31" s="0" t="n">
        <v>0</v>
      </c>
      <c r="C31" s="37" t="n">
        <v>2</v>
      </c>
    </row>
    <row r="32" customFormat="false" ht="15" hidden="false" customHeight="false" outlineLevel="0" collapsed="false">
      <c r="A32" s="0" t="s">
        <v>247</v>
      </c>
      <c r="B32" s="0" t="n">
        <v>0</v>
      </c>
      <c r="C32" s="61" t="n">
        <v>1</v>
      </c>
    </row>
    <row r="33" customFormat="false" ht="15" hidden="false" customHeight="false" outlineLevel="0" collapsed="false">
      <c r="A33" s="0" t="s">
        <v>248</v>
      </c>
      <c r="B33" s="0" t="n">
        <v>0</v>
      </c>
      <c r="C33" s="61" t="n">
        <v>1</v>
      </c>
    </row>
    <row r="34" customFormat="false" ht="15" hidden="false" customHeight="false" outlineLevel="0" collapsed="false">
      <c r="A34" s="0" t="s">
        <v>249</v>
      </c>
      <c r="B34" s="0" t="n">
        <v>0</v>
      </c>
      <c r="C34" s="61" t="n">
        <v>1</v>
      </c>
    </row>
    <row r="35" customFormat="false" ht="15" hidden="false" customHeight="false" outlineLevel="0" collapsed="false">
      <c r="A35" s="0" t="s">
        <v>250</v>
      </c>
      <c r="B35" s="0" t="n">
        <v>0</v>
      </c>
      <c r="C35" s="37" t="n">
        <v>2</v>
      </c>
    </row>
    <row r="36" customFormat="false" ht="15" hidden="false" customHeight="false" outlineLevel="0" collapsed="false">
      <c r="A36" s="0" t="s">
        <v>251</v>
      </c>
      <c r="B36" s="0" t="n">
        <v>0</v>
      </c>
      <c r="C36" s="37" t="n">
        <v>2</v>
      </c>
    </row>
    <row r="37" customFormat="false" ht="15" hidden="false" customHeight="false" outlineLevel="0" collapsed="false">
      <c r="A37" s="0" t="s">
        <v>252</v>
      </c>
      <c r="B37" s="0" t="n">
        <v>0</v>
      </c>
      <c r="C37" s="37" t="n">
        <v>2</v>
      </c>
    </row>
    <row r="38" customFormat="false" ht="15" hidden="false" customHeight="false" outlineLevel="0" collapsed="false">
      <c r="A38" s="0" t="s">
        <v>253</v>
      </c>
      <c r="B38" s="0" t="n">
        <v>0</v>
      </c>
      <c r="C38" s="37" t="n">
        <v>2</v>
      </c>
    </row>
    <row r="39" customFormat="false" ht="15" hidden="false" customHeight="false" outlineLevel="0" collapsed="false">
      <c r="A39" s="0" t="s">
        <v>254</v>
      </c>
      <c r="B39" s="0" t="n">
        <v>0</v>
      </c>
      <c r="C39" s="37" t="n">
        <v>2</v>
      </c>
    </row>
    <row r="40" customFormat="false" ht="15" hidden="false" customHeight="false" outlineLevel="0" collapsed="false">
      <c r="A40" s="0" t="s">
        <v>255</v>
      </c>
      <c r="B40" s="0" t="n">
        <v>0</v>
      </c>
      <c r="C40" s="37" t="n">
        <v>2</v>
      </c>
    </row>
    <row r="41" customFormat="false" ht="15" hidden="false" customHeight="false" outlineLevel="0" collapsed="false">
      <c r="A41" s="0" t="s">
        <v>256</v>
      </c>
      <c r="B41" s="0" t="n">
        <v>0</v>
      </c>
      <c r="C41" s="37" t="n">
        <v>2</v>
      </c>
    </row>
    <row r="42" customFormat="false" ht="15" hidden="false" customHeight="false" outlineLevel="0" collapsed="false">
      <c r="A42" s="0" t="s">
        <v>257</v>
      </c>
      <c r="B42" s="0" t="n">
        <v>0</v>
      </c>
      <c r="C42" s="37" t="n">
        <v>2</v>
      </c>
    </row>
    <row r="43" customFormat="false" ht="15" hidden="false" customHeight="false" outlineLevel="0" collapsed="false">
      <c r="A43" s="0" t="s">
        <v>258</v>
      </c>
      <c r="B43" s="0" t="n">
        <v>0</v>
      </c>
      <c r="C43" s="37" t="n">
        <v>2</v>
      </c>
    </row>
    <row r="44" customFormat="false" ht="15" hidden="false" customHeight="false" outlineLevel="0" collapsed="false">
      <c r="A44" s="0" t="s">
        <v>259</v>
      </c>
      <c r="B44" s="0" t="n">
        <v>0</v>
      </c>
      <c r="C44" s="37" t="n">
        <v>2</v>
      </c>
    </row>
    <row r="45" customFormat="false" ht="15" hidden="false" customHeight="false" outlineLevel="0" collapsed="false">
      <c r="A45" s="0" t="s">
        <v>260</v>
      </c>
      <c r="B45" s="0" t="n">
        <v>0</v>
      </c>
      <c r="C45" s="37" t="n">
        <v>2</v>
      </c>
    </row>
    <row r="46" customFormat="false" ht="15" hidden="false" customHeight="false" outlineLevel="0" collapsed="false">
      <c r="A46" s="0" t="s">
        <v>261</v>
      </c>
      <c r="B46" s="0" t="n">
        <v>0</v>
      </c>
      <c r="C46" s="37" t="n">
        <v>2</v>
      </c>
    </row>
    <row r="47" customFormat="false" ht="15" hidden="false" customHeight="false" outlineLevel="0" collapsed="false">
      <c r="A47" s="0" t="s">
        <v>262</v>
      </c>
      <c r="B47" s="0" t="n">
        <v>0</v>
      </c>
      <c r="C47" s="37" t="n">
        <v>2</v>
      </c>
    </row>
    <row r="48" customFormat="false" ht="15" hidden="false" customHeight="false" outlineLevel="0" collapsed="false">
      <c r="A48" s="0" t="s">
        <v>263</v>
      </c>
      <c r="B48" s="0" t="n">
        <v>0</v>
      </c>
      <c r="C48" s="37" t="n">
        <v>2</v>
      </c>
    </row>
    <row r="49" customFormat="false" ht="15" hidden="false" customHeight="false" outlineLevel="0" collapsed="false">
      <c r="A49" s="0" t="s">
        <v>264</v>
      </c>
      <c r="B49" s="0" t="n">
        <v>0</v>
      </c>
      <c r="C49" s="37" t="n">
        <v>2</v>
      </c>
    </row>
    <row r="50" customFormat="false" ht="15" hidden="false" customHeight="false" outlineLevel="0" collapsed="false">
      <c r="A50" s="0" t="s">
        <v>265</v>
      </c>
      <c r="B50" s="0" t="n">
        <v>0</v>
      </c>
      <c r="C50" s="37" t="n">
        <v>2</v>
      </c>
    </row>
    <row r="51" customFormat="false" ht="15" hidden="false" customHeight="false" outlineLevel="0" collapsed="false">
      <c r="A51" s="0" t="s">
        <v>266</v>
      </c>
      <c r="B51" s="0" t="n">
        <v>0</v>
      </c>
      <c r="C51" s="37" t="n">
        <v>2</v>
      </c>
    </row>
    <row r="52" customFormat="false" ht="15" hidden="false" customHeight="false" outlineLevel="0" collapsed="false">
      <c r="A52" s="0" t="s">
        <v>267</v>
      </c>
      <c r="B52" s="0" t="n">
        <v>0</v>
      </c>
      <c r="C52" s="37" t="n">
        <v>2</v>
      </c>
    </row>
    <row r="53" customFormat="false" ht="15" hidden="false" customHeight="false" outlineLevel="0" collapsed="false">
      <c r="A53" s="0" t="s">
        <v>268</v>
      </c>
      <c r="B53" s="0" t="n">
        <v>0</v>
      </c>
      <c r="C53" s="37" t="n">
        <v>2</v>
      </c>
    </row>
    <row r="54" customFormat="false" ht="15" hidden="false" customHeight="false" outlineLevel="0" collapsed="false">
      <c r="A54" s="0" t="s">
        <v>269</v>
      </c>
      <c r="B54" s="0" t="n">
        <v>0</v>
      </c>
      <c r="C54" s="37" t="n">
        <v>2</v>
      </c>
    </row>
    <row r="55" customFormat="false" ht="15" hidden="false" customHeight="false" outlineLevel="0" collapsed="false">
      <c r="A55" s="0" t="s">
        <v>270</v>
      </c>
      <c r="B55" s="0" t="n">
        <v>0</v>
      </c>
      <c r="C55" s="37" t="n">
        <v>2</v>
      </c>
    </row>
    <row r="56" customFormat="false" ht="15" hidden="false" customHeight="false" outlineLevel="0" collapsed="false">
      <c r="A56" s="0" t="s">
        <v>271</v>
      </c>
      <c r="B56" s="0" t="n">
        <v>0</v>
      </c>
      <c r="C56" s="37" t="n">
        <v>2</v>
      </c>
    </row>
    <row r="57" customFormat="false" ht="15" hidden="false" customHeight="false" outlineLevel="0" collapsed="false">
      <c r="A57" s="0" t="s">
        <v>272</v>
      </c>
      <c r="B57" s="0" t="n">
        <v>0</v>
      </c>
      <c r="C57" s="37" t="n">
        <v>2</v>
      </c>
    </row>
    <row r="58" customFormat="false" ht="15" hidden="false" customHeight="false" outlineLevel="0" collapsed="false">
      <c r="A58" s="0" t="s">
        <v>273</v>
      </c>
      <c r="B58" s="0" t="n">
        <v>0</v>
      </c>
      <c r="C58" s="37" t="n">
        <v>2</v>
      </c>
    </row>
    <row r="59" customFormat="false" ht="15" hidden="false" customHeight="false" outlineLevel="0" collapsed="false">
      <c r="A59" s="0" t="s">
        <v>274</v>
      </c>
      <c r="B59" s="0" t="n">
        <v>0</v>
      </c>
      <c r="C59" s="37" t="n">
        <v>2</v>
      </c>
    </row>
    <row r="60" customFormat="false" ht="15" hidden="false" customHeight="false" outlineLevel="0" collapsed="false">
      <c r="A60" s="0" t="s">
        <v>275</v>
      </c>
      <c r="B60" s="0" t="n">
        <v>0</v>
      </c>
      <c r="C60" s="37" t="n">
        <v>2</v>
      </c>
    </row>
    <row r="61" customFormat="false" ht="15" hidden="false" customHeight="false" outlineLevel="0" collapsed="false">
      <c r="A61" s="0" t="s">
        <v>276</v>
      </c>
      <c r="B61" s="0" t="n">
        <v>0</v>
      </c>
      <c r="C61" s="37" t="n">
        <v>2</v>
      </c>
    </row>
    <row r="62" customFormat="false" ht="15" hidden="false" customHeight="false" outlineLevel="0" collapsed="false">
      <c r="A62" s="0" t="s">
        <v>277</v>
      </c>
      <c r="B62" s="0" t="n">
        <v>0</v>
      </c>
      <c r="C62" s="37" t="n">
        <v>2</v>
      </c>
    </row>
    <row r="63" customFormat="false" ht="15" hidden="false" customHeight="false" outlineLevel="0" collapsed="false">
      <c r="A63" s="0" t="s">
        <v>278</v>
      </c>
      <c r="B63" s="0" t="n">
        <v>0</v>
      </c>
      <c r="C63" s="37" t="n">
        <v>2</v>
      </c>
    </row>
    <row r="64" customFormat="false" ht="15" hidden="false" customHeight="false" outlineLevel="0" collapsed="false">
      <c r="A64" s="0" t="s">
        <v>279</v>
      </c>
      <c r="B64" s="0" t="n">
        <v>0</v>
      </c>
      <c r="C64" s="37" t="n">
        <v>2</v>
      </c>
    </row>
    <row r="65" customFormat="false" ht="15" hidden="false" customHeight="false" outlineLevel="0" collapsed="false">
      <c r="A65" s="0" t="s">
        <v>280</v>
      </c>
      <c r="B65" s="0" t="n">
        <v>0</v>
      </c>
      <c r="C65" s="37" t="n">
        <v>2</v>
      </c>
    </row>
    <row r="66" customFormat="false" ht="15" hidden="false" customHeight="false" outlineLevel="0" collapsed="false">
      <c r="A66" s="0" t="s">
        <v>281</v>
      </c>
      <c r="B66" s="0" t="n">
        <v>0</v>
      </c>
      <c r="C66" s="37" t="n">
        <v>2</v>
      </c>
    </row>
    <row r="67" customFormat="false" ht="15" hidden="false" customHeight="false" outlineLevel="0" collapsed="false">
      <c r="A67" s="0" t="s">
        <v>282</v>
      </c>
      <c r="B67" s="0" t="n">
        <v>0</v>
      </c>
      <c r="C67" s="37" t="n">
        <v>2</v>
      </c>
    </row>
    <row r="68" customFormat="false" ht="15" hidden="false" customHeight="false" outlineLevel="0" collapsed="false">
      <c r="A68" s="0" t="s">
        <v>283</v>
      </c>
      <c r="B68" s="0" t="n">
        <v>0</v>
      </c>
      <c r="C68" s="37" t="n">
        <v>2</v>
      </c>
    </row>
    <row r="69" customFormat="false" ht="15" hidden="false" customHeight="false" outlineLevel="0" collapsed="false">
      <c r="A69" s="0" t="s">
        <v>284</v>
      </c>
      <c r="B69" s="0" t="n">
        <v>0</v>
      </c>
      <c r="C69" s="37" t="n">
        <v>2</v>
      </c>
    </row>
    <row r="70" customFormat="false" ht="15" hidden="false" customHeight="false" outlineLevel="0" collapsed="false">
      <c r="A70" s="0" t="s">
        <v>285</v>
      </c>
      <c r="B70" s="0" t="n">
        <v>0</v>
      </c>
      <c r="C70" s="37" t="n">
        <v>2</v>
      </c>
    </row>
    <row r="71" customFormat="false" ht="15" hidden="false" customHeight="false" outlineLevel="0" collapsed="false">
      <c r="A71" s="0" t="s">
        <v>286</v>
      </c>
      <c r="B71" s="0" t="n">
        <v>0</v>
      </c>
      <c r="C71" s="37" t="n">
        <v>2</v>
      </c>
    </row>
    <row r="72" customFormat="false" ht="15" hidden="false" customHeight="false" outlineLevel="0" collapsed="false">
      <c r="A72" s="0" t="s">
        <v>287</v>
      </c>
      <c r="B72" s="0" t="n">
        <v>0</v>
      </c>
      <c r="C72" s="37" t="n">
        <v>2</v>
      </c>
    </row>
    <row r="73" customFormat="false" ht="15" hidden="false" customHeight="false" outlineLevel="0" collapsed="false">
      <c r="A73" s="0" t="s">
        <v>288</v>
      </c>
      <c r="B73" s="0" t="n">
        <v>0</v>
      </c>
      <c r="C73" s="37" t="n">
        <v>2</v>
      </c>
    </row>
    <row r="74" customFormat="false" ht="15" hidden="false" customHeight="false" outlineLevel="0" collapsed="false">
      <c r="A74" s="0" t="s">
        <v>289</v>
      </c>
      <c r="B74" s="0" t="n">
        <v>0</v>
      </c>
      <c r="C74" s="37" t="n">
        <v>2</v>
      </c>
    </row>
    <row r="75" customFormat="false" ht="15" hidden="false" customHeight="false" outlineLevel="0" collapsed="false">
      <c r="A75" s="0" t="s">
        <v>290</v>
      </c>
      <c r="B75" s="0" t="n">
        <v>0</v>
      </c>
      <c r="C75" s="37" t="n">
        <v>1</v>
      </c>
    </row>
    <row r="76" customFormat="false" ht="15" hidden="false" customHeight="false" outlineLevel="0" collapsed="false">
      <c r="A76" s="0" t="s">
        <v>291</v>
      </c>
      <c r="B76" s="0" t="n">
        <v>0</v>
      </c>
      <c r="C76" s="61" t="n">
        <v>1</v>
      </c>
    </row>
    <row r="77" customFormat="false" ht="15" hidden="false" customHeight="false" outlineLevel="0" collapsed="false">
      <c r="A77" s="0" t="s">
        <v>292</v>
      </c>
      <c r="B77" s="0" t="n">
        <v>0</v>
      </c>
      <c r="C77" s="61" t="n">
        <v>1</v>
      </c>
    </row>
    <row r="78" customFormat="false" ht="15" hidden="false" customHeight="false" outlineLevel="0" collapsed="false">
      <c r="A78" s="0" t="s">
        <v>293</v>
      </c>
      <c r="B78" s="0" t="n">
        <v>0</v>
      </c>
      <c r="C78" s="61" t="n">
        <v>1</v>
      </c>
    </row>
    <row r="79" customFormat="false" ht="15" hidden="false" customHeight="false" outlineLevel="0" collapsed="false">
      <c r="A79" s="0" t="s">
        <v>294</v>
      </c>
      <c r="B79" s="0" t="n">
        <v>0</v>
      </c>
      <c r="C79" s="61" t="n">
        <v>1</v>
      </c>
    </row>
    <row r="80" customFormat="false" ht="15" hidden="false" customHeight="false" outlineLevel="0" collapsed="false">
      <c r="A80" s="0" t="s">
        <v>295</v>
      </c>
      <c r="B80" s="0" t="n">
        <v>0</v>
      </c>
      <c r="C80" s="61" t="n">
        <v>1</v>
      </c>
    </row>
    <row r="81" customFormat="false" ht="15" hidden="false" customHeight="false" outlineLevel="0" collapsed="false">
      <c r="A81" s="0" t="s">
        <v>296</v>
      </c>
      <c r="B81" s="0" t="n">
        <v>0</v>
      </c>
      <c r="C81" s="61" t="n">
        <v>1</v>
      </c>
    </row>
    <row r="82" customFormat="false" ht="15" hidden="false" customHeight="false" outlineLevel="0" collapsed="false">
      <c r="A82" s="0" t="s">
        <v>297</v>
      </c>
      <c r="B82" s="0" t="n">
        <v>0</v>
      </c>
      <c r="C82" s="61" t="n">
        <v>1</v>
      </c>
    </row>
    <row r="83" customFormat="false" ht="15" hidden="false" customHeight="false" outlineLevel="0" collapsed="false">
      <c r="A83" s="0" t="s">
        <v>298</v>
      </c>
      <c r="B83" s="0" t="n">
        <v>0</v>
      </c>
      <c r="C83" s="61" t="n">
        <v>1</v>
      </c>
    </row>
    <row r="84" customFormat="false" ht="15" hidden="false" customHeight="false" outlineLevel="0" collapsed="false">
      <c r="A84" s="0" t="s">
        <v>299</v>
      </c>
      <c r="B84" s="0" t="n">
        <v>0</v>
      </c>
      <c r="C84" s="61" t="n">
        <v>1</v>
      </c>
    </row>
    <row r="85" customFormat="false" ht="15" hidden="false" customHeight="false" outlineLevel="0" collapsed="false">
      <c r="A85" s="0" t="s">
        <v>300</v>
      </c>
      <c r="B85" s="0" t="n">
        <v>0</v>
      </c>
      <c r="C85" s="37" t="n">
        <v>2</v>
      </c>
    </row>
    <row r="86" customFormat="false" ht="15" hidden="false" customHeight="false" outlineLevel="0" collapsed="false">
      <c r="A86" s="0" t="s">
        <v>301</v>
      </c>
      <c r="B86" s="0" t="n">
        <v>0</v>
      </c>
      <c r="C86" s="37" t="n">
        <v>2</v>
      </c>
    </row>
    <row r="87" customFormat="false" ht="15" hidden="false" customHeight="false" outlineLevel="0" collapsed="false">
      <c r="A87" s="0" t="s">
        <v>302</v>
      </c>
      <c r="B87" s="0" t="n">
        <v>0</v>
      </c>
      <c r="C87" s="37" t="n">
        <v>2</v>
      </c>
    </row>
    <row r="88" customFormat="false" ht="15" hidden="false" customHeight="false" outlineLevel="0" collapsed="false">
      <c r="A88" s="0" t="s">
        <v>303</v>
      </c>
      <c r="B88" s="0" t="n">
        <v>0</v>
      </c>
      <c r="C88" s="37" t="n">
        <v>2</v>
      </c>
    </row>
    <row r="89" customFormat="false" ht="15" hidden="false" customHeight="false" outlineLevel="0" collapsed="false">
      <c r="A89" s="0" t="s">
        <v>304</v>
      </c>
      <c r="B89" s="0" t="n">
        <v>0</v>
      </c>
      <c r="C89" s="37" t="n">
        <v>2</v>
      </c>
    </row>
    <row r="90" customFormat="false" ht="15" hidden="false" customHeight="false" outlineLevel="0" collapsed="false">
      <c r="A90" s="0" t="s">
        <v>305</v>
      </c>
      <c r="B90" s="0" t="n">
        <v>0</v>
      </c>
      <c r="C90" s="37" t="n">
        <v>1</v>
      </c>
    </row>
    <row r="91" customFormat="false" ht="15" hidden="false" customHeight="false" outlineLevel="0" collapsed="false">
      <c r="A91" s="0" t="s">
        <v>306</v>
      </c>
      <c r="B91" s="0" t="n">
        <v>0</v>
      </c>
      <c r="C91" s="37" t="n">
        <v>2</v>
      </c>
    </row>
    <row r="92" customFormat="false" ht="15" hidden="false" customHeight="false" outlineLevel="0" collapsed="false">
      <c r="A92" s="0" t="s">
        <v>307</v>
      </c>
      <c r="B92" s="0" t="n">
        <v>0</v>
      </c>
      <c r="C92" s="61" t="n">
        <v>1</v>
      </c>
    </row>
    <row r="93" customFormat="false" ht="15" hidden="false" customHeight="false" outlineLevel="0" collapsed="false">
      <c r="A93" s="0" t="s">
        <v>308</v>
      </c>
      <c r="B93" s="0" t="n">
        <v>0</v>
      </c>
      <c r="C93" s="61" t="n">
        <v>1</v>
      </c>
    </row>
    <row r="94" customFormat="false" ht="15" hidden="false" customHeight="false" outlineLevel="0" collapsed="false">
      <c r="A94" s="0" t="s">
        <v>309</v>
      </c>
      <c r="B94" s="0" t="n">
        <v>0</v>
      </c>
      <c r="C94" s="61" t="n">
        <v>1</v>
      </c>
    </row>
    <row r="95" customFormat="false" ht="15" hidden="false" customHeight="false" outlineLevel="0" collapsed="false">
      <c r="A95" s="0" t="s">
        <v>310</v>
      </c>
      <c r="B95" s="0" t="n">
        <v>0</v>
      </c>
      <c r="C95" s="37" t="n">
        <v>2</v>
      </c>
    </row>
    <row r="96" customFormat="false" ht="15" hidden="false" customHeight="false" outlineLevel="0" collapsed="false">
      <c r="A96" s="0" t="s">
        <v>311</v>
      </c>
      <c r="B96" s="0" t="n">
        <v>0</v>
      </c>
      <c r="C96" s="37" t="n">
        <v>2</v>
      </c>
    </row>
    <row r="97" customFormat="false" ht="15" hidden="false" customHeight="false" outlineLevel="0" collapsed="false">
      <c r="A97" s="0" t="s">
        <v>312</v>
      </c>
      <c r="B97" s="0" t="n">
        <v>0</v>
      </c>
      <c r="C97" s="37" t="n">
        <v>2</v>
      </c>
    </row>
    <row r="98" customFormat="false" ht="15" hidden="false" customHeight="false" outlineLevel="0" collapsed="false">
      <c r="A98" s="0" t="s">
        <v>313</v>
      </c>
      <c r="B98" s="0" t="n">
        <v>0</v>
      </c>
      <c r="C98" s="37" t="n">
        <v>2</v>
      </c>
    </row>
    <row r="99" customFormat="false" ht="15" hidden="false" customHeight="false" outlineLevel="0" collapsed="false">
      <c r="A99" s="0" t="s">
        <v>314</v>
      </c>
      <c r="B99" s="0" t="n">
        <v>0</v>
      </c>
      <c r="C99" s="37" t="n">
        <v>2</v>
      </c>
    </row>
    <row r="100" customFormat="false" ht="15" hidden="false" customHeight="false" outlineLevel="0" collapsed="false">
      <c r="A100" s="0" t="s">
        <v>315</v>
      </c>
      <c r="B100" s="0" t="n">
        <v>0</v>
      </c>
      <c r="C100" s="37" t="n">
        <v>2</v>
      </c>
    </row>
    <row r="101" customFormat="false" ht="15" hidden="false" customHeight="false" outlineLevel="0" collapsed="false">
      <c r="A101" s="0" t="s">
        <v>316</v>
      </c>
      <c r="B101" s="0" t="n">
        <v>0</v>
      </c>
      <c r="C101" s="37" t="n">
        <v>2</v>
      </c>
    </row>
    <row r="102" customFormat="false" ht="15" hidden="false" customHeight="false" outlineLevel="0" collapsed="false">
      <c r="A102" s="0" t="s">
        <v>317</v>
      </c>
      <c r="B102" s="0" t="n">
        <v>0</v>
      </c>
      <c r="C102" s="37" t="n">
        <v>2</v>
      </c>
    </row>
    <row r="103" customFormat="false" ht="15" hidden="false" customHeight="false" outlineLevel="0" collapsed="false">
      <c r="A103" s="0" t="s">
        <v>318</v>
      </c>
      <c r="B103" s="0" t="n">
        <v>0</v>
      </c>
      <c r="C103" s="37" t="n">
        <v>2</v>
      </c>
    </row>
    <row r="104" customFormat="false" ht="15" hidden="false" customHeight="false" outlineLevel="0" collapsed="false">
      <c r="A104" s="0" t="s">
        <v>319</v>
      </c>
      <c r="B104" s="0" t="n">
        <v>0</v>
      </c>
      <c r="C104" s="37" t="n">
        <v>1</v>
      </c>
    </row>
    <row r="105" customFormat="false" ht="15" hidden="false" customHeight="false" outlineLevel="0" collapsed="false">
      <c r="A105" s="0" t="s">
        <v>320</v>
      </c>
      <c r="B105" s="0" t="n">
        <v>0</v>
      </c>
      <c r="C105" s="37" t="n">
        <v>2</v>
      </c>
    </row>
    <row r="106" customFormat="false" ht="15" hidden="false" customHeight="false" outlineLevel="0" collapsed="false">
      <c r="A106" s="0" t="s">
        <v>321</v>
      </c>
      <c r="B106" s="0" t="n">
        <v>0</v>
      </c>
      <c r="C106" s="37" t="n">
        <v>2</v>
      </c>
    </row>
    <row r="107" customFormat="false" ht="15" hidden="false" customHeight="false" outlineLevel="0" collapsed="false">
      <c r="A107" s="0" t="s">
        <v>322</v>
      </c>
      <c r="B107" s="0" t="n">
        <v>0</v>
      </c>
      <c r="C107" s="37" t="n">
        <v>2</v>
      </c>
    </row>
    <row r="108" customFormat="false" ht="15" hidden="false" customHeight="false" outlineLevel="0" collapsed="false">
      <c r="A108" s="0" t="s">
        <v>323</v>
      </c>
      <c r="B108" s="0" t="n">
        <v>0</v>
      </c>
      <c r="C108" s="37" t="n">
        <v>2</v>
      </c>
    </row>
    <row r="109" customFormat="false" ht="15" hidden="false" customHeight="false" outlineLevel="0" collapsed="false">
      <c r="A109" s="0" t="s">
        <v>324</v>
      </c>
      <c r="B109" s="0" t="n">
        <v>0</v>
      </c>
      <c r="C109" s="37" t="n">
        <v>2</v>
      </c>
    </row>
    <row r="110" customFormat="false" ht="15" hidden="false" customHeight="false" outlineLevel="0" collapsed="false">
      <c r="A110" s="0" t="s">
        <v>325</v>
      </c>
      <c r="B110" s="0" t="n">
        <v>0</v>
      </c>
      <c r="C110" s="37" t="n">
        <v>2</v>
      </c>
    </row>
    <row r="111" customFormat="false" ht="15" hidden="false" customHeight="false" outlineLevel="0" collapsed="false">
      <c r="A111" s="0" t="s">
        <v>326</v>
      </c>
      <c r="B111" s="0" t="n">
        <v>0</v>
      </c>
      <c r="C111" s="37" t="n">
        <v>2</v>
      </c>
    </row>
    <row r="112" customFormat="false" ht="15" hidden="false" customHeight="false" outlineLevel="0" collapsed="false">
      <c r="A112" s="0" t="s">
        <v>327</v>
      </c>
      <c r="B112" s="0" t="n">
        <v>0</v>
      </c>
      <c r="C112" s="37" t="n">
        <v>2</v>
      </c>
    </row>
    <row r="113" customFormat="false" ht="15" hidden="false" customHeight="false" outlineLevel="0" collapsed="false">
      <c r="A113" s="0" t="s">
        <v>328</v>
      </c>
      <c r="B113" s="0" t="n">
        <v>0</v>
      </c>
      <c r="C113" s="37" t="n">
        <v>2</v>
      </c>
    </row>
    <row r="114" customFormat="false" ht="15" hidden="false" customHeight="false" outlineLevel="0" collapsed="false">
      <c r="A114" s="0" t="s">
        <v>329</v>
      </c>
      <c r="B114" s="0" t="n">
        <v>0</v>
      </c>
      <c r="C114" s="37" t="n">
        <v>2</v>
      </c>
    </row>
    <row r="115" customFormat="false" ht="15" hidden="false" customHeight="false" outlineLevel="0" collapsed="false">
      <c r="A115" s="0" t="s">
        <v>330</v>
      </c>
      <c r="B115" s="0" t="n">
        <v>0</v>
      </c>
      <c r="C115" s="37" t="n">
        <v>2</v>
      </c>
    </row>
    <row r="116" customFormat="false" ht="15" hidden="false" customHeight="false" outlineLevel="0" collapsed="false">
      <c r="A116" s="0" t="s">
        <v>331</v>
      </c>
      <c r="B116" s="0" t="n">
        <v>0</v>
      </c>
      <c r="C116" s="37" t="n">
        <v>2</v>
      </c>
    </row>
    <row r="117" customFormat="false" ht="15" hidden="false" customHeight="false" outlineLevel="0" collapsed="false">
      <c r="A117" s="0" t="s">
        <v>332</v>
      </c>
      <c r="B117" s="0" t="n">
        <v>0</v>
      </c>
      <c r="C117" s="37" t="n">
        <v>2</v>
      </c>
    </row>
    <row r="118" customFormat="false" ht="15" hidden="false" customHeight="false" outlineLevel="0" collapsed="false">
      <c r="A118" s="0" t="s">
        <v>333</v>
      </c>
      <c r="B118" s="0" t="n">
        <v>0</v>
      </c>
      <c r="C118" s="37" t="n">
        <v>2</v>
      </c>
    </row>
    <row r="119" customFormat="false" ht="15" hidden="false" customHeight="false" outlineLevel="0" collapsed="false">
      <c r="A119" s="0" t="s">
        <v>334</v>
      </c>
      <c r="B119" s="0" t="n">
        <v>0</v>
      </c>
      <c r="C119" s="37" t="n">
        <v>2</v>
      </c>
    </row>
    <row r="120" customFormat="false" ht="15" hidden="false" customHeight="false" outlineLevel="0" collapsed="false">
      <c r="A120" s="0" t="s">
        <v>335</v>
      </c>
      <c r="B120" s="0" t="n">
        <v>0</v>
      </c>
      <c r="C120" s="37" t="n">
        <v>2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69"/>
  <sheetViews>
    <sheetView windowProtection="false" showFormulas="false" showGridLines="true" showRowColHeaders="true" showZeros="true" rightToLeft="false" tabSelected="false" showOutlineSymbols="true" defaultGridColor="true" view="normal" topLeftCell="Q1" colorId="64" zoomScale="100" zoomScaleNormal="100" zoomScalePageLayoutView="100" workbookViewId="0">
      <selection pane="topLeft" activeCell="A176" activeCellId="0" sqref="A176"/>
    </sheetView>
  </sheetViews>
  <sheetFormatPr defaultRowHeight="15"/>
  <cols>
    <col collapsed="false" hidden="false" max="1" min="1" style="0" width="16.7732793522267"/>
    <col collapsed="false" hidden="false" max="2" min="2" style="62" width="24.8947368421053"/>
    <col collapsed="false" hidden="false" max="3" min="3" style="0" width="24.8947368421053"/>
    <col collapsed="false" hidden="false" max="1025" min="4" style="0" width="8.12145748987854"/>
  </cols>
  <sheetData>
    <row r="1" customFormat="false" ht="15" hidden="false" customHeight="false" outlineLevel="0" collapsed="false">
      <c r="A1" s="27" t="s">
        <v>119</v>
      </c>
      <c r="B1" s="63" t="s">
        <v>580</v>
      </c>
      <c r="N1" s="29" t="s">
        <v>216</v>
      </c>
    </row>
    <row r="2" customFormat="false" ht="15" hidden="false" customHeight="false" outlineLevel="0" collapsed="false">
      <c r="A2" s="30" t="s">
        <v>120</v>
      </c>
      <c r="B2" s="62" t="n">
        <v>0.00656830217645807</v>
      </c>
    </row>
    <row r="3" customFormat="false" ht="15" hidden="false" customHeight="false" outlineLevel="0" collapsed="false">
      <c r="A3" s="30" t="s">
        <v>121</v>
      </c>
      <c r="B3" s="62" t="n">
        <v>0.00656830217645807</v>
      </c>
    </row>
    <row r="4" customFormat="false" ht="15" hidden="false" customHeight="false" outlineLevel="0" collapsed="false">
      <c r="A4" s="30" t="s">
        <v>122</v>
      </c>
      <c r="B4" s="62" t="n">
        <v>0.00492622663234355</v>
      </c>
    </row>
    <row r="5" customFormat="false" ht="15" hidden="false" customHeight="false" outlineLevel="0" collapsed="false">
      <c r="A5" s="30" t="s">
        <v>123</v>
      </c>
      <c r="B5" s="62" t="n">
        <v>0.00656830217645807</v>
      </c>
    </row>
    <row r="6" customFormat="false" ht="15" hidden="false" customHeight="false" outlineLevel="0" collapsed="false">
      <c r="A6" s="30" t="s">
        <v>124</v>
      </c>
      <c r="B6" s="62" t="n">
        <v>0.00656830217645807</v>
      </c>
    </row>
    <row r="7" customFormat="false" ht="15" hidden="false" customHeight="false" outlineLevel="0" collapsed="false">
      <c r="A7" s="30" t="s">
        <v>125</v>
      </c>
      <c r="B7" s="62" t="n">
        <v>0.00656830217645807</v>
      </c>
    </row>
    <row r="8" customFormat="false" ht="15" hidden="false" customHeight="false" outlineLevel="0" collapsed="false">
      <c r="A8" s="30" t="s">
        <v>126</v>
      </c>
      <c r="B8" s="62" t="n">
        <v>0.00656830217645807</v>
      </c>
    </row>
    <row r="9" customFormat="false" ht="15" hidden="false" customHeight="false" outlineLevel="0" collapsed="false">
      <c r="A9" s="30" t="s">
        <v>127</v>
      </c>
      <c r="B9" s="62" t="n">
        <v>0.00656830217645807</v>
      </c>
    </row>
    <row r="10" customFormat="false" ht="15" hidden="false" customHeight="false" outlineLevel="0" collapsed="false">
      <c r="A10" s="30" t="s">
        <v>128</v>
      </c>
      <c r="B10" s="62" t="n">
        <v>0.00492622663234355</v>
      </c>
    </row>
    <row r="11" customFormat="false" ht="15" hidden="false" customHeight="false" outlineLevel="0" collapsed="false">
      <c r="A11" s="30" t="s">
        <v>129</v>
      </c>
      <c r="B11" s="62" t="n">
        <v>0.00656830217645807</v>
      </c>
    </row>
    <row r="12" customFormat="false" ht="15" hidden="false" customHeight="false" outlineLevel="0" collapsed="false">
      <c r="A12" s="30" t="s">
        <v>130</v>
      </c>
      <c r="B12" s="62" t="n">
        <v>0.0112599465882138</v>
      </c>
    </row>
    <row r="13" customFormat="false" ht="15" hidden="false" customHeight="false" outlineLevel="0" collapsed="false">
      <c r="A13" s="30" t="s">
        <v>131</v>
      </c>
      <c r="B13" s="62" t="n">
        <v>0.0112599465882138</v>
      </c>
    </row>
    <row r="14" customFormat="false" ht="15" hidden="false" customHeight="false" outlineLevel="0" collapsed="false">
      <c r="A14" s="30" t="s">
        <v>132</v>
      </c>
      <c r="B14" s="62" t="n">
        <v>0.0127471093451477</v>
      </c>
    </row>
    <row r="15" customFormat="false" ht="15" hidden="false" customHeight="false" outlineLevel="0" collapsed="false">
      <c r="A15" s="30" t="s">
        <v>133</v>
      </c>
      <c r="B15" s="62" t="n">
        <v>0.0102270177912932</v>
      </c>
    </row>
    <row r="16" customFormat="false" ht="15" hidden="false" customHeight="false" outlineLevel="0" collapsed="false">
      <c r="A16" s="30" t="s">
        <v>134</v>
      </c>
      <c r="B16" s="62" t="n">
        <v>0.00737551086564225</v>
      </c>
    </row>
    <row r="17" customFormat="false" ht="15" hidden="false" customHeight="false" outlineLevel="0" collapsed="false">
      <c r="A17" s="30" t="s">
        <v>135</v>
      </c>
      <c r="B17" s="62" t="n">
        <v>0.00697930573649617</v>
      </c>
    </row>
    <row r="18" customFormat="false" ht="15" hidden="false" customHeight="false" outlineLevel="0" collapsed="false">
      <c r="A18" s="30" t="s">
        <v>136</v>
      </c>
      <c r="B18" s="62" t="n">
        <v>0.00900795727057106</v>
      </c>
    </row>
    <row r="19" customFormat="false" ht="15" hidden="false" customHeight="false" outlineLevel="0" collapsed="false">
      <c r="A19" s="30" t="s">
        <v>137</v>
      </c>
      <c r="B19" s="62" t="n">
        <v>0.00818905206415551</v>
      </c>
    </row>
    <row r="20" customFormat="false" ht="15" hidden="false" customHeight="false" outlineLevel="0" collapsed="false">
      <c r="A20" s="30" t="s">
        <v>138</v>
      </c>
      <c r="B20" s="62" t="n">
        <v>0.0112599465882138</v>
      </c>
    </row>
    <row r="21" customFormat="false" ht="15" hidden="false" customHeight="false" outlineLevel="0" collapsed="false">
      <c r="A21" s="30" t="s">
        <v>139</v>
      </c>
      <c r="B21" s="62" t="n">
        <v>0.0112599465882138</v>
      </c>
    </row>
    <row r="22" customFormat="false" ht="15" hidden="false" customHeight="false" outlineLevel="0" collapsed="false">
      <c r="A22" s="30" t="s">
        <v>140</v>
      </c>
      <c r="B22" s="62" t="n">
        <v>0.0112599465882138</v>
      </c>
    </row>
    <row r="23" customFormat="false" ht="15" hidden="false" customHeight="false" outlineLevel="0" collapsed="false">
      <c r="A23" s="30" t="s">
        <v>141</v>
      </c>
      <c r="B23" s="62" t="n">
        <v>0.0112599465882138</v>
      </c>
    </row>
    <row r="24" customFormat="false" ht="15" hidden="false" customHeight="false" outlineLevel="0" collapsed="false">
      <c r="A24" s="30" t="s">
        <v>142</v>
      </c>
      <c r="B24" s="62" t="n">
        <v>0.00938328882351152</v>
      </c>
    </row>
    <row r="25" customFormat="false" ht="15" hidden="false" customHeight="false" outlineLevel="0" collapsed="false">
      <c r="A25" s="30" t="s">
        <v>143</v>
      </c>
      <c r="B25" s="62" t="n">
        <v>0.0112599465882138</v>
      </c>
    </row>
    <row r="26" customFormat="false" ht="15" hidden="false" customHeight="false" outlineLevel="0" collapsed="false">
      <c r="A26" s="30" t="s">
        <v>144</v>
      </c>
      <c r="B26" s="62" t="n">
        <v>0.0112599465882138</v>
      </c>
    </row>
    <row r="27" customFormat="false" ht="15" hidden="false" customHeight="false" outlineLevel="0" collapsed="false">
      <c r="A27" s="30" t="s">
        <v>145</v>
      </c>
      <c r="B27" s="62" t="n">
        <v>0.0112599465882138</v>
      </c>
    </row>
    <row r="28" customFormat="false" ht="15" hidden="false" customHeight="false" outlineLevel="0" collapsed="false">
      <c r="A28" s="30" t="s">
        <v>146</v>
      </c>
      <c r="B28" s="62" t="n">
        <v>0.00919179313323578</v>
      </c>
    </row>
    <row r="29" customFormat="false" ht="15" hidden="false" customHeight="false" outlineLevel="0" collapsed="false">
      <c r="A29" s="30" t="s">
        <v>147</v>
      </c>
      <c r="B29" s="62" t="n">
        <v>0.0112599465882138</v>
      </c>
    </row>
    <row r="30" customFormat="false" ht="15" hidden="false" customHeight="false" outlineLevel="0" collapsed="false">
      <c r="A30" s="30" t="s">
        <v>148</v>
      </c>
      <c r="B30" s="62" t="n">
        <v>0.0112599465882138</v>
      </c>
    </row>
    <row r="31" customFormat="false" ht="15" hidden="false" customHeight="false" outlineLevel="0" collapsed="false">
      <c r="A31" s="30" t="s">
        <v>149</v>
      </c>
      <c r="B31" s="62" t="n">
        <v>0.0112599465882138</v>
      </c>
    </row>
    <row r="32" customFormat="false" ht="15" hidden="false" customHeight="false" outlineLevel="0" collapsed="false">
      <c r="A32" s="30" t="s">
        <v>150</v>
      </c>
      <c r="B32" s="62" t="n">
        <v>0.0112599465882138</v>
      </c>
    </row>
    <row r="33" customFormat="false" ht="15" hidden="false" customHeight="false" outlineLevel="0" collapsed="false">
      <c r="A33" s="30" t="s">
        <v>151</v>
      </c>
      <c r="B33" s="62" t="n">
        <v>0.0112599465882138</v>
      </c>
    </row>
    <row r="34" customFormat="false" ht="15" hidden="false" customHeight="false" outlineLevel="0" collapsed="false">
      <c r="A34" s="30" t="s">
        <v>152</v>
      </c>
      <c r="B34" s="62" t="n">
        <v>0.0112599465882138</v>
      </c>
    </row>
    <row r="35" customFormat="false" ht="15" hidden="false" customHeight="false" outlineLevel="0" collapsed="false">
      <c r="A35" s="30" t="s">
        <v>153</v>
      </c>
      <c r="B35" s="62" t="n">
        <v>0.0112599465882138</v>
      </c>
    </row>
    <row r="36" customFormat="false" ht="15" hidden="false" customHeight="false" outlineLevel="0" collapsed="false">
      <c r="A36" s="30" t="s">
        <v>154</v>
      </c>
      <c r="B36" s="62" t="n">
        <v>0.0135119359058566</v>
      </c>
    </row>
    <row r="37" customFormat="false" ht="15" hidden="false" customHeight="false" outlineLevel="0" collapsed="false">
      <c r="A37" s="30" t="s">
        <v>155</v>
      </c>
      <c r="B37" s="62" t="n">
        <v>0.0112599465882138</v>
      </c>
    </row>
    <row r="38" customFormat="false" ht="15" hidden="false" customHeight="false" outlineLevel="0" collapsed="false">
      <c r="A38" s="30" t="s">
        <v>156</v>
      </c>
      <c r="B38" s="62" t="n">
        <v>0.0112599465882138</v>
      </c>
    </row>
    <row r="39" customFormat="false" ht="15" hidden="false" customHeight="false" outlineLevel="0" collapsed="false">
      <c r="A39" s="30" t="s">
        <v>157</v>
      </c>
      <c r="B39" s="62" t="n">
        <v>0.0112599465882138</v>
      </c>
    </row>
    <row r="40" customFormat="false" ht="15" hidden="false" customHeight="false" outlineLevel="0" collapsed="false">
      <c r="A40" s="30" t="s">
        <v>158</v>
      </c>
      <c r="B40" s="62" t="n">
        <v>0.0112599465882138</v>
      </c>
    </row>
    <row r="41" customFormat="false" ht="15" hidden="false" customHeight="false" outlineLevel="0" collapsed="false">
      <c r="A41" s="30" t="s">
        <v>159</v>
      </c>
      <c r="B41" s="62" t="n">
        <v>0.00900795727057106</v>
      </c>
    </row>
    <row r="42" customFormat="false" ht="15" hidden="false" customHeight="false" outlineLevel="0" collapsed="false">
      <c r="A42" s="30" t="s">
        <v>160</v>
      </c>
      <c r="B42" s="62" t="n">
        <v>0.0112599465882138</v>
      </c>
    </row>
    <row r="43" customFormat="false" ht="15" hidden="false" customHeight="false" outlineLevel="0" collapsed="false">
      <c r="A43" s="30" t="s">
        <v>161</v>
      </c>
      <c r="B43" s="62" t="n">
        <v>0.0112599465882138</v>
      </c>
    </row>
    <row r="44" customFormat="false" ht="15" hidden="false" customHeight="false" outlineLevel="0" collapsed="false">
      <c r="A44" s="30" t="s">
        <v>162</v>
      </c>
      <c r="B44" s="62" t="n">
        <v>0.0112599465882138</v>
      </c>
    </row>
    <row r="45" customFormat="false" ht="15" hidden="false" customHeight="false" outlineLevel="0" collapsed="false">
      <c r="A45" s="30" t="s">
        <v>163</v>
      </c>
      <c r="B45" s="62" t="n">
        <v>0.0225198931764277</v>
      </c>
    </row>
    <row r="46" customFormat="false" ht="15" hidden="false" customHeight="false" outlineLevel="0" collapsed="false">
      <c r="A46" s="30" t="s">
        <v>164</v>
      </c>
      <c r="B46" s="62" t="n">
        <v>0.0112599465882138</v>
      </c>
    </row>
    <row r="47" customFormat="false" ht="15" hidden="false" customHeight="false" outlineLevel="0" collapsed="false">
      <c r="A47" s="30" t="s">
        <v>165</v>
      </c>
      <c r="B47" s="62" t="n">
        <v>0.00844495994116037</v>
      </c>
    </row>
    <row r="48" customFormat="false" ht="15" hidden="false" customHeight="false" outlineLevel="0" collapsed="false">
      <c r="A48" s="30" t="s">
        <v>166</v>
      </c>
      <c r="B48" s="62" t="n">
        <v>0.0112599465882138</v>
      </c>
    </row>
    <row r="49" customFormat="false" ht="15" hidden="false" customHeight="false" outlineLevel="0" collapsed="false">
      <c r="A49" s="30" t="s">
        <v>167</v>
      </c>
      <c r="B49" s="62" t="n">
        <v>0.00772741432524478</v>
      </c>
    </row>
    <row r="50" customFormat="false" ht="15" hidden="false" customHeight="false" outlineLevel="0" collapsed="false">
      <c r="A50" s="30" t="s">
        <v>168</v>
      </c>
      <c r="B50" s="62" t="n">
        <v>0.0102629721507157</v>
      </c>
    </row>
    <row r="51" customFormat="false" ht="15" hidden="false" customHeight="false" outlineLevel="0" collapsed="false">
      <c r="A51" s="30" t="s">
        <v>169</v>
      </c>
      <c r="B51" s="62" t="n">
        <v>0.00895677569517009</v>
      </c>
    </row>
    <row r="52" customFormat="false" ht="15" hidden="false" customHeight="false" outlineLevel="0" collapsed="false">
      <c r="A52" s="30" t="s">
        <v>170</v>
      </c>
      <c r="B52" s="62" t="n">
        <v>0.00733069439336838</v>
      </c>
    </row>
    <row r="53" customFormat="false" ht="15" hidden="false" customHeight="false" outlineLevel="0" collapsed="false">
      <c r="A53" s="30" t="s">
        <v>171</v>
      </c>
      <c r="B53" s="62" t="n">
        <v>0.00739673668520052</v>
      </c>
    </row>
    <row r="54" customFormat="false" ht="15" hidden="false" customHeight="false" outlineLevel="0" collapsed="false">
      <c r="A54" s="30" t="s">
        <v>172</v>
      </c>
      <c r="B54" s="62" t="n">
        <v>0.00764942023655831</v>
      </c>
    </row>
    <row r="55" customFormat="false" ht="15" hidden="false" customHeight="false" outlineLevel="0" collapsed="false">
      <c r="A55" s="30" t="s">
        <v>173</v>
      </c>
      <c r="B55" s="62" t="n">
        <v>0.00764942023655831</v>
      </c>
    </row>
    <row r="56" customFormat="false" ht="15" hidden="false" customHeight="false" outlineLevel="0" collapsed="false">
      <c r="A56" s="30" t="s">
        <v>174</v>
      </c>
      <c r="B56" s="62" t="n">
        <v>0.00788196261174968</v>
      </c>
    </row>
    <row r="57" customFormat="false" ht="15" hidden="false" customHeight="false" outlineLevel="0" collapsed="false">
      <c r="A57" s="30" t="s">
        <v>175</v>
      </c>
      <c r="B57" s="62" t="n">
        <v>0.0113682153054082</v>
      </c>
    </row>
    <row r="58" customFormat="false" ht="15" hidden="false" customHeight="false" outlineLevel="0" collapsed="false">
      <c r="A58" s="30" t="s">
        <v>176</v>
      </c>
      <c r="B58" s="62" t="n">
        <v>0.00995197299463344</v>
      </c>
    </row>
    <row r="59" customFormat="false" ht="15" hidden="false" customHeight="false" outlineLevel="0" collapsed="false">
      <c r="A59" s="30" t="s">
        <v>177</v>
      </c>
      <c r="B59" s="62" t="n">
        <v>0.00937882271745559</v>
      </c>
    </row>
    <row r="60" customFormat="false" ht="15" hidden="false" customHeight="false" outlineLevel="0" collapsed="false">
      <c r="A60" s="30" t="s">
        <v>178</v>
      </c>
      <c r="B60" s="62" t="n">
        <v>0.00750663105880922</v>
      </c>
    </row>
    <row r="61" customFormat="false" ht="15" hidden="false" customHeight="false" outlineLevel="0" collapsed="false">
      <c r="A61" s="30" t="s">
        <v>179</v>
      </c>
      <c r="B61" s="62" t="n">
        <v>0.00909457224432656</v>
      </c>
    </row>
    <row r="62" customFormat="false" ht="15" hidden="false" customHeight="false" outlineLevel="0" collapsed="false">
      <c r="A62" s="30" t="s">
        <v>180</v>
      </c>
      <c r="B62" s="62" t="n">
        <v>0.00909457224432656</v>
      </c>
    </row>
    <row r="63" customFormat="false" ht="15" hidden="false" customHeight="false" outlineLevel="0" collapsed="false">
      <c r="A63" s="30" t="s">
        <v>181</v>
      </c>
      <c r="B63" s="62" t="n">
        <v>0.00909457224432656</v>
      </c>
    </row>
    <row r="64" customFormat="false" ht="15" hidden="false" customHeight="false" outlineLevel="0" collapsed="false">
      <c r="A64" s="30" t="s">
        <v>182</v>
      </c>
      <c r="B64" s="62" t="n">
        <v>0.0106628282085358</v>
      </c>
    </row>
    <row r="65" customFormat="false" ht="15" hidden="false" customHeight="false" outlineLevel="0" collapsed="false">
      <c r="A65" s="30" t="s">
        <v>183</v>
      </c>
      <c r="B65" s="62" t="n">
        <v>0.0107481308342041</v>
      </c>
    </row>
    <row r="66" customFormat="false" ht="15" hidden="false" customHeight="false" outlineLevel="0" collapsed="false">
      <c r="A66" s="30" t="s">
        <v>184</v>
      </c>
      <c r="B66" s="62" t="n">
        <v>0.0107481308342041</v>
      </c>
    </row>
    <row r="67" customFormat="false" ht="15" hidden="false" customHeight="false" outlineLevel="0" collapsed="false">
      <c r="A67" s="30" t="s">
        <v>185</v>
      </c>
      <c r="B67" s="62" t="n">
        <v>0.00902514802872101</v>
      </c>
    </row>
    <row r="68" customFormat="false" ht="15" hidden="false" customHeight="false" outlineLevel="0" collapsed="false">
      <c r="A68" s="30" t="s">
        <v>186</v>
      </c>
      <c r="B68" s="62" t="n">
        <v>0.00902514802872101</v>
      </c>
    </row>
    <row r="69" customFormat="false" ht="15" hidden="false" customHeight="false" outlineLevel="0" collapsed="false">
      <c r="A69" s="30" t="s">
        <v>187</v>
      </c>
      <c r="B69" s="62" t="n">
        <v>0.00895677569517009</v>
      </c>
    </row>
    <row r="70" customFormat="false" ht="15" hidden="false" customHeight="false" outlineLevel="0" collapsed="false">
      <c r="A70" s="30" t="s">
        <v>188</v>
      </c>
      <c r="B70" s="62" t="n">
        <v>0.0111537206770043</v>
      </c>
    </row>
    <row r="71" customFormat="false" ht="15" hidden="false" customHeight="false" outlineLevel="0" collapsed="false">
      <c r="A71" s="30" t="s">
        <v>189</v>
      </c>
      <c r="B71" s="62" t="n">
        <v>0.0107481308342041</v>
      </c>
    </row>
    <row r="72" customFormat="false" ht="15" hidden="false" customHeight="false" outlineLevel="0" collapsed="false">
      <c r="A72" s="30" t="s">
        <v>190</v>
      </c>
      <c r="B72" s="62" t="n">
        <v>0.0107481308342041</v>
      </c>
    </row>
    <row r="73" customFormat="false" ht="15" hidden="false" customHeight="false" outlineLevel="0" collapsed="false">
      <c r="A73" s="30" t="s">
        <v>191</v>
      </c>
      <c r="B73" s="62" t="n">
        <v>0.0107481308342041</v>
      </c>
    </row>
    <row r="74" customFormat="false" ht="15" hidden="false" customHeight="false" outlineLevel="0" collapsed="false">
      <c r="A74" s="30" t="s">
        <v>192</v>
      </c>
      <c r="B74" s="62" t="n">
        <v>0.0107481308342041</v>
      </c>
    </row>
    <row r="75" customFormat="false" ht="15" hidden="false" customHeight="false" outlineLevel="0" collapsed="false">
      <c r="A75" s="30" t="s">
        <v>193</v>
      </c>
      <c r="B75" s="62" t="n">
        <v>0.0107481308342041</v>
      </c>
    </row>
    <row r="76" customFormat="false" ht="15" hidden="false" customHeight="false" outlineLevel="0" collapsed="false">
      <c r="A76" s="30" t="s">
        <v>194</v>
      </c>
      <c r="B76" s="62" t="n">
        <v>0.0107481308342041</v>
      </c>
    </row>
    <row r="77" customFormat="false" ht="15" hidden="false" customHeight="false" outlineLevel="0" collapsed="false">
      <c r="A77" s="30" t="s">
        <v>195</v>
      </c>
      <c r="B77" s="62" t="n">
        <v>0.0107481308342041</v>
      </c>
    </row>
    <row r="78" customFormat="false" ht="15" hidden="false" customHeight="false" outlineLevel="0" collapsed="false">
      <c r="A78" s="30" t="s">
        <v>196</v>
      </c>
      <c r="B78" s="62" t="n">
        <v>0.0107481308342041</v>
      </c>
    </row>
    <row r="79" customFormat="false" ht="15" hidden="false" customHeight="false" outlineLevel="0" collapsed="false">
      <c r="A79" s="30" t="s">
        <v>197</v>
      </c>
      <c r="B79" s="62" t="n">
        <v>0.00853642160117294</v>
      </c>
    </row>
    <row r="80" customFormat="false" ht="15" hidden="false" customHeight="false" outlineLevel="0" collapsed="false">
      <c r="A80" s="30" t="s">
        <v>198</v>
      </c>
      <c r="B80" s="62" t="n">
        <v>0.00710086721779251</v>
      </c>
    </row>
    <row r="81" customFormat="false" ht="15" hidden="false" customHeight="false" outlineLevel="0" collapsed="false">
      <c r="A81" s="30" t="s">
        <v>199</v>
      </c>
      <c r="B81" s="62" t="n">
        <v>0.0112599465882138</v>
      </c>
    </row>
    <row r="82" customFormat="false" ht="15" hidden="false" customHeight="false" outlineLevel="0" collapsed="false">
      <c r="A82" s="30" t="s">
        <v>200</v>
      </c>
      <c r="B82" s="62" t="n">
        <v>0.0112599465882138</v>
      </c>
    </row>
    <row r="83" customFormat="false" ht="15" hidden="false" customHeight="false" outlineLevel="0" collapsed="false">
      <c r="A83" s="30" t="s">
        <v>201</v>
      </c>
      <c r="B83" s="62" t="n">
        <v>0.0112599465882138</v>
      </c>
    </row>
    <row r="84" customFormat="false" ht="15" hidden="false" customHeight="false" outlineLevel="0" collapsed="false">
      <c r="A84" s="30" t="s">
        <v>202</v>
      </c>
      <c r="B84" s="62" t="n">
        <v>0.0102363150801944</v>
      </c>
    </row>
    <row r="85" customFormat="false" ht="15" hidden="false" customHeight="false" outlineLevel="0" collapsed="false">
      <c r="A85" s="30" t="s">
        <v>203</v>
      </c>
      <c r="B85" s="62" t="n">
        <v>0.0112599465882138</v>
      </c>
    </row>
    <row r="86" customFormat="false" ht="15" hidden="false" customHeight="false" outlineLevel="0" collapsed="false">
      <c r="A86" s="30" t="s">
        <v>204</v>
      </c>
      <c r="B86" s="62" t="n">
        <v>0.0128685103865301</v>
      </c>
    </row>
    <row r="87" customFormat="false" ht="15" hidden="false" customHeight="false" outlineLevel="0" collapsed="false">
      <c r="A87" s="30" t="s">
        <v>205</v>
      </c>
      <c r="B87" s="62" t="n">
        <v>0.007502463023796</v>
      </c>
    </row>
    <row r="88" customFormat="false" ht="15" hidden="false" customHeight="false" outlineLevel="0" collapsed="false">
      <c r="A88" s="30" t="s">
        <v>206</v>
      </c>
      <c r="B88" s="62" t="n">
        <v>0.00818905206415551</v>
      </c>
    </row>
    <row r="89" customFormat="false" ht="15" hidden="false" customHeight="false" outlineLevel="0" collapsed="false">
      <c r="A89" s="30" t="s">
        <v>207</v>
      </c>
      <c r="B89" s="62" t="n">
        <v>0.00794819759168035</v>
      </c>
    </row>
    <row r="90" customFormat="false" ht="15" hidden="false" customHeight="false" outlineLevel="0" collapsed="false">
      <c r="A90" s="30" t="s">
        <v>208</v>
      </c>
      <c r="B90" s="62" t="n">
        <v>0.0112505711122869</v>
      </c>
    </row>
    <row r="91" customFormat="false" ht="15" hidden="false" customHeight="false" outlineLevel="0" collapsed="false">
      <c r="A91" s="30" t="s">
        <v>209</v>
      </c>
      <c r="B91" s="62" t="n">
        <v>0.0112505711122869</v>
      </c>
    </row>
    <row r="92" customFormat="false" ht="15" hidden="false" customHeight="false" outlineLevel="0" collapsed="false">
      <c r="A92" s="30" t="s">
        <v>210</v>
      </c>
      <c r="B92" s="62" t="n">
        <v>0.00900195596659333</v>
      </c>
    </row>
    <row r="93" customFormat="false" ht="15" hidden="false" customHeight="false" outlineLevel="0" collapsed="false">
      <c r="A93" s="30" t="s">
        <v>211</v>
      </c>
      <c r="B93" s="62" t="n">
        <v>0.00900195596659333</v>
      </c>
    </row>
    <row r="94" customFormat="false" ht="15" hidden="false" customHeight="false" outlineLevel="0" collapsed="false">
      <c r="A94" s="30" t="s">
        <v>212</v>
      </c>
      <c r="B94" s="62" t="n">
        <v>0.00900795727057106</v>
      </c>
    </row>
    <row r="95" customFormat="false" ht="15" hidden="false" customHeight="false" outlineLevel="0" collapsed="false">
      <c r="A95" s="30" t="s">
        <v>213</v>
      </c>
      <c r="B95" s="62" t="n">
        <v>0.0142081344961689</v>
      </c>
    </row>
    <row r="96" customFormat="false" ht="15" hidden="false" customHeight="false" outlineLevel="0" collapsed="false">
      <c r="A96" s="30" t="s">
        <v>214</v>
      </c>
      <c r="B96" s="62" t="n">
        <v>0.0102363150801944</v>
      </c>
    </row>
    <row r="97" customFormat="false" ht="15" hidden="false" customHeight="false" outlineLevel="0" collapsed="false">
      <c r="A97" s="30" t="s">
        <v>215</v>
      </c>
      <c r="B97" s="62" t="n">
        <v>0.0118525753560146</v>
      </c>
    </row>
    <row r="98" customFormat="false" ht="15" hidden="false" customHeight="false" outlineLevel="0" collapsed="false">
      <c r="A98" s="30"/>
    </row>
    <row r="99" customFormat="false" ht="15" hidden="false" customHeight="false" outlineLevel="0" collapsed="false">
      <c r="A99" s="30"/>
    </row>
    <row r="100" customFormat="false" ht="15" hidden="false" customHeight="false" outlineLevel="0" collapsed="false">
      <c r="A100" s="30"/>
    </row>
    <row r="101" customFormat="false" ht="15" hidden="false" customHeight="false" outlineLevel="0" collapsed="false">
      <c r="A101" s="30"/>
    </row>
    <row r="102" customFormat="false" ht="15" hidden="false" customHeight="false" outlineLevel="0" collapsed="false">
      <c r="A102" s="30"/>
    </row>
    <row r="103" customFormat="false" ht="15" hidden="false" customHeight="false" outlineLevel="0" collapsed="false">
      <c r="A103" s="30"/>
    </row>
    <row r="104" customFormat="false" ht="15" hidden="false" customHeight="false" outlineLevel="0" collapsed="false">
      <c r="A104" s="30"/>
    </row>
    <row r="105" customFormat="false" ht="15" hidden="false" customHeight="false" outlineLevel="0" collapsed="false">
      <c r="A105" s="30"/>
    </row>
    <row r="106" customFormat="false" ht="15" hidden="false" customHeight="false" outlineLevel="0" collapsed="false">
      <c r="A106" s="30"/>
    </row>
    <row r="107" customFormat="false" ht="15" hidden="false" customHeight="false" outlineLevel="0" collapsed="false">
      <c r="A107" s="30"/>
    </row>
    <row r="108" customFormat="false" ht="15" hidden="false" customHeight="false" outlineLevel="0" collapsed="false">
      <c r="A108" s="30"/>
    </row>
    <row r="109" customFormat="false" ht="15" hidden="false" customHeight="false" outlineLevel="0" collapsed="false">
      <c r="A109" s="30"/>
    </row>
    <row r="110" customFormat="false" ht="15" hidden="false" customHeight="false" outlineLevel="0" collapsed="false">
      <c r="A110" s="30"/>
    </row>
    <row r="111" customFormat="false" ht="15" hidden="false" customHeight="false" outlineLevel="0" collapsed="false">
      <c r="A111" s="30"/>
    </row>
    <row r="112" customFormat="false" ht="15" hidden="false" customHeight="false" outlineLevel="0" collapsed="false">
      <c r="A112" s="30"/>
    </row>
    <row r="113" customFormat="false" ht="15" hidden="false" customHeight="false" outlineLevel="0" collapsed="false">
      <c r="A113" s="30"/>
    </row>
    <row r="114" customFormat="false" ht="15" hidden="false" customHeight="false" outlineLevel="0" collapsed="false">
      <c r="A114" s="30"/>
    </row>
    <row r="115" customFormat="false" ht="15" hidden="false" customHeight="false" outlineLevel="0" collapsed="false">
      <c r="A115" s="30"/>
    </row>
    <row r="116" customFormat="false" ht="15" hidden="false" customHeight="false" outlineLevel="0" collapsed="false">
      <c r="A116" s="30"/>
    </row>
    <row r="117" customFormat="false" ht="15" hidden="false" customHeight="false" outlineLevel="0" collapsed="false">
      <c r="A117" s="30"/>
    </row>
    <row r="118" customFormat="false" ht="15" hidden="false" customHeight="false" outlineLevel="0" collapsed="false">
      <c r="A118" s="30"/>
    </row>
    <row r="119" customFormat="false" ht="15" hidden="false" customHeight="false" outlineLevel="0" collapsed="false">
      <c r="A119" s="30"/>
    </row>
    <row r="120" customFormat="false" ht="15" hidden="false" customHeight="false" outlineLevel="0" collapsed="false">
      <c r="A120" s="30"/>
    </row>
    <row r="121" customFormat="false" ht="15" hidden="false" customHeight="false" outlineLevel="0" collapsed="false">
      <c r="A121" s="30"/>
    </row>
    <row r="122" customFormat="false" ht="15" hidden="false" customHeight="false" outlineLevel="0" collapsed="false">
      <c r="A122" s="30"/>
    </row>
    <row r="123" customFormat="false" ht="15" hidden="false" customHeight="false" outlineLevel="0" collapsed="false">
      <c r="A123" s="30"/>
    </row>
    <row r="124" customFormat="false" ht="15" hidden="false" customHeight="false" outlineLevel="0" collapsed="false">
      <c r="A124" s="30"/>
    </row>
    <row r="125" customFormat="false" ht="15" hidden="false" customHeight="false" outlineLevel="0" collapsed="false">
      <c r="A125" s="30"/>
    </row>
    <row r="126" customFormat="false" ht="15" hidden="false" customHeight="false" outlineLevel="0" collapsed="false">
      <c r="A126" s="30"/>
    </row>
    <row r="127" customFormat="false" ht="15" hidden="false" customHeight="false" outlineLevel="0" collapsed="false">
      <c r="A127" s="30"/>
    </row>
    <row r="128" customFormat="false" ht="15" hidden="false" customHeight="false" outlineLevel="0" collapsed="false">
      <c r="A128" s="30"/>
    </row>
    <row r="129" customFormat="false" ht="15" hidden="false" customHeight="false" outlineLevel="0" collapsed="false">
      <c r="A129" s="30"/>
    </row>
    <row r="130" customFormat="false" ht="15" hidden="false" customHeight="false" outlineLevel="0" collapsed="false">
      <c r="A130" s="30"/>
    </row>
    <row r="131" customFormat="false" ht="15" hidden="false" customHeight="false" outlineLevel="0" collapsed="false">
      <c r="A131" s="30"/>
    </row>
    <row r="132" customFormat="false" ht="15" hidden="false" customHeight="false" outlineLevel="0" collapsed="false">
      <c r="A132" s="30"/>
    </row>
    <row r="133" customFormat="false" ht="15" hidden="false" customHeight="false" outlineLevel="0" collapsed="false">
      <c r="A133" s="30"/>
    </row>
    <row r="134" customFormat="false" ht="15" hidden="false" customHeight="false" outlineLevel="0" collapsed="false">
      <c r="A134" s="30"/>
    </row>
    <row r="135" customFormat="false" ht="15" hidden="false" customHeight="false" outlineLevel="0" collapsed="false">
      <c r="A135" s="30"/>
    </row>
    <row r="136" customFormat="false" ht="15" hidden="false" customHeight="false" outlineLevel="0" collapsed="false">
      <c r="A136" s="30"/>
    </row>
    <row r="137" customFormat="false" ht="15" hidden="false" customHeight="false" outlineLevel="0" collapsed="false">
      <c r="A137" s="30"/>
    </row>
    <row r="138" customFormat="false" ht="15" hidden="false" customHeight="false" outlineLevel="0" collapsed="false">
      <c r="A138" s="30"/>
    </row>
    <row r="139" customFormat="false" ht="15" hidden="false" customHeight="false" outlineLevel="0" collapsed="false">
      <c r="A139" s="30"/>
    </row>
    <row r="140" customFormat="false" ht="15" hidden="false" customHeight="false" outlineLevel="0" collapsed="false">
      <c r="A140" s="30"/>
    </row>
    <row r="141" customFormat="false" ht="15" hidden="false" customHeight="false" outlineLevel="0" collapsed="false">
      <c r="A141" s="30"/>
    </row>
    <row r="142" customFormat="false" ht="15" hidden="false" customHeight="false" outlineLevel="0" collapsed="false">
      <c r="A142" s="30"/>
    </row>
    <row r="143" customFormat="false" ht="15" hidden="false" customHeight="false" outlineLevel="0" collapsed="false">
      <c r="A143" s="30"/>
    </row>
    <row r="144" customFormat="false" ht="15" hidden="false" customHeight="false" outlineLevel="0" collapsed="false">
      <c r="A144" s="30"/>
    </row>
    <row r="145" customFormat="false" ht="15" hidden="false" customHeight="false" outlineLevel="0" collapsed="false">
      <c r="A145" s="30"/>
    </row>
    <row r="146" customFormat="false" ht="15" hidden="false" customHeight="false" outlineLevel="0" collapsed="false">
      <c r="A146" s="30"/>
    </row>
    <row r="147" customFormat="false" ht="15" hidden="false" customHeight="false" outlineLevel="0" collapsed="false">
      <c r="A147" s="30"/>
    </row>
    <row r="148" customFormat="false" ht="15" hidden="false" customHeight="false" outlineLevel="0" collapsed="false">
      <c r="A148" s="30"/>
    </row>
    <row r="149" customFormat="false" ht="15" hidden="false" customHeight="false" outlineLevel="0" collapsed="false">
      <c r="A149" s="30"/>
    </row>
    <row r="150" customFormat="false" ht="15" hidden="false" customHeight="false" outlineLevel="0" collapsed="false">
      <c r="A150" s="30"/>
    </row>
    <row r="151" customFormat="false" ht="15" hidden="false" customHeight="false" outlineLevel="0" collapsed="false">
      <c r="A151" s="30"/>
    </row>
    <row r="152" customFormat="false" ht="15" hidden="false" customHeight="false" outlineLevel="0" collapsed="false">
      <c r="A152" s="30"/>
    </row>
    <row r="153" customFormat="false" ht="15" hidden="false" customHeight="false" outlineLevel="0" collapsed="false">
      <c r="A153" s="30"/>
    </row>
    <row r="154" customFormat="false" ht="15" hidden="false" customHeight="false" outlineLevel="0" collapsed="false">
      <c r="A154" s="30"/>
    </row>
    <row r="155" customFormat="false" ht="15" hidden="false" customHeight="false" outlineLevel="0" collapsed="false">
      <c r="A155" s="30"/>
    </row>
    <row r="156" customFormat="false" ht="15" hidden="false" customHeight="false" outlineLevel="0" collapsed="false">
      <c r="A156" s="30"/>
    </row>
    <row r="157" customFormat="false" ht="15" hidden="false" customHeight="false" outlineLevel="0" collapsed="false">
      <c r="A157" s="30"/>
    </row>
    <row r="158" customFormat="false" ht="15" hidden="false" customHeight="false" outlineLevel="0" collapsed="false">
      <c r="A158" s="30"/>
    </row>
    <row r="159" customFormat="false" ht="15" hidden="false" customHeight="false" outlineLevel="0" collapsed="false">
      <c r="A159" s="30"/>
    </row>
    <row r="160" customFormat="false" ht="15" hidden="false" customHeight="false" outlineLevel="0" collapsed="false">
      <c r="A160" s="30"/>
    </row>
    <row r="161" customFormat="false" ht="15" hidden="false" customHeight="false" outlineLevel="0" collapsed="false">
      <c r="A161" s="30"/>
    </row>
    <row r="162" customFormat="false" ht="15" hidden="false" customHeight="false" outlineLevel="0" collapsed="false">
      <c r="A162" s="30"/>
    </row>
    <row r="163" customFormat="false" ht="15" hidden="false" customHeight="false" outlineLevel="0" collapsed="false">
      <c r="A163" s="30"/>
    </row>
    <row r="164" customFormat="false" ht="15" hidden="false" customHeight="false" outlineLevel="0" collapsed="false">
      <c r="A164" s="30"/>
    </row>
    <row r="165" customFormat="false" ht="15" hidden="false" customHeight="false" outlineLevel="0" collapsed="false">
      <c r="A165" s="30"/>
    </row>
    <row r="166" customFormat="false" ht="15" hidden="false" customHeight="false" outlineLevel="0" collapsed="false">
      <c r="A166" s="30"/>
    </row>
    <row r="167" customFormat="false" ht="15" hidden="false" customHeight="false" outlineLevel="0" collapsed="false">
      <c r="A167" s="30"/>
    </row>
    <row r="168" customFormat="false" ht="15" hidden="false" customHeight="false" outlineLevel="0" collapsed="false">
      <c r="A168" s="30"/>
    </row>
    <row r="169" customFormat="false" ht="15" hidden="false" customHeight="false" outlineLevel="0" collapsed="false">
      <c r="A169" s="30"/>
    </row>
  </sheetData>
  <autoFilter ref="A1:N169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5"/>
  <cols>
    <col collapsed="false" hidden="false" max="1" min="1" style="0" width="16.502024291498"/>
    <col collapsed="false" hidden="false" max="3" min="2" style="0" width="25.5708502024291"/>
    <col collapsed="false" hidden="false" max="1025" min="4" style="0" width="8.12145748987854"/>
  </cols>
  <sheetData>
    <row r="1" customFormat="false" ht="15" hidden="false" customHeight="false" outlineLevel="0" collapsed="false">
      <c r="A1" s="27" t="s">
        <v>119</v>
      </c>
      <c r="B1" s="27" t="s">
        <v>581</v>
      </c>
      <c r="O1" s="29" t="s">
        <v>216</v>
      </c>
    </row>
    <row r="2" customFormat="false" ht="15" hidden="false" customHeight="false" outlineLevel="0" collapsed="false">
      <c r="A2" s="32" t="s">
        <v>217</v>
      </c>
      <c r="B2" s="62" t="n">
        <v>0.00656830217645807</v>
      </c>
    </row>
    <row r="3" customFormat="false" ht="15" hidden="false" customHeight="false" outlineLevel="0" collapsed="false">
      <c r="A3" s="32" t="s">
        <v>218</v>
      </c>
      <c r="B3" s="62" t="n">
        <v>0.00643951193770399</v>
      </c>
    </row>
    <row r="4" customFormat="false" ht="15" hidden="false" customHeight="false" outlineLevel="0" collapsed="false">
      <c r="A4" s="32" t="s">
        <v>219</v>
      </c>
      <c r="B4" s="62" t="n">
        <v>0.00525464174116645</v>
      </c>
    </row>
    <row r="5" customFormat="false" ht="15" hidden="false" customHeight="false" outlineLevel="0" collapsed="false">
      <c r="A5" s="32" t="s">
        <v>220</v>
      </c>
      <c r="B5" s="62" t="n">
        <v>0.00656830217645807</v>
      </c>
    </row>
    <row r="6" customFormat="false" ht="15" hidden="false" customHeight="false" outlineLevel="0" collapsed="false">
      <c r="A6" s="32" t="s">
        <v>221</v>
      </c>
      <c r="B6" s="62" t="n">
        <v>0.00656830217645807</v>
      </c>
    </row>
    <row r="7" customFormat="false" ht="15" hidden="false" customHeight="false" outlineLevel="0" collapsed="false">
      <c r="A7" s="32" t="s">
        <v>222</v>
      </c>
      <c r="B7" s="62" t="n">
        <v>0.00656830217645807</v>
      </c>
    </row>
    <row r="8" customFormat="false" ht="15" hidden="false" customHeight="false" outlineLevel="0" collapsed="false">
      <c r="A8" s="32" t="s">
        <v>223</v>
      </c>
      <c r="B8" s="62" t="n">
        <v>0.00656830217645807</v>
      </c>
    </row>
    <row r="9" customFormat="false" ht="15" hidden="false" customHeight="false" outlineLevel="0" collapsed="false">
      <c r="A9" s="0" t="s">
        <v>224</v>
      </c>
      <c r="B9" s="62" t="n">
        <v>0.00656830217645807</v>
      </c>
    </row>
    <row r="10" customFormat="false" ht="15" hidden="false" customHeight="false" outlineLevel="0" collapsed="false">
      <c r="A10" s="0" t="s">
        <v>225</v>
      </c>
      <c r="B10" s="62" t="n">
        <v>0.00656830217645807</v>
      </c>
    </row>
    <row r="11" customFormat="false" ht="15" hidden="false" customHeight="false" outlineLevel="0" collapsed="false">
      <c r="A11" s="0" t="s">
        <v>226</v>
      </c>
      <c r="B11" s="62" t="n">
        <v>0.00656830217645807</v>
      </c>
    </row>
    <row r="12" customFormat="false" ht="15" hidden="false" customHeight="false" outlineLevel="0" collapsed="false">
      <c r="A12" s="0" t="s">
        <v>227</v>
      </c>
      <c r="B12" s="62" t="n">
        <v>0.00656830217645807</v>
      </c>
    </row>
    <row r="13" customFormat="false" ht="15" hidden="false" customHeight="false" outlineLevel="0" collapsed="false">
      <c r="A13" s="0" t="s">
        <v>228</v>
      </c>
      <c r="B13" s="62" t="n">
        <v>0.00656830217645807</v>
      </c>
    </row>
    <row r="14" customFormat="false" ht="15" hidden="false" customHeight="false" outlineLevel="0" collapsed="false">
      <c r="A14" s="0" t="s">
        <v>229</v>
      </c>
      <c r="B14" s="62" t="n">
        <v>0.00656830217645807</v>
      </c>
    </row>
    <row r="15" customFormat="false" ht="15" hidden="false" customHeight="false" outlineLevel="0" collapsed="false">
      <c r="A15" s="0" t="s">
        <v>230</v>
      </c>
      <c r="B15" s="62" t="n">
        <v>0.00643951193770399</v>
      </c>
    </row>
    <row r="16" customFormat="false" ht="15" hidden="false" customHeight="false" outlineLevel="0" collapsed="false">
      <c r="A16" s="0" t="s">
        <v>231</v>
      </c>
      <c r="B16" s="62" t="n">
        <v>0.00656830217645807</v>
      </c>
    </row>
    <row r="17" customFormat="false" ht="15" hidden="false" customHeight="false" outlineLevel="0" collapsed="false">
      <c r="A17" s="0" t="s">
        <v>232</v>
      </c>
      <c r="B17" s="62" t="n">
        <v>0.00656830217645807</v>
      </c>
    </row>
    <row r="18" customFormat="false" ht="15" hidden="false" customHeight="false" outlineLevel="0" collapsed="false">
      <c r="A18" s="0" t="s">
        <v>233</v>
      </c>
      <c r="B18" s="62" t="n">
        <v>0.00656830217645807</v>
      </c>
    </row>
    <row r="19" customFormat="false" ht="15" hidden="false" customHeight="false" outlineLevel="0" collapsed="false">
      <c r="A19" s="0" t="s">
        <v>234</v>
      </c>
      <c r="B19" s="62" t="n">
        <v>0.00656830217645807</v>
      </c>
    </row>
    <row r="20" customFormat="false" ht="15" hidden="false" customHeight="false" outlineLevel="0" collapsed="false">
      <c r="A20" s="0" t="s">
        <v>235</v>
      </c>
      <c r="B20" s="62" t="n">
        <v>0.00656830217645807</v>
      </c>
    </row>
    <row r="21" customFormat="false" ht="15" hidden="false" customHeight="false" outlineLevel="0" collapsed="false">
      <c r="A21" s="0" t="s">
        <v>236</v>
      </c>
      <c r="B21" s="62" t="n">
        <v>0.00643951193770399</v>
      </c>
    </row>
    <row r="22" customFormat="false" ht="15" hidden="false" customHeight="false" outlineLevel="0" collapsed="false">
      <c r="A22" s="0" t="s">
        <v>237</v>
      </c>
      <c r="B22" s="62" t="n">
        <v>0.00656830217645807</v>
      </c>
    </row>
    <row r="23" customFormat="false" ht="15" hidden="false" customHeight="false" outlineLevel="0" collapsed="false">
      <c r="A23" s="0" t="s">
        <v>238</v>
      </c>
      <c r="B23" s="62" t="n">
        <v>0.00656830217645807</v>
      </c>
    </row>
    <row r="24" customFormat="false" ht="15" hidden="false" customHeight="false" outlineLevel="0" collapsed="false">
      <c r="A24" s="0" t="s">
        <v>239</v>
      </c>
      <c r="B24" s="62" t="n">
        <v>0.00656830217645807</v>
      </c>
    </row>
    <row r="25" customFormat="false" ht="15" hidden="false" customHeight="false" outlineLevel="0" collapsed="false">
      <c r="A25" s="0" t="s">
        <v>240</v>
      </c>
      <c r="B25" s="62" t="n">
        <v>0.0112599465882138</v>
      </c>
    </row>
    <row r="26" customFormat="false" ht="15" hidden="false" customHeight="false" outlineLevel="0" collapsed="false">
      <c r="A26" s="0" t="s">
        <v>241</v>
      </c>
      <c r="B26" s="62" t="n">
        <v>0.0112599465882138</v>
      </c>
    </row>
    <row r="27" customFormat="false" ht="15" hidden="false" customHeight="false" outlineLevel="0" collapsed="false">
      <c r="A27" s="0" t="s">
        <v>242</v>
      </c>
      <c r="B27" s="62" t="n">
        <v>0.0112599465882138</v>
      </c>
    </row>
    <row r="28" customFormat="false" ht="15" hidden="false" customHeight="false" outlineLevel="0" collapsed="false">
      <c r="A28" s="0" t="s">
        <v>243</v>
      </c>
      <c r="B28" s="62" t="n">
        <v>0.0112599465882138</v>
      </c>
    </row>
    <row r="29" customFormat="false" ht="15" hidden="false" customHeight="false" outlineLevel="0" collapsed="false">
      <c r="A29" s="0" t="s">
        <v>244</v>
      </c>
      <c r="B29" s="62" t="n">
        <v>0.0102363150801944</v>
      </c>
    </row>
    <row r="30" customFormat="false" ht="15" hidden="false" customHeight="false" outlineLevel="0" collapsed="false">
      <c r="A30" s="0" t="s">
        <v>245</v>
      </c>
      <c r="B30" s="62" t="n">
        <v>0.0112599465882138</v>
      </c>
    </row>
    <row r="31" customFormat="false" ht="15" hidden="false" customHeight="false" outlineLevel="0" collapsed="false">
      <c r="A31" s="0" t="s">
        <v>246</v>
      </c>
      <c r="B31" s="62" t="n">
        <v>0.0102270177912932</v>
      </c>
    </row>
    <row r="32" customFormat="false" ht="15" hidden="false" customHeight="false" outlineLevel="0" collapsed="false">
      <c r="A32" s="0" t="s">
        <v>247</v>
      </c>
      <c r="B32" s="62" t="n">
        <v>0.00697930573649617</v>
      </c>
    </row>
    <row r="33" customFormat="false" ht="15" hidden="false" customHeight="false" outlineLevel="0" collapsed="false">
      <c r="A33" s="0" t="s">
        <v>248</v>
      </c>
      <c r="B33" s="62" t="n">
        <v>0.00900795727057106</v>
      </c>
    </row>
    <row r="34" customFormat="false" ht="15" hidden="false" customHeight="false" outlineLevel="0" collapsed="false">
      <c r="A34" s="0" t="s">
        <v>249</v>
      </c>
      <c r="B34" s="62" t="n">
        <v>0.00737551086564225</v>
      </c>
    </row>
    <row r="35" customFormat="false" ht="15" hidden="false" customHeight="false" outlineLevel="0" collapsed="false">
      <c r="A35" s="0" t="s">
        <v>250</v>
      </c>
      <c r="B35" s="62" t="n">
        <v>0.00900795727057106</v>
      </c>
    </row>
    <row r="36" customFormat="false" ht="15" hidden="false" customHeight="false" outlineLevel="0" collapsed="false">
      <c r="A36" s="0" t="s">
        <v>251</v>
      </c>
      <c r="B36" s="62" t="n">
        <v>0.00818905206415551</v>
      </c>
    </row>
    <row r="37" customFormat="false" ht="15" hidden="false" customHeight="false" outlineLevel="0" collapsed="false">
      <c r="A37" s="0" t="s">
        <v>252</v>
      </c>
      <c r="B37" s="62" t="n">
        <v>0.0112599465882138</v>
      </c>
    </row>
    <row r="38" customFormat="false" ht="15" hidden="false" customHeight="false" outlineLevel="0" collapsed="false">
      <c r="A38" s="0" t="s">
        <v>253</v>
      </c>
      <c r="B38" s="62" t="n">
        <v>0.0112599465882138</v>
      </c>
    </row>
    <row r="39" customFormat="false" ht="15" hidden="false" customHeight="false" outlineLevel="0" collapsed="false">
      <c r="A39" s="0" t="s">
        <v>254</v>
      </c>
      <c r="B39" s="62" t="n">
        <v>0.0112599465882138</v>
      </c>
    </row>
    <row r="40" customFormat="false" ht="15" hidden="false" customHeight="false" outlineLevel="0" collapsed="false">
      <c r="A40" s="0" t="s">
        <v>255</v>
      </c>
      <c r="B40" s="62" t="n">
        <v>0.00938328882351152</v>
      </c>
    </row>
    <row r="41" customFormat="false" ht="15" hidden="false" customHeight="false" outlineLevel="0" collapsed="false">
      <c r="A41" s="0" t="s">
        <v>256</v>
      </c>
      <c r="B41" s="62" t="n">
        <v>0.00938328882351152</v>
      </c>
    </row>
    <row r="42" customFormat="false" ht="15" hidden="false" customHeight="false" outlineLevel="0" collapsed="false">
      <c r="A42" s="0" t="s">
        <v>257</v>
      </c>
      <c r="B42" s="62" t="n">
        <v>0.0112599465882138</v>
      </c>
    </row>
    <row r="43" customFormat="false" ht="15" hidden="false" customHeight="false" outlineLevel="0" collapsed="false">
      <c r="A43" s="0" t="s">
        <v>258</v>
      </c>
      <c r="B43" s="62" t="n">
        <v>0.0112599465882138</v>
      </c>
    </row>
    <row r="44" customFormat="false" ht="15" hidden="false" customHeight="false" outlineLevel="0" collapsed="false">
      <c r="A44" s="0" t="s">
        <v>259</v>
      </c>
      <c r="B44" s="62" t="n">
        <v>0.0112599465882138</v>
      </c>
    </row>
    <row r="45" customFormat="false" ht="15" hidden="false" customHeight="false" outlineLevel="0" collapsed="false">
      <c r="A45" s="0" t="s">
        <v>260</v>
      </c>
      <c r="B45" s="62" t="n">
        <v>0.0112599465882138</v>
      </c>
    </row>
    <row r="46" customFormat="false" ht="15" hidden="false" customHeight="false" outlineLevel="0" collapsed="false">
      <c r="A46" s="0" t="s">
        <v>261</v>
      </c>
      <c r="B46" s="62" t="n">
        <v>0.0112599465882138</v>
      </c>
    </row>
    <row r="47" customFormat="false" ht="15" hidden="false" customHeight="false" outlineLevel="0" collapsed="false">
      <c r="A47" s="0" t="s">
        <v>262</v>
      </c>
      <c r="B47" s="62" t="n">
        <v>0.0112599465882138</v>
      </c>
    </row>
    <row r="48" customFormat="false" ht="15" hidden="false" customHeight="false" outlineLevel="0" collapsed="false">
      <c r="A48" s="0" t="s">
        <v>263</v>
      </c>
      <c r="B48" s="62" t="n">
        <v>0.00919179313323578</v>
      </c>
    </row>
    <row r="49" customFormat="false" ht="15" hidden="false" customHeight="false" outlineLevel="0" collapsed="false">
      <c r="A49" s="0" t="s">
        <v>264</v>
      </c>
      <c r="B49" s="62" t="n">
        <v>0.0112599465882138</v>
      </c>
    </row>
    <row r="50" customFormat="false" ht="15" hidden="false" customHeight="false" outlineLevel="0" collapsed="false">
      <c r="A50" s="0" t="s">
        <v>265</v>
      </c>
      <c r="B50" s="62" t="n">
        <v>0.0112599465882138</v>
      </c>
    </row>
    <row r="51" customFormat="false" ht="15" hidden="false" customHeight="false" outlineLevel="0" collapsed="false">
      <c r="A51" s="0" t="s">
        <v>266</v>
      </c>
      <c r="B51" s="62" t="n">
        <v>0.0112599465882138</v>
      </c>
    </row>
    <row r="52" customFormat="false" ht="15" hidden="false" customHeight="false" outlineLevel="0" collapsed="false">
      <c r="A52" s="0" t="s">
        <v>267</v>
      </c>
      <c r="B52" s="62" t="n">
        <v>0.0130929611490858</v>
      </c>
    </row>
    <row r="53" customFormat="false" ht="15" hidden="false" customHeight="false" outlineLevel="0" collapsed="false">
      <c r="A53" s="0" t="s">
        <v>268</v>
      </c>
      <c r="B53" s="62" t="n">
        <v>0.0112599465882138</v>
      </c>
    </row>
    <row r="54" customFormat="false" ht="15" hidden="false" customHeight="false" outlineLevel="0" collapsed="false">
      <c r="A54" s="0" t="s">
        <v>269</v>
      </c>
      <c r="B54" s="62" t="n">
        <v>0.0113736834224382</v>
      </c>
    </row>
    <row r="55" customFormat="false" ht="15" hidden="false" customHeight="false" outlineLevel="0" collapsed="false">
      <c r="A55" s="0" t="s">
        <v>270</v>
      </c>
      <c r="B55" s="62" t="n">
        <v>0.0112599465882138</v>
      </c>
    </row>
    <row r="56" customFormat="false" ht="15" hidden="false" customHeight="false" outlineLevel="0" collapsed="false">
      <c r="A56" s="0" t="s">
        <v>271</v>
      </c>
      <c r="B56" s="62" t="n">
        <v>0.0112599465882138</v>
      </c>
    </row>
    <row r="57" customFormat="false" ht="15" hidden="false" customHeight="false" outlineLevel="0" collapsed="false">
      <c r="A57" s="0" t="s">
        <v>272</v>
      </c>
      <c r="B57" s="62" t="n">
        <v>0.00912968642287608</v>
      </c>
    </row>
    <row r="58" customFormat="false" ht="15" hidden="false" customHeight="false" outlineLevel="0" collapsed="false">
      <c r="A58" s="0" t="s">
        <v>273</v>
      </c>
      <c r="B58" s="62" t="n">
        <v>0.0135119359058566</v>
      </c>
    </row>
    <row r="59" customFormat="false" ht="15" hidden="false" customHeight="false" outlineLevel="0" collapsed="false">
      <c r="A59" s="0" t="s">
        <v>274</v>
      </c>
      <c r="B59" s="62" t="n">
        <v>0.0112599465882138</v>
      </c>
    </row>
    <row r="60" customFormat="false" ht="15" hidden="false" customHeight="false" outlineLevel="0" collapsed="false">
      <c r="A60" s="0" t="s">
        <v>275</v>
      </c>
      <c r="B60" s="62" t="n">
        <v>0.00900795727057106</v>
      </c>
    </row>
    <row r="61" customFormat="false" ht="15" hidden="false" customHeight="false" outlineLevel="0" collapsed="false">
      <c r="A61" s="0" t="s">
        <v>276</v>
      </c>
      <c r="B61" s="62" t="n">
        <v>0.0112599465882138</v>
      </c>
    </row>
    <row r="62" customFormat="false" ht="15" hidden="false" customHeight="false" outlineLevel="0" collapsed="false">
      <c r="A62" s="0" t="s">
        <v>277</v>
      </c>
      <c r="B62" s="62" t="n">
        <v>0.0112599465882138</v>
      </c>
    </row>
    <row r="63" customFormat="false" ht="15" hidden="false" customHeight="false" outlineLevel="0" collapsed="false">
      <c r="A63" s="0" t="s">
        <v>278</v>
      </c>
      <c r="B63" s="62" t="n">
        <v>0.0112599465882138</v>
      </c>
    </row>
    <row r="64" customFormat="false" ht="15" hidden="false" customHeight="false" outlineLevel="0" collapsed="false">
      <c r="A64" s="0" t="s">
        <v>279</v>
      </c>
      <c r="B64" s="62" t="n">
        <v>0.0135119359058566</v>
      </c>
    </row>
    <row r="65" customFormat="false" ht="15" hidden="false" customHeight="false" outlineLevel="0" collapsed="false">
      <c r="A65" s="0" t="s">
        <v>280</v>
      </c>
      <c r="B65" s="62" t="n">
        <v>0.0112599465882138</v>
      </c>
    </row>
    <row r="66" customFormat="false" ht="15" hidden="false" customHeight="false" outlineLevel="0" collapsed="false">
      <c r="A66" s="0" t="s">
        <v>281</v>
      </c>
      <c r="B66" s="62" t="n">
        <v>0.0135119359058566</v>
      </c>
    </row>
    <row r="67" customFormat="false" ht="15" hidden="false" customHeight="false" outlineLevel="0" collapsed="false">
      <c r="A67" s="0" t="s">
        <v>282</v>
      </c>
      <c r="B67" s="62" t="n">
        <v>0.0112599465882138</v>
      </c>
    </row>
    <row r="68" customFormat="false" ht="15" hidden="false" customHeight="false" outlineLevel="0" collapsed="false">
      <c r="A68" s="0" t="s">
        <v>283</v>
      </c>
      <c r="B68" s="62" t="n">
        <v>0.0112599465882138</v>
      </c>
    </row>
    <row r="69" customFormat="false" ht="15" hidden="false" customHeight="false" outlineLevel="0" collapsed="false">
      <c r="A69" s="0" t="s">
        <v>284</v>
      </c>
      <c r="B69" s="62" t="n">
        <v>0.0112599465882138</v>
      </c>
    </row>
    <row r="70" customFormat="false" ht="15" hidden="false" customHeight="false" outlineLevel="0" collapsed="false">
      <c r="A70" s="0" t="s">
        <v>285</v>
      </c>
      <c r="B70" s="62" t="n">
        <v>0.0135119359058566</v>
      </c>
    </row>
    <row r="71" customFormat="false" ht="15" hidden="false" customHeight="false" outlineLevel="0" collapsed="false">
      <c r="A71" s="0" t="s">
        <v>286</v>
      </c>
      <c r="B71" s="62" t="n">
        <v>0.0112599465882138</v>
      </c>
    </row>
    <row r="72" customFormat="false" ht="15" hidden="false" customHeight="false" outlineLevel="0" collapsed="false">
      <c r="A72" s="0" t="s">
        <v>287</v>
      </c>
      <c r="B72" s="62" t="n">
        <v>0.00900795727057106</v>
      </c>
    </row>
    <row r="73" customFormat="false" ht="15" hidden="false" customHeight="false" outlineLevel="0" collapsed="false">
      <c r="A73" s="0" t="s">
        <v>288</v>
      </c>
      <c r="B73" s="62" t="n">
        <v>0.0112599465882138</v>
      </c>
    </row>
    <row r="74" customFormat="false" ht="15" hidden="false" customHeight="false" outlineLevel="0" collapsed="false">
      <c r="A74" s="0" t="s">
        <v>289</v>
      </c>
      <c r="B74" s="62" t="n">
        <v>0.0112599465882138</v>
      </c>
    </row>
    <row r="75" customFormat="false" ht="15" hidden="false" customHeight="false" outlineLevel="0" collapsed="false">
      <c r="A75" s="0" t="s">
        <v>290</v>
      </c>
      <c r="B75" s="62" t="n">
        <v>0.0139093457854406</v>
      </c>
    </row>
    <row r="76" customFormat="false" ht="15" hidden="false" customHeight="false" outlineLevel="0" collapsed="false">
      <c r="A76" s="0" t="s">
        <v>291</v>
      </c>
      <c r="B76" s="62" t="n">
        <v>0.0098524532646871</v>
      </c>
    </row>
    <row r="77" customFormat="false" ht="15" hidden="false" customHeight="false" outlineLevel="0" collapsed="false">
      <c r="A77" s="0" t="s">
        <v>292</v>
      </c>
      <c r="B77" s="62" t="n">
        <v>0.0101050802714739</v>
      </c>
    </row>
    <row r="78" customFormat="false" ht="15" hidden="false" customHeight="false" outlineLevel="0" collapsed="false">
      <c r="A78" s="0" t="s">
        <v>293</v>
      </c>
      <c r="B78" s="62" t="n">
        <v>0.0098524532646871</v>
      </c>
    </row>
    <row r="79" customFormat="false" ht="15" hidden="false" customHeight="false" outlineLevel="0" collapsed="false">
      <c r="A79" s="0" t="s">
        <v>294</v>
      </c>
      <c r="B79" s="62" t="n">
        <v>0.0123155665808589</v>
      </c>
    </row>
    <row r="80" customFormat="false" ht="15" hidden="false" customHeight="false" outlineLevel="0" collapsed="false">
      <c r="A80" s="0" t="s">
        <v>295</v>
      </c>
      <c r="B80" s="62" t="n">
        <v>0.0101050802714739</v>
      </c>
    </row>
    <row r="81" customFormat="false" ht="15" hidden="false" customHeight="false" outlineLevel="0" collapsed="false">
      <c r="A81" s="0" t="s">
        <v>296</v>
      </c>
      <c r="B81" s="62" t="n">
        <v>0.0102310002748568</v>
      </c>
    </row>
    <row r="82" customFormat="false" ht="15" hidden="false" customHeight="false" outlineLevel="0" collapsed="false">
      <c r="A82" s="0" t="s">
        <v>297</v>
      </c>
      <c r="B82" s="62" t="n">
        <v>0.00917930428386997</v>
      </c>
    </row>
    <row r="83" customFormat="false" ht="15" hidden="false" customHeight="false" outlineLevel="0" collapsed="false">
      <c r="A83" s="0" t="s">
        <v>298</v>
      </c>
      <c r="B83" s="62" t="n">
        <v>0.00917930428386997</v>
      </c>
    </row>
    <row r="84" customFormat="false" ht="15" hidden="false" customHeight="false" outlineLevel="0" collapsed="false">
      <c r="A84" s="0" t="s">
        <v>299</v>
      </c>
      <c r="B84" s="62" t="n">
        <v>0.00788196261174968</v>
      </c>
    </row>
    <row r="85" customFormat="false" ht="15" hidden="false" customHeight="false" outlineLevel="0" collapsed="false">
      <c r="A85" s="0" t="s">
        <v>300</v>
      </c>
      <c r="B85" s="62" t="n">
        <v>0.0138766947389959</v>
      </c>
    </row>
    <row r="86" customFormat="false" ht="15" hidden="false" customHeight="false" outlineLevel="0" collapsed="false">
      <c r="A86" s="0" t="s">
        <v>301</v>
      </c>
      <c r="B86" s="62" t="n">
        <v>0.0134965113214892</v>
      </c>
    </row>
    <row r="87" customFormat="false" ht="15" hidden="false" customHeight="false" outlineLevel="0" collapsed="false">
      <c r="A87" s="0" t="s">
        <v>302</v>
      </c>
      <c r="B87" s="62" t="n">
        <v>0.00887608402224063</v>
      </c>
    </row>
    <row r="88" customFormat="false" ht="15" hidden="false" customHeight="false" outlineLevel="0" collapsed="false">
      <c r="A88" s="0" t="s">
        <v>303</v>
      </c>
      <c r="B88" s="62" t="n">
        <v>0.00899767421432612</v>
      </c>
    </row>
    <row r="89" customFormat="false" ht="15" hidden="false" customHeight="false" outlineLevel="0" collapsed="false">
      <c r="A89" s="0" t="s">
        <v>304</v>
      </c>
      <c r="B89" s="62" t="n">
        <v>0.00899767421432612</v>
      </c>
    </row>
    <row r="90" customFormat="false" ht="15" hidden="false" customHeight="false" outlineLevel="0" collapsed="false">
      <c r="A90" s="0" t="s">
        <v>305</v>
      </c>
      <c r="B90" s="62" t="n">
        <v>0.00793486168968089</v>
      </c>
    </row>
    <row r="91" customFormat="false" ht="15" hidden="false" customHeight="false" outlineLevel="0" collapsed="false">
      <c r="A91" s="0" t="s">
        <v>306</v>
      </c>
      <c r="B91" s="62" t="n">
        <v>0.0101050802714739</v>
      </c>
    </row>
    <row r="92" customFormat="false" ht="15" hidden="false" customHeight="false" outlineLevel="0" collapsed="false">
      <c r="A92" s="0" t="s">
        <v>307</v>
      </c>
      <c r="B92" s="62" t="n">
        <v>0.0098524532646871</v>
      </c>
    </row>
    <row r="93" customFormat="false" ht="15" hidden="false" customHeight="false" outlineLevel="0" collapsed="false">
      <c r="A93" s="0" t="s">
        <v>308</v>
      </c>
      <c r="B93" s="62" t="n">
        <v>0.0098524532646871</v>
      </c>
    </row>
    <row r="94" customFormat="false" ht="15" hidden="false" customHeight="false" outlineLevel="0" collapsed="false">
      <c r="A94" s="0" t="s">
        <v>309</v>
      </c>
      <c r="B94" s="62" t="n">
        <v>0.0098524532646871</v>
      </c>
    </row>
    <row r="95" customFormat="false" ht="15" hidden="false" customHeight="false" outlineLevel="0" collapsed="false">
      <c r="A95" s="0" t="s">
        <v>310</v>
      </c>
      <c r="B95" s="62" t="n">
        <v>0.00920790024737112</v>
      </c>
    </row>
    <row r="96" customFormat="false" ht="15" hidden="false" customHeight="false" outlineLevel="0" collapsed="false">
      <c r="A96" s="0" t="s">
        <v>311</v>
      </c>
      <c r="B96" s="62" t="n">
        <v>0.00769222115655467</v>
      </c>
    </row>
    <row r="97" customFormat="false" ht="15" hidden="false" customHeight="false" outlineLevel="0" collapsed="false">
      <c r="A97" s="0" t="s">
        <v>312</v>
      </c>
      <c r="B97" s="62" t="n">
        <v>0.0109980873652321</v>
      </c>
    </row>
    <row r="98" customFormat="false" ht="15" hidden="false" customHeight="false" outlineLevel="0" collapsed="false">
      <c r="A98" s="0" t="s">
        <v>313</v>
      </c>
      <c r="B98" s="62" t="n">
        <v>0.0102808207979344</v>
      </c>
    </row>
    <row r="99" customFormat="false" ht="15" hidden="false" customHeight="false" outlineLevel="0" collapsed="false">
      <c r="A99" s="0" t="s">
        <v>314</v>
      </c>
      <c r="B99" s="62" t="n">
        <v>0.0109980873652321</v>
      </c>
    </row>
    <row r="100" customFormat="false" ht="15" hidden="false" customHeight="false" outlineLevel="0" collapsed="false">
      <c r="A100" s="0" t="s">
        <v>315</v>
      </c>
      <c r="B100" s="62" t="n">
        <v>0.00902514802872101</v>
      </c>
    </row>
    <row r="101" customFormat="false" ht="15" hidden="false" customHeight="false" outlineLevel="0" collapsed="false">
      <c r="A101" s="0" t="s">
        <v>316</v>
      </c>
      <c r="B101" s="62" t="n">
        <v>0.00902514802872101</v>
      </c>
    </row>
    <row r="102" customFormat="false" ht="15" hidden="false" customHeight="false" outlineLevel="0" collapsed="false">
      <c r="A102" s="0" t="s">
        <v>317</v>
      </c>
      <c r="B102" s="62" t="n">
        <v>0.00895677569517009</v>
      </c>
    </row>
    <row r="103" customFormat="false" ht="15" hidden="false" customHeight="false" outlineLevel="0" collapsed="false">
      <c r="A103" s="0" t="s">
        <v>318</v>
      </c>
      <c r="B103" s="62" t="n">
        <v>0.0102808207979344</v>
      </c>
    </row>
    <row r="104" customFormat="false" ht="15" hidden="false" customHeight="false" outlineLevel="0" collapsed="false">
      <c r="A104" s="0" t="s">
        <v>319</v>
      </c>
      <c r="B104" s="62" t="n">
        <v>0.00853642160117294</v>
      </c>
    </row>
    <row r="105" customFormat="false" ht="15" hidden="false" customHeight="false" outlineLevel="0" collapsed="false">
      <c r="A105" s="0" t="s">
        <v>320</v>
      </c>
      <c r="B105" s="62" t="n">
        <v>0.0112599465882138</v>
      </c>
    </row>
    <row r="106" customFormat="false" ht="15" hidden="false" customHeight="false" outlineLevel="0" collapsed="false">
      <c r="A106" s="0" t="s">
        <v>321</v>
      </c>
      <c r="B106" s="62" t="n">
        <v>0.0112599465882138</v>
      </c>
    </row>
    <row r="107" customFormat="false" ht="15" hidden="false" customHeight="false" outlineLevel="0" collapsed="false">
      <c r="A107" s="0" t="s">
        <v>322</v>
      </c>
      <c r="B107" s="62" t="n">
        <v>0.0112599465882138</v>
      </c>
    </row>
    <row r="108" customFormat="false" ht="15" hidden="false" customHeight="false" outlineLevel="0" collapsed="false">
      <c r="A108" s="0" t="s">
        <v>323</v>
      </c>
      <c r="B108" s="62" t="n">
        <v>0.0112599465882138</v>
      </c>
    </row>
    <row r="109" customFormat="false" ht="15" hidden="false" customHeight="false" outlineLevel="0" collapsed="false">
      <c r="A109" s="0" t="s">
        <v>324</v>
      </c>
      <c r="B109" s="62" t="n">
        <v>0.0112599465882138</v>
      </c>
    </row>
    <row r="110" customFormat="false" ht="15" hidden="false" customHeight="false" outlineLevel="0" collapsed="false">
      <c r="A110" s="0" t="s">
        <v>325</v>
      </c>
      <c r="B110" s="62" t="n">
        <v>0.0112599465882138</v>
      </c>
    </row>
    <row r="111" customFormat="false" ht="15" hidden="false" customHeight="false" outlineLevel="0" collapsed="false">
      <c r="A111" s="0" t="s">
        <v>326</v>
      </c>
      <c r="B111" s="62" t="n">
        <v>0.007502463023796</v>
      </c>
    </row>
    <row r="112" customFormat="false" ht="15" hidden="false" customHeight="false" outlineLevel="0" collapsed="false">
      <c r="A112" s="0" t="s">
        <v>327</v>
      </c>
      <c r="B112" s="62" t="n">
        <v>0.00794819759168035</v>
      </c>
    </row>
    <row r="113" customFormat="false" ht="15" hidden="false" customHeight="false" outlineLevel="0" collapsed="false">
      <c r="A113" s="0" t="s">
        <v>328</v>
      </c>
      <c r="B113" s="62" t="n">
        <v>0.0112505711122869</v>
      </c>
    </row>
    <row r="114" customFormat="false" ht="15" hidden="false" customHeight="false" outlineLevel="0" collapsed="false">
      <c r="A114" s="0" t="s">
        <v>329</v>
      </c>
      <c r="B114" s="62" t="n">
        <v>0.0112505711122869</v>
      </c>
    </row>
    <row r="115" customFormat="false" ht="15" hidden="false" customHeight="false" outlineLevel="0" collapsed="false">
      <c r="A115" s="0" t="s">
        <v>330</v>
      </c>
      <c r="B115" s="62" t="n">
        <v>0.011499519919878</v>
      </c>
    </row>
    <row r="116" customFormat="false" ht="15" hidden="false" customHeight="false" outlineLevel="0" collapsed="false">
      <c r="A116" s="0" t="s">
        <v>331</v>
      </c>
      <c r="B116" s="62" t="n">
        <v>0.00900195596659333</v>
      </c>
    </row>
    <row r="117" customFormat="false" ht="15" hidden="false" customHeight="false" outlineLevel="0" collapsed="false">
      <c r="A117" s="0" t="s">
        <v>332</v>
      </c>
      <c r="B117" s="62" t="n">
        <v>0.00900195596659333</v>
      </c>
    </row>
    <row r="118" customFormat="false" ht="15" hidden="false" customHeight="false" outlineLevel="0" collapsed="false">
      <c r="A118" s="0" t="s">
        <v>333</v>
      </c>
      <c r="B118" s="62" t="n">
        <v>0.0142081344961689</v>
      </c>
    </row>
    <row r="119" customFormat="false" ht="15" hidden="false" customHeight="false" outlineLevel="0" collapsed="false">
      <c r="A119" s="0" t="s">
        <v>334</v>
      </c>
      <c r="B119" s="62" t="n">
        <v>0.0102363150801944</v>
      </c>
    </row>
    <row r="120" customFormat="false" ht="15" hidden="false" customHeight="false" outlineLevel="0" collapsed="false">
      <c r="A120" s="0" t="s">
        <v>335</v>
      </c>
      <c r="B120" s="62" t="n">
        <v>0.0118525753560146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RowHeight="15"/>
  <cols>
    <col collapsed="false" hidden="false" max="1" min="1" style="0" width="16.7732793522267"/>
    <col collapsed="false" hidden="false" max="3" min="2" style="0" width="28.9595141700405"/>
    <col collapsed="false" hidden="false" max="1025" min="4" style="0" width="8.12145748987854"/>
  </cols>
  <sheetData>
    <row r="1" customFormat="false" ht="15" hidden="false" customHeight="false" outlineLevel="0" collapsed="false">
      <c r="A1" s="27" t="s">
        <v>119</v>
      </c>
      <c r="B1" s="27" t="s">
        <v>582</v>
      </c>
      <c r="G1" s="0" t="s">
        <v>583</v>
      </c>
      <c r="N1" s="29" t="s">
        <v>216</v>
      </c>
    </row>
    <row r="2" customFormat="false" ht="15" hidden="false" customHeight="false" outlineLevel="0" collapsed="false">
      <c r="A2" s="64" t="n">
        <v>1</v>
      </c>
      <c r="B2" s="65" t="n">
        <v>0.8</v>
      </c>
      <c r="G2" s="0" t="s">
        <v>584</v>
      </c>
    </row>
    <row r="3" customFormat="false" ht="15" hidden="false" customHeight="false" outlineLevel="0" collapsed="false">
      <c r="A3" s="64" t="n">
        <v>2</v>
      </c>
      <c r="B3" s="65" t="n">
        <v>0.8</v>
      </c>
      <c r="G3" s="0" t="s">
        <v>585</v>
      </c>
    </row>
    <row r="4" customFormat="false" ht="15" hidden="false" customHeight="false" outlineLevel="0" collapsed="false">
      <c r="A4" s="64" t="n">
        <v>3</v>
      </c>
      <c r="B4" s="65" t="n">
        <v>0.8</v>
      </c>
      <c r="G4" s="0" t="s">
        <v>586</v>
      </c>
    </row>
    <row r="5" customFormat="false" ht="15" hidden="false" customHeight="false" outlineLevel="0" collapsed="false">
      <c r="A5" s="64" t="n">
        <v>4</v>
      </c>
      <c r="B5" s="65" t="n">
        <v>0.8</v>
      </c>
    </row>
    <row r="6" customFormat="false" ht="15" hidden="false" customHeight="false" outlineLevel="0" collapsed="false">
      <c r="A6" s="64" t="n">
        <v>5</v>
      </c>
      <c r="B6" s="65" t="n">
        <v>0.8</v>
      </c>
    </row>
    <row r="7" customFormat="false" ht="15" hidden="false" customHeight="false" outlineLevel="0" collapsed="false">
      <c r="A7" s="64" t="n">
        <v>6</v>
      </c>
      <c r="B7" s="65" t="n">
        <v>0.8</v>
      </c>
    </row>
    <row r="8" customFormat="false" ht="15" hidden="false" customHeight="false" outlineLevel="0" collapsed="false">
      <c r="A8" s="64" t="n">
        <v>7</v>
      </c>
      <c r="B8" s="65" t="n">
        <v>0.8</v>
      </c>
    </row>
    <row r="9" customFormat="false" ht="15" hidden="false" customHeight="false" outlineLevel="0" collapsed="false">
      <c r="A9" s="64" t="n">
        <v>8</v>
      </c>
      <c r="B9" s="65" t="n">
        <v>0.8</v>
      </c>
    </row>
    <row r="10" customFormat="false" ht="15" hidden="false" customHeight="false" outlineLevel="0" collapsed="false">
      <c r="A10" s="64" t="n">
        <v>9</v>
      </c>
      <c r="B10" s="65" t="n">
        <v>0.8</v>
      </c>
    </row>
    <row r="11" customFormat="false" ht="15" hidden="false" customHeight="false" outlineLevel="0" collapsed="false">
      <c r="A11" s="64" t="n">
        <v>10</v>
      </c>
      <c r="B11" s="65" t="n">
        <v>0.8</v>
      </c>
    </row>
    <row r="12" customFormat="false" ht="15" hidden="false" customHeight="false" outlineLevel="0" collapsed="false">
      <c r="A12" s="64" t="n">
        <v>11</v>
      </c>
      <c r="B12" s="65" t="n">
        <v>0.8</v>
      </c>
    </row>
    <row r="13" customFormat="false" ht="15" hidden="false" customHeight="false" outlineLevel="0" collapsed="false">
      <c r="A13" s="64" t="n">
        <v>12</v>
      </c>
      <c r="B13" s="65" t="n">
        <v>0.8</v>
      </c>
    </row>
    <row r="14" customFormat="false" ht="15" hidden="false" customHeight="false" outlineLevel="0" collapsed="false">
      <c r="A14" s="64" t="n">
        <v>13</v>
      </c>
      <c r="B14" s="65" t="n">
        <v>0.8</v>
      </c>
    </row>
    <row r="15" customFormat="false" ht="15" hidden="false" customHeight="false" outlineLevel="0" collapsed="false">
      <c r="A15" s="64" t="n">
        <v>14</v>
      </c>
      <c r="B15" s="65" t="n">
        <v>0.8</v>
      </c>
    </row>
    <row r="16" customFormat="false" ht="15" hidden="false" customHeight="false" outlineLevel="0" collapsed="false">
      <c r="A16" s="64" t="n">
        <v>15</v>
      </c>
      <c r="B16" s="65" t="n">
        <v>0.8</v>
      </c>
    </row>
    <row r="17" customFormat="false" ht="15" hidden="false" customHeight="false" outlineLevel="0" collapsed="false">
      <c r="A17" s="64" t="n">
        <v>16</v>
      </c>
      <c r="B17" s="65" t="n">
        <v>0.8</v>
      </c>
    </row>
    <row r="18" customFormat="false" ht="15" hidden="false" customHeight="false" outlineLevel="0" collapsed="false">
      <c r="A18" s="64" t="n">
        <v>17</v>
      </c>
      <c r="B18" s="65" t="n">
        <v>0.8</v>
      </c>
    </row>
    <row r="19" customFormat="false" ht="15" hidden="false" customHeight="false" outlineLevel="0" collapsed="false">
      <c r="A19" s="64" t="n">
        <v>18</v>
      </c>
      <c r="B19" s="65" t="n">
        <v>0.8</v>
      </c>
    </row>
    <row r="20" customFormat="false" ht="15" hidden="false" customHeight="false" outlineLevel="0" collapsed="false">
      <c r="A20" s="64" t="n">
        <v>19</v>
      </c>
      <c r="B20" s="65" t="n">
        <v>0.8</v>
      </c>
    </row>
    <row r="21" customFormat="false" ht="15" hidden="false" customHeight="false" outlineLevel="0" collapsed="false">
      <c r="A21" s="64" t="n">
        <v>20</v>
      </c>
      <c r="B21" s="65" t="n">
        <v>0.8</v>
      </c>
    </row>
    <row r="22" customFormat="false" ht="15" hidden="false" customHeight="false" outlineLevel="0" collapsed="false">
      <c r="A22" s="64" t="n">
        <v>21</v>
      </c>
      <c r="B22" s="65" t="n">
        <v>0.8</v>
      </c>
    </row>
    <row r="23" customFormat="false" ht="15" hidden="false" customHeight="false" outlineLevel="0" collapsed="false">
      <c r="A23" s="64" t="n">
        <v>22</v>
      </c>
      <c r="B23" s="65" t="n">
        <v>0.8</v>
      </c>
    </row>
    <row r="24" customFormat="false" ht="15" hidden="false" customHeight="false" outlineLevel="0" collapsed="false">
      <c r="A24" s="64" t="n">
        <v>23</v>
      </c>
      <c r="B24" s="65" t="n">
        <v>0.8</v>
      </c>
    </row>
    <row r="25" customFormat="false" ht="15" hidden="false" customHeight="false" outlineLevel="0" collapsed="false">
      <c r="A25" s="64" t="n">
        <v>24</v>
      </c>
      <c r="B25" s="65" t="n">
        <v>0.8</v>
      </c>
    </row>
    <row r="26" customFormat="false" ht="15" hidden="false" customHeight="false" outlineLevel="0" collapsed="false">
      <c r="A26" s="64" t="n">
        <v>25</v>
      </c>
      <c r="B26" s="65" t="n">
        <v>0.8</v>
      </c>
    </row>
    <row r="27" customFormat="false" ht="15" hidden="false" customHeight="false" outlineLevel="0" collapsed="false">
      <c r="A27" s="64" t="n">
        <v>26</v>
      </c>
      <c r="B27" s="65" t="n">
        <v>0.8</v>
      </c>
    </row>
    <row r="28" customFormat="false" ht="15" hidden="false" customHeight="false" outlineLevel="0" collapsed="false">
      <c r="A28" s="64" t="n">
        <v>27</v>
      </c>
      <c r="B28" s="65" t="n">
        <v>0.8</v>
      </c>
    </row>
    <row r="29" customFormat="false" ht="15" hidden="false" customHeight="false" outlineLevel="0" collapsed="false">
      <c r="A29" s="64" t="n">
        <v>28</v>
      </c>
      <c r="B29" s="65" t="n">
        <v>0.8</v>
      </c>
    </row>
    <row r="30" customFormat="false" ht="15" hidden="false" customHeight="false" outlineLevel="0" collapsed="false">
      <c r="A30" s="64" t="n">
        <v>29</v>
      </c>
      <c r="B30" s="65" t="n">
        <v>0.8</v>
      </c>
    </row>
    <row r="31" customFormat="false" ht="15" hidden="false" customHeight="false" outlineLevel="0" collapsed="false">
      <c r="A31" s="64" t="n">
        <v>30</v>
      </c>
      <c r="B31" s="65" t="n">
        <v>0.8</v>
      </c>
    </row>
    <row r="32" customFormat="false" ht="15" hidden="false" customHeight="false" outlineLevel="0" collapsed="false">
      <c r="A32" s="64" t="n">
        <v>31</v>
      </c>
      <c r="B32" s="65" t="n">
        <v>0.8</v>
      </c>
    </row>
    <row r="33" customFormat="false" ht="15" hidden="false" customHeight="false" outlineLevel="0" collapsed="false">
      <c r="A33" s="64" t="n">
        <v>32</v>
      </c>
      <c r="B33" s="65" t="n">
        <v>0.8</v>
      </c>
    </row>
    <row r="34" customFormat="false" ht="15" hidden="false" customHeight="false" outlineLevel="0" collapsed="false">
      <c r="A34" s="64" t="n">
        <v>33</v>
      </c>
      <c r="B34" s="65" t="n">
        <v>0.8</v>
      </c>
    </row>
    <row r="35" customFormat="false" ht="15" hidden="false" customHeight="false" outlineLevel="0" collapsed="false">
      <c r="A35" s="64" t="n">
        <v>34</v>
      </c>
      <c r="B35" s="65" t="n">
        <v>0.8</v>
      </c>
    </row>
    <row r="36" customFormat="false" ht="15" hidden="false" customHeight="false" outlineLevel="0" collapsed="false">
      <c r="A36" s="64" t="n">
        <v>35</v>
      </c>
      <c r="B36" s="65" t="n">
        <v>0.8</v>
      </c>
    </row>
    <row r="37" customFormat="false" ht="15" hidden="false" customHeight="false" outlineLevel="0" collapsed="false">
      <c r="A37" s="64" t="n">
        <v>36</v>
      </c>
      <c r="B37" s="65" t="n">
        <v>0.8</v>
      </c>
    </row>
  </sheetData>
  <autoFilter ref="A1:C216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6.7732793522267"/>
    <col collapsed="false" hidden="false" max="3" min="2" style="0" width="20.1578947368421"/>
    <col collapsed="false" hidden="false" max="1025" min="4" style="0" width="8.12145748987854"/>
  </cols>
  <sheetData>
    <row r="1" customFormat="false" ht="15" hidden="false" customHeight="false" outlineLevel="0" collapsed="false">
      <c r="A1" s="27" t="s">
        <v>119</v>
      </c>
      <c r="B1" s="27" t="s">
        <v>587</v>
      </c>
      <c r="C1" s="27" t="s">
        <v>587</v>
      </c>
      <c r="N1" s="29" t="s">
        <v>216</v>
      </c>
    </row>
    <row r="2" customFormat="false" ht="15" hidden="false" customHeight="false" outlineLevel="0" collapsed="false">
      <c r="A2" s="64" t="n">
        <v>1</v>
      </c>
      <c r="B2" s="66" t="n">
        <v>0.011</v>
      </c>
      <c r="C2" s="66" t="n">
        <v>0.00212289743768514</v>
      </c>
    </row>
    <row r="3" customFormat="false" ht="15" hidden="false" customHeight="false" outlineLevel="0" collapsed="false">
      <c r="A3" s="64" t="n">
        <v>2</v>
      </c>
      <c r="B3" s="66" t="n">
        <v>0.011</v>
      </c>
      <c r="C3" s="66" t="n">
        <v>0.00194412712714323</v>
      </c>
    </row>
    <row r="4" customFormat="false" ht="15" hidden="false" customHeight="false" outlineLevel="0" collapsed="false">
      <c r="A4" s="64" t="n">
        <v>3</v>
      </c>
      <c r="B4" s="66" t="n">
        <v>0.011</v>
      </c>
      <c r="C4" s="66" t="n">
        <v>0.00478092471556524</v>
      </c>
    </row>
    <row r="5" customFormat="false" ht="15" hidden="false" customHeight="false" outlineLevel="0" collapsed="false">
      <c r="A5" s="64" t="n">
        <v>4</v>
      </c>
      <c r="B5" s="66" t="n">
        <v>0.011</v>
      </c>
      <c r="C5" s="66" t="n">
        <v>0.00227187269647006</v>
      </c>
    </row>
    <row r="6" customFormat="false" ht="15" hidden="false" customHeight="false" outlineLevel="0" collapsed="false">
      <c r="A6" s="64" t="n">
        <v>5</v>
      </c>
      <c r="B6" s="66" t="n">
        <v>0.011</v>
      </c>
      <c r="C6" s="66" t="n">
        <v>0.00173556176484434</v>
      </c>
    </row>
    <row r="7" customFormat="false" ht="15" hidden="false" customHeight="false" outlineLevel="0" collapsed="false">
      <c r="A7" s="64" t="n">
        <v>6</v>
      </c>
      <c r="B7" s="66" t="n">
        <v>0.011</v>
      </c>
      <c r="C7" s="66" t="n">
        <v>0.0221177290142807</v>
      </c>
    </row>
    <row r="8" customFormat="false" ht="15" hidden="false" customHeight="false" outlineLevel="0" collapsed="false">
      <c r="A8" s="64" t="n">
        <v>7</v>
      </c>
      <c r="B8" s="66" t="n">
        <v>0.011</v>
      </c>
      <c r="C8" s="66" t="n">
        <v>0.00927609427609428</v>
      </c>
    </row>
    <row r="9" customFormat="false" ht="15" hidden="false" customHeight="false" outlineLevel="0" collapsed="false">
      <c r="A9" s="64" t="n">
        <v>8</v>
      </c>
      <c r="B9" s="66" t="n">
        <v>0.011</v>
      </c>
      <c r="C9" s="66" t="n">
        <v>0.0145323388311097</v>
      </c>
    </row>
    <row r="10" customFormat="false" ht="15" hidden="false" customHeight="false" outlineLevel="0" collapsed="false">
      <c r="A10" s="64" t="n">
        <v>9</v>
      </c>
      <c r="B10" s="66" t="n">
        <v>0.011</v>
      </c>
      <c r="C10" s="66" t="n">
        <v>0.00637</v>
      </c>
    </row>
    <row r="11" customFormat="false" ht="15" hidden="false" customHeight="false" outlineLevel="0" collapsed="false">
      <c r="A11" s="64" t="n">
        <v>10</v>
      </c>
      <c r="B11" s="66" t="n">
        <v>0.011</v>
      </c>
      <c r="C11" s="66" t="n">
        <v>0.00697196129936083</v>
      </c>
    </row>
    <row r="12" customFormat="false" ht="15" hidden="false" customHeight="false" outlineLevel="0" collapsed="false">
      <c r="A12" s="64" t="n">
        <v>11</v>
      </c>
      <c r="B12" s="66" t="n">
        <v>0.011</v>
      </c>
      <c r="C12" s="66" t="n">
        <v>0.00637</v>
      </c>
    </row>
    <row r="13" customFormat="false" ht="15" hidden="false" customHeight="false" outlineLevel="0" collapsed="false">
      <c r="A13" s="64" t="n">
        <v>12</v>
      </c>
      <c r="B13" s="66" t="n">
        <v>0.011</v>
      </c>
      <c r="C13" s="66" t="n">
        <v>0.00697196129936083</v>
      </c>
    </row>
    <row r="14" customFormat="false" ht="15" hidden="false" customHeight="false" outlineLevel="0" collapsed="false">
      <c r="A14" s="64" t="n">
        <v>13</v>
      </c>
      <c r="B14" s="66" t="n">
        <v>0.011</v>
      </c>
      <c r="C14" s="66" t="n">
        <v>0.0256519612993608</v>
      </c>
    </row>
    <row r="15" customFormat="false" ht="15" hidden="false" customHeight="false" outlineLevel="0" collapsed="false">
      <c r="A15" s="64" t="n">
        <v>14</v>
      </c>
      <c r="B15" s="66" t="n">
        <v>0.011</v>
      </c>
      <c r="C15" s="66" t="n">
        <v>0.00697196129936083</v>
      </c>
    </row>
    <row r="16" customFormat="false" ht="15" hidden="false" customHeight="false" outlineLevel="0" collapsed="false">
      <c r="A16" s="64" t="n">
        <v>15</v>
      </c>
      <c r="B16" s="66" t="n">
        <v>0.011</v>
      </c>
      <c r="C16" s="66" t="n">
        <v>0.0143019612993608</v>
      </c>
    </row>
    <row r="17" customFormat="false" ht="15" hidden="false" customHeight="false" outlineLevel="0" collapsed="false">
      <c r="A17" s="64" t="n">
        <v>16</v>
      </c>
      <c r="B17" s="66" t="n">
        <v>0.011</v>
      </c>
      <c r="C17" s="66" t="n">
        <v>0.0159483597883598</v>
      </c>
    </row>
    <row r="18" customFormat="false" ht="15" hidden="false" customHeight="false" outlineLevel="0" collapsed="false">
      <c r="A18" s="64" t="n">
        <v>17</v>
      </c>
      <c r="B18" s="66" t="n">
        <v>0.011</v>
      </c>
      <c r="C18" s="66" t="n">
        <v>0.0117619612993608</v>
      </c>
    </row>
    <row r="19" customFormat="false" ht="15" hidden="false" customHeight="false" outlineLevel="0" collapsed="false">
      <c r="A19" s="64" t="n">
        <v>18</v>
      </c>
      <c r="B19" s="66" t="n">
        <v>0.011</v>
      </c>
      <c r="C19" s="66" t="n">
        <v>0.01116</v>
      </c>
    </row>
    <row r="20" customFormat="false" ht="15" hidden="false" customHeight="false" outlineLevel="0" collapsed="false">
      <c r="A20" s="64" t="n">
        <v>19</v>
      </c>
      <c r="B20" s="66" t="n">
        <v>0.011</v>
      </c>
      <c r="C20" s="66" t="n">
        <v>0.0117619612993608</v>
      </c>
    </row>
    <row r="21" customFormat="false" ht="15" hidden="false" customHeight="false" outlineLevel="0" collapsed="false">
      <c r="A21" s="64" t="n">
        <v>20</v>
      </c>
      <c r="B21" s="66" t="n">
        <v>0.011</v>
      </c>
      <c r="C21" s="66" t="n">
        <v>0.0304419612993608</v>
      </c>
    </row>
    <row r="22" customFormat="false" ht="15" hidden="false" customHeight="false" outlineLevel="0" collapsed="false">
      <c r="A22" s="64" t="n">
        <v>21</v>
      </c>
      <c r="B22" s="66" t="n">
        <v>0.011</v>
      </c>
      <c r="C22" s="66" t="n">
        <v>0.0165519612993608</v>
      </c>
    </row>
    <row r="23" customFormat="false" ht="15" hidden="false" customHeight="false" outlineLevel="0" collapsed="false">
      <c r="A23" s="64" t="n">
        <v>22</v>
      </c>
      <c r="B23" s="66" t="n">
        <v>0.011</v>
      </c>
      <c r="C23" s="66" t="n">
        <v>0.0332619612993608</v>
      </c>
    </row>
    <row r="24" customFormat="false" ht="15" hidden="false" customHeight="false" outlineLevel="0" collapsed="false">
      <c r="A24" s="64" t="n">
        <v>23</v>
      </c>
      <c r="B24" s="66" t="n">
        <v>0.011</v>
      </c>
      <c r="C24" s="66" t="n">
        <v>0.00194412712714323</v>
      </c>
    </row>
    <row r="25" customFormat="false" ht="15" hidden="false" customHeight="false" outlineLevel="0" collapsed="false">
      <c r="A25" s="64" t="n">
        <v>24</v>
      </c>
      <c r="B25" s="66" t="n">
        <v>0.011</v>
      </c>
      <c r="C25" s="66" t="n">
        <v>0.000867780882422171</v>
      </c>
    </row>
    <row r="26" customFormat="false" ht="15" hidden="false" customHeight="false" outlineLevel="0" collapsed="false">
      <c r="A26" s="64" t="n">
        <v>25</v>
      </c>
      <c r="B26" s="66" t="n">
        <v>0.011</v>
      </c>
      <c r="C26" s="66" t="n">
        <v>0.0036281179138322</v>
      </c>
    </row>
    <row r="27" customFormat="false" ht="15" hidden="false" customHeight="false" outlineLevel="0" collapsed="false">
      <c r="A27" s="64" t="n">
        <v>26</v>
      </c>
      <c r="B27" s="66" t="n">
        <v>0.011</v>
      </c>
      <c r="C27" s="66" t="n">
        <v>0.00238095238095238</v>
      </c>
    </row>
    <row r="28" customFormat="false" ht="15" hidden="false" customHeight="false" outlineLevel="0" collapsed="false">
      <c r="A28" s="64" t="n">
        <v>27</v>
      </c>
      <c r="B28" s="66" t="n">
        <v>0.011</v>
      </c>
      <c r="C28" s="66" t="n">
        <v>0.0119444444444444</v>
      </c>
    </row>
    <row r="29" customFormat="false" ht="15" hidden="false" customHeight="false" outlineLevel="0" collapsed="false">
      <c r="A29" s="64" t="n">
        <v>28</v>
      </c>
      <c r="B29" s="66" t="n">
        <v>0.011</v>
      </c>
      <c r="C29" s="66" t="n">
        <v>0.0150408838570296</v>
      </c>
    </row>
    <row r="30" customFormat="false" ht="15" hidden="false" customHeight="false" outlineLevel="0" collapsed="false">
      <c r="A30" s="64" t="n">
        <v>29</v>
      </c>
      <c r="B30" s="66" t="n">
        <v>0.011</v>
      </c>
      <c r="C30" s="66" t="n">
        <v>0.0131663835894195</v>
      </c>
    </row>
    <row r="31" customFormat="false" ht="15" hidden="false" customHeight="false" outlineLevel="0" collapsed="false">
      <c r="A31" s="64" t="n">
        <v>30</v>
      </c>
      <c r="B31" s="66" t="n">
        <v>0.011</v>
      </c>
      <c r="C31" s="66" t="n">
        <v>0.00783527696793003</v>
      </c>
    </row>
    <row r="32" customFormat="false" ht="15" hidden="false" customHeight="false" outlineLevel="0" collapsed="false">
      <c r="A32" s="64" t="n">
        <v>31</v>
      </c>
      <c r="B32" s="66" t="n">
        <v>0.011</v>
      </c>
      <c r="C32" s="66" t="n">
        <v>0.00881944444444444</v>
      </c>
    </row>
    <row r="33" customFormat="false" ht="15" hidden="false" customHeight="false" outlineLevel="0" collapsed="false">
      <c r="A33" s="64" t="n">
        <v>32</v>
      </c>
      <c r="B33" s="66" t="n">
        <v>0.011</v>
      </c>
      <c r="C33" s="66" t="n">
        <v>0.0137634444444444</v>
      </c>
    </row>
    <row r="34" customFormat="false" ht="15" hidden="false" customHeight="false" outlineLevel="0" collapsed="false">
      <c r="A34" s="64" t="n">
        <v>33</v>
      </c>
      <c r="B34" s="66" t="n">
        <v>0.011</v>
      </c>
      <c r="C34" s="66" t="n">
        <v>0.0233708838570296</v>
      </c>
    </row>
    <row r="35" customFormat="false" ht="15" hidden="false" customHeight="false" outlineLevel="0" collapsed="false">
      <c r="A35" s="64" t="n">
        <v>34</v>
      </c>
      <c r="B35" s="66" t="n">
        <v>0.011</v>
      </c>
      <c r="C35" s="66" t="n">
        <v>0.0223708838570296</v>
      </c>
    </row>
    <row r="36" customFormat="false" ht="15" hidden="false" customHeight="false" outlineLevel="0" collapsed="false">
      <c r="A36" s="64" t="n">
        <v>35</v>
      </c>
      <c r="B36" s="66" t="n">
        <v>0.011</v>
      </c>
      <c r="C36" s="67" t="n">
        <v>0.005</v>
      </c>
    </row>
    <row r="37" customFormat="false" ht="15" hidden="false" customHeight="false" outlineLevel="0" collapsed="false">
      <c r="A37" s="64" t="n">
        <v>36</v>
      </c>
      <c r="B37" s="66" t="n">
        <v>0.011</v>
      </c>
      <c r="C37" s="67" t="n">
        <v>0.013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16.7732793522267"/>
    <col collapsed="false" hidden="false" max="2" min="2" style="68" width="19.6153846153846"/>
    <col collapsed="false" hidden="false" max="3" min="3" style="0" width="7.4412955465587"/>
    <col collapsed="false" hidden="false" max="1025" min="4" style="0" width="8.12145748987854"/>
  </cols>
  <sheetData>
    <row r="1" customFormat="false" ht="15" hidden="false" customHeight="false" outlineLevel="0" collapsed="false">
      <c r="A1" s="27" t="s">
        <v>119</v>
      </c>
      <c r="B1" s="27"/>
      <c r="L1" s="29" t="s">
        <v>216</v>
      </c>
      <c r="N1" s="29"/>
    </row>
    <row r="2" customFormat="false" ht="15" hidden="false" customHeight="false" outlineLevel="0" collapsed="false">
      <c r="A2" s="64" t="n">
        <v>1</v>
      </c>
      <c r="B2" s="65" t="n">
        <v>0.8</v>
      </c>
    </row>
    <row r="3" customFormat="false" ht="15" hidden="false" customHeight="false" outlineLevel="0" collapsed="false">
      <c r="A3" s="64" t="n">
        <v>2</v>
      </c>
      <c r="B3" s="65" t="n">
        <v>0.8</v>
      </c>
    </row>
    <row r="4" customFormat="false" ht="15" hidden="false" customHeight="false" outlineLevel="0" collapsed="false">
      <c r="A4" s="64" t="n">
        <v>3</v>
      </c>
      <c r="B4" s="65" t="n">
        <v>0.8</v>
      </c>
    </row>
    <row r="5" customFormat="false" ht="15" hidden="false" customHeight="false" outlineLevel="0" collapsed="false">
      <c r="A5" s="64" t="n">
        <v>4</v>
      </c>
      <c r="B5" s="65" t="n">
        <v>0.8</v>
      </c>
    </row>
    <row r="6" customFormat="false" ht="15" hidden="false" customHeight="false" outlineLevel="0" collapsed="false">
      <c r="A6" s="64" t="n">
        <v>5</v>
      </c>
      <c r="B6" s="65" t="n">
        <v>0.8</v>
      </c>
    </row>
    <row r="7" customFormat="false" ht="15" hidden="false" customHeight="false" outlineLevel="0" collapsed="false">
      <c r="A7" s="64" t="n">
        <v>6</v>
      </c>
      <c r="B7" s="65" t="n">
        <v>0.8</v>
      </c>
    </row>
    <row r="8" customFormat="false" ht="15" hidden="false" customHeight="false" outlineLevel="0" collapsed="false">
      <c r="A8" s="64" t="n">
        <v>7</v>
      </c>
      <c r="B8" s="65" t="n">
        <v>0.8</v>
      </c>
    </row>
    <row r="9" customFormat="false" ht="15" hidden="false" customHeight="false" outlineLevel="0" collapsed="false">
      <c r="A9" s="64" t="n">
        <v>8</v>
      </c>
      <c r="B9" s="65" t="n">
        <v>0.8</v>
      </c>
    </row>
    <row r="10" customFormat="false" ht="15" hidden="false" customHeight="false" outlineLevel="0" collapsed="false">
      <c r="A10" s="64" t="n">
        <v>9</v>
      </c>
      <c r="B10" s="65" t="n">
        <v>0.8</v>
      </c>
    </row>
    <row r="11" customFormat="false" ht="15" hidden="false" customHeight="false" outlineLevel="0" collapsed="false">
      <c r="A11" s="64" t="n">
        <v>10</v>
      </c>
      <c r="B11" s="65" t="n">
        <v>0.8</v>
      </c>
    </row>
    <row r="12" customFormat="false" ht="15" hidden="false" customHeight="false" outlineLevel="0" collapsed="false">
      <c r="A12" s="64" t="n">
        <v>11</v>
      </c>
      <c r="B12" s="65" t="n">
        <v>0.8</v>
      </c>
    </row>
    <row r="13" customFormat="false" ht="15" hidden="false" customHeight="false" outlineLevel="0" collapsed="false">
      <c r="A13" s="64" t="n">
        <v>12</v>
      </c>
      <c r="B13" s="65" t="n">
        <v>0.8</v>
      </c>
    </row>
    <row r="14" customFormat="false" ht="15" hidden="false" customHeight="false" outlineLevel="0" collapsed="false">
      <c r="A14" s="64" t="n">
        <v>13</v>
      </c>
      <c r="B14" s="65" t="n">
        <v>0.8</v>
      </c>
    </row>
    <row r="15" customFormat="false" ht="15" hidden="false" customHeight="false" outlineLevel="0" collapsed="false">
      <c r="A15" s="64" t="n">
        <v>14</v>
      </c>
      <c r="B15" s="65" t="n">
        <v>0.8</v>
      </c>
    </row>
    <row r="16" customFormat="false" ht="15" hidden="false" customHeight="false" outlineLevel="0" collapsed="false">
      <c r="A16" s="64" t="n">
        <v>15</v>
      </c>
      <c r="B16" s="65" t="n">
        <v>0.8</v>
      </c>
    </row>
    <row r="17" customFormat="false" ht="15" hidden="false" customHeight="false" outlineLevel="0" collapsed="false">
      <c r="A17" s="64" t="n">
        <v>16</v>
      </c>
      <c r="B17" s="65" t="n">
        <v>0.8</v>
      </c>
    </row>
    <row r="18" customFormat="false" ht="15" hidden="false" customHeight="false" outlineLevel="0" collapsed="false">
      <c r="A18" s="64" t="n">
        <v>17</v>
      </c>
      <c r="B18" s="65" t="n">
        <v>0.8</v>
      </c>
    </row>
    <row r="19" customFormat="false" ht="15" hidden="false" customHeight="false" outlineLevel="0" collapsed="false">
      <c r="A19" s="64" t="n">
        <v>18</v>
      </c>
      <c r="B19" s="65" t="n">
        <v>0.8</v>
      </c>
    </row>
    <row r="20" customFormat="false" ht="15" hidden="false" customHeight="false" outlineLevel="0" collapsed="false">
      <c r="A20" s="64" t="n">
        <v>19</v>
      </c>
      <c r="B20" s="65" t="n">
        <v>0.8</v>
      </c>
    </row>
    <row r="21" customFormat="false" ht="15" hidden="false" customHeight="false" outlineLevel="0" collapsed="false">
      <c r="A21" s="64" t="n">
        <v>20</v>
      </c>
      <c r="B21" s="65" t="n">
        <v>0.8</v>
      </c>
    </row>
    <row r="22" customFormat="false" ht="15" hidden="false" customHeight="false" outlineLevel="0" collapsed="false">
      <c r="A22" s="64" t="n">
        <v>21</v>
      </c>
      <c r="B22" s="65" t="n">
        <v>0.8</v>
      </c>
    </row>
    <row r="23" customFormat="false" ht="15" hidden="false" customHeight="false" outlineLevel="0" collapsed="false">
      <c r="A23" s="64" t="n">
        <v>22</v>
      </c>
      <c r="B23" s="65" t="n">
        <v>0.8</v>
      </c>
    </row>
    <row r="24" customFormat="false" ht="15" hidden="false" customHeight="false" outlineLevel="0" collapsed="false">
      <c r="A24" s="64" t="n">
        <v>23</v>
      </c>
      <c r="B24" s="65" t="n">
        <v>0.8</v>
      </c>
    </row>
    <row r="25" customFormat="false" ht="15" hidden="false" customHeight="false" outlineLevel="0" collapsed="false">
      <c r="A25" s="64" t="n">
        <v>24</v>
      </c>
      <c r="B25" s="65" t="n">
        <v>0.8</v>
      </c>
    </row>
    <row r="26" customFormat="false" ht="15" hidden="false" customHeight="false" outlineLevel="0" collapsed="false">
      <c r="A26" s="64" t="n">
        <v>25</v>
      </c>
      <c r="B26" s="65" t="n">
        <v>0.8</v>
      </c>
    </row>
    <row r="27" customFormat="false" ht="15" hidden="false" customHeight="false" outlineLevel="0" collapsed="false">
      <c r="A27" s="64" t="n">
        <v>26</v>
      </c>
      <c r="B27" s="65" t="n">
        <v>0.8</v>
      </c>
    </row>
    <row r="28" customFormat="false" ht="15" hidden="false" customHeight="false" outlineLevel="0" collapsed="false">
      <c r="A28" s="64" t="n">
        <v>27</v>
      </c>
      <c r="B28" s="65" t="n">
        <v>0.8</v>
      </c>
    </row>
    <row r="29" customFormat="false" ht="15" hidden="false" customHeight="false" outlineLevel="0" collapsed="false">
      <c r="A29" s="64" t="n">
        <v>28</v>
      </c>
      <c r="B29" s="65" t="n">
        <v>0.8</v>
      </c>
    </row>
    <row r="30" customFormat="false" ht="15" hidden="false" customHeight="false" outlineLevel="0" collapsed="false">
      <c r="A30" s="64" t="n">
        <v>29</v>
      </c>
      <c r="B30" s="65" t="n">
        <v>0.8</v>
      </c>
    </row>
    <row r="31" customFormat="false" ht="15" hidden="false" customHeight="false" outlineLevel="0" collapsed="false">
      <c r="A31" s="64" t="n">
        <v>30</v>
      </c>
      <c r="B31" s="65" t="n">
        <v>0.8</v>
      </c>
    </row>
    <row r="32" customFormat="false" ht="15" hidden="false" customHeight="false" outlineLevel="0" collapsed="false">
      <c r="A32" s="64" t="n">
        <v>31</v>
      </c>
      <c r="B32" s="65" t="n">
        <v>0.8</v>
      </c>
    </row>
    <row r="33" customFormat="false" ht="15" hidden="false" customHeight="false" outlineLevel="0" collapsed="false">
      <c r="A33" s="64" t="n">
        <v>32</v>
      </c>
      <c r="B33" s="65" t="n">
        <v>0.8</v>
      </c>
    </row>
    <row r="34" customFormat="false" ht="15" hidden="false" customHeight="false" outlineLevel="0" collapsed="false">
      <c r="A34" s="64" t="n">
        <v>33</v>
      </c>
      <c r="B34" s="65" t="n">
        <v>0.8</v>
      </c>
    </row>
    <row r="35" customFormat="false" ht="15" hidden="false" customHeight="false" outlineLevel="0" collapsed="false">
      <c r="A35" s="64" t="n">
        <v>34</v>
      </c>
      <c r="B35" s="65" t="n">
        <v>0.8</v>
      </c>
    </row>
    <row r="36" customFormat="false" ht="15" hidden="false" customHeight="false" outlineLevel="0" collapsed="false">
      <c r="A36" s="64" t="n">
        <v>35</v>
      </c>
      <c r="B36" s="65" t="n">
        <v>0.8</v>
      </c>
    </row>
    <row r="37" customFormat="false" ht="15" hidden="false" customHeight="false" outlineLevel="0" collapsed="false">
      <c r="A37" s="64" t="n">
        <v>36</v>
      </c>
      <c r="B37" s="65" t="n">
        <v>0.8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K6"/>
  <sheetViews>
    <sheetView windowProtection="false" showFormulas="false" showGridLines="true" showRowColHeaders="true" showZeros="true" rightToLeft="false" tabSelected="false" showOutlineSymbols="true" defaultGridColor="true" view="normal" topLeftCell="B1" colorId="64" zoomScale="120" zoomScaleNormal="120" zoomScalePageLayoutView="100" workbookViewId="0">
      <selection pane="topLeft" activeCell="B6" activeCellId="0" sqref="B6"/>
    </sheetView>
  </sheetViews>
  <sheetFormatPr defaultRowHeight="15"/>
  <cols>
    <col collapsed="false" hidden="true" max="1" min="1" style="64" width="0"/>
    <col collapsed="false" hidden="false" max="2" min="2" style="64" width="9.33198380566802"/>
    <col collapsed="false" hidden="false" max="3" min="3" style="64" width="2.57085020242915"/>
    <col collapsed="false" hidden="false" max="4" min="4" style="69" width="2.57085020242915"/>
    <col collapsed="false" hidden="false" max="5" min="5" style="70" width="2.57085020242915"/>
    <col collapsed="false" hidden="false" max="8" min="6" style="53" width="2.57085020242915"/>
    <col collapsed="false" hidden="false" max="9" min="9" style="53" width="4.32793522267207"/>
    <col collapsed="false" hidden="false" max="13" min="10" style="53" width="2.57085020242915"/>
    <col collapsed="false" hidden="false" max="1018" min="14" style="53" width="6.76113360323887"/>
    <col collapsed="false" hidden="false" max="1022" min="1019" style="53" width="7.17004048582996"/>
    <col collapsed="false" hidden="false" max="1025" min="1023" style="0" width="7.8502024291498"/>
  </cols>
  <sheetData>
    <row r="1" customFormat="false" ht="15" hidden="false" customHeight="false" outlineLevel="0" collapsed="false">
      <c r="A1" s="64" t="s">
        <v>588</v>
      </c>
      <c r="B1" s="64" t="s">
        <v>589</v>
      </c>
      <c r="C1" s="0"/>
      <c r="D1" s="0"/>
      <c r="E1" s="0"/>
      <c r="F1" s="0"/>
      <c r="G1" s="0"/>
      <c r="H1" s="0"/>
      <c r="I1" s="29" t="s">
        <v>216</v>
      </c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  <c r="AI1" s="0"/>
      <c r="AJ1" s="0"/>
      <c r="AK1" s="0"/>
    </row>
    <row r="2" customFormat="false" ht="15" hidden="false" customHeight="false" outlineLevel="0" collapsed="false">
      <c r="A2" s="71" t="n">
        <v>1</v>
      </c>
      <c r="B2" s="71" t="n">
        <v>1</v>
      </c>
      <c r="C2" s="71" t="n">
        <v>6</v>
      </c>
      <c r="D2" s="71" t="n">
        <v>7</v>
      </c>
      <c r="E2" s="71" t="n">
        <v>8</v>
      </c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</row>
    <row r="3" customFormat="false" ht="15" hidden="false" customHeight="false" outlineLevel="0" collapsed="false">
      <c r="B3" s="64" t="n">
        <v>2</v>
      </c>
      <c r="C3" s="64" t="n">
        <v>9</v>
      </c>
      <c r="D3" s="69" t="n">
        <v>10</v>
      </c>
      <c r="E3" s="70" t="n">
        <v>11</v>
      </c>
      <c r="F3" s="64" t="n">
        <v>12</v>
      </c>
      <c r="G3" s="70" t="n">
        <v>13</v>
      </c>
      <c r="H3" s="64" t="n">
        <v>14</v>
      </c>
      <c r="I3" s="70" t="n">
        <v>15</v>
      </c>
      <c r="J3" s="64" t="n">
        <v>16</v>
      </c>
      <c r="K3" s="70" t="n">
        <v>17</v>
      </c>
      <c r="L3" s="64" t="n">
        <v>18</v>
      </c>
      <c r="M3" s="70" t="n">
        <v>19</v>
      </c>
      <c r="N3" s="64" t="n">
        <v>20</v>
      </c>
      <c r="O3" s="70" t="n">
        <v>21</v>
      </c>
      <c r="P3" s="64" t="n">
        <v>22</v>
      </c>
      <c r="Q3" s="70" t="n">
        <v>23</v>
      </c>
      <c r="R3" s="64"/>
    </row>
    <row r="4" customFormat="false" ht="15" hidden="false" customHeight="false" outlineLevel="0" collapsed="false">
      <c r="B4" s="64" t="n">
        <v>3</v>
      </c>
      <c r="C4" s="64" t="n">
        <v>25</v>
      </c>
      <c r="D4" s="69" t="n">
        <v>26</v>
      </c>
      <c r="E4" s="70" t="n">
        <v>27</v>
      </c>
      <c r="F4" s="69" t="n">
        <v>28</v>
      </c>
      <c r="G4" s="70" t="n">
        <v>29</v>
      </c>
      <c r="H4" s="69" t="n">
        <v>30</v>
      </c>
      <c r="I4" s="70" t="n">
        <v>31</v>
      </c>
      <c r="J4" s="69" t="n">
        <v>32</v>
      </c>
      <c r="K4" s="70" t="n">
        <v>33</v>
      </c>
      <c r="L4" s="69" t="n">
        <v>34</v>
      </c>
      <c r="M4" s="0"/>
      <c r="N4" s="0"/>
      <c r="O4" s="0"/>
      <c r="P4" s="0"/>
      <c r="Q4" s="0"/>
    </row>
    <row r="5" customFormat="false" ht="15" hidden="false" customHeight="false" outlineLevel="0" collapsed="false">
      <c r="B5" s="64" t="n">
        <v>4</v>
      </c>
      <c r="C5" s="64" t="n">
        <v>1</v>
      </c>
      <c r="D5" s="69" t="n">
        <v>2</v>
      </c>
      <c r="E5" s="70" t="n">
        <v>3</v>
      </c>
      <c r="F5" s="64" t="n">
        <v>4</v>
      </c>
      <c r="G5" s="64" t="n">
        <v>35</v>
      </c>
      <c r="H5" s="64" t="n">
        <v>36</v>
      </c>
      <c r="I5" s="0"/>
      <c r="J5" s="0"/>
      <c r="K5" s="0"/>
      <c r="L5" s="0"/>
      <c r="M5" s="0"/>
      <c r="N5" s="0"/>
      <c r="O5" s="0"/>
      <c r="P5" s="0"/>
      <c r="Q5" s="0"/>
    </row>
    <row r="6" customFormat="false" ht="15" hidden="false" customHeight="false" outlineLevel="0" collapsed="false">
      <c r="B6" s="64" t="n">
        <v>5</v>
      </c>
      <c r="C6" s="64" t="n">
        <v>5</v>
      </c>
      <c r="D6" s="0"/>
      <c r="E6" s="0"/>
      <c r="F6" s="0"/>
      <c r="G6" s="0"/>
      <c r="H6" s="0"/>
      <c r="I6" s="0"/>
      <c r="J6" s="0"/>
      <c r="K6" s="0"/>
      <c r="L6" s="0"/>
      <c r="M6" s="0"/>
      <c r="N6" s="0"/>
      <c r="O6" s="0"/>
      <c r="P6" s="0"/>
      <c r="Q6" s="0"/>
    </row>
  </sheetData>
  <autoFilter ref="A1:G2"/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H2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5"/>
  <cols>
    <col collapsed="false" hidden="false" max="1" min="1" style="53" width="8.66396761133603"/>
    <col collapsed="false" hidden="false" max="2" min="2" style="53" width="15.1538461538462"/>
    <col collapsed="false" hidden="false" max="3" min="3" style="0" width="17.587044534413"/>
    <col collapsed="false" hidden="false" max="4" min="4" style="0" width="14.6113360323887"/>
    <col collapsed="false" hidden="false" max="5" min="5" style="72" width="10.9635627530364"/>
    <col collapsed="false" hidden="false" max="6" min="6" style="73" width="22.8663967611336"/>
    <col collapsed="false" hidden="false" max="7" min="7" style="73" width="25.4372469635628"/>
    <col collapsed="false" hidden="false" max="8" min="8" style="0" width="14.3481781376518"/>
    <col collapsed="false" hidden="false" max="9" min="9" style="0" width="14.6113360323887"/>
    <col collapsed="false" hidden="false" max="10" min="10" style="0" width="9.46963562753036"/>
    <col collapsed="false" hidden="false" max="1025" min="11" style="0" width="8.52631578947369"/>
  </cols>
  <sheetData>
    <row r="1" s="77" customFormat="true" ht="30" hidden="false" customHeight="false" outlineLevel="0" collapsed="false">
      <c r="A1" s="74" t="s">
        <v>590</v>
      </c>
      <c r="B1" s="74" t="s">
        <v>591</v>
      </c>
      <c r="C1" s="74" t="s">
        <v>592</v>
      </c>
      <c r="D1" s="74" t="s">
        <v>593</v>
      </c>
      <c r="E1" s="75" t="s">
        <v>594</v>
      </c>
      <c r="F1" s="76" t="s">
        <v>595</v>
      </c>
      <c r="G1" s="76" t="s">
        <v>596</v>
      </c>
      <c r="H1" s="74"/>
    </row>
    <row r="2" customFormat="false" ht="15" hidden="false" customHeight="false" outlineLevel="0" collapsed="false">
      <c r="A2" s="53" t="s">
        <v>597</v>
      </c>
      <c r="B2" s="53" t="s">
        <v>598</v>
      </c>
      <c r="C2" s="0" t="s">
        <v>599</v>
      </c>
      <c r="D2" s="0" t="s">
        <v>600</v>
      </c>
      <c r="E2" s="72" t="s">
        <v>601</v>
      </c>
      <c r="F2" s="78" t="n">
        <v>1.6</v>
      </c>
      <c r="G2" s="78" t="n">
        <v>2.3</v>
      </c>
    </row>
    <row r="3" customFormat="false" ht="15" hidden="false" customHeight="false" outlineLevel="0" collapsed="false">
      <c r="A3" s="53" t="s">
        <v>602</v>
      </c>
      <c r="B3" s="53" t="s">
        <v>120</v>
      </c>
      <c r="C3" s="0" t="s">
        <v>603</v>
      </c>
      <c r="D3" s="0" t="s">
        <v>600</v>
      </c>
      <c r="E3" s="72" t="s">
        <v>601</v>
      </c>
      <c r="F3" s="78" t="n">
        <v>1.6</v>
      </c>
      <c r="G3" s="78" t="n">
        <v>2.3</v>
      </c>
    </row>
    <row r="4" customFormat="false" ht="15" hidden="false" customHeight="false" outlineLevel="0" collapsed="false">
      <c r="A4" s="53" t="s">
        <v>604</v>
      </c>
      <c r="B4" s="53" t="s">
        <v>217</v>
      </c>
      <c r="C4" s="0" t="s">
        <v>605</v>
      </c>
      <c r="D4" s="0" t="s">
        <v>600</v>
      </c>
      <c r="E4" s="72" t="s">
        <v>601</v>
      </c>
      <c r="F4" s="78" t="n">
        <v>1.6</v>
      </c>
      <c r="G4" s="78" t="n">
        <v>2.3</v>
      </c>
    </row>
    <row r="5" customFormat="false" ht="15" hidden="false" customHeight="false" outlineLevel="0" collapsed="false">
      <c r="A5" s="53" t="s">
        <v>606</v>
      </c>
      <c r="B5" s="53" t="s">
        <v>607</v>
      </c>
      <c r="C5" s="0" t="s">
        <v>608</v>
      </c>
      <c r="D5" s="0" t="s">
        <v>609</v>
      </c>
      <c r="E5" s="72" t="s">
        <v>610</v>
      </c>
      <c r="F5" s="78" t="n">
        <v>1.6</v>
      </c>
      <c r="G5" s="78" t="n">
        <v>1.7</v>
      </c>
    </row>
    <row r="6" customFormat="false" ht="15" hidden="false" customHeight="false" outlineLevel="0" collapsed="false">
      <c r="A6" s="53" t="s">
        <v>611</v>
      </c>
      <c r="B6" s="53" t="s">
        <v>612</v>
      </c>
      <c r="C6" s="0" t="s">
        <v>613</v>
      </c>
      <c r="D6" s="0" t="s">
        <v>614</v>
      </c>
      <c r="E6" s="72" t="s">
        <v>601</v>
      </c>
      <c r="F6" s="78" t="n">
        <v>1.6</v>
      </c>
      <c r="G6" s="78" t="n">
        <v>2.3</v>
      </c>
    </row>
    <row r="7" customFormat="false" ht="15" hidden="false" customHeight="false" outlineLevel="0" collapsed="false">
      <c r="A7" s="53" t="s">
        <v>615</v>
      </c>
      <c r="B7" s="53" t="s">
        <v>616</v>
      </c>
      <c r="C7" s="0" t="s">
        <v>617</v>
      </c>
      <c r="D7" s="0" t="s">
        <v>614</v>
      </c>
      <c r="E7" s="72" t="s">
        <v>601</v>
      </c>
      <c r="F7" s="78" t="n">
        <v>1.6</v>
      </c>
      <c r="G7" s="78" t="n">
        <v>2.3</v>
      </c>
    </row>
    <row r="8" customFormat="false" ht="15" hidden="false" customHeight="false" outlineLevel="0" collapsed="false">
      <c r="A8" s="53" t="s">
        <v>618</v>
      </c>
      <c r="B8" s="53" t="s">
        <v>619</v>
      </c>
      <c r="C8" s="0" t="s">
        <v>620</v>
      </c>
      <c r="D8" s="0" t="s">
        <v>614</v>
      </c>
      <c r="E8" s="72" t="s">
        <v>601</v>
      </c>
      <c r="F8" s="78" t="n">
        <v>1.6</v>
      </c>
      <c r="G8" s="78" t="n">
        <v>2.3</v>
      </c>
    </row>
    <row r="9" customFormat="false" ht="15" hidden="false" customHeight="false" outlineLevel="0" collapsed="false">
      <c r="A9" s="53" t="s">
        <v>621</v>
      </c>
      <c r="B9" s="53" t="s">
        <v>622</v>
      </c>
      <c r="C9" s="0" t="s">
        <v>623</v>
      </c>
      <c r="D9" s="0" t="s">
        <v>614</v>
      </c>
      <c r="E9" s="72" t="s">
        <v>601</v>
      </c>
      <c r="F9" s="78" t="n">
        <v>1.6</v>
      </c>
      <c r="G9" s="78" t="n">
        <v>2.3</v>
      </c>
    </row>
    <row r="10" customFormat="false" ht="15" hidden="false" customHeight="false" outlineLevel="0" collapsed="false">
      <c r="A10" s="53" t="s">
        <v>624</v>
      </c>
      <c r="B10" s="53" t="s">
        <v>218</v>
      </c>
      <c r="C10" s="0" t="s">
        <v>625</v>
      </c>
      <c r="D10" s="0" t="s">
        <v>614</v>
      </c>
      <c r="E10" s="72" t="s">
        <v>601</v>
      </c>
      <c r="F10" s="78" t="n">
        <v>1.6</v>
      </c>
      <c r="G10" s="78" t="n">
        <v>2.3</v>
      </c>
    </row>
    <row r="11" customFormat="false" ht="15" hidden="false" customHeight="false" outlineLevel="0" collapsed="false">
      <c r="A11" s="53" t="s">
        <v>626</v>
      </c>
      <c r="B11" s="53" t="s">
        <v>627</v>
      </c>
      <c r="C11" s="0" t="s">
        <v>628</v>
      </c>
      <c r="D11" s="0" t="s">
        <v>614</v>
      </c>
      <c r="E11" s="72" t="s">
        <v>601</v>
      </c>
      <c r="F11" s="78" t="n">
        <v>1.6</v>
      </c>
      <c r="G11" s="78" t="n">
        <v>2.3</v>
      </c>
    </row>
    <row r="12" customFormat="false" ht="15" hidden="false" customHeight="false" outlineLevel="0" collapsed="false">
      <c r="A12" s="53" t="s">
        <v>629</v>
      </c>
      <c r="B12" s="53" t="s">
        <v>630</v>
      </c>
      <c r="C12" s="0" t="s">
        <v>631</v>
      </c>
      <c r="D12" s="0" t="s">
        <v>614</v>
      </c>
      <c r="E12" s="72" t="s">
        <v>601</v>
      </c>
      <c r="F12" s="78" t="n">
        <v>1.6</v>
      </c>
      <c r="G12" s="78" t="n">
        <v>2.3</v>
      </c>
    </row>
    <row r="13" customFormat="false" ht="15" hidden="false" customHeight="false" outlineLevel="0" collapsed="false">
      <c r="A13" s="53" t="s">
        <v>632</v>
      </c>
      <c r="B13" s="53" t="s">
        <v>633</v>
      </c>
      <c r="C13" s="0" t="s">
        <v>634</v>
      </c>
      <c r="D13" s="0" t="s">
        <v>614</v>
      </c>
      <c r="E13" s="72" t="s">
        <v>601</v>
      </c>
      <c r="F13" s="78" t="n">
        <v>1.6</v>
      </c>
      <c r="G13" s="78" t="n">
        <v>2.3</v>
      </c>
    </row>
    <row r="14" customFormat="false" ht="15" hidden="false" customHeight="false" outlineLevel="0" collapsed="false">
      <c r="A14" s="53" t="s">
        <v>635</v>
      </c>
      <c r="B14" s="53" t="s">
        <v>219</v>
      </c>
      <c r="C14" s="0" t="s">
        <v>636</v>
      </c>
      <c r="D14" s="0" t="s">
        <v>614</v>
      </c>
      <c r="E14" s="72" t="s">
        <v>601</v>
      </c>
      <c r="F14" s="78" t="n">
        <v>1.6</v>
      </c>
      <c r="G14" s="78" t="n">
        <v>2.3</v>
      </c>
    </row>
    <row r="15" customFormat="false" ht="15" hidden="false" customHeight="false" outlineLevel="0" collapsed="false">
      <c r="A15" s="53" t="s">
        <v>637</v>
      </c>
      <c r="B15" s="53" t="s">
        <v>638</v>
      </c>
      <c r="C15" s="0" t="s">
        <v>639</v>
      </c>
      <c r="D15" s="0" t="s">
        <v>614</v>
      </c>
      <c r="E15" s="72" t="s">
        <v>601</v>
      </c>
      <c r="F15" s="78" t="n">
        <v>1.6</v>
      </c>
      <c r="G15" s="78" t="n">
        <v>2.3</v>
      </c>
    </row>
    <row r="16" customFormat="false" ht="15" hidden="false" customHeight="false" outlineLevel="0" collapsed="false">
      <c r="A16" s="53" t="s">
        <v>640</v>
      </c>
      <c r="B16" s="53" t="s">
        <v>220</v>
      </c>
      <c r="C16" s="0" t="s">
        <v>641</v>
      </c>
      <c r="D16" s="0" t="s">
        <v>614</v>
      </c>
      <c r="E16" s="72" t="s">
        <v>601</v>
      </c>
      <c r="F16" s="78" t="n">
        <v>1.6</v>
      </c>
      <c r="G16" s="78" t="n">
        <v>2.3</v>
      </c>
    </row>
    <row r="17" customFormat="false" ht="15" hidden="false" customHeight="false" outlineLevel="0" collapsed="false">
      <c r="A17" s="53" t="s">
        <v>642</v>
      </c>
      <c r="B17" s="53" t="s">
        <v>221</v>
      </c>
      <c r="C17" s="0" t="s">
        <v>643</v>
      </c>
      <c r="D17" s="0" t="s">
        <v>614</v>
      </c>
      <c r="E17" s="72" t="s">
        <v>601</v>
      </c>
      <c r="F17" s="78" t="n">
        <v>1.6</v>
      </c>
      <c r="G17" s="78" t="n">
        <v>2.3</v>
      </c>
    </row>
    <row r="18" customFormat="false" ht="15" hidden="false" customHeight="false" outlineLevel="0" collapsed="false">
      <c r="A18" s="53" t="s">
        <v>644</v>
      </c>
      <c r="B18" s="53" t="s">
        <v>645</v>
      </c>
      <c r="C18" s="0" t="s">
        <v>646</v>
      </c>
      <c r="D18" s="0" t="s">
        <v>614</v>
      </c>
      <c r="E18" s="72" t="s">
        <v>601</v>
      </c>
      <c r="F18" s="78" t="n">
        <v>1.6</v>
      </c>
      <c r="G18" s="78" t="n">
        <v>2.3</v>
      </c>
    </row>
    <row r="19" customFormat="false" ht="15" hidden="false" customHeight="false" outlineLevel="0" collapsed="false">
      <c r="A19" s="53" t="s">
        <v>647</v>
      </c>
      <c r="B19" s="53" t="s">
        <v>222</v>
      </c>
      <c r="C19" s="0" t="s">
        <v>648</v>
      </c>
      <c r="D19" s="0" t="s">
        <v>614</v>
      </c>
      <c r="E19" s="72" t="s">
        <v>601</v>
      </c>
      <c r="F19" s="78" t="n">
        <v>1.6</v>
      </c>
      <c r="G19" s="78" t="n">
        <v>2.3</v>
      </c>
    </row>
    <row r="20" customFormat="false" ht="15" hidden="false" customHeight="false" outlineLevel="0" collapsed="false">
      <c r="A20" s="53" t="s">
        <v>649</v>
      </c>
      <c r="B20" s="53" t="s">
        <v>650</v>
      </c>
      <c r="C20" s="0" t="s">
        <v>651</v>
      </c>
      <c r="D20" s="0" t="s">
        <v>614</v>
      </c>
      <c r="E20" s="72" t="s">
        <v>601</v>
      </c>
      <c r="F20" s="78" t="n">
        <v>1.6</v>
      </c>
      <c r="G20" s="78" t="n">
        <v>2.3</v>
      </c>
    </row>
    <row r="21" customFormat="false" ht="15" hidden="false" customHeight="false" outlineLevel="0" collapsed="false">
      <c r="A21" s="53" t="s">
        <v>652</v>
      </c>
      <c r="B21" s="53" t="s">
        <v>121</v>
      </c>
      <c r="C21" s="0" t="s">
        <v>653</v>
      </c>
      <c r="D21" s="0" t="s">
        <v>614</v>
      </c>
      <c r="E21" s="72" t="s">
        <v>601</v>
      </c>
      <c r="F21" s="78" t="n">
        <v>1.6</v>
      </c>
      <c r="G21" s="78" t="n">
        <v>2.3</v>
      </c>
    </row>
    <row r="22" customFormat="false" ht="15" hidden="false" customHeight="false" outlineLevel="0" collapsed="false">
      <c r="A22" s="53" t="s">
        <v>654</v>
      </c>
      <c r="B22" s="53" t="s">
        <v>223</v>
      </c>
      <c r="C22" s="0" t="s">
        <v>655</v>
      </c>
      <c r="D22" s="0" t="s">
        <v>614</v>
      </c>
      <c r="E22" s="72" t="s">
        <v>601</v>
      </c>
      <c r="F22" s="78" t="n">
        <v>1.6</v>
      </c>
      <c r="G22" s="78" t="n">
        <v>2.3</v>
      </c>
    </row>
    <row r="23" customFormat="false" ht="15" hidden="false" customHeight="false" outlineLevel="0" collapsed="false">
      <c r="A23" s="53" t="s">
        <v>656</v>
      </c>
      <c r="B23" s="53" t="s">
        <v>657</v>
      </c>
      <c r="C23" s="0" t="s">
        <v>658</v>
      </c>
      <c r="D23" s="0" t="s">
        <v>614</v>
      </c>
      <c r="E23" s="72" t="s">
        <v>601</v>
      </c>
      <c r="F23" s="78" t="n">
        <v>1.6</v>
      </c>
      <c r="G23" s="78" t="n">
        <v>2.3</v>
      </c>
    </row>
    <row r="24" customFormat="false" ht="15" hidden="false" customHeight="false" outlineLevel="0" collapsed="false">
      <c r="A24" s="53" t="s">
        <v>659</v>
      </c>
      <c r="B24" s="53" t="s">
        <v>660</v>
      </c>
      <c r="C24" s="0" t="s">
        <v>661</v>
      </c>
      <c r="D24" s="0" t="s">
        <v>662</v>
      </c>
      <c r="E24" s="72" t="s">
        <v>610</v>
      </c>
      <c r="F24" s="78" t="n">
        <v>1.6</v>
      </c>
      <c r="G24" s="78" t="n">
        <v>1.75</v>
      </c>
    </row>
    <row r="25" customFormat="false" ht="15" hidden="false" customHeight="false" outlineLevel="0" collapsed="false">
      <c r="A25" s="53" t="s">
        <v>663</v>
      </c>
      <c r="B25" s="53" t="s">
        <v>664</v>
      </c>
      <c r="C25" s="0" t="s">
        <v>665</v>
      </c>
      <c r="D25" s="0" t="s">
        <v>662</v>
      </c>
      <c r="E25" s="72" t="s">
        <v>610</v>
      </c>
      <c r="F25" s="78" t="n">
        <v>1.6</v>
      </c>
      <c r="G25" s="78" t="n">
        <v>1.75</v>
      </c>
    </row>
    <row r="26" customFormat="false" ht="15" hidden="false" customHeight="false" outlineLevel="0" collapsed="false">
      <c r="A26" s="53" t="s">
        <v>666</v>
      </c>
      <c r="B26" s="53" t="s">
        <v>667</v>
      </c>
      <c r="C26" s="0" t="s">
        <v>668</v>
      </c>
      <c r="D26" s="0" t="s">
        <v>662</v>
      </c>
      <c r="E26" s="72" t="s">
        <v>610</v>
      </c>
      <c r="F26" s="78" t="n">
        <v>1.6</v>
      </c>
      <c r="G26" s="78" t="n">
        <v>1.75</v>
      </c>
    </row>
    <row r="27" customFormat="false" ht="15" hidden="false" customHeight="false" outlineLevel="0" collapsed="false">
      <c r="A27" s="53" t="s">
        <v>669</v>
      </c>
      <c r="B27" s="53" t="s">
        <v>670</v>
      </c>
      <c r="C27" s="0" t="s">
        <v>671</v>
      </c>
      <c r="D27" s="0" t="s">
        <v>662</v>
      </c>
      <c r="E27" s="72" t="s">
        <v>610</v>
      </c>
      <c r="F27" s="78" t="n">
        <v>1.6</v>
      </c>
      <c r="G27" s="78" t="n">
        <v>1.75</v>
      </c>
    </row>
    <row r="28" customFormat="false" ht="15" hidden="false" customHeight="false" outlineLevel="0" collapsed="false">
      <c r="A28" s="53" t="s">
        <v>672</v>
      </c>
      <c r="B28" s="53" t="s">
        <v>224</v>
      </c>
      <c r="C28" s="0" t="s">
        <v>673</v>
      </c>
      <c r="D28" s="0" t="s">
        <v>662</v>
      </c>
      <c r="E28" s="72" t="s">
        <v>610</v>
      </c>
      <c r="F28" s="78" t="n">
        <v>1.6</v>
      </c>
      <c r="G28" s="78" t="n">
        <v>1.75</v>
      </c>
    </row>
    <row r="29" customFormat="false" ht="15" hidden="false" customHeight="false" outlineLevel="0" collapsed="false">
      <c r="A29" s="53" t="s">
        <v>674</v>
      </c>
      <c r="B29" s="53" t="s">
        <v>675</v>
      </c>
      <c r="C29" s="0" t="s">
        <v>676</v>
      </c>
      <c r="D29" s="0" t="s">
        <v>677</v>
      </c>
      <c r="E29" s="72" t="s">
        <v>678</v>
      </c>
      <c r="F29" s="78" t="n">
        <v>1.8</v>
      </c>
      <c r="G29" s="78" t="n">
        <v>2</v>
      </c>
    </row>
    <row r="30" customFormat="false" ht="15" hidden="false" customHeight="false" outlineLevel="0" collapsed="false">
      <c r="A30" s="53" t="s">
        <v>679</v>
      </c>
      <c r="B30" s="53" t="s">
        <v>680</v>
      </c>
      <c r="C30" s="0" t="s">
        <v>681</v>
      </c>
      <c r="D30" s="0" t="s">
        <v>677</v>
      </c>
      <c r="E30" s="72" t="s">
        <v>678</v>
      </c>
      <c r="F30" s="78" t="n">
        <v>1.8</v>
      </c>
      <c r="G30" s="78" t="n">
        <v>2</v>
      </c>
    </row>
    <row r="31" customFormat="false" ht="15" hidden="false" customHeight="false" outlineLevel="0" collapsed="false">
      <c r="A31" s="53" t="s">
        <v>682</v>
      </c>
      <c r="B31" s="53" t="s">
        <v>122</v>
      </c>
      <c r="C31" s="0" t="s">
        <v>683</v>
      </c>
      <c r="D31" s="0" t="s">
        <v>677</v>
      </c>
      <c r="E31" s="72" t="s">
        <v>610</v>
      </c>
      <c r="F31" s="78" t="n">
        <v>1.6</v>
      </c>
      <c r="G31" s="78" t="n">
        <v>1.75</v>
      </c>
    </row>
    <row r="32" customFormat="false" ht="15" hidden="false" customHeight="false" outlineLevel="0" collapsed="false">
      <c r="A32" s="53" t="s">
        <v>684</v>
      </c>
      <c r="B32" s="53" t="s">
        <v>685</v>
      </c>
      <c r="C32" s="0" t="s">
        <v>686</v>
      </c>
      <c r="D32" s="0" t="s">
        <v>687</v>
      </c>
      <c r="E32" s="72" t="s">
        <v>601</v>
      </c>
      <c r="F32" s="78" t="n">
        <v>1.6</v>
      </c>
      <c r="G32" s="78" t="n">
        <v>2.3</v>
      </c>
    </row>
    <row r="33" customFormat="false" ht="15" hidden="false" customHeight="false" outlineLevel="0" collapsed="false">
      <c r="A33" s="53" t="s">
        <v>688</v>
      </c>
      <c r="B33" s="53" t="s">
        <v>689</v>
      </c>
      <c r="C33" s="0" t="s">
        <v>690</v>
      </c>
      <c r="D33" s="0" t="s">
        <v>687</v>
      </c>
      <c r="E33" s="72" t="s">
        <v>601</v>
      </c>
      <c r="F33" s="78" t="n">
        <v>1.6</v>
      </c>
      <c r="G33" s="78" t="n">
        <v>2.3</v>
      </c>
    </row>
    <row r="34" customFormat="false" ht="15" hidden="false" customHeight="false" outlineLevel="0" collapsed="false">
      <c r="A34" s="53" t="s">
        <v>691</v>
      </c>
      <c r="B34" s="53" t="s">
        <v>692</v>
      </c>
      <c r="C34" s="0" t="s">
        <v>693</v>
      </c>
      <c r="D34" s="0" t="s">
        <v>694</v>
      </c>
      <c r="E34" s="72" t="s">
        <v>601</v>
      </c>
      <c r="F34" s="78" t="n">
        <v>1.6</v>
      </c>
      <c r="G34" s="78" t="n">
        <v>2.3</v>
      </c>
    </row>
    <row r="35" customFormat="false" ht="15" hidden="false" customHeight="false" outlineLevel="0" collapsed="false">
      <c r="A35" s="53" t="s">
        <v>695</v>
      </c>
      <c r="B35" s="53" t="s">
        <v>696</v>
      </c>
      <c r="C35" s="0" t="s">
        <v>697</v>
      </c>
      <c r="D35" s="0" t="s">
        <v>694</v>
      </c>
      <c r="E35" s="72" t="s">
        <v>601</v>
      </c>
      <c r="F35" s="78" t="n">
        <v>1.6</v>
      </c>
      <c r="G35" s="78" t="n">
        <v>2.3</v>
      </c>
    </row>
    <row r="36" customFormat="false" ht="15" hidden="false" customHeight="false" outlineLevel="0" collapsed="false">
      <c r="A36" s="53" t="s">
        <v>698</v>
      </c>
      <c r="B36" s="53" t="s">
        <v>225</v>
      </c>
      <c r="C36" s="0" t="s">
        <v>699</v>
      </c>
      <c r="D36" s="0" t="s">
        <v>700</v>
      </c>
      <c r="E36" s="72" t="s">
        <v>601</v>
      </c>
      <c r="F36" s="78" t="n">
        <v>2.2</v>
      </c>
      <c r="G36" s="78" t="n">
        <v>2.4</v>
      </c>
    </row>
    <row r="37" customFormat="false" ht="15" hidden="false" customHeight="false" outlineLevel="0" collapsed="false">
      <c r="A37" s="53" t="s">
        <v>701</v>
      </c>
      <c r="B37" s="53" t="s">
        <v>702</v>
      </c>
      <c r="C37" s="0" t="s">
        <v>703</v>
      </c>
      <c r="D37" s="0" t="s">
        <v>700</v>
      </c>
      <c r="E37" s="72" t="s">
        <v>678</v>
      </c>
      <c r="F37" s="78" t="n">
        <v>1.6</v>
      </c>
      <c r="G37" s="78" t="n">
        <v>2.3</v>
      </c>
    </row>
    <row r="38" customFormat="false" ht="15" hidden="false" customHeight="false" outlineLevel="0" collapsed="false">
      <c r="A38" s="53" t="s">
        <v>704</v>
      </c>
      <c r="B38" s="53" t="s">
        <v>705</v>
      </c>
      <c r="C38" s="0" t="s">
        <v>706</v>
      </c>
      <c r="D38" s="0" t="s">
        <v>700</v>
      </c>
      <c r="E38" s="72" t="s">
        <v>678</v>
      </c>
      <c r="F38" s="78" t="n">
        <v>1.85</v>
      </c>
      <c r="G38" s="78" t="n">
        <v>2.35</v>
      </c>
    </row>
    <row r="39" customFormat="false" ht="15" hidden="false" customHeight="false" outlineLevel="0" collapsed="false">
      <c r="A39" s="53" t="s">
        <v>707</v>
      </c>
      <c r="B39" s="53" t="s">
        <v>708</v>
      </c>
      <c r="C39" s="0" t="s">
        <v>709</v>
      </c>
      <c r="D39" s="0" t="s">
        <v>700</v>
      </c>
      <c r="E39" s="72" t="s">
        <v>678</v>
      </c>
      <c r="F39" s="78" t="n">
        <v>1.85</v>
      </c>
      <c r="G39" s="78" t="n">
        <v>2.35</v>
      </c>
    </row>
    <row r="40" customFormat="false" ht="15" hidden="false" customHeight="false" outlineLevel="0" collapsed="false">
      <c r="A40" s="53" t="s">
        <v>710</v>
      </c>
      <c r="B40" s="53" t="s">
        <v>226</v>
      </c>
      <c r="C40" s="0" t="s">
        <v>711</v>
      </c>
      <c r="D40" s="0" t="s">
        <v>700</v>
      </c>
      <c r="E40" s="72" t="s">
        <v>601</v>
      </c>
      <c r="F40" s="78" t="n">
        <v>2.05</v>
      </c>
      <c r="G40" s="78" t="n">
        <v>2.4</v>
      </c>
    </row>
    <row r="41" customFormat="false" ht="15" hidden="false" customHeight="false" outlineLevel="0" collapsed="false">
      <c r="A41" s="53" t="s">
        <v>712</v>
      </c>
      <c r="B41" s="53" t="s">
        <v>713</v>
      </c>
      <c r="C41" s="0" t="s">
        <v>714</v>
      </c>
      <c r="D41" s="0" t="s">
        <v>700</v>
      </c>
      <c r="E41" s="72" t="s">
        <v>601</v>
      </c>
      <c r="F41" s="78" t="n">
        <v>2.05</v>
      </c>
      <c r="G41" s="78" t="n">
        <v>2.4</v>
      </c>
    </row>
    <row r="42" customFormat="false" ht="15" hidden="false" customHeight="false" outlineLevel="0" collapsed="false">
      <c r="A42" s="53" t="s">
        <v>715</v>
      </c>
      <c r="B42" s="53" t="s">
        <v>716</v>
      </c>
      <c r="C42" s="0" t="s">
        <v>717</v>
      </c>
      <c r="D42" s="0" t="s">
        <v>700</v>
      </c>
      <c r="E42" s="72" t="s">
        <v>610</v>
      </c>
      <c r="F42" s="78" t="n">
        <v>16</v>
      </c>
      <c r="G42" s="78" t="n">
        <v>1.75</v>
      </c>
    </row>
    <row r="43" customFormat="false" ht="15" hidden="false" customHeight="false" outlineLevel="0" collapsed="false">
      <c r="A43" s="53" t="s">
        <v>718</v>
      </c>
      <c r="B43" s="53" t="s">
        <v>719</v>
      </c>
      <c r="C43" s="0" t="s">
        <v>720</v>
      </c>
      <c r="D43" s="0" t="s">
        <v>700</v>
      </c>
      <c r="E43" s="72" t="s">
        <v>610</v>
      </c>
      <c r="F43" s="78" t="n">
        <v>16</v>
      </c>
      <c r="G43" s="78" t="n">
        <v>1.75</v>
      </c>
    </row>
    <row r="44" customFormat="false" ht="15" hidden="false" customHeight="false" outlineLevel="0" collapsed="false">
      <c r="A44" s="53" t="s">
        <v>721</v>
      </c>
      <c r="B44" s="53" t="s">
        <v>123</v>
      </c>
      <c r="C44" s="0" t="s">
        <v>722</v>
      </c>
      <c r="D44" s="0" t="s">
        <v>700</v>
      </c>
      <c r="E44" s="72" t="s">
        <v>601</v>
      </c>
      <c r="F44" s="78" t="n">
        <v>1.6</v>
      </c>
      <c r="G44" s="78" t="n">
        <v>2.3</v>
      </c>
    </row>
    <row r="45" customFormat="false" ht="15" hidden="false" customHeight="false" outlineLevel="0" collapsed="false">
      <c r="A45" s="53" t="s">
        <v>723</v>
      </c>
      <c r="B45" s="53" t="s">
        <v>227</v>
      </c>
      <c r="C45" s="0" t="s">
        <v>724</v>
      </c>
      <c r="D45" s="0" t="s">
        <v>700</v>
      </c>
      <c r="E45" s="72" t="s">
        <v>601</v>
      </c>
      <c r="F45" s="78" t="n">
        <v>1.6</v>
      </c>
      <c r="G45" s="78" t="n">
        <v>2.3</v>
      </c>
    </row>
    <row r="46" customFormat="false" ht="15" hidden="false" customHeight="false" outlineLevel="0" collapsed="false">
      <c r="A46" s="53" t="s">
        <v>725</v>
      </c>
      <c r="B46" s="53" t="s">
        <v>726</v>
      </c>
      <c r="C46" s="0" t="s">
        <v>727</v>
      </c>
      <c r="D46" s="0" t="s">
        <v>700</v>
      </c>
      <c r="E46" s="72" t="s">
        <v>601</v>
      </c>
      <c r="F46" s="78" t="n">
        <v>1.6</v>
      </c>
      <c r="G46" s="78" t="n">
        <v>2.3</v>
      </c>
    </row>
    <row r="47" customFormat="false" ht="15" hidden="false" customHeight="false" outlineLevel="0" collapsed="false">
      <c r="A47" s="53" t="s">
        <v>728</v>
      </c>
      <c r="B47" s="53" t="s">
        <v>729</v>
      </c>
      <c r="C47" s="0" t="s">
        <v>730</v>
      </c>
      <c r="D47" s="0" t="s">
        <v>700</v>
      </c>
      <c r="E47" s="72" t="s">
        <v>601</v>
      </c>
      <c r="F47" s="78" t="n">
        <v>1.6</v>
      </c>
      <c r="G47" s="78" t="n">
        <v>2.3</v>
      </c>
    </row>
    <row r="48" customFormat="false" ht="15" hidden="false" customHeight="false" outlineLevel="0" collapsed="false">
      <c r="A48" s="53" t="s">
        <v>731</v>
      </c>
      <c r="B48" s="53" t="s">
        <v>732</v>
      </c>
      <c r="C48" s="0" t="s">
        <v>733</v>
      </c>
      <c r="D48" s="0" t="s">
        <v>734</v>
      </c>
      <c r="E48" s="72" t="s">
        <v>610</v>
      </c>
      <c r="F48" s="78" t="n">
        <v>1.6</v>
      </c>
      <c r="G48" s="78" t="n">
        <v>1.95</v>
      </c>
    </row>
    <row r="49" customFormat="false" ht="15" hidden="false" customHeight="false" outlineLevel="0" collapsed="false">
      <c r="A49" s="53" t="s">
        <v>735</v>
      </c>
      <c r="B49" s="53" t="s">
        <v>736</v>
      </c>
      <c r="C49" s="0" t="s">
        <v>737</v>
      </c>
      <c r="D49" s="0" t="s">
        <v>734</v>
      </c>
      <c r="E49" s="72" t="s">
        <v>610</v>
      </c>
      <c r="F49" s="78" t="n">
        <v>1.6</v>
      </c>
      <c r="G49" s="78" t="n">
        <v>1.95</v>
      </c>
    </row>
    <row r="50" customFormat="false" ht="15" hidden="false" customHeight="false" outlineLevel="0" collapsed="false">
      <c r="A50" s="53" t="s">
        <v>738</v>
      </c>
      <c r="B50" s="53" t="s">
        <v>739</v>
      </c>
      <c r="C50" s="0" t="s">
        <v>740</v>
      </c>
      <c r="D50" s="0" t="s">
        <v>734</v>
      </c>
      <c r="E50" s="72" t="s">
        <v>610</v>
      </c>
      <c r="F50" s="78" t="n">
        <v>1.6</v>
      </c>
      <c r="G50" s="78" t="n">
        <v>1.95</v>
      </c>
    </row>
    <row r="51" customFormat="false" ht="15" hidden="false" customHeight="false" outlineLevel="0" collapsed="false">
      <c r="A51" s="53" t="s">
        <v>741</v>
      </c>
      <c r="B51" s="53" t="s">
        <v>742</v>
      </c>
      <c r="C51" s="0" t="s">
        <v>743</v>
      </c>
      <c r="D51" s="0" t="s">
        <v>744</v>
      </c>
      <c r="E51" s="72" t="s">
        <v>601</v>
      </c>
      <c r="F51" s="78" t="n">
        <v>1.6</v>
      </c>
      <c r="G51" s="78" t="n">
        <v>2.3</v>
      </c>
    </row>
    <row r="52" customFormat="false" ht="15" hidden="false" customHeight="false" outlineLevel="0" collapsed="false">
      <c r="A52" s="53" t="s">
        <v>745</v>
      </c>
      <c r="B52" s="53" t="s">
        <v>228</v>
      </c>
      <c r="C52" s="0" t="s">
        <v>746</v>
      </c>
      <c r="D52" s="0" t="s">
        <v>744</v>
      </c>
      <c r="E52" s="72" t="s">
        <v>601</v>
      </c>
      <c r="F52" s="78" t="n">
        <v>1.6</v>
      </c>
      <c r="G52" s="78" t="n">
        <v>2.3</v>
      </c>
    </row>
    <row r="53" customFormat="false" ht="15" hidden="false" customHeight="false" outlineLevel="0" collapsed="false">
      <c r="A53" s="53" t="s">
        <v>747</v>
      </c>
      <c r="B53" s="53" t="s">
        <v>124</v>
      </c>
      <c r="C53" s="0" t="s">
        <v>748</v>
      </c>
      <c r="D53" s="0" t="s">
        <v>744</v>
      </c>
      <c r="E53" s="72" t="s">
        <v>678</v>
      </c>
      <c r="F53" s="78" t="n">
        <v>1.8</v>
      </c>
      <c r="G53" s="78" t="n">
        <v>1.95</v>
      </c>
    </row>
    <row r="54" customFormat="false" ht="15" hidden="false" customHeight="false" outlineLevel="0" collapsed="false">
      <c r="A54" s="53" t="s">
        <v>749</v>
      </c>
      <c r="B54" s="53" t="s">
        <v>229</v>
      </c>
      <c r="C54" s="0" t="s">
        <v>750</v>
      </c>
      <c r="D54" s="0" t="s">
        <v>744</v>
      </c>
      <c r="E54" s="72" t="s">
        <v>678</v>
      </c>
      <c r="F54" s="78" t="n">
        <v>1.9</v>
      </c>
      <c r="G54" s="78" t="n">
        <v>2.4</v>
      </c>
    </row>
    <row r="55" customFormat="false" ht="15" hidden="false" customHeight="false" outlineLevel="0" collapsed="false">
      <c r="A55" s="53" t="s">
        <v>751</v>
      </c>
      <c r="B55" s="53" t="s">
        <v>752</v>
      </c>
      <c r="C55" s="0" t="s">
        <v>753</v>
      </c>
      <c r="D55" s="0" t="s">
        <v>744</v>
      </c>
      <c r="E55" s="72" t="s">
        <v>601</v>
      </c>
      <c r="F55" s="78" t="n">
        <v>1.6</v>
      </c>
      <c r="G55" s="78" t="n">
        <v>2.3</v>
      </c>
    </row>
    <row r="56" customFormat="false" ht="15" hidden="false" customHeight="false" outlineLevel="0" collapsed="false">
      <c r="A56" s="53" t="s">
        <v>754</v>
      </c>
      <c r="B56" s="53" t="s">
        <v>230</v>
      </c>
      <c r="C56" s="0" t="s">
        <v>755</v>
      </c>
      <c r="D56" s="0" t="s">
        <v>744</v>
      </c>
      <c r="E56" s="72" t="s">
        <v>610</v>
      </c>
      <c r="F56" s="78" t="n">
        <v>1.6</v>
      </c>
      <c r="G56" s="78" t="n">
        <v>1.75</v>
      </c>
    </row>
    <row r="57" customFormat="false" ht="15" hidden="false" customHeight="false" outlineLevel="0" collapsed="false">
      <c r="A57" s="53" t="s">
        <v>756</v>
      </c>
      <c r="B57" s="53" t="s">
        <v>125</v>
      </c>
      <c r="C57" s="0" t="s">
        <v>757</v>
      </c>
      <c r="D57" s="0" t="s">
        <v>744</v>
      </c>
      <c r="E57" s="72" t="s">
        <v>601</v>
      </c>
      <c r="F57" s="78" t="n">
        <v>1.6</v>
      </c>
      <c r="G57" s="78" t="n">
        <v>2.3</v>
      </c>
    </row>
    <row r="58" customFormat="false" ht="15" hidden="false" customHeight="false" outlineLevel="0" collapsed="false">
      <c r="A58" s="53" t="s">
        <v>758</v>
      </c>
      <c r="B58" s="53" t="s">
        <v>231</v>
      </c>
      <c r="C58" s="0" t="s">
        <v>759</v>
      </c>
      <c r="D58" s="0" t="s">
        <v>744</v>
      </c>
      <c r="E58" s="72" t="s">
        <v>601</v>
      </c>
      <c r="F58" s="78" t="n">
        <v>1.6</v>
      </c>
      <c r="G58" s="78" t="n">
        <v>2.3</v>
      </c>
    </row>
    <row r="59" customFormat="false" ht="15" hidden="false" customHeight="false" outlineLevel="0" collapsed="false">
      <c r="A59" s="53" t="s">
        <v>760</v>
      </c>
      <c r="B59" s="53" t="s">
        <v>761</v>
      </c>
      <c r="C59" s="0" t="s">
        <v>762</v>
      </c>
      <c r="D59" s="0" t="s">
        <v>744</v>
      </c>
      <c r="E59" s="72" t="s">
        <v>601</v>
      </c>
      <c r="F59" s="78" t="n">
        <v>2.05</v>
      </c>
      <c r="G59" s="78" t="n">
        <v>2.3</v>
      </c>
    </row>
    <row r="60" customFormat="false" ht="15" hidden="false" customHeight="false" outlineLevel="0" collapsed="false">
      <c r="A60" s="53" t="s">
        <v>763</v>
      </c>
      <c r="B60" s="53" t="s">
        <v>764</v>
      </c>
      <c r="C60" s="0" t="s">
        <v>765</v>
      </c>
      <c r="D60" s="0" t="s">
        <v>744</v>
      </c>
      <c r="E60" s="72" t="s">
        <v>601</v>
      </c>
      <c r="F60" s="78" t="n">
        <v>2.05</v>
      </c>
      <c r="G60" s="78" t="n">
        <v>2.3</v>
      </c>
    </row>
    <row r="61" customFormat="false" ht="15" hidden="false" customHeight="false" outlineLevel="0" collapsed="false">
      <c r="A61" s="53" t="s">
        <v>766</v>
      </c>
      <c r="B61" s="53" t="s">
        <v>767</v>
      </c>
      <c r="C61" s="0" t="s">
        <v>768</v>
      </c>
      <c r="D61" s="0" t="s">
        <v>744</v>
      </c>
      <c r="E61" s="72" t="s">
        <v>601</v>
      </c>
      <c r="F61" s="78" t="n">
        <v>1.6</v>
      </c>
      <c r="G61" s="78" t="n">
        <v>2.3</v>
      </c>
    </row>
    <row r="62" customFormat="false" ht="15" hidden="false" customHeight="false" outlineLevel="0" collapsed="false">
      <c r="A62" s="53" t="s">
        <v>769</v>
      </c>
      <c r="B62" s="53" t="s">
        <v>770</v>
      </c>
      <c r="C62" s="0" t="s">
        <v>771</v>
      </c>
      <c r="D62" s="0" t="s">
        <v>772</v>
      </c>
      <c r="E62" s="72" t="s">
        <v>601</v>
      </c>
      <c r="F62" s="78" t="n">
        <v>1.6</v>
      </c>
      <c r="G62" s="78" t="n">
        <v>2.3</v>
      </c>
    </row>
    <row r="63" customFormat="false" ht="15" hidden="false" customHeight="false" outlineLevel="0" collapsed="false">
      <c r="A63" s="53" t="s">
        <v>773</v>
      </c>
      <c r="B63" s="53" t="s">
        <v>774</v>
      </c>
      <c r="C63" s="0" t="s">
        <v>775</v>
      </c>
      <c r="D63" s="0" t="s">
        <v>772</v>
      </c>
      <c r="E63" s="72" t="s">
        <v>601</v>
      </c>
      <c r="F63" s="78" t="n">
        <v>1.6</v>
      </c>
      <c r="G63" s="78" t="n">
        <v>2.3</v>
      </c>
    </row>
    <row r="64" customFormat="false" ht="15" hidden="false" customHeight="false" outlineLevel="0" collapsed="false">
      <c r="A64" s="53" t="s">
        <v>776</v>
      </c>
      <c r="B64" s="53" t="s">
        <v>777</v>
      </c>
      <c r="C64" s="0" t="s">
        <v>778</v>
      </c>
      <c r="D64" s="0" t="s">
        <v>772</v>
      </c>
      <c r="E64" s="72" t="s">
        <v>601</v>
      </c>
      <c r="F64" s="78" t="n">
        <v>2.05</v>
      </c>
      <c r="G64" s="78" t="n">
        <v>2.3</v>
      </c>
    </row>
    <row r="65" customFormat="false" ht="15" hidden="false" customHeight="false" outlineLevel="0" collapsed="false">
      <c r="A65" s="53" t="s">
        <v>779</v>
      </c>
      <c r="B65" s="53" t="s">
        <v>232</v>
      </c>
      <c r="C65" s="0" t="s">
        <v>780</v>
      </c>
      <c r="D65" s="0" t="s">
        <v>772</v>
      </c>
      <c r="E65" s="72" t="s">
        <v>601</v>
      </c>
      <c r="F65" s="78" t="n">
        <v>1.6</v>
      </c>
      <c r="G65" s="78" t="n">
        <v>2.3</v>
      </c>
    </row>
    <row r="66" customFormat="false" ht="15" hidden="false" customHeight="false" outlineLevel="0" collapsed="false">
      <c r="A66" s="53" t="s">
        <v>781</v>
      </c>
      <c r="B66" s="53" t="s">
        <v>126</v>
      </c>
      <c r="C66" s="0" t="s">
        <v>782</v>
      </c>
      <c r="D66" s="0" t="s">
        <v>772</v>
      </c>
      <c r="E66" s="72" t="s">
        <v>601</v>
      </c>
      <c r="F66" s="78" t="n">
        <v>1.6</v>
      </c>
      <c r="G66" s="78" t="n">
        <v>2.3</v>
      </c>
    </row>
    <row r="67" customFormat="false" ht="15" hidden="false" customHeight="false" outlineLevel="0" collapsed="false">
      <c r="A67" s="53" t="s">
        <v>783</v>
      </c>
      <c r="B67" s="53" t="s">
        <v>784</v>
      </c>
      <c r="C67" s="0" t="s">
        <v>785</v>
      </c>
      <c r="D67" s="0" t="s">
        <v>772</v>
      </c>
      <c r="E67" s="72" t="s">
        <v>601</v>
      </c>
      <c r="F67" s="78" t="n">
        <v>1.6</v>
      </c>
      <c r="G67" s="78" t="n">
        <v>2.3</v>
      </c>
    </row>
    <row r="68" customFormat="false" ht="15" hidden="false" customHeight="false" outlineLevel="0" collapsed="false">
      <c r="A68" s="53" t="s">
        <v>786</v>
      </c>
      <c r="B68" s="53" t="s">
        <v>233</v>
      </c>
      <c r="C68" s="0" t="s">
        <v>787</v>
      </c>
      <c r="D68" s="0" t="s">
        <v>772</v>
      </c>
      <c r="E68" s="72" t="s">
        <v>601</v>
      </c>
      <c r="F68" s="78" t="n">
        <v>1.6</v>
      </c>
      <c r="G68" s="78" t="n">
        <v>2.3</v>
      </c>
    </row>
    <row r="69" customFormat="false" ht="15" hidden="false" customHeight="false" outlineLevel="0" collapsed="false">
      <c r="A69" s="53" t="s">
        <v>788</v>
      </c>
      <c r="B69" s="53" t="s">
        <v>789</v>
      </c>
      <c r="C69" s="0" t="s">
        <v>790</v>
      </c>
      <c r="D69" s="0" t="s">
        <v>772</v>
      </c>
      <c r="E69" s="72" t="s">
        <v>601</v>
      </c>
      <c r="F69" s="78" t="n">
        <v>2.2</v>
      </c>
      <c r="G69" s="78" t="n">
        <v>2.4</v>
      </c>
    </row>
    <row r="70" customFormat="false" ht="15" hidden="false" customHeight="false" outlineLevel="0" collapsed="false">
      <c r="A70" s="53" t="s">
        <v>791</v>
      </c>
      <c r="B70" s="53" t="s">
        <v>234</v>
      </c>
      <c r="C70" s="0" t="s">
        <v>792</v>
      </c>
      <c r="D70" s="0" t="s">
        <v>772</v>
      </c>
      <c r="E70" s="72" t="s">
        <v>601</v>
      </c>
      <c r="F70" s="78" t="n">
        <v>2.2</v>
      </c>
      <c r="G70" s="78" t="n">
        <v>2.4</v>
      </c>
    </row>
    <row r="71" customFormat="false" ht="15" hidden="false" customHeight="false" outlineLevel="0" collapsed="false">
      <c r="A71" s="53" t="s">
        <v>793</v>
      </c>
      <c r="B71" s="53" t="s">
        <v>794</v>
      </c>
      <c r="C71" s="0" t="s">
        <v>795</v>
      </c>
      <c r="D71" s="0" t="s">
        <v>772</v>
      </c>
      <c r="E71" s="72" t="s">
        <v>601</v>
      </c>
      <c r="F71" s="78" t="n">
        <v>1.6</v>
      </c>
      <c r="G71" s="78" t="n">
        <v>2.3</v>
      </c>
    </row>
    <row r="72" customFormat="false" ht="15" hidden="false" customHeight="false" outlineLevel="0" collapsed="false">
      <c r="A72" s="79" t="s">
        <v>796</v>
      </c>
      <c r="B72" s="53" t="s">
        <v>235</v>
      </c>
      <c r="C72" s="0" t="s">
        <v>797</v>
      </c>
      <c r="D72" s="0" t="s">
        <v>798</v>
      </c>
      <c r="E72" s="72" t="s">
        <v>601</v>
      </c>
      <c r="F72" s="78" t="n">
        <v>1.6</v>
      </c>
      <c r="G72" s="78" t="n">
        <v>2.3</v>
      </c>
    </row>
    <row r="73" customFormat="false" ht="15" hidden="false" customHeight="false" outlineLevel="0" collapsed="false">
      <c r="A73" s="79" t="s">
        <v>799</v>
      </c>
      <c r="B73" s="53" t="s">
        <v>800</v>
      </c>
      <c r="C73" s="0" t="s">
        <v>801</v>
      </c>
      <c r="D73" s="0" t="s">
        <v>798</v>
      </c>
      <c r="E73" s="72" t="s">
        <v>601</v>
      </c>
      <c r="F73" s="78" t="n">
        <v>1.6</v>
      </c>
      <c r="G73" s="78" t="n">
        <v>2.3</v>
      </c>
    </row>
    <row r="74" customFormat="false" ht="15" hidden="false" customHeight="false" outlineLevel="0" collapsed="false">
      <c r="A74" s="79" t="s">
        <v>802</v>
      </c>
      <c r="B74" s="53" t="s">
        <v>803</v>
      </c>
      <c r="C74" s="0" t="s">
        <v>804</v>
      </c>
      <c r="D74" s="0" t="s">
        <v>798</v>
      </c>
      <c r="E74" s="72" t="s">
        <v>601</v>
      </c>
      <c r="F74" s="78" t="n">
        <v>1.6</v>
      </c>
      <c r="G74" s="78" t="n">
        <v>2.3</v>
      </c>
    </row>
    <row r="75" customFormat="false" ht="15" hidden="false" customHeight="false" outlineLevel="0" collapsed="false">
      <c r="A75" s="79" t="s">
        <v>805</v>
      </c>
      <c r="B75" s="53" t="s">
        <v>236</v>
      </c>
      <c r="C75" s="0" t="s">
        <v>806</v>
      </c>
      <c r="D75" s="0" t="s">
        <v>798</v>
      </c>
      <c r="E75" s="72" t="s">
        <v>610</v>
      </c>
      <c r="F75" s="78" t="n">
        <v>1.6</v>
      </c>
      <c r="G75" s="78" t="n">
        <v>1.8</v>
      </c>
    </row>
    <row r="76" customFormat="false" ht="15" hidden="false" customHeight="false" outlineLevel="0" collapsed="false">
      <c r="A76" s="79" t="s">
        <v>807</v>
      </c>
      <c r="B76" s="53" t="s">
        <v>808</v>
      </c>
      <c r="C76" s="0" t="s">
        <v>809</v>
      </c>
      <c r="D76" s="0" t="s">
        <v>798</v>
      </c>
      <c r="E76" s="72" t="s">
        <v>601</v>
      </c>
      <c r="F76" s="78" t="n">
        <v>1.6</v>
      </c>
      <c r="G76" s="78" t="n">
        <v>2.3</v>
      </c>
    </row>
    <row r="77" customFormat="false" ht="15" hidden="false" customHeight="false" outlineLevel="0" collapsed="false">
      <c r="A77" s="79" t="s">
        <v>810</v>
      </c>
      <c r="B77" s="53" t="s">
        <v>811</v>
      </c>
      <c r="C77" s="0" t="s">
        <v>812</v>
      </c>
      <c r="D77" s="0" t="s">
        <v>813</v>
      </c>
      <c r="E77" s="72" t="s">
        <v>601</v>
      </c>
      <c r="F77" s="78" t="n">
        <v>1.6</v>
      </c>
      <c r="G77" s="78" t="n">
        <v>2.3</v>
      </c>
    </row>
    <row r="78" customFormat="false" ht="15" hidden="false" customHeight="false" outlineLevel="0" collapsed="false">
      <c r="A78" s="79" t="s">
        <v>814</v>
      </c>
      <c r="B78" s="53" t="s">
        <v>815</v>
      </c>
      <c r="C78" s="0" t="s">
        <v>816</v>
      </c>
      <c r="D78" s="0" t="s">
        <v>813</v>
      </c>
      <c r="E78" s="72" t="s">
        <v>601</v>
      </c>
      <c r="F78" s="78" t="n">
        <v>1.6</v>
      </c>
      <c r="G78" s="78" t="n">
        <v>2.3</v>
      </c>
    </row>
    <row r="79" customFormat="false" ht="15" hidden="false" customHeight="false" outlineLevel="0" collapsed="false">
      <c r="A79" s="79" t="s">
        <v>817</v>
      </c>
      <c r="B79" s="53" t="s">
        <v>818</v>
      </c>
      <c r="C79" s="0" t="s">
        <v>819</v>
      </c>
      <c r="D79" s="0" t="s">
        <v>813</v>
      </c>
      <c r="E79" s="72" t="s">
        <v>601</v>
      </c>
      <c r="F79" s="78" t="n">
        <v>1.85</v>
      </c>
      <c r="G79" s="78" t="n">
        <v>2.3</v>
      </c>
    </row>
    <row r="80" customFormat="false" ht="15" hidden="false" customHeight="false" outlineLevel="0" collapsed="false">
      <c r="A80" s="79" t="s">
        <v>820</v>
      </c>
      <c r="B80" s="53" t="s">
        <v>127</v>
      </c>
      <c r="C80" s="0" t="s">
        <v>821</v>
      </c>
      <c r="D80" s="0" t="s">
        <v>813</v>
      </c>
      <c r="E80" s="72" t="s">
        <v>610</v>
      </c>
      <c r="F80" s="78" t="n">
        <v>1.6</v>
      </c>
      <c r="G80" s="78" t="n">
        <v>1.9</v>
      </c>
    </row>
    <row r="81" customFormat="false" ht="15" hidden="false" customHeight="false" outlineLevel="0" collapsed="false">
      <c r="A81" s="79" t="s">
        <v>822</v>
      </c>
      <c r="B81" s="53" t="s">
        <v>237</v>
      </c>
      <c r="C81" s="0" t="s">
        <v>823</v>
      </c>
      <c r="D81" s="0" t="s">
        <v>813</v>
      </c>
      <c r="E81" s="72" t="s">
        <v>601</v>
      </c>
      <c r="F81" s="78" t="n">
        <v>1.85</v>
      </c>
      <c r="G81" s="78" t="n">
        <v>2.3</v>
      </c>
    </row>
    <row r="82" customFormat="false" ht="15" hidden="false" customHeight="false" outlineLevel="0" collapsed="false">
      <c r="A82" s="79" t="s">
        <v>824</v>
      </c>
      <c r="B82" s="53" t="s">
        <v>825</v>
      </c>
      <c r="C82" s="0" t="s">
        <v>826</v>
      </c>
      <c r="D82" s="0" t="s">
        <v>813</v>
      </c>
      <c r="E82" s="72" t="s">
        <v>601</v>
      </c>
      <c r="F82" s="78" t="n">
        <v>1.6</v>
      </c>
      <c r="G82" s="78" t="n">
        <v>2.3</v>
      </c>
    </row>
    <row r="83" customFormat="false" ht="15" hidden="false" customHeight="false" outlineLevel="0" collapsed="false">
      <c r="A83" s="79" t="s">
        <v>827</v>
      </c>
      <c r="B83" s="53" t="s">
        <v>828</v>
      </c>
      <c r="C83" s="0" t="s">
        <v>829</v>
      </c>
      <c r="D83" s="0" t="s">
        <v>830</v>
      </c>
      <c r="E83" s="72" t="s">
        <v>601</v>
      </c>
      <c r="F83" s="78" t="n">
        <v>1.6</v>
      </c>
      <c r="G83" s="78" t="n">
        <v>2.3</v>
      </c>
    </row>
    <row r="84" customFormat="false" ht="15" hidden="false" customHeight="false" outlineLevel="0" collapsed="false">
      <c r="A84" s="79" t="s">
        <v>831</v>
      </c>
      <c r="B84" s="53" t="s">
        <v>128</v>
      </c>
      <c r="C84" s="0" t="s">
        <v>832</v>
      </c>
      <c r="D84" s="0" t="s">
        <v>833</v>
      </c>
      <c r="E84" s="72" t="s">
        <v>678</v>
      </c>
      <c r="F84" s="78" t="n">
        <v>1.85</v>
      </c>
      <c r="G84" s="78" t="n">
        <v>2.15</v>
      </c>
    </row>
    <row r="85" customFormat="false" ht="15" hidden="false" customHeight="false" outlineLevel="0" collapsed="false">
      <c r="A85" s="79" t="s">
        <v>834</v>
      </c>
      <c r="B85" s="53" t="s">
        <v>238</v>
      </c>
      <c r="C85" s="0" t="s">
        <v>835</v>
      </c>
      <c r="D85" s="0" t="s">
        <v>833</v>
      </c>
      <c r="E85" s="72" t="s">
        <v>610</v>
      </c>
      <c r="F85" s="78" t="n">
        <v>1.6</v>
      </c>
      <c r="G85" s="78" t="n">
        <v>1.75</v>
      </c>
    </row>
    <row r="86" customFormat="false" ht="15" hidden="false" customHeight="false" outlineLevel="0" collapsed="false">
      <c r="A86" s="79" t="s">
        <v>836</v>
      </c>
      <c r="B86" s="53" t="s">
        <v>239</v>
      </c>
      <c r="C86" s="0" t="s">
        <v>837</v>
      </c>
      <c r="D86" s="0" t="s">
        <v>833</v>
      </c>
      <c r="E86" s="72" t="s">
        <v>678</v>
      </c>
      <c r="F86" s="78" t="n">
        <v>1.85</v>
      </c>
      <c r="G86" s="78" t="n">
        <v>2.15</v>
      </c>
    </row>
    <row r="87" customFormat="false" ht="15" hidden="false" customHeight="false" outlineLevel="0" collapsed="false">
      <c r="A87" s="79" t="s">
        <v>838</v>
      </c>
      <c r="B87" s="53" t="s">
        <v>129</v>
      </c>
      <c r="C87" s="0" t="s">
        <v>839</v>
      </c>
      <c r="D87" s="0" t="s">
        <v>833</v>
      </c>
      <c r="E87" s="72" t="s">
        <v>601</v>
      </c>
      <c r="F87" s="78" t="n">
        <v>2.1</v>
      </c>
      <c r="G87" s="78" t="n">
        <v>2.25</v>
      </c>
    </row>
    <row r="88" customFormat="false" ht="15" hidden="false" customHeight="false" outlineLevel="0" collapsed="false">
      <c r="A88" s="79" t="s">
        <v>840</v>
      </c>
      <c r="B88" s="53" t="s">
        <v>841</v>
      </c>
      <c r="C88" s="0" t="s">
        <v>842</v>
      </c>
      <c r="D88" s="0" t="s">
        <v>843</v>
      </c>
      <c r="E88" s="72" t="s">
        <v>601</v>
      </c>
      <c r="F88" s="78" t="n">
        <v>1.6</v>
      </c>
      <c r="G88" s="78" t="n">
        <v>2.3</v>
      </c>
    </row>
    <row r="89" customFormat="false" ht="15" hidden="false" customHeight="false" outlineLevel="0" collapsed="false">
      <c r="A89" s="79" t="s">
        <v>844</v>
      </c>
      <c r="B89" s="53" t="s">
        <v>240</v>
      </c>
      <c r="C89" s="0" t="s">
        <v>845</v>
      </c>
      <c r="D89" s="0" t="s">
        <v>843</v>
      </c>
      <c r="E89" s="72" t="s">
        <v>601</v>
      </c>
      <c r="F89" s="78" t="n">
        <v>1.6</v>
      </c>
      <c r="G89" s="78" t="n">
        <v>2.3</v>
      </c>
    </row>
    <row r="90" customFormat="false" ht="15" hidden="false" customHeight="false" outlineLevel="0" collapsed="false">
      <c r="A90" s="79" t="s">
        <v>846</v>
      </c>
      <c r="B90" s="53" t="s">
        <v>130</v>
      </c>
      <c r="C90" s="0" t="s">
        <v>847</v>
      </c>
      <c r="D90" s="0" t="s">
        <v>843</v>
      </c>
      <c r="E90" s="72" t="s">
        <v>601</v>
      </c>
      <c r="F90" s="78" t="n">
        <v>1.95</v>
      </c>
      <c r="G90" s="78" t="n">
        <v>2.4</v>
      </c>
    </row>
    <row r="91" customFormat="false" ht="15" hidden="false" customHeight="false" outlineLevel="0" collapsed="false">
      <c r="A91" s="79" t="s">
        <v>848</v>
      </c>
      <c r="B91" s="53" t="s">
        <v>241</v>
      </c>
      <c r="C91" s="0" t="s">
        <v>849</v>
      </c>
      <c r="D91" s="0" t="s">
        <v>843</v>
      </c>
      <c r="E91" s="72" t="s">
        <v>601</v>
      </c>
      <c r="F91" s="78" t="n">
        <v>1.6</v>
      </c>
      <c r="G91" s="78" t="n">
        <v>2.3</v>
      </c>
    </row>
    <row r="92" customFormat="false" ht="15" hidden="false" customHeight="false" outlineLevel="0" collapsed="false">
      <c r="A92" s="79" t="s">
        <v>850</v>
      </c>
      <c r="B92" s="53" t="s">
        <v>851</v>
      </c>
      <c r="C92" s="0" t="s">
        <v>852</v>
      </c>
      <c r="D92" s="0" t="s">
        <v>853</v>
      </c>
      <c r="E92" s="72" t="s">
        <v>610</v>
      </c>
      <c r="F92" s="78" t="n">
        <v>1.6</v>
      </c>
      <c r="G92" s="78" t="n">
        <v>1.65</v>
      </c>
    </row>
    <row r="93" customFormat="false" ht="15" hidden="false" customHeight="false" outlineLevel="0" collapsed="false">
      <c r="A93" s="79" t="s">
        <v>854</v>
      </c>
      <c r="B93" s="53" t="s">
        <v>242</v>
      </c>
      <c r="C93" s="0" t="s">
        <v>855</v>
      </c>
      <c r="D93" s="0" t="s">
        <v>853</v>
      </c>
      <c r="E93" s="72" t="s">
        <v>601</v>
      </c>
      <c r="F93" s="78" t="n">
        <v>1.6</v>
      </c>
      <c r="G93" s="78" t="n">
        <v>2.3</v>
      </c>
    </row>
    <row r="94" customFormat="false" ht="15" hidden="false" customHeight="false" outlineLevel="0" collapsed="false">
      <c r="A94" s="79" t="s">
        <v>856</v>
      </c>
      <c r="B94" s="53" t="s">
        <v>131</v>
      </c>
      <c r="C94" s="0" t="s">
        <v>857</v>
      </c>
      <c r="D94" s="0" t="s">
        <v>853</v>
      </c>
      <c r="E94" s="72" t="s">
        <v>601</v>
      </c>
      <c r="F94" s="78" t="n">
        <v>1.6</v>
      </c>
      <c r="G94" s="78" t="n">
        <v>2.3</v>
      </c>
    </row>
    <row r="95" customFormat="false" ht="15" hidden="false" customHeight="false" outlineLevel="0" collapsed="false">
      <c r="A95" s="79" t="s">
        <v>858</v>
      </c>
      <c r="B95" s="53" t="s">
        <v>243</v>
      </c>
      <c r="C95" s="0" t="s">
        <v>859</v>
      </c>
      <c r="D95" s="0" t="s">
        <v>853</v>
      </c>
      <c r="E95" s="72" t="s">
        <v>601</v>
      </c>
      <c r="F95" s="78" t="n">
        <v>1.6</v>
      </c>
      <c r="G95" s="78" t="n">
        <v>2.3</v>
      </c>
    </row>
    <row r="96" customFormat="false" ht="15" hidden="false" customHeight="false" outlineLevel="0" collapsed="false">
      <c r="A96" s="79" t="s">
        <v>860</v>
      </c>
      <c r="B96" s="53" t="s">
        <v>861</v>
      </c>
      <c r="C96" s="0" t="s">
        <v>862</v>
      </c>
      <c r="D96" s="0" t="s">
        <v>853</v>
      </c>
      <c r="E96" s="72" t="s">
        <v>601</v>
      </c>
      <c r="F96" s="78" t="n">
        <v>1.6</v>
      </c>
      <c r="G96" s="78" t="n">
        <v>2.3</v>
      </c>
    </row>
    <row r="97" customFormat="false" ht="15" hidden="false" customHeight="false" outlineLevel="0" collapsed="false">
      <c r="A97" s="79" t="s">
        <v>863</v>
      </c>
      <c r="B97" s="53" t="s">
        <v>244</v>
      </c>
      <c r="C97" s="0" t="s">
        <v>864</v>
      </c>
      <c r="D97" s="0" t="s">
        <v>853</v>
      </c>
      <c r="E97" s="72" t="s">
        <v>601</v>
      </c>
      <c r="F97" s="78" t="n">
        <v>1.6</v>
      </c>
      <c r="G97" s="78" t="n">
        <v>2.3</v>
      </c>
    </row>
    <row r="98" customFormat="false" ht="15" hidden="false" customHeight="false" outlineLevel="0" collapsed="false">
      <c r="A98" s="79" t="s">
        <v>865</v>
      </c>
      <c r="B98" s="53" t="s">
        <v>866</v>
      </c>
      <c r="C98" s="0" t="s">
        <v>867</v>
      </c>
      <c r="D98" s="0" t="s">
        <v>868</v>
      </c>
      <c r="E98" s="72" t="s">
        <v>678</v>
      </c>
      <c r="F98" s="78" t="n">
        <v>1.65</v>
      </c>
      <c r="G98" s="78" t="n">
        <v>2.4</v>
      </c>
    </row>
    <row r="99" customFormat="false" ht="15" hidden="false" customHeight="false" outlineLevel="0" collapsed="false">
      <c r="A99" s="79" t="s">
        <v>869</v>
      </c>
      <c r="B99" s="53" t="s">
        <v>245</v>
      </c>
      <c r="C99" s="0" t="s">
        <v>870</v>
      </c>
      <c r="D99" s="0" t="s">
        <v>871</v>
      </c>
      <c r="E99" s="72" t="s">
        <v>601</v>
      </c>
      <c r="F99" s="78" t="n">
        <v>1.6</v>
      </c>
      <c r="G99" s="78" t="n">
        <v>2.3</v>
      </c>
    </row>
    <row r="100" customFormat="false" ht="15" hidden="false" customHeight="false" outlineLevel="0" collapsed="false">
      <c r="A100" s="79" t="s">
        <v>872</v>
      </c>
      <c r="B100" s="53" t="s">
        <v>873</v>
      </c>
      <c r="C100" s="0" t="s">
        <v>874</v>
      </c>
      <c r="D100" s="0" t="s">
        <v>871</v>
      </c>
      <c r="E100" s="72" t="s">
        <v>601</v>
      </c>
      <c r="F100" s="78" t="n">
        <v>1.6</v>
      </c>
      <c r="G100" s="78" t="n">
        <v>2.3</v>
      </c>
    </row>
    <row r="101" customFormat="false" ht="15" hidden="false" customHeight="false" outlineLevel="0" collapsed="false">
      <c r="A101" s="79" t="s">
        <v>875</v>
      </c>
      <c r="B101" s="53" t="s">
        <v>132</v>
      </c>
      <c r="C101" s="0" t="s">
        <v>876</v>
      </c>
      <c r="D101" s="0" t="s">
        <v>871</v>
      </c>
      <c r="E101" s="72" t="s">
        <v>678</v>
      </c>
      <c r="F101" s="78" t="n">
        <v>1.8</v>
      </c>
      <c r="G101" s="78" t="n">
        <v>2.15</v>
      </c>
    </row>
    <row r="102" customFormat="false" ht="15" hidden="false" customHeight="false" outlineLevel="0" collapsed="false">
      <c r="A102" s="79" t="s">
        <v>877</v>
      </c>
      <c r="B102" s="53" t="s">
        <v>878</v>
      </c>
      <c r="C102" s="0" t="s">
        <v>879</v>
      </c>
      <c r="D102" s="0" t="s">
        <v>871</v>
      </c>
      <c r="E102" s="72" t="s">
        <v>678</v>
      </c>
      <c r="F102" s="78" t="n">
        <v>1.8</v>
      </c>
      <c r="G102" s="78" t="n">
        <v>2.15</v>
      </c>
    </row>
    <row r="103" customFormat="false" ht="15" hidden="false" customHeight="false" outlineLevel="0" collapsed="false">
      <c r="A103" s="79" t="s">
        <v>880</v>
      </c>
      <c r="B103" s="53" t="s">
        <v>881</v>
      </c>
      <c r="C103" s="0" t="s">
        <v>882</v>
      </c>
      <c r="D103" s="0" t="s">
        <v>871</v>
      </c>
      <c r="E103" s="72" t="s">
        <v>601</v>
      </c>
      <c r="F103" s="78" t="n">
        <v>1.9</v>
      </c>
      <c r="G103" s="78" t="n">
        <v>2.15</v>
      </c>
    </row>
    <row r="104" customFormat="false" ht="15" hidden="false" customHeight="false" outlineLevel="0" collapsed="false">
      <c r="A104" s="79" t="s">
        <v>883</v>
      </c>
      <c r="B104" s="53" t="s">
        <v>133</v>
      </c>
      <c r="C104" s="0" t="s">
        <v>884</v>
      </c>
      <c r="D104" s="0" t="s">
        <v>871</v>
      </c>
      <c r="E104" s="72" t="s">
        <v>601</v>
      </c>
      <c r="F104" s="78" t="n">
        <v>1.9</v>
      </c>
      <c r="G104" s="78" t="n">
        <v>2.15</v>
      </c>
    </row>
    <row r="105" customFormat="false" ht="15" hidden="false" customHeight="false" outlineLevel="0" collapsed="false">
      <c r="A105" s="79" t="s">
        <v>885</v>
      </c>
      <c r="B105" s="53" t="s">
        <v>246</v>
      </c>
      <c r="C105" s="0" t="s">
        <v>886</v>
      </c>
      <c r="D105" s="0" t="s">
        <v>871</v>
      </c>
      <c r="E105" s="72" t="s">
        <v>601</v>
      </c>
      <c r="F105" s="78" t="n">
        <v>1.6</v>
      </c>
      <c r="G105" s="78" t="n">
        <v>2.3</v>
      </c>
    </row>
    <row r="106" customFormat="false" ht="15" hidden="false" customHeight="false" outlineLevel="0" collapsed="false">
      <c r="A106" s="79" t="s">
        <v>887</v>
      </c>
      <c r="B106" s="53" t="s">
        <v>888</v>
      </c>
      <c r="C106" s="0" t="s">
        <v>889</v>
      </c>
      <c r="D106" s="0" t="s">
        <v>871</v>
      </c>
      <c r="E106" s="72" t="s">
        <v>601</v>
      </c>
      <c r="F106" s="78" t="n">
        <v>1.9</v>
      </c>
      <c r="G106" s="78" t="n">
        <v>2.15</v>
      </c>
    </row>
    <row r="107" customFormat="false" ht="15" hidden="false" customHeight="false" outlineLevel="0" collapsed="false">
      <c r="A107" s="79" t="s">
        <v>890</v>
      </c>
      <c r="B107" s="53" t="s">
        <v>891</v>
      </c>
      <c r="C107" s="0" t="s">
        <v>892</v>
      </c>
      <c r="D107" s="0" t="s">
        <v>871</v>
      </c>
      <c r="E107" s="72" t="s">
        <v>610</v>
      </c>
      <c r="F107" s="78" t="n">
        <v>1.6</v>
      </c>
      <c r="G107" s="78" t="n">
        <v>1.75</v>
      </c>
    </row>
    <row r="108" customFormat="false" ht="15" hidden="false" customHeight="false" outlineLevel="0" collapsed="false">
      <c r="A108" s="79" t="s">
        <v>893</v>
      </c>
      <c r="B108" s="53" t="s">
        <v>894</v>
      </c>
      <c r="C108" s="0" t="s">
        <v>895</v>
      </c>
      <c r="D108" s="0" t="s">
        <v>871</v>
      </c>
      <c r="E108" s="72" t="s">
        <v>601</v>
      </c>
      <c r="F108" s="78" t="n">
        <v>1.6</v>
      </c>
      <c r="G108" s="78" t="n">
        <v>2.3</v>
      </c>
    </row>
    <row r="109" customFormat="false" ht="15" hidden="false" customHeight="false" outlineLevel="0" collapsed="false">
      <c r="A109" s="79" t="s">
        <v>896</v>
      </c>
      <c r="B109" s="53" t="s">
        <v>897</v>
      </c>
      <c r="C109" s="0" t="s">
        <v>898</v>
      </c>
      <c r="D109" s="0" t="s">
        <v>899</v>
      </c>
      <c r="E109" s="72" t="s">
        <v>601</v>
      </c>
      <c r="F109" s="78" t="n">
        <v>1.6</v>
      </c>
      <c r="G109" s="78" t="n">
        <v>2.3</v>
      </c>
    </row>
    <row r="110" customFormat="false" ht="15" hidden="false" customHeight="false" outlineLevel="0" collapsed="false">
      <c r="A110" s="79" t="s">
        <v>900</v>
      </c>
      <c r="B110" s="53" t="s">
        <v>901</v>
      </c>
      <c r="C110" s="0" t="s">
        <v>902</v>
      </c>
      <c r="D110" s="0" t="s">
        <v>899</v>
      </c>
      <c r="E110" s="72" t="s">
        <v>601</v>
      </c>
      <c r="F110" s="78" t="n">
        <v>1.6</v>
      </c>
      <c r="G110" s="78" t="n">
        <v>2.3</v>
      </c>
    </row>
    <row r="111" customFormat="false" ht="15" hidden="false" customHeight="false" outlineLevel="0" collapsed="false">
      <c r="A111" s="79" t="s">
        <v>903</v>
      </c>
      <c r="B111" s="53" t="s">
        <v>248</v>
      </c>
      <c r="C111" s="0" t="s">
        <v>904</v>
      </c>
      <c r="D111" s="0" t="s">
        <v>899</v>
      </c>
      <c r="E111" s="72" t="s">
        <v>601</v>
      </c>
      <c r="F111" s="78" t="n">
        <v>1.6</v>
      </c>
      <c r="G111" s="78" t="n">
        <v>2.3</v>
      </c>
    </row>
    <row r="112" customFormat="false" ht="15" hidden="false" customHeight="false" outlineLevel="0" collapsed="false">
      <c r="A112" s="79" t="s">
        <v>905</v>
      </c>
      <c r="B112" s="53" t="s">
        <v>906</v>
      </c>
      <c r="C112" s="0" t="s">
        <v>907</v>
      </c>
      <c r="D112" s="0" t="s">
        <v>899</v>
      </c>
      <c r="E112" s="72" t="s">
        <v>601</v>
      </c>
      <c r="F112" s="78" t="n">
        <v>1.6</v>
      </c>
      <c r="G112" s="78" t="n">
        <v>2.3</v>
      </c>
    </row>
    <row r="113" customFormat="false" ht="15" hidden="false" customHeight="false" outlineLevel="0" collapsed="false">
      <c r="A113" s="79" t="s">
        <v>908</v>
      </c>
      <c r="B113" s="53" t="s">
        <v>909</v>
      </c>
      <c r="C113" s="0" t="s">
        <v>910</v>
      </c>
      <c r="D113" s="0" t="s">
        <v>899</v>
      </c>
      <c r="E113" s="72" t="s">
        <v>601</v>
      </c>
      <c r="F113" s="78" t="n">
        <v>1.6</v>
      </c>
      <c r="G113" s="78" t="n">
        <v>2.3</v>
      </c>
    </row>
    <row r="114" customFormat="false" ht="15" hidden="false" customHeight="false" outlineLevel="0" collapsed="false">
      <c r="A114" s="79" t="s">
        <v>911</v>
      </c>
      <c r="B114" s="53" t="s">
        <v>912</v>
      </c>
      <c r="C114" s="0" t="s">
        <v>913</v>
      </c>
      <c r="D114" s="0" t="s">
        <v>899</v>
      </c>
      <c r="E114" s="72" t="s">
        <v>601</v>
      </c>
      <c r="F114" s="78" t="n">
        <v>1.6</v>
      </c>
      <c r="G114" s="78" t="n">
        <v>2.3</v>
      </c>
    </row>
    <row r="115" customFormat="false" ht="15" hidden="false" customHeight="false" outlineLevel="0" collapsed="false">
      <c r="A115" s="79" t="s">
        <v>914</v>
      </c>
      <c r="B115" s="53" t="s">
        <v>915</v>
      </c>
      <c r="C115" s="0" t="s">
        <v>916</v>
      </c>
      <c r="D115" s="0" t="s">
        <v>899</v>
      </c>
      <c r="E115" s="72" t="s">
        <v>601</v>
      </c>
      <c r="F115" s="78" t="n">
        <v>1.6</v>
      </c>
      <c r="G115" s="78" t="n">
        <v>2.3</v>
      </c>
    </row>
    <row r="116" customFormat="false" ht="15" hidden="false" customHeight="false" outlineLevel="0" collapsed="false">
      <c r="A116" s="79" t="s">
        <v>917</v>
      </c>
      <c r="B116" s="53" t="s">
        <v>136</v>
      </c>
      <c r="C116" s="0" t="s">
        <v>918</v>
      </c>
      <c r="D116" s="0" t="s">
        <v>899</v>
      </c>
      <c r="E116" s="72" t="s">
        <v>678</v>
      </c>
      <c r="F116" s="78" t="n">
        <v>1.9</v>
      </c>
      <c r="G116" s="78" t="n">
        <v>2.2</v>
      </c>
    </row>
    <row r="117" customFormat="false" ht="15" hidden="false" customHeight="false" outlineLevel="0" collapsed="false">
      <c r="A117" s="79" t="s">
        <v>919</v>
      </c>
      <c r="B117" s="53" t="s">
        <v>250</v>
      </c>
      <c r="C117" s="0" t="s">
        <v>920</v>
      </c>
      <c r="D117" s="0" t="s">
        <v>899</v>
      </c>
      <c r="E117" s="72" t="s">
        <v>610</v>
      </c>
      <c r="F117" s="78" t="n">
        <v>1.6</v>
      </c>
      <c r="G117" s="78" t="n">
        <v>1.75</v>
      </c>
    </row>
    <row r="118" customFormat="false" ht="15" hidden="false" customHeight="false" outlineLevel="0" collapsed="false">
      <c r="A118" s="79" t="s">
        <v>921</v>
      </c>
      <c r="B118" s="53" t="s">
        <v>922</v>
      </c>
      <c r="C118" s="0" t="s">
        <v>923</v>
      </c>
      <c r="D118" s="0" t="s">
        <v>899</v>
      </c>
      <c r="E118" s="72" t="s">
        <v>610</v>
      </c>
      <c r="F118" s="78" t="n">
        <v>1.6</v>
      </c>
      <c r="G118" s="78" t="n">
        <v>1.75</v>
      </c>
    </row>
    <row r="119" customFormat="false" ht="15" hidden="false" customHeight="false" outlineLevel="0" collapsed="false">
      <c r="A119" s="79" t="s">
        <v>924</v>
      </c>
      <c r="B119" s="53" t="s">
        <v>925</v>
      </c>
      <c r="C119" s="0" t="s">
        <v>926</v>
      </c>
      <c r="D119" s="0" t="s">
        <v>899</v>
      </c>
      <c r="E119" s="72" t="s">
        <v>678</v>
      </c>
      <c r="F119" s="78" t="n">
        <v>1.8</v>
      </c>
      <c r="G119" s="78" t="n">
        <v>2.15</v>
      </c>
    </row>
    <row r="120" customFormat="false" ht="15" hidden="false" customHeight="false" outlineLevel="0" collapsed="false">
      <c r="A120" s="79" t="s">
        <v>927</v>
      </c>
      <c r="B120" s="53" t="s">
        <v>137</v>
      </c>
      <c r="C120" s="0" t="s">
        <v>928</v>
      </c>
      <c r="D120" s="0" t="s">
        <v>899</v>
      </c>
      <c r="E120" s="72" t="s">
        <v>678</v>
      </c>
      <c r="F120" s="78" t="n">
        <v>1.7</v>
      </c>
      <c r="G120" s="78" t="n">
        <v>1.95</v>
      </c>
    </row>
    <row r="121" customFormat="false" ht="15" hidden="false" customHeight="false" outlineLevel="0" collapsed="false">
      <c r="A121" s="79" t="s">
        <v>929</v>
      </c>
      <c r="B121" s="53" t="s">
        <v>251</v>
      </c>
      <c r="C121" s="0" t="s">
        <v>930</v>
      </c>
      <c r="D121" s="0" t="s">
        <v>931</v>
      </c>
      <c r="E121" s="72" t="s">
        <v>601</v>
      </c>
      <c r="F121" s="78" t="n">
        <v>1.6</v>
      </c>
      <c r="G121" s="78" t="n">
        <v>2.3</v>
      </c>
    </row>
    <row r="122" customFormat="false" ht="15" hidden="false" customHeight="false" outlineLevel="0" collapsed="false">
      <c r="A122" s="79" t="s">
        <v>932</v>
      </c>
      <c r="B122" s="53" t="s">
        <v>933</v>
      </c>
      <c r="C122" s="0" t="s">
        <v>930</v>
      </c>
      <c r="D122" s="0" t="s">
        <v>931</v>
      </c>
      <c r="E122" s="72" t="s">
        <v>601</v>
      </c>
      <c r="F122" s="78" t="n">
        <v>1.6</v>
      </c>
      <c r="G122" s="78" t="n">
        <v>2.3</v>
      </c>
    </row>
    <row r="123" customFormat="false" ht="15" hidden="false" customHeight="false" outlineLevel="0" collapsed="false">
      <c r="A123" s="79" t="s">
        <v>934</v>
      </c>
      <c r="B123" s="53" t="s">
        <v>935</v>
      </c>
      <c r="C123" s="0" t="s">
        <v>936</v>
      </c>
      <c r="D123" s="0" t="s">
        <v>937</v>
      </c>
      <c r="E123" s="72" t="s">
        <v>601</v>
      </c>
      <c r="F123" s="78" t="n">
        <v>1.6</v>
      </c>
      <c r="G123" s="78" t="n">
        <v>2.3</v>
      </c>
    </row>
    <row r="124" customFormat="false" ht="15" hidden="false" customHeight="false" outlineLevel="0" collapsed="false">
      <c r="A124" s="79" t="s">
        <v>938</v>
      </c>
      <c r="B124" s="53" t="s">
        <v>138</v>
      </c>
      <c r="C124" s="0" t="s">
        <v>939</v>
      </c>
      <c r="D124" s="0" t="s">
        <v>940</v>
      </c>
      <c r="E124" s="72" t="s">
        <v>601</v>
      </c>
      <c r="F124" s="78" t="n">
        <v>1.6</v>
      </c>
      <c r="G124" s="78" t="n">
        <v>2.3</v>
      </c>
    </row>
    <row r="125" customFormat="false" ht="15" hidden="false" customHeight="false" outlineLevel="0" collapsed="false">
      <c r="A125" s="53" t="s">
        <v>941</v>
      </c>
      <c r="B125" s="53" t="s">
        <v>139</v>
      </c>
      <c r="C125" s="0" t="s">
        <v>942</v>
      </c>
      <c r="D125" s="0" t="s">
        <v>943</v>
      </c>
      <c r="E125" s="72" t="s">
        <v>610</v>
      </c>
      <c r="F125" s="78" t="n">
        <v>1.6</v>
      </c>
      <c r="G125" s="78" t="n">
        <v>1.75</v>
      </c>
    </row>
    <row r="126" customFormat="false" ht="15" hidden="false" customHeight="false" outlineLevel="0" collapsed="false">
      <c r="A126" s="53" t="s">
        <v>944</v>
      </c>
      <c r="B126" s="53" t="s">
        <v>252</v>
      </c>
      <c r="C126" s="0" t="s">
        <v>942</v>
      </c>
      <c r="D126" s="0" t="s">
        <v>943</v>
      </c>
      <c r="E126" s="72" t="s">
        <v>610</v>
      </c>
      <c r="F126" s="78" t="n">
        <v>1.6</v>
      </c>
      <c r="G126" s="78" t="n">
        <v>1.75</v>
      </c>
    </row>
    <row r="127" customFormat="false" ht="15" hidden="false" customHeight="false" outlineLevel="0" collapsed="false">
      <c r="A127" s="53" t="s">
        <v>945</v>
      </c>
      <c r="B127" s="53" t="s">
        <v>946</v>
      </c>
      <c r="C127" s="0" t="s">
        <v>947</v>
      </c>
      <c r="D127" s="0" t="s">
        <v>943</v>
      </c>
      <c r="E127" s="72" t="s">
        <v>610</v>
      </c>
      <c r="F127" s="78" t="n">
        <v>1.6</v>
      </c>
      <c r="G127" s="78" t="n">
        <v>1.75</v>
      </c>
    </row>
    <row r="128" customFormat="false" ht="15" hidden="false" customHeight="false" outlineLevel="0" collapsed="false">
      <c r="A128" s="53" t="s">
        <v>948</v>
      </c>
      <c r="B128" s="53" t="s">
        <v>949</v>
      </c>
      <c r="C128" s="0" t="s">
        <v>950</v>
      </c>
      <c r="D128" s="0" t="s">
        <v>943</v>
      </c>
      <c r="E128" s="72" t="s">
        <v>678</v>
      </c>
      <c r="F128" s="78" t="n">
        <v>1.8</v>
      </c>
      <c r="G128" s="78" t="n">
        <v>2.1</v>
      </c>
    </row>
    <row r="129" customFormat="false" ht="15" hidden="false" customHeight="false" outlineLevel="0" collapsed="false">
      <c r="A129" s="53" t="s">
        <v>951</v>
      </c>
      <c r="B129" s="53" t="s">
        <v>140</v>
      </c>
      <c r="C129" s="0" t="s">
        <v>952</v>
      </c>
      <c r="D129" s="0" t="s">
        <v>943</v>
      </c>
      <c r="E129" s="72" t="s">
        <v>678</v>
      </c>
      <c r="F129" s="78" t="n">
        <v>1.8</v>
      </c>
      <c r="G129" s="78" t="n">
        <v>2.2</v>
      </c>
    </row>
    <row r="130" customFormat="false" ht="15" hidden="false" customHeight="false" outlineLevel="0" collapsed="false">
      <c r="A130" s="53" t="s">
        <v>953</v>
      </c>
      <c r="B130" s="53" t="s">
        <v>253</v>
      </c>
      <c r="C130" s="0" t="s">
        <v>952</v>
      </c>
      <c r="D130" s="0" t="s">
        <v>943</v>
      </c>
      <c r="E130" s="72" t="s">
        <v>678</v>
      </c>
      <c r="F130" s="78" t="n">
        <v>1.8</v>
      </c>
      <c r="G130" s="78" t="n">
        <v>2.2</v>
      </c>
    </row>
    <row r="131" customFormat="false" ht="15" hidden="false" customHeight="false" outlineLevel="0" collapsed="false">
      <c r="A131" s="53" t="s">
        <v>954</v>
      </c>
      <c r="B131" s="53" t="s">
        <v>955</v>
      </c>
      <c r="C131" s="0" t="s">
        <v>956</v>
      </c>
      <c r="D131" s="0" t="s">
        <v>943</v>
      </c>
      <c r="E131" s="72" t="s">
        <v>678</v>
      </c>
      <c r="F131" s="78" t="n">
        <v>1.8</v>
      </c>
      <c r="G131" s="78" t="n">
        <v>2.2</v>
      </c>
    </row>
    <row r="132" customFormat="false" ht="15" hidden="false" customHeight="false" outlineLevel="0" collapsed="false">
      <c r="A132" s="53" t="s">
        <v>957</v>
      </c>
      <c r="B132" s="53" t="s">
        <v>958</v>
      </c>
      <c r="C132" s="0" t="s">
        <v>956</v>
      </c>
      <c r="D132" s="0" t="s">
        <v>943</v>
      </c>
      <c r="E132" s="72" t="s">
        <v>678</v>
      </c>
      <c r="F132" s="78" t="n">
        <v>1.8</v>
      </c>
      <c r="G132" s="78" t="n">
        <v>2.2</v>
      </c>
    </row>
    <row r="133" customFormat="false" ht="15" hidden="false" customHeight="false" outlineLevel="0" collapsed="false">
      <c r="A133" s="53" t="s">
        <v>959</v>
      </c>
      <c r="B133" s="53" t="s">
        <v>141</v>
      </c>
      <c r="C133" s="0" t="s">
        <v>960</v>
      </c>
      <c r="D133" s="0" t="s">
        <v>943</v>
      </c>
      <c r="E133" s="72" t="s">
        <v>610</v>
      </c>
      <c r="F133" s="78" t="n">
        <v>1.6</v>
      </c>
      <c r="G133" s="78" t="n">
        <v>2.2</v>
      </c>
    </row>
    <row r="134" customFormat="false" ht="15" hidden="false" customHeight="false" outlineLevel="0" collapsed="false">
      <c r="A134" s="53" t="s">
        <v>961</v>
      </c>
      <c r="B134" s="53" t="s">
        <v>254</v>
      </c>
      <c r="C134" s="0" t="s">
        <v>962</v>
      </c>
      <c r="D134" s="0" t="s">
        <v>943</v>
      </c>
      <c r="E134" s="72" t="s">
        <v>610</v>
      </c>
      <c r="F134" s="78" t="n">
        <v>1.6</v>
      </c>
      <c r="G134" s="78" t="n">
        <v>1.75</v>
      </c>
    </row>
    <row r="135" customFormat="false" ht="15" hidden="false" customHeight="false" outlineLevel="0" collapsed="false">
      <c r="A135" s="53" t="s">
        <v>963</v>
      </c>
      <c r="B135" s="53" t="s">
        <v>142</v>
      </c>
      <c r="C135" s="0" t="s">
        <v>964</v>
      </c>
      <c r="D135" s="0" t="s">
        <v>943</v>
      </c>
      <c r="E135" s="72" t="s">
        <v>610</v>
      </c>
      <c r="F135" s="78" t="n">
        <v>1.6</v>
      </c>
      <c r="G135" s="78" t="n">
        <v>2.2</v>
      </c>
    </row>
    <row r="136" customFormat="false" ht="15" hidden="false" customHeight="false" outlineLevel="0" collapsed="false">
      <c r="A136" s="53" t="s">
        <v>965</v>
      </c>
      <c r="B136" s="53" t="s">
        <v>255</v>
      </c>
      <c r="C136" s="0" t="s">
        <v>966</v>
      </c>
      <c r="D136" s="0" t="s">
        <v>943</v>
      </c>
      <c r="E136" s="72" t="s">
        <v>610</v>
      </c>
      <c r="F136" s="78" t="n">
        <v>1.6</v>
      </c>
      <c r="G136" s="78" t="n">
        <v>2.2</v>
      </c>
    </row>
    <row r="137" customFormat="false" ht="15" hidden="false" customHeight="false" outlineLevel="0" collapsed="false">
      <c r="A137" s="53" t="s">
        <v>967</v>
      </c>
      <c r="B137" s="53" t="s">
        <v>968</v>
      </c>
      <c r="C137" s="0" t="s">
        <v>969</v>
      </c>
      <c r="D137" s="0" t="s">
        <v>970</v>
      </c>
      <c r="E137" s="72" t="s">
        <v>610</v>
      </c>
      <c r="F137" s="78" t="n">
        <v>1.6</v>
      </c>
      <c r="G137" s="78" t="n">
        <v>2.15</v>
      </c>
    </row>
    <row r="138" customFormat="false" ht="15" hidden="false" customHeight="false" outlineLevel="0" collapsed="false">
      <c r="A138" s="53" t="s">
        <v>971</v>
      </c>
      <c r="B138" s="53" t="s">
        <v>256</v>
      </c>
      <c r="C138" s="0" t="s">
        <v>969</v>
      </c>
      <c r="D138" s="0" t="s">
        <v>970</v>
      </c>
      <c r="E138" s="72" t="s">
        <v>610</v>
      </c>
      <c r="F138" s="78" t="n">
        <v>1.6</v>
      </c>
      <c r="G138" s="78" t="n">
        <v>2.15</v>
      </c>
    </row>
    <row r="139" customFormat="false" ht="15" hidden="false" customHeight="false" outlineLevel="0" collapsed="false">
      <c r="A139" s="53" t="s">
        <v>972</v>
      </c>
      <c r="B139" s="53" t="s">
        <v>143</v>
      </c>
      <c r="C139" s="0" t="s">
        <v>969</v>
      </c>
      <c r="D139" s="0" t="s">
        <v>970</v>
      </c>
      <c r="E139" s="72" t="s">
        <v>610</v>
      </c>
      <c r="F139" s="78" t="n">
        <v>1.6</v>
      </c>
      <c r="G139" s="78" t="n">
        <v>2.15</v>
      </c>
    </row>
    <row r="140" customFormat="false" ht="15" hidden="false" customHeight="false" outlineLevel="0" collapsed="false">
      <c r="A140" s="53" t="s">
        <v>973</v>
      </c>
      <c r="B140" s="53" t="s">
        <v>257</v>
      </c>
      <c r="C140" s="0" t="s">
        <v>974</v>
      </c>
      <c r="D140" s="0" t="s">
        <v>970</v>
      </c>
      <c r="E140" s="72" t="s">
        <v>610</v>
      </c>
      <c r="F140" s="78" t="n">
        <v>1.6</v>
      </c>
      <c r="G140" s="78" t="n">
        <v>2.15</v>
      </c>
    </row>
    <row r="141" customFormat="false" ht="15" hidden="false" customHeight="false" outlineLevel="0" collapsed="false">
      <c r="A141" s="53" t="s">
        <v>975</v>
      </c>
      <c r="B141" s="53" t="s">
        <v>258</v>
      </c>
      <c r="C141" s="0" t="s">
        <v>969</v>
      </c>
      <c r="D141" s="0" t="s">
        <v>970</v>
      </c>
      <c r="E141" s="72" t="s">
        <v>610</v>
      </c>
      <c r="F141" s="78" t="n">
        <v>1.6</v>
      </c>
      <c r="G141" s="78" t="n">
        <v>2.15</v>
      </c>
    </row>
    <row r="142" customFormat="false" ht="15" hidden="false" customHeight="false" outlineLevel="0" collapsed="false">
      <c r="A142" s="53" t="s">
        <v>976</v>
      </c>
      <c r="B142" s="53" t="s">
        <v>977</v>
      </c>
      <c r="C142" s="0" t="s">
        <v>969</v>
      </c>
      <c r="D142" s="0" t="s">
        <v>970</v>
      </c>
      <c r="E142" s="72" t="s">
        <v>610</v>
      </c>
      <c r="F142" s="78" t="n">
        <v>1.6</v>
      </c>
      <c r="G142" s="78" t="n">
        <v>2.15</v>
      </c>
    </row>
    <row r="143" customFormat="false" ht="15" hidden="false" customHeight="false" outlineLevel="0" collapsed="false">
      <c r="A143" s="53" t="s">
        <v>978</v>
      </c>
      <c r="B143" s="53" t="s">
        <v>979</v>
      </c>
      <c r="C143" s="0" t="s">
        <v>980</v>
      </c>
      <c r="D143" s="0" t="s">
        <v>970</v>
      </c>
      <c r="E143" s="72" t="s">
        <v>610</v>
      </c>
      <c r="F143" s="78" t="n">
        <v>1.6</v>
      </c>
      <c r="G143" s="78" t="n">
        <v>2.15</v>
      </c>
    </row>
    <row r="144" customFormat="false" ht="15" hidden="false" customHeight="false" outlineLevel="0" collapsed="false">
      <c r="A144" s="53" t="s">
        <v>981</v>
      </c>
      <c r="B144" s="53" t="s">
        <v>982</v>
      </c>
      <c r="C144" s="0" t="s">
        <v>983</v>
      </c>
      <c r="D144" s="0" t="s">
        <v>970</v>
      </c>
      <c r="E144" s="72" t="s">
        <v>610</v>
      </c>
      <c r="F144" s="78" t="n">
        <v>1.6</v>
      </c>
      <c r="G144" s="78" t="n">
        <v>2.15</v>
      </c>
    </row>
    <row r="145" customFormat="false" ht="15" hidden="false" customHeight="false" outlineLevel="0" collapsed="false">
      <c r="A145" s="53" t="s">
        <v>984</v>
      </c>
      <c r="B145" s="53" t="s">
        <v>259</v>
      </c>
      <c r="C145" s="0" t="s">
        <v>985</v>
      </c>
      <c r="D145" s="0" t="s">
        <v>868</v>
      </c>
      <c r="E145" s="72" t="s">
        <v>678</v>
      </c>
      <c r="F145" s="78" t="n">
        <v>1.8</v>
      </c>
      <c r="G145" s="78" t="n">
        <v>2.25</v>
      </c>
    </row>
    <row r="146" customFormat="false" ht="15" hidden="false" customHeight="false" outlineLevel="0" collapsed="false">
      <c r="A146" s="53" t="s">
        <v>986</v>
      </c>
      <c r="B146" s="53" t="s">
        <v>987</v>
      </c>
      <c r="C146" s="0" t="s">
        <v>985</v>
      </c>
      <c r="D146" s="0" t="s">
        <v>868</v>
      </c>
      <c r="E146" s="72" t="s">
        <v>678</v>
      </c>
      <c r="F146" s="78" t="n">
        <v>1.8</v>
      </c>
      <c r="G146" s="78" t="n">
        <v>2.25</v>
      </c>
    </row>
    <row r="147" customFormat="false" ht="15" hidden="false" customHeight="false" outlineLevel="0" collapsed="false">
      <c r="A147" s="53" t="s">
        <v>988</v>
      </c>
      <c r="B147" s="53" t="s">
        <v>989</v>
      </c>
      <c r="C147" s="0" t="s">
        <v>990</v>
      </c>
      <c r="D147" s="0" t="s">
        <v>868</v>
      </c>
      <c r="E147" s="72" t="s">
        <v>678</v>
      </c>
      <c r="F147" s="78" t="n">
        <v>1.8</v>
      </c>
      <c r="G147" s="78" t="n">
        <v>2.25</v>
      </c>
    </row>
    <row r="148" customFormat="false" ht="15" hidden="false" customHeight="false" outlineLevel="0" collapsed="false">
      <c r="A148" s="53" t="s">
        <v>991</v>
      </c>
      <c r="B148" s="53" t="s">
        <v>260</v>
      </c>
      <c r="C148" s="0" t="s">
        <v>992</v>
      </c>
      <c r="D148" s="0" t="s">
        <v>868</v>
      </c>
      <c r="E148" s="72" t="s">
        <v>678</v>
      </c>
      <c r="F148" s="78" t="n">
        <v>1.8</v>
      </c>
      <c r="G148" s="78" t="n">
        <v>2.25</v>
      </c>
    </row>
    <row r="149" customFormat="false" ht="15" hidden="false" customHeight="false" outlineLevel="0" collapsed="false">
      <c r="A149" s="53" t="s">
        <v>993</v>
      </c>
      <c r="B149" s="53" t="s">
        <v>144</v>
      </c>
      <c r="C149" s="0" t="s">
        <v>994</v>
      </c>
      <c r="D149" s="0" t="s">
        <v>868</v>
      </c>
      <c r="E149" s="72" t="s">
        <v>610</v>
      </c>
      <c r="F149" s="78" t="n">
        <v>1.6</v>
      </c>
      <c r="G149" s="78" t="n">
        <v>1.95</v>
      </c>
    </row>
    <row r="150" customFormat="false" ht="15" hidden="false" customHeight="false" outlineLevel="0" collapsed="false">
      <c r="A150" s="53" t="s">
        <v>995</v>
      </c>
      <c r="B150" s="53" t="s">
        <v>261</v>
      </c>
      <c r="C150" s="0" t="s">
        <v>996</v>
      </c>
      <c r="D150" s="0" t="s">
        <v>868</v>
      </c>
      <c r="E150" s="72" t="s">
        <v>678</v>
      </c>
      <c r="F150" s="78" t="n">
        <v>1.8</v>
      </c>
      <c r="G150" s="78" t="n">
        <v>2.25</v>
      </c>
    </row>
    <row r="151" customFormat="false" ht="15" hidden="false" customHeight="false" outlineLevel="0" collapsed="false">
      <c r="A151" s="53" t="s">
        <v>997</v>
      </c>
      <c r="B151" s="53" t="s">
        <v>998</v>
      </c>
      <c r="C151" s="0" t="s">
        <v>996</v>
      </c>
      <c r="D151" s="0" t="s">
        <v>868</v>
      </c>
      <c r="E151" s="72" t="s">
        <v>678</v>
      </c>
      <c r="F151" s="78" t="n">
        <v>1.8</v>
      </c>
      <c r="G151" s="78" t="n">
        <v>2.25</v>
      </c>
    </row>
    <row r="152" customFormat="false" ht="15" hidden="false" customHeight="false" outlineLevel="0" collapsed="false">
      <c r="A152" s="53" t="s">
        <v>999</v>
      </c>
      <c r="B152" s="53" t="s">
        <v>1000</v>
      </c>
      <c r="C152" s="0" t="s">
        <v>1001</v>
      </c>
      <c r="D152" s="0" t="s">
        <v>868</v>
      </c>
      <c r="E152" s="72" t="s">
        <v>610</v>
      </c>
      <c r="F152" s="78" t="n">
        <v>1.6</v>
      </c>
      <c r="G152" s="78" t="n">
        <v>1.95</v>
      </c>
    </row>
    <row r="153" customFormat="false" ht="15" hidden="false" customHeight="false" outlineLevel="0" collapsed="false">
      <c r="A153" s="53" t="s">
        <v>1002</v>
      </c>
      <c r="B153" s="53" t="s">
        <v>1003</v>
      </c>
      <c r="C153" s="0" t="s">
        <v>1001</v>
      </c>
      <c r="D153" s="0" t="s">
        <v>868</v>
      </c>
      <c r="E153" s="72" t="s">
        <v>610</v>
      </c>
      <c r="F153" s="78" t="n">
        <v>1.6</v>
      </c>
      <c r="G153" s="78" t="n">
        <v>1.95</v>
      </c>
    </row>
    <row r="154" customFormat="false" ht="15" hidden="false" customHeight="false" outlineLevel="0" collapsed="false">
      <c r="A154" s="53" t="s">
        <v>1004</v>
      </c>
      <c r="B154" s="53" t="s">
        <v>145</v>
      </c>
      <c r="C154" s="0" t="s">
        <v>1005</v>
      </c>
      <c r="D154" s="0" t="s">
        <v>868</v>
      </c>
      <c r="E154" s="72" t="s">
        <v>678</v>
      </c>
      <c r="F154" s="78" t="n">
        <v>1.8</v>
      </c>
      <c r="G154" s="78" t="n">
        <v>2.25</v>
      </c>
    </row>
    <row r="155" customFormat="false" ht="15" hidden="false" customHeight="false" outlineLevel="0" collapsed="false">
      <c r="A155" s="53" t="s">
        <v>1006</v>
      </c>
      <c r="B155" s="53" t="s">
        <v>262</v>
      </c>
      <c r="C155" s="0" t="s">
        <v>1007</v>
      </c>
      <c r="D155" s="0" t="s">
        <v>868</v>
      </c>
      <c r="E155" s="72" t="s">
        <v>678</v>
      </c>
      <c r="F155" s="78" t="n">
        <v>1.65</v>
      </c>
      <c r="G155" s="78" t="n">
        <v>2.4</v>
      </c>
    </row>
    <row r="156" customFormat="false" ht="15" hidden="false" customHeight="false" outlineLevel="0" collapsed="false">
      <c r="A156" s="53" t="s">
        <v>1008</v>
      </c>
      <c r="B156" s="53" t="s">
        <v>146</v>
      </c>
      <c r="C156" s="0" t="s">
        <v>1009</v>
      </c>
      <c r="D156" s="0" t="s">
        <v>868</v>
      </c>
      <c r="E156" s="72" t="s">
        <v>610</v>
      </c>
      <c r="F156" s="78" t="n">
        <v>1.6</v>
      </c>
      <c r="G156" s="78" t="n">
        <v>1.65</v>
      </c>
    </row>
    <row r="157" customFormat="false" ht="15" hidden="false" customHeight="false" outlineLevel="0" collapsed="false">
      <c r="A157" s="53" t="s">
        <v>1010</v>
      </c>
      <c r="B157" s="53" t="s">
        <v>263</v>
      </c>
      <c r="C157" s="0" t="s">
        <v>1009</v>
      </c>
      <c r="D157" s="0" t="s">
        <v>868</v>
      </c>
      <c r="E157" s="72" t="s">
        <v>610</v>
      </c>
      <c r="F157" s="78" t="n">
        <v>1.6</v>
      </c>
      <c r="G157" s="78" t="n">
        <v>1.65</v>
      </c>
    </row>
    <row r="158" customFormat="false" ht="15" hidden="false" customHeight="false" outlineLevel="0" collapsed="false">
      <c r="A158" s="53" t="s">
        <v>1011</v>
      </c>
      <c r="B158" s="53" t="s">
        <v>1012</v>
      </c>
      <c r="C158" s="0" t="s">
        <v>1013</v>
      </c>
      <c r="D158" s="0" t="s">
        <v>868</v>
      </c>
      <c r="E158" s="72" t="s">
        <v>678</v>
      </c>
      <c r="F158" s="78" t="n">
        <v>1.8</v>
      </c>
      <c r="G158" s="78" t="n">
        <v>2.25</v>
      </c>
    </row>
    <row r="159" customFormat="false" ht="15" hidden="false" customHeight="false" outlineLevel="0" collapsed="false">
      <c r="A159" s="53" t="s">
        <v>1014</v>
      </c>
      <c r="B159" s="53" t="s">
        <v>1015</v>
      </c>
      <c r="C159" s="0" t="s">
        <v>1016</v>
      </c>
      <c r="D159" s="0" t="s">
        <v>1017</v>
      </c>
      <c r="E159" s="72" t="s">
        <v>678</v>
      </c>
      <c r="F159" s="78" t="n">
        <v>1.6</v>
      </c>
      <c r="G159" s="78" t="n">
        <v>2.25</v>
      </c>
    </row>
    <row r="160" customFormat="false" ht="15" hidden="false" customHeight="false" outlineLevel="0" collapsed="false">
      <c r="A160" s="53" t="s">
        <v>1018</v>
      </c>
      <c r="B160" s="53" t="s">
        <v>147</v>
      </c>
      <c r="C160" s="0" t="s">
        <v>1017</v>
      </c>
      <c r="D160" s="0" t="s">
        <v>1017</v>
      </c>
      <c r="E160" s="72" t="s">
        <v>678</v>
      </c>
      <c r="F160" s="78" t="n">
        <v>1.6</v>
      </c>
      <c r="G160" s="78" t="n">
        <v>2.25</v>
      </c>
    </row>
    <row r="161" customFormat="false" ht="15" hidden="false" customHeight="false" outlineLevel="0" collapsed="false">
      <c r="A161" s="53" t="s">
        <v>1019</v>
      </c>
      <c r="B161" s="53" t="s">
        <v>264</v>
      </c>
      <c r="C161" s="0" t="s">
        <v>1017</v>
      </c>
      <c r="D161" s="0" t="s">
        <v>1017</v>
      </c>
      <c r="E161" s="72" t="s">
        <v>678</v>
      </c>
      <c r="F161" s="78" t="n">
        <v>1.6</v>
      </c>
      <c r="G161" s="78" t="n">
        <v>2.25</v>
      </c>
    </row>
    <row r="162" customFormat="false" ht="15" hidden="false" customHeight="false" outlineLevel="0" collapsed="false">
      <c r="A162" s="53" t="s">
        <v>1020</v>
      </c>
      <c r="B162" s="53" t="s">
        <v>1021</v>
      </c>
      <c r="C162" s="0" t="s">
        <v>1022</v>
      </c>
      <c r="D162" s="0" t="s">
        <v>1017</v>
      </c>
      <c r="E162" s="72" t="s">
        <v>610</v>
      </c>
      <c r="F162" s="78" t="n">
        <v>1.6</v>
      </c>
      <c r="G162" s="78" t="n">
        <v>2</v>
      </c>
    </row>
    <row r="163" customFormat="false" ht="15" hidden="false" customHeight="false" outlineLevel="0" collapsed="false">
      <c r="A163" s="53" t="s">
        <v>1023</v>
      </c>
      <c r="B163" s="53" t="s">
        <v>1024</v>
      </c>
      <c r="C163" s="0" t="s">
        <v>1022</v>
      </c>
      <c r="D163" s="0" t="s">
        <v>1017</v>
      </c>
      <c r="E163" s="72" t="s">
        <v>610</v>
      </c>
      <c r="F163" s="78" t="n">
        <v>1.6</v>
      </c>
      <c r="G163" s="78" t="n">
        <v>2</v>
      </c>
    </row>
    <row r="164" customFormat="false" ht="15" hidden="false" customHeight="false" outlineLevel="0" collapsed="false">
      <c r="A164" s="53" t="s">
        <v>1025</v>
      </c>
      <c r="B164" s="53" t="s">
        <v>148</v>
      </c>
      <c r="C164" s="0" t="s">
        <v>1026</v>
      </c>
      <c r="D164" s="0" t="s">
        <v>1017</v>
      </c>
      <c r="E164" s="72" t="s">
        <v>678</v>
      </c>
      <c r="F164" s="78" t="n">
        <v>1.6</v>
      </c>
      <c r="G164" s="78" t="n">
        <v>2.25</v>
      </c>
    </row>
    <row r="165" customFormat="false" ht="15" hidden="false" customHeight="false" outlineLevel="0" collapsed="false">
      <c r="A165" s="53" t="s">
        <v>1027</v>
      </c>
      <c r="B165" s="53" t="s">
        <v>265</v>
      </c>
      <c r="C165" s="0" t="s">
        <v>1028</v>
      </c>
      <c r="D165" s="0" t="s">
        <v>1029</v>
      </c>
      <c r="E165" s="72" t="s">
        <v>1030</v>
      </c>
      <c r="F165" s="78" t="n">
        <v>1.6</v>
      </c>
      <c r="G165" s="78" t="n">
        <v>1.65</v>
      </c>
    </row>
    <row r="166" customFormat="false" ht="15" hidden="false" customHeight="false" outlineLevel="0" collapsed="false">
      <c r="A166" s="53" t="s">
        <v>1031</v>
      </c>
      <c r="B166" s="53" t="s">
        <v>149</v>
      </c>
      <c r="C166" s="0" t="s">
        <v>1032</v>
      </c>
      <c r="D166" s="0" t="s">
        <v>1029</v>
      </c>
      <c r="E166" s="72" t="s">
        <v>610</v>
      </c>
      <c r="F166" s="78" t="n">
        <v>1.6</v>
      </c>
      <c r="G166" s="78" t="n">
        <v>1.85</v>
      </c>
    </row>
    <row r="167" customFormat="false" ht="15" hidden="false" customHeight="false" outlineLevel="0" collapsed="false">
      <c r="A167" s="53" t="s">
        <v>1033</v>
      </c>
      <c r="B167" s="53" t="s">
        <v>150</v>
      </c>
      <c r="C167" s="0" t="s">
        <v>1034</v>
      </c>
      <c r="D167" s="0" t="s">
        <v>1029</v>
      </c>
      <c r="E167" s="72" t="s">
        <v>610</v>
      </c>
      <c r="F167" s="78" t="n">
        <v>1.6</v>
      </c>
      <c r="G167" s="78" t="n">
        <v>1.85</v>
      </c>
    </row>
    <row r="168" customFormat="false" ht="15" hidden="false" customHeight="false" outlineLevel="0" collapsed="false">
      <c r="A168" s="53" t="s">
        <v>1035</v>
      </c>
      <c r="B168" s="53" t="s">
        <v>266</v>
      </c>
      <c r="C168" s="0" t="s">
        <v>1036</v>
      </c>
      <c r="D168" s="0" t="s">
        <v>1029</v>
      </c>
      <c r="E168" s="72" t="s">
        <v>610</v>
      </c>
      <c r="F168" s="78" t="n">
        <v>1.6</v>
      </c>
      <c r="G168" s="78" t="n">
        <v>1.85</v>
      </c>
    </row>
    <row r="169" customFormat="false" ht="15" hidden="false" customHeight="false" outlineLevel="0" collapsed="false">
      <c r="A169" s="53" t="s">
        <v>1037</v>
      </c>
      <c r="B169" s="53" t="s">
        <v>151</v>
      </c>
      <c r="C169" s="0" t="s">
        <v>1036</v>
      </c>
      <c r="D169" s="0" t="s">
        <v>1029</v>
      </c>
      <c r="E169" s="72" t="s">
        <v>610</v>
      </c>
      <c r="F169" s="78" t="n">
        <v>1.6</v>
      </c>
      <c r="G169" s="78" t="n">
        <v>1.85</v>
      </c>
    </row>
    <row r="170" customFormat="false" ht="15" hidden="false" customHeight="false" outlineLevel="0" collapsed="false">
      <c r="A170" s="53" t="s">
        <v>1038</v>
      </c>
      <c r="B170" s="53" t="s">
        <v>1039</v>
      </c>
      <c r="C170" s="0" t="s">
        <v>1040</v>
      </c>
      <c r="D170" s="0" t="s">
        <v>1029</v>
      </c>
      <c r="E170" s="72" t="s">
        <v>678</v>
      </c>
      <c r="F170" s="78" t="n">
        <v>1.8</v>
      </c>
      <c r="G170" s="78" t="n">
        <v>2.15</v>
      </c>
    </row>
    <row r="171" customFormat="false" ht="15" hidden="false" customHeight="false" outlineLevel="0" collapsed="false">
      <c r="A171" s="53" t="s">
        <v>1041</v>
      </c>
      <c r="B171" s="53" t="s">
        <v>267</v>
      </c>
      <c r="C171" s="0" t="s">
        <v>1040</v>
      </c>
      <c r="D171" s="0" t="s">
        <v>1029</v>
      </c>
      <c r="E171" s="72" t="s">
        <v>678</v>
      </c>
      <c r="F171" s="78" t="n">
        <v>1.6</v>
      </c>
      <c r="G171" s="78" t="n">
        <v>1.85</v>
      </c>
    </row>
    <row r="172" customFormat="false" ht="15" hidden="false" customHeight="false" outlineLevel="0" collapsed="false">
      <c r="A172" s="53" t="s">
        <v>1042</v>
      </c>
      <c r="B172" s="53" t="s">
        <v>1043</v>
      </c>
      <c r="C172" s="0" t="s">
        <v>1044</v>
      </c>
      <c r="D172" s="0" t="s">
        <v>1029</v>
      </c>
      <c r="E172" s="72" t="s">
        <v>610</v>
      </c>
      <c r="F172" s="78" t="n">
        <v>1.6</v>
      </c>
      <c r="G172" s="78" t="n">
        <v>1.85</v>
      </c>
    </row>
    <row r="173" customFormat="false" ht="15" hidden="false" customHeight="false" outlineLevel="0" collapsed="false">
      <c r="A173" s="53" t="s">
        <v>1045</v>
      </c>
      <c r="B173" s="53" t="s">
        <v>1046</v>
      </c>
      <c r="C173" s="0" t="s">
        <v>1044</v>
      </c>
      <c r="D173" s="0" t="s">
        <v>1029</v>
      </c>
      <c r="E173" s="72" t="s">
        <v>610</v>
      </c>
      <c r="F173" s="78" t="n">
        <v>1.6</v>
      </c>
      <c r="G173" s="78" t="n">
        <v>1.85</v>
      </c>
    </row>
    <row r="174" customFormat="false" ht="15" hidden="false" customHeight="false" outlineLevel="0" collapsed="false">
      <c r="A174" s="53" t="s">
        <v>1047</v>
      </c>
      <c r="B174" s="53" t="s">
        <v>152</v>
      </c>
      <c r="C174" s="0" t="s">
        <v>1044</v>
      </c>
      <c r="D174" s="0" t="s">
        <v>1029</v>
      </c>
      <c r="E174" s="72" t="s">
        <v>610</v>
      </c>
      <c r="F174" s="78" t="n">
        <v>1.6</v>
      </c>
      <c r="G174" s="78" t="n">
        <v>1.85</v>
      </c>
    </row>
    <row r="175" customFormat="false" ht="15" hidden="false" customHeight="false" outlineLevel="0" collapsed="false">
      <c r="A175" s="53" t="s">
        <v>1048</v>
      </c>
      <c r="B175" s="53" t="s">
        <v>268</v>
      </c>
      <c r="C175" s="0" t="s">
        <v>1044</v>
      </c>
      <c r="D175" s="0" t="s">
        <v>1029</v>
      </c>
      <c r="E175" s="72" t="s">
        <v>610</v>
      </c>
      <c r="F175" s="78" t="n">
        <v>1.6</v>
      </c>
      <c r="G175" s="78" t="n">
        <v>1.85</v>
      </c>
    </row>
    <row r="176" customFormat="false" ht="15" hidden="false" customHeight="false" outlineLevel="0" collapsed="false">
      <c r="A176" s="53" t="s">
        <v>1049</v>
      </c>
      <c r="B176" s="53" t="s">
        <v>1050</v>
      </c>
      <c r="C176" s="0" t="s">
        <v>1051</v>
      </c>
      <c r="D176" s="0" t="s">
        <v>1029</v>
      </c>
      <c r="E176" s="72" t="s">
        <v>1030</v>
      </c>
      <c r="F176" s="78" t="n">
        <v>1.75</v>
      </c>
      <c r="G176" s="78" t="n">
        <v>1.9</v>
      </c>
    </row>
    <row r="177" customFormat="false" ht="15" hidden="false" customHeight="false" outlineLevel="0" collapsed="false">
      <c r="A177" s="53" t="s">
        <v>1052</v>
      </c>
      <c r="B177" s="53" t="s">
        <v>1053</v>
      </c>
      <c r="C177" s="0" t="s">
        <v>1054</v>
      </c>
      <c r="D177" s="0" t="s">
        <v>1029</v>
      </c>
      <c r="E177" s="72" t="s">
        <v>1030</v>
      </c>
      <c r="F177" s="78" t="n">
        <v>1.6</v>
      </c>
      <c r="G177" s="78" t="n">
        <v>1.85</v>
      </c>
    </row>
    <row r="178" customFormat="false" ht="15" hidden="false" customHeight="false" outlineLevel="0" collapsed="false">
      <c r="A178" s="53" t="s">
        <v>1055</v>
      </c>
      <c r="B178" s="53" t="s">
        <v>1056</v>
      </c>
      <c r="C178" s="0" t="s">
        <v>1057</v>
      </c>
      <c r="D178" s="0" t="s">
        <v>1029</v>
      </c>
      <c r="E178" s="72" t="s">
        <v>1030</v>
      </c>
      <c r="F178" s="78" t="n">
        <v>1.6</v>
      </c>
      <c r="G178" s="78" t="n">
        <v>1.85</v>
      </c>
    </row>
    <row r="179" customFormat="false" ht="15" hidden="false" customHeight="false" outlineLevel="0" collapsed="false">
      <c r="A179" s="53" t="s">
        <v>1058</v>
      </c>
      <c r="B179" s="53" t="s">
        <v>269</v>
      </c>
      <c r="C179" s="0" t="s">
        <v>1059</v>
      </c>
      <c r="D179" s="0" t="s">
        <v>1029</v>
      </c>
      <c r="E179" s="72" t="s">
        <v>1030</v>
      </c>
      <c r="F179" s="78" t="n">
        <v>1.6</v>
      </c>
      <c r="G179" s="78" t="n">
        <v>1.85</v>
      </c>
    </row>
    <row r="180" customFormat="false" ht="15" hidden="false" customHeight="false" outlineLevel="0" collapsed="false">
      <c r="A180" s="53" t="s">
        <v>1060</v>
      </c>
      <c r="B180" s="53" t="s">
        <v>270</v>
      </c>
      <c r="C180" s="0" t="s">
        <v>1061</v>
      </c>
      <c r="D180" s="0" t="s">
        <v>1029</v>
      </c>
      <c r="E180" s="72" t="s">
        <v>1030</v>
      </c>
      <c r="F180" s="78" t="n">
        <v>1.75</v>
      </c>
      <c r="G180" s="78" t="n">
        <v>1.9</v>
      </c>
    </row>
    <row r="181" customFormat="false" ht="15" hidden="false" customHeight="false" outlineLevel="0" collapsed="false">
      <c r="A181" s="53" t="s">
        <v>1062</v>
      </c>
      <c r="B181" s="53" t="s">
        <v>153</v>
      </c>
      <c r="C181" s="0" t="s">
        <v>1063</v>
      </c>
      <c r="D181" s="0" t="s">
        <v>1029</v>
      </c>
      <c r="E181" s="72" t="s">
        <v>1030</v>
      </c>
      <c r="F181" s="78" t="n">
        <v>1.75</v>
      </c>
      <c r="G181" s="78" t="n">
        <v>1.9</v>
      </c>
    </row>
    <row r="182" customFormat="false" ht="15" hidden="false" customHeight="false" outlineLevel="0" collapsed="false">
      <c r="A182" s="53" t="s">
        <v>1064</v>
      </c>
      <c r="B182" s="53" t="s">
        <v>271</v>
      </c>
      <c r="C182" s="0" t="s">
        <v>1065</v>
      </c>
      <c r="D182" s="0" t="s">
        <v>1029</v>
      </c>
      <c r="E182" s="72" t="s">
        <v>1066</v>
      </c>
      <c r="F182" s="78" t="n">
        <v>1.85</v>
      </c>
      <c r="G182" s="78" t="n">
        <v>2</v>
      </c>
    </row>
    <row r="183" customFormat="false" ht="15" hidden="false" customHeight="false" outlineLevel="0" collapsed="false">
      <c r="A183" s="53" t="s">
        <v>1067</v>
      </c>
      <c r="B183" s="53" t="s">
        <v>1068</v>
      </c>
      <c r="C183" s="0" t="s">
        <v>1069</v>
      </c>
      <c r="D183" s="0" t="s">
        <v>1070</v>
      </c>
      <c r="E183" s="72" t="s">
        <v>678</v>
      </c>
      <c r="F183" s="78" t="n">
        <v>1.6</v>
      </c>
      <c r="G183" s="78" t="n">
        <v>2</v>
      </c>
    </row>
    <row r="184" customFormat="false" ht="15" hidden="false" customHeight="false" outlineLevel="0" collapsed="false">
      <c r="A184" s="53" t="s">
        <v>1071</v>
      </c>
      <c r="B184" s="53" t="s">
        <v>1072</v>
      </c>
      <c r="C184" s="0" t="s">
        <v>1073</v>
      </c>
      <c r="D184" s="0" t="s">
        <v>1070</v>
      </c>
      <c r="E184" s="72" t="s">
        <v>678</v>
      </c>
      <c r="F184" s="78" t="n">
        <v>1.6</v>
      </c>
      <c r="G184" s="78" t="n">
        <v>2</v>
      </c>
    </row>
    <row r="185" customFormat="false" ht="15" hidden="false" customHeight="false" outlineLevel="0" collapsed="false">
      <c r="A185" s="53" t="s">
        <v>1074</v>
      </c>
      <c r="B185" s="53" t="s">
        <v>272</v>
      </c>
      <c r="C185" s="0" t="s">
        <v>1073</v>
      </c>
      <c r="D185" s="0" t="s">
        <v>1070</v>
      </c>
      <c r="E185" s="72" t="s">
        <v>678</v>
      </c>
      <c r="F185" s="78" t="n">
        <v>1.6</v>
      </c>
      <c r="G185" s="78" t="n">
        <v>2</v>
      </c>
    </row>
    <row r="186" customFormat="false" ht="15" hidden="false" customHeight="false" outlineLevel="0" collapsed="false">
      <c r="A186" s="53" t="s">
        <v>1075</v>
      </c>
      <c r="B186" s="53" t="s">
        <v>1076</v>
      </c>
      <c r="C186" s="0" t="s">
        <v>1077</v>
      </c>
      <c r="D186" s="0" t="s">
        <v>1070</v>
      </c>
      <c r="E186" s="72" t="s">
        <v>678</v>
      </c>
      <c r="F186" s="78" t="n">
        <v>1.6</v>
      </c>
      <c r="G186" s="78" t="n">
        <v>2</v>
      </c>
    </row>
    <row r="187" customFormat="false" ht="15" hidden="false" customHeight="false" outlineLevel="0" collapsed="false">
      <c r="A187" s="53" t="s">
        <v>1078</v>
      </c>
      <c r="B187" s="53" t="s">
        <v>1079</v>
      </c>
      <c r="C187" s="0" t="s">
        <v>1080</v>
      </c>
      <c r="D187" s="0" t="s">
        <v>1070</v>
      </c>
      <c r="E187" s="72" t="s">
        <v>678</v>
      </c>
      <c r="F187" s="78" t="n">
        <v>1.6</v>
      </c>
      <c r="G187" s="78" t="n">
        <v>2</v>
      </c>
    </row>
    <row r="188" customFormat="false" ht="15" hidden="false" customHeight="false" outlineLevel="0" collapsed="false">
      <c r="A188" s="53" t="s">
        <v>1081</v>
      </c>
      <c r="B188" s="53" t="s">
        <v>1082</v>
      </c>
      <c r="C188" s="0" t="s">
        <v>1083</v>
      </c>
      <c r="D188" s="0" t="s">
        <v>1070</v>
      </c>
      <c r="E188" s="72" t="s">
        <v>601</v>
      </c>
      <c r="F188" s="78" t="n">
        <v>1.9</v>
      </c>
      <c r="G188" s="78" t="n">
        <v>2.25</v>
      </c>
    </row>
    <row r="189" customFormat="false" ht="15" hidden="false" customHeight="false" outlineLevel="0" collapsed="false">
      <c r="A189" s="53" t="s">
        <v>1084</v>
      </c>
      <c r="B189" s="53" t="s">
        <v>1085</v>
      </c>
      <c r="C189" s="0" t="s">
        <v>1083</v>
      </c>
      <c r="D189" s="0" t="s">
        <v>1070</v>
      </c>
      <c r="E189" s="72" t="s">
        <v>601</v>
      </c>
      <c r="F189" s="78" t="n">
        <v>1.9</v>
      </c>
      <c r="G189" s="78" t="n">
        <v>2.25</v>
      </c>
    </row>
    <row r="190" customFormat="false" ht="15" hidden="false" customHeight="false" outlineLevel="0" collapsed="false">
      <c r="A190" s="53" t="s">
        <v>1086</v>
      </c>
      <c r="B190" s="53" t="s">
        <v>1087</v>
      </c>
      <c r="C190" s="0" t="s">
        <v>1088</v>
      </c>
      <c r="D190" s="0" t="s">
        <v>1070</v>
      </c>
      <c r="E190" s="72" t="s">
        <v>601</v>
      </c>
      <c r="F190" s="78" t="n">
        <v>2.05</v>
      </c>
      <c r="G190" s="78" t="n">
        <v>2.25</v>
      </c>
    </row>
    <row r="191" customFormat="false" ht="15" hidden="false" customHeight="false" outlineLevel="0" collapsed="false">
      <c r="A191" s="53" t="s">
        <v>1089</v>
      </c>
      <c r="B191" s="53" t="s">
        <v>320</v>
      </c>
      <c r="C191" s="0" t="s">
        <v>1090</v>
      </c>
      <c r="D191" s="0" t="s">
        <v>1070</v>
      </c>
      <c r="E191" s="72" t="s">
        <v>678</v>
      </c>
      <c r="F191" s="78" t="n">
        <v>1.65</v>
      </c>
      <c r="G191" s="78" t="n">
        <v>1.95</v>
      </c>
    </row>
    <row r="192" customFormat="false" ht="15" hidden="false" customHeight="false" outlineLevel="0" collapsed="false">
      <c r="A192" s="53" t="s">
        <v>1091</v>
      </c>
      <c r="B192" s="53" t="s">
        <v>199</v>
      </c>
      <c r="C192" s="0" t="s">
        <v>1092</v>
      </c>
      <c r="D192" s="0" t="s">
        <v>1070</v>
      </c>
      <c r="E192" s="72" t="s">
        <v>678</v>
      </c>
      <c r="F192" s="78" t="n">
        <v>1.8</v>
      </c>
      <c r="G192" s="78" t="n">
        <v>1.95</v>
      </c>
    </row>
    <row r="193" customFormat="false" ht="15" hidden="false" customHeight="false" outlineLevel="0" collapsed="false">
      <c r="A193" s="53" t="s">
        <v>1093</v>
      </c>
      <c r="B193" s="53" t="s">
        <v>321</v>
      </c>
      <c r="C193" s="0" t="s">
        <v>1094</v>
      </c>
      <c r="D193" s="0" t="s">
        <v>1070</v>
      </c>
      <c r="E193" s="72" t="s">
        <v>678</v>
      </c>
      <c r="F193" s="78" t="n">
        <v>1.65</v>
      </c>
      <c r="G193" s="78" t="n">
        <v>1.95</v>
      </c>
    </row>
    <row r="194" customFormat="false" ht="15" hidden="false" customHeight="false" outlineLevel="0" collapsed="false">
      <c r="A194" s="53" t="s">
        <v>1095</v>
      </c>
      <c r="B194" s="53" t="s">
        <v>200</v>
      </c>
      <c r="C194" s="0" t="s">
        <v>1096</v>
      </c>
      <c r="D194" s="0" t="s">
        <v>1070</v>
      </c>
      <c r="E194" s="72" t="s">
        <v>601</v>
      </c>
      <c r="F194" s="78" t="n">
        <v>1.9</v>
      </c>
      <c r="G194" s="78" t="n">
        <v>2.25</v>
      </c>
    </row>
    <row r="195" customFormat="false" ht="15" hidden="false" customHeight="false" outlineLevel="0" collapsed="false">
      <c r="A195" s="53" t="s">
        <v>1097</v>
      </c>
      <c r="B195" s="53" t="s">
        <v>322</v>
      </c>
      <c r="C195" s="0" t="s">
        <v>1098</v>
      </c>
      <c r="D195" s="0" t="s">
        <v>1099</v>
      </c>
      <c r="E195" s="72" t="s">
        <v>678</v>
      </c>
      <c r="F195" s="78" t="n">
        <v>1.6</v>
      </c>
      <c r="G195" s="78" t="n">
        <v>2.25</v>
      </c>
    </row>
    <row r="196" customFormat="false" ht="15" hidden="false" customHeight="false" outlineLevel="0" collapsed="false">
      <c r="A196" s="53" t="s">
        <v>1100</v>
      </c>
      <c r="B196" s="53" t="s">
        <v>1101</v>
      </c>
      <c r="C196" s="0" t="s">
        <v>1102</v>
      </c>
      <c r="D196" s="0" t="s">
        <v>1099</v>
      </c>
      <c r="E196" s="72" t="s">
        <v>610</v>
      </c>
      <c r="F196" s="78" t="n">
        <v>1.6</v>
      </c>
      <c r="G196" s="78" t="n">
        <v>1.8</v>
      </c>
    </row>
    <row r="197" customFormat="false" ht="15" hidden="false" customHeight="false" outlineLevel="0" collapsed="false">
      <c r="A197" s="53" t="s">
        <v>1103</v>
      </c>
      <c r="B197" s="53" t="s">
        <v>1104</v>
      </c>
      <c r="C197" s="0" t="s">
        <v>1102</v>
      </c>
      <c r="D197" s="0" t="s">
        <v>1099</v>
      </c>
      <c r="E197" s="72" t="s">
        <v>610</v>
      </c>
      <c r="F197" s="78" t="n">
        <v>1.6</v>
      </c>
      <c r="G197" s="78" t="n">
        <v>1.8</v>
      </c>
    </row>
    <row r="198" customFormat="false" ht="15" hidden="false" customHeight="false" outlineLevel="0" collapsed="false">
      <c r="A198" s="53" t="s">
        <v>1105</v>
      </c>
      <c r="B198" s="53" t="s">
        <v>1106</v>
      </c>
      <c r="C198" s="0" t="s">
        <v>1107</v>
      </c>
      <c r="D198" s="0" t="s">
        <v>1099</v>
      </c>
      <c r="E198" s="72" t="s">
        <v>678</v>
      </c>
      <c r="F198" s="78" t="n">
        <v>1.85</v>
      </c>
      <c r="G198" s="78" t="n">
        <v>2.25</v>
      </c>
    </row>
    <row r="199" customFormat="false" ht="15" hidden="false" customHeight="false" outlineLevel="0" collapsed="false">
      <c r="A199" s="53" t="s">
        <v>1108</v>
      </c>
      <c r="B199" s="53" t="s">
        <v>1109</v>
      </c>
      <c r="C199" s="0" t="s">
        <v>1107</v>
      </c>
      <c r="D199" s="0" t="s">
        <v>1099</v>
      </c>
      <c r="E199" s="72" t="s">
        <v>678</v>
      </c>
      <c r="F199" s="78" t="n">
        <v>1.85</v>
      </c>
      <c r="G199" s="78" t="n">
        <v>2.25</v>
      </c>
    </row>
    <row r="200" customFormat="false" ht="15" hidden="false" customHeight="false" outlineLevel="0" collapsed="false">
      <c r="A200" s="53" t="s">
        <v>1110</v>
      </c>
      <c r="B200" s="53" t="s">
        <v>1111</v>
      </c>
      <c r="C200" s="0" t="s">
        <v>1112</v>
      </c>
      <c r="D200" s="0" t="s">
        <v>1099</v>
      </c>
      <c r="E200" s="72" t="s">
        <v>678</v>
      </c>
      <c r="F200" s="78" t="n">
        <v>1.85</v>
      </c>
      <c r="G200" s="78" t="n">
        <v>2.25</v>
      </c>
    </row>
    <row r="201" customFormat="false" ht="15" hidden="false" customHeight="false" outlineLevel="0" collapsed="false">
      <c r="A201" s="53" t="s">
        <v>1113</v>
      </c>
      <c r="B201" s="53" t="s">
        <v>1114</v>
      </c>
      <c r="C201" s="0" t="s">
        <v>1112</v>
      </c>
      <c r="D201" s="0" t="s">
        <v>1099</v>
      </c>
      <c r="E201" s="72" t="s">
        <v>678</v>
      </c>
      <c r="F201" s="78" t="n">
        <v>1.85</v>
      </c>
      <c r="G201" s="78" t="n">
        <v>2.25</v>
      </c>
    </row>
    <row r="202" customFormat="false" ht="15" hidden="false" customHeight="false" outlineLevel="0" collapsed="false">
      <c r="A202" s="53" t="s">
        <v>1115</v>
      </c>
      <c r="B202" s="53" t="s">
        <v>323</v>
      </c>
      <c r="C202" s="0" t="s">
        <v>1102</v>
      </c>
      <c r="D202" s="0" t="s">
        <v>1099</v>
      </c>
      <c r="E202" s="72" t="s">
        <v>610</v>
      </c>
      <c r="F202" s="78" t="n">
        <v>1.6</v>
      </c>
      <c r="G202" s="78" t="n">
        <v>1.8</v>
      </c>
    </row>
    <row r="203" customFormat="false" ht="15" hidden="false" customHeight="false" outlineLevel="0" collapsed="false">
      <c r="A203" s="53" t="s">
        <v>1116</v>
      </c>
      <c r="B203" s="53" t="s">
        <v>201</v>
      </c>
      <c r="C203" s="0" t="s">
        <v>1107</v>
      </c>
      <c r="D203" s="0" t="s">
        <v>1099</v>
      </c>
      <c r="E203" s="72" t="s">
        <v>610</v>
      </c>
      <c r="F203" s="78" t="n">
        <v>1.6</v>
      </c>
      <c r="G203" s="78" t="n">
        <v>1.8</v>
      </c>
    </row>
    <row r="204" customFormat="false" ht="15" hidden="false" customHeight="false" outlineLevel="0" collapsed="false">
      <c r="A204" s="53" t="s">
        <v>1117</v>
      </c>
      <c r="B204" s="53" t="s">
        <v>324</v>
      </c>
      <c r="C204" s="0" t="s">
        <v>1118</v>
      </c>
      <c r="D204" s="0" t="s">
        <v>1119</v>
      </c>
      <c r="E204" s="72" t="s">
        <v>678</v>
      </c>
      <c r="F204" s="78" t="n">
        <v>1.8</v>
      </c>
      <c r="G204" s="78" t="n">
        <v>2.25</v>
      </c>
    </row>
    <row r="205" customFormat="false" ht="15" hidden="false" customHeight="false" outlineLevel="0" collapsed="false">
      <c r="A205" s="53" t="s">
        <v>1120</v>
      </c>
      <c r="B205" s="53" t="s">
        <v>1121</v>
      </c>
      <c r="C205" s="0" t="s">
        <v>1118</v>
      </c>
      <c r="D205" s="0" t="s">
        <v>1119</v>
      </c>
      <c r="E205" s="72" t="s">
        <v>678</v>
      </c>
      <c r="F205" s="78" t="n">
        <v>1.8</v>
      </c>
      <c r="G205" s="78" t="n">
        <v>2.25</v>
      </c>
    </row>
    <row r="206" customFormat="false" ht="15" hidden="false" customHeight="false" outlineLevel="0" collapsed="false">
      <c r="A206" s="53" t="s">
        <v>1122</v>
      </c>
      <c r="B206" s="53" t="s">
        <v>1123</v>
      </c>
      <c r="C206" s="0" t="s">
        <v>1124</v>
      </c>
      <c r="D206" s="0" t="s">
        <v>1119</v>
      </c>
      <c r="E206" s="72" t="s">
        <v>678</v>
      </c>
      <c r="F206" s="78" t="n">
        <v>1.8</v>
      </c>
      <c r="G206" s="78" t="n">
        <v>2.25</v>
      </c>
    </row>
    <row r="207" customFormat="false" ht="15" hidden="false" customHeight="false" outlineLevel="0" collapsed="false">
      <c r="A207" s="53" t="s">
        <v>1125</v>
      </c>
      <c r="B207" s="53" t="s">
        <v>1126</v>
      </c>
      <c r="C207" s="0" t="s">
        <v>1127</v>
      </c>
      <c r="D207" s="0" t="s">
        <v>1119</v>
      </c>
      <c r="E207" s="72" t="s">
        <v>678</v>
      </c>
      <c r="F207" s="78" t="n">
        <v>1.8</v>
      </c>
      <c r="G207" s="78" t="n">
        <v>2.25</v>
      </c>
    </row>
    <row r="208" customFormat="false" ht="15" hidden="false" customHeight="false" outlineLevel="0" collapsed="false">
      <c r="A208" s="53" t="s">
        <v>1128</v>
      </c>
      <c r="B208" s="53" t="s">
        <v>1129</v>
      </c>
      <c r="C208" s="0" t="s">
        <v>1127</v>
      </c>
      <c r="D208" s="0" t="s">
        <v>1119</v>
      </c>
      <c r="E208" s="72" t="s">
        <v>678</v>
      </c>
      <c r="F208" s="78" t="n">
        <v>1.8</v>
      </c>
      <c r="G208" s="78" t="n">
        <v>2.25</v>
      </c>
    </row>
    <row r="209" customFormat="false" ht="15" hidden="false" customHeight="false" outlineLevel="0" collapsed="false">
      <c r="A209" s="53" t="s">
        <v>1130</v>
      </c>
      <c r="B209" s="53" t="s">
        <v>1131</v>
      </c>
      <c r="C209" s="0" t="s">
        <v>1132</v>
      </c>
      <c r="D209" s="0" t="s">
        <v>1133</v>
      </c>
      <c r="E209" s="72" t="s">
        <v>610</v>
      </c>
      <c r="F209" s="78" t="n">
        <v>1.65</v>
      </c>
      <c r="G209" s="78" t="n">
        <v>2.25</v>
      </c>
    </row>
    <row r="210" customFormat="false" ht="15" hidden="false" customHeight="false" outlineLevel="0" collapsed="false">
      <c r="A210" s="53" t="s">
        <v>1134</v>
      </c>
      <c r="B210" s="53" t="s">
        <v>202</v>
      </c>
      <c r="C210" s="0" t="s">
        <v>1135</v>
      </c>
      <c r="D210" s="0" t="s">
        <v>1133</v>
      </c>
      <c r="E210" s="72" t="s">
        <v>610</v>
      </c>
      <c r="F210" s="78" t="n">
        <v>1.65</v>
      </c>
      <c r="G210" s="78" t="n">
        <v>1.95</v>
      </c>
    </row>
    <row r="211" customFormat="false" ht="15" hidden="false" customHeight="false" outlineLevel="0" collapsed="false">
      <c r="A211" s="53" t="s">
        <v>1136</v>
      </c>
      <c r="B211" s="53" t="s">
        <v>1137</v>
      </c>
      <c r="C211" s="0" t="s">
        <v>1135</v>
      </c>
      <c r="D211" s="0" t="s">
        <v>1133</v>
      </c>
      <c r="E211" s="72" t="s">
        <v>610</v>
      </c>
      <c r="F211" s="78" t="n">
        <v>1.65</v>
      </c>
      <c r="G211" s="78" t="n">
        <v>1.95</v>
      </c>
    </row>
    <row r="212" customFormat="false" ht="15" hidden="false" customHeight="false" outlineLevel="0" collapsed="false">
      <c r="A212" s="53" t="s">
        <v>1138</v>
      </c>
      <c r="B212" s="53" t="s">
        <v>1139</v>
      </c>
      <c r="C212" s="0" t="s">
        <v>1140</v>
      </c>
      <c r="D212" s="0" t="s">
        <v>1133</v>
      </c>
      <c r="E212" s="72" t="s">
        <v>610</v>
      </c>
      <c r="F212" s="78" t="n">
        <v>1.65</v>
      </c>
      <c r="G212" s="78" t="n">
        <v>1.95</v>
      </c>
    </row>
    <row r="213" customFormat="false" ht="15" hidden="false" customHeight="false" outlineLevel="0" collapsed="false">
      <c r="A213" s="53" t="s">
        <v>1141</v>
      </c>
      <c r="B213" s="53" t="s">
        <v>1142</v>
      </c>
      <c r="C213" s="0" t="s">
        <v>1143</v>
      </c>
      <c r="D213" s="0" t="s">
        <v>1133</v>
      </c>
      <c r="E213" s="72" t="s">
        <v>601</v>
      </c>
      <c r="F213" s="78" t="n">
        <v>1.9</v>
      </c>
      <c r="G213" s="78" t="n">
        <v>2.25</v>
      </c>
    </row>
    <row r="214" customFormat="false" ht="15" hidden="false" customHeight="false" outlineLevel="0" collapsed="false">
      <c r="A214" s="53" t="s">
        <v>1144</v>
      </c>
      <c r="B214" s="53" t="s">
        <v>1145</v>
      </c>
      <c r="C214" s="0" t="s">
        <v>1146</v>
      </c>
      <c r="D214" s="0" t="s">
        <v>1133</v>
      </c>
      <c r="E214" s="72" t="s">
        <v>601</v>
      </c>
      <c r="F214" s="78" t="n">
        <v>2</v>
      </c>
      <c r="G214" s="78" t="n">
        <v>2.25</v>
      </c>
    </row>
    <row r="215" customFormat="false" ht="15" hidden="false" customHeight="false" outlineLevel="0" collapsed="false">
      <c r="A215" s="53" t="s">
        <v>1147</v>
      </c>
      <c r="B215" s="53" t="s">
        <v>203</v>
      </c>
      <c r="C215" s="0" t="s">
        <v>1148</v>
      </c>
      <c r="D215" s="0" t="s">
        <v>1133</v>
      </c>
      <c r="E215" s="72" t="s">
        <v>601</v>
      </c>
      <c r="F215" s="78" t="n">
        <v>2</v>
      </c>
      <c r="G215" s="78" t="n">
        <v>2.25</v>
      </c>
    </row>
    <row r="216" customFormat="false" ht="15" hidden="false" customHeight="false" outlineLevel="0" collapsed="false">
      <c r="A216" s="53" t="s">
        <v>1149</v>
      </c>
      <c r="B216" s="53" t="s">
        <v>325</v>
      </c>
      <c r="C216" s="0" t="s">
        <v>1148</v>
      </c>
      <c r="D216" s="0" t="s">
        <v>1133</v>
      </c>
      <c r="E216" s="72" t="s">
        <v>601</v>
      </c>
      <c r="F216" s="78" t="n">
        <v>2</v>
      </c>
      <c r="G216" s="78" t="n">
        <v>2.25</v>
      </c>
    </row>
    <row r="217" customFormat="false" ht="15" hidden="false" customHeight="false" outlineLevel="0" collapsed="false">
      <c r="A217" s="53" t="s">
        <v>1150</v>
      </c>
      <c r="B217" s="53" t="s">
        <v>1151</v>
      </c>
      <c r="C217" s="0" t="s">
        <v>1152</v>
      </c>
      <c r="D217" s="0" t="s">
        <v>1133</v>
      </c>
      <c r="E217" s="72" t="s">
        <v>601</v>
      </c>
      <c r="F217" s="78" t="n">
        <v>2</v>
      </c>
      <c r="G217" s="78" t="n">
        <v>2.25</v>
      </c>
    </row>
    <row r="218" customFormat="false" ht="15" hidden="false" customHeight="false" outlineLevel="0" collapsed="false">
      <c r="A218" s="53" t="s">
        <v>1153</v>
      </c>
      <c r="B218" s="53" t="s">
        <v>1154</v>
      </c>
      <c r="C218" s="0" t="s">
        <v>1155</v>
      </c>
      <c r="D218" s="0" t="s">
        <v>1133</v>
      </c>
      <c r="E218" s="72" t="s">
        <v>601</v>
      </c>
      <c r="F218" s="78" t="n">
        <v>2</v>
      </c>
      <c r="G218" s="78" t="n">
        <v>2.25</v>
      </c>
    </row>
    <row r="219" customFormat="false" ht="15" hidden="false" customHeight="false" outlineLevel="0" collapsed="false">
      <c r="A219" s="53" t="s">
        <v>1156</v>
      </c>
      <c r="B219" s="53" t="s">
        <v>1157</v>
      </c>
      <c r="C219" s="0" t="s">
        <v>1155</v>
      </c>
      <c r="D219" s="0" t="s">
        <v>1133</v>
      </c>
      <c r="E219" s="72" t="s">
        <v>601</v>
      </c>
      <c r="F219" s="78" t="n">
        <v>2</v>
      </c>
      <c r="G219" s="78" t="n">
        <v>2.25</v>
      </c>
    </row>
    <row r="220" customFormat="false" ht="15" hidden="false" customHeight="false" outlineLevel="0" collapsed="false">
      <c r="A220" s="53" t="s">
        <v>1158</v>
      </c>
      <c r="B220" s="53" t="s">
        <v>204</v>
      </c>
      <c r="C220" s="0" t="s">
        <v>1159</v>
      </c>
      <c r="D220" s="0" t="s">
        <v>1133</v>
      </c>
      <c r="E220" s="72" t="s">
        <v>610</v>
      </c>
      <c r="F220" s="78" t="n">
        <v>1.65</v>
      </c>
      <c r="G220" s="78" t="n">
        <v>1.95</v>
      </c>
    </row>
    <row r="221" customFormat="false" ht="15" hidden="false" customHeight="false" outlineLevel="0" collapsed="false">
      <c r="A221" s="53" t="s">
        <v>1160</v>
      </c>
      <c r="B221" s="53" t="s">
        <v>1161</v>
      </c>
      <c r="C221" s="0" t="s">
        <v>1162</v>
      </c>
      <c r="D221" s="0" t="s">
        <v>1133</v>
      </c>
      <c r="E221" s="72" t="s">
        <v>610</v>
      </c>
      <c r="F221" s="78" t="n">
        <v>1.65</v>
      </c>
      <c r="G221" s="78" t="n">
        <v>1.95</v>
      </c>
    </row>
  </sheetData>
  <autoFilter ref="B1:H221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5"/>
  <cols>
    <col collapsed="false" hidden="false" max="1" min="1" style="0" width="6.09311740890688"/>
    <col collapsed="false" hidden="false" max="2" min="2" style="0" width="12.4453441295547"/>
    <col collapsed="false" hidden="false" max="3" min="3" style="0" width="8.12145748987854"/>
    <col collapsed="false" hidden="false" max="4" min="4" style="0" width="10.1457489878543"/>
    <col collapsed="false" hidden="false" max="1025" min="5" style="0" width="8.12145748987854"/>
  </cols>
  <sheetData>
    <row r="1" customFormat="false" ht="15" hidden="false" customHeight="false" outlineLevel="0" collapsed="false">
      <c r="A1" s="80" t="s">
        <v>1163</v>
      </c>
      <c r="B1" s="80" t="s">
        <v>1164</v>
      </c>
      <c r="D1" s="0" t="s">
        <v>1165</v>
      </c>
      <c r="E1" s="0" t="n">
        <f aca="false">195+91</f>
        <v>286</v>
      </c>
      <c r="N1" s="29" t="s">
        <v>216</v>
      </c>
    </row>
    <row r="2" customFormat="false" ht="15" hidden="false" customHeight="false" outlineLevel="0" collapsed="false">
      <c r="A2" s="0" t="n">
        <v>1</v>
      </c>
      <c r="B2" s="81" t="n">
        <f aca="false">7.75*Available_Hour_Regular!$E$1</f>
        <v>2216.5</v>
      </c>
    </row>
    <row r="3" customFormat="false" ht="15" hidden="false" customHeight="false" outlineLevel="0" collapsed="false">
      <c r="A3" s="0" t="n">
        <v>2</v>
      </c>
      <c r="B3" s="81" t="n">
        <f aca="false">7.75*Available_Hour_Regular!$E$1</f>
        <v>2216.5</v>
      </c>
    </row>
    <row r="4" customFormat="false" ht="15" hidden="false" customHeight="false" outlineLevel="0" collapsed="false">
      <c r="A4" s="0" t="n">
        <v>3</v>
      </c>
      <c r="B4" s="81" t="n">
        <f aca="false">7.75*Available_Hour_Regular!$E$1</f>
        <v>2216.5</v>
      </c>
    </row>
    <row r="5" customFormat="false" ht="15" hidden="false" customHeight="false" outlineLevel="0" collapsed="false">
      <c r="A5" s="0" t="n">
        <v>4</v>
      </c>
      <c r="B5" s="81" t="n">
        <f aca="false">7.75*Available_Hour_Regular!$E$1</f>
        <v>2216.5</v>
      </c>
    </row>
    <row r="6" customFormat="false" ht="15" hidden="false" customHeight="false" outlineLevel="0" collapsed="false">
      <c r="B6" s="81"/>
    </row>
    <row r="7" customFormat="false" ht="15" hidden="false" customHeight="false" outlineLevel="0" collapsed="false">
      <c r="B7" s="81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T56"/>
  <sheetViews>
    <sheetView windowProtection="false" showFormulas="false" showGridLines="true" showRowColHeaders="true" showZeros="true" rightToLeft="false" tabSelected="false" showOutlineSymbols="true" defaultGridColor="true" view="normal" topLeftCell="A8" colorId="64" zoomScale="100" zoomScaleNormal="100" zoomScalePageLayoutView="100" workbookViewId="0">
      <selection pane="topLeft" activeCell="D27" activeCellId="0" sqref="D27"/>
    </sheetView>
  </sheetViews>
  <sheetFormatPr defaultRowHeight="15"/>
  <cols>
    <col collapsed="false" hidden="false" max="1" min="1" style="0" width="9.46963562753036"/>
    <col collapsed="false" hidden="false" max="2" min="2" style="0" width="13.1255060728745"/>
    <col collapsed="false" hidden="false" max="3" min="3" style="82" width="8.12145748987854"/>
    <col collapsed="false" hidden="false" max="4" min="4" style="0" width="11.3603238866397"/>
    <col collapsed="false" hidden="false" max="5" min="5" style="0" width="10.5546558704453"/>
    <col collapsed="false" hidden="false" max="6" min="6" style="0" width="8.12145748987854"/>
    <col collapsed="false" hidden="false" max="9" min="7" style="0" width="8.25506072874494"/>
    <col collapsed="false" hidden="false" max="10" min="10" style="0" width="8.12145748987854"/>
    <col collapsed="false" hidden="false" max="14" min="11" style="0" width="8.25506072874494"/>
    <col collapsed="false" hidden="false" max="1025" min="15" style="0" width="8.12145748987854"/>
  </cols>
  <sheetData>
    <row r="1" customFormat="false" ht="15" hidden="false" customHeight="false" outlineLevel="0" collapsed="false">
      <c r="A1" s="80" t="s">
        <v>1166</v>
      </c>
      <c r="B1" s="80" t="s">
        <v>1167</v>
      </c>
      <c r="C1" s="83"/>
      <c r="K1" s="84"/>
      <c r="L1" s="84"/>
      <c r="T1" s="29"/>
    </row>
    <row r="2" customFormat="false" ht="15" hidden="false" customHeight="false" outlineLevel="0" collapsed="false">
      <c r="A2" s="80" t="n">
        <v>0</v>
      </c>
      <c r="B2" s="80"/>
      <c r="C2" s="0"/>
      <c r="T2" s="29"/>
    </row>
    <row r="3" customFormat="false" ht="15" hidden="false" customHeight="false" outlineLevel="0" collapsed="false">
      <c r="A3" s="0" t="n">
        <v>1</v>
      </c>
      <c r="B3" s="82" t="n">
        <v>0.00014862578314355</v>
      </c>
      <c r="C3" s="0"/>
      <c r="D3" s="82"/>
      <c r="E3" s="82"/>
      <c r="J3" s="82"/>
      <c r="K3" s="85"/>
      <c r="L3" s="85"/>
      <c r="M3" s="82"/>
      <c r="N3" s="82"/>
      <c r="P3" s="86"/>
      <c r="Q3" s="86"/>
      <c r="R3" s="86"/>
    </row>
    <row r="4" customFormat="false" ht="15" hidden="false" customHeight="false" outlineLevel="0" collapsed="false">
      <c r="A4" s="0" t="n">
        <v>1.05</v>
      </c>
      <c r="B4" s="82" t="n">
        <v>0.000320117071386107</v>
      </c>
      <c r="D4" s="82"/>
      <c r="E4" s="82"/>
      <c r="J4" s="82"/>
      <c r="K4" s="85"/>
      <c r="L4" s="85"/>
      <c r="M4" s="82"/>
      <c r="N4" s="82"/>
      <c r="O4" s="86"/>
      <c r="P4" s="86"/>
      <c r="Q4" s="86"/>
      <c r="R4" s="86"/>
    </row>
    <row r="5" customFormat="false" ht="15" hidden="false" customHeight="false" outlineLevel="0" collapsed="false">
      <c r="A5" s="0" t="n">
        <v>1.1</v>
      </c>
      <c r="B5" s="82" t="n">
        <v>0.000674532400420725</v>
      </c>
      <c r="D5" s="82"/>
      <c r="E5" s="82"/>
      <c r="J5" s="82"/>
      <c r="K5" s="85"/>
      <c r="L5" s="85"/>
      <c r="M5" s="82"/>
      <c r="N5" s="82"/>
      <c r="O5" s="86"/>
      <c r="P5" s="86"/>
      <c r="Q5" s="86"/>
    </row>
    <row r="6" customFormat="false" ht="15" hidden="false" customHeight="false" outlineLevel="0" collapsed="false">
      <c r="A6" s="0" t="n">
        <v>1.15</v>
      </c>
      <c r="B6" s="82" t="n">
        <v>0.00133763204829195</v>
      </c>
      <c r="D6" s="82"/>
      <c r="E6" s="82"/>
      <c r="J6" s="82"/>
      <c r="K6" s="85"/>
      <c r="L6" s="85"/>
      <c r="M6" s="82"/>
      <c r="N6" s="82"/>
      <c r="O6" s="86"/>
    </row>
    <row r="7" customFormat="false" ht="15" hidden="false" customHeight="false" outlineLevel="0" collapsed="false">
      <c r="A7" s="0" t="n">
        <v>1.2</v>
      </c>
      <c r="B7" s="82" t="n">
        <v>0.00251520556089084</v>
      </c>
      <c r="D7" s="82"/>
      <c r="E7" s="82"/>
      <c r="J7" s="82"/>
      <c r="K7" s="85"/>
      <c r="L7" s="85"/>
      <c r="M7" s="82"/>
      <c r="N7" s="82"/>
      <c r="O7" s="86"/>
    </row>
    <row r="8" customFormat="false" ht="15" hidden="false" customHeight="false" outlineLevel="0" collapsed="false">
      <c r="A8" s="0" t="n">
        <v>1.25</v>
      </c>
      <c r="B8" s="82" t="n">
        <v>0.00445877349430649</v>
      </c>
      <c r="D8" s="82"/>
      <c r="E8" s="82"/>
      <c r="J8" s="82"/>
      <c r="K8" s="85"/>
      <c r="L8" s="85"/>
      <c r="M8" s="82"/>
      <c r="N8" s="82"/>
      <c r="O8" s="86"/>
    </row>
    <row r="9" customFormat="false" ht="15" hidden="false" customHeight="false" outlineLevel="0" collapsed="false">
      <c r="A9" s="0" t="n">
        <v>1.3</v>
      </c>
      <c r="B9" s="82" t="n">
        <v>0.0074770201673755</v>
      </c>
      <c r="D9" s="82"/>
      <c r="E9" s="82"/>
      <c r="J9" s="82"/>
      <c r="K9" s="85"/>
      <c r="L9" s="85"/>
      <c r="M9" s="82"/>
      <c r="N9" s="82"/>
      <c r="O9" s="86"/>
    </row>
    <row r="10" customFormat="false" ht="15" hidden="false" customHeight="false" outlineLevel="0" collapsed="false">
      <c r="A10" s="0" t="n">
        <v>1.35</v>
      </c>
      <c r="B10" s="82" t="n">
        <v>0.0118786298989345</v>
      </c>
      <c r="D10" s="82"/>
      <c r="E10" s="82"/>
      <c r="J10" s="82"/>
      <c r="K10" s="85"/>
      <c r="L10" s="85"/>
      <c r="M10" s="82"/>
      <c r="N10" s="82"/>
      <c r="O10" s="86"/>
    </row>
    <row r="11" customFormat="false" ht="15" hidden="false" customHeight="false" outlineLevel="0" collapsed="false">
      <c r="A11" s="0" t="n">
        <v>1.4</v>
      </c>
      <c r="B11" s="82" t="n">
        <v>0.0178922577399735</v>
      </c>
      <c r="D11" s="82"/>
      <c r="E11" s="82"/>
      <c r="J11" s="82"/>
      <c r="K11" s="85"/>
      <c r="L11" s="85"/>
      <c r="M11" s="82"/>
      <c r="N11" s="82"/>
      <c r="O11" s="86"/>
    </row>
    <row r="12" customFormat="false" ht="15" hidden="false" customHeight="false" outlineLevel="0" collapsed="false">
      <c r="A12" s="0" t="n">
        <v>1.45</v>
      </c>
      <c r="B12" s="82" t="n">
        <v>0.025552201948141</v>
      </c>
      <c r="D12" s="82"/>
      <c r="E12" s="82"/>
      <c r="J12" s="82"/>
      <c r="K12" s="85"/>
      <c r="L12" s="85"/>
      <c r="M12" s="82"/>
      <c r="N12" s="82"/>
      <c r="O12" s="86"/>
    </row>
    <row r="13" customFormat="false" ht="15" hidden="false" customHeight="false" outlineLevel="0" collapsed="false">
      <c r="A13" s="0" t="n">
        <v>1.5</v>
      </c>
      <c r="B13" s="82" t="n">
        <v>0.0346298074724471</v>
      </c>
      <c r="D13" s="82"/>
      <c r="E13" s="82"/>
      <c r="J13" s="82"/>
      <c r="K13" s="85"/>
      <c r="L13" s="85"/>
      <c r="M13" s="82"/>
      <c r="N13" s="82"/>
    </row>
    <row r="14" customFormat="false" ht="15" hidden="false" customHeight="false" outlineLevel="0" collapsed="false">
      <c r="A14" s="0" t="n">
        <v>1.55</v>
      </c>
      <c r="B14" s="82" t="n">
        <v>0.0445534366854164</v>
      </c>
      <c r="D14" s="82"/>
      <c r="E14" s="82"/>
      <c r="J14" s="82"/>
      <c r="K14" s="85"/>
      <c r="L14" s="85"/>
      <c r="M14" s="82"/>
      <c r="N14" s="82"/>
    </row>
    <row r="15" customFormat="false" ht="15" hidden="false" customHeight="false" outlineLevel="0" collapsed="false">
      <c r="A15" s="0" t="n">
        <v>1.6</v>
      </c>
      <c r="B15" s="82" t="n">
        <v>0.0545227969085837</v>
      </c>
      <c r="D15" s="82"/>
      <c r="E15" s="82"/>
      <c r="J15" s="82"/>
      <c r="K15" s="85"/>
      <c r="L15" s="85"/>
      <c r="M15" s="82"/>
      <c r="N15" s="82"/>
    </row>
    <row r="16" customFormat="false" ht="15" hidden="false" customHeight="false" outlineLevel="0" collapsed="false">
      <c r="A16" s="0" t="n">
        <v>1.65</v>
      </c>
      <c r="B16" s="82" t="n">
        <v>0.0634975076599442</v>
      </c>
      <c r="D16" s="82"/>
      <c r="E16" s="82"/>
      <c r="J16" s="82"/>
      <c r="K16" s="85"/>
      <c r="L16" s="85"/>
      <c r="M16" s="82"/>
      <c r="N16" s="82"/>
    </row>
    <row r="17" customFormat="false" ht="15" hidden="false" customHeight="false" outlineLevel="0" collapsed="false">
      <c r="A17" s="0" t="n">
        <v>1.7</v>
      </c>
      <c r="B17" s="82" t="n">
        <v>0.0705286504778891</v>
      </c>
      <c r="D17" s="82"/>
      <c r="E17" s="82"/>
      <c r="J17" s="82"/>
      <c r="K17" s="85"/>
      <c r="L17" s="85"/>
      <c r="M17" s="82"/>
      <c r="N17" s="82"/>
    </row>
    <row r="18" customFormat="false" ht="15" hidden="false" customHeight="false" outlineLevel="0" collapsed="false">
      <c r="A18" s="0" t="n">
        <v>1.75</v>
      </c>
      <c r="B18" s="82" t="n">
        <v>0.074838798189052</v>
      </c>
      <c r="D18" s="82"/>
      <c r="E18" s="82"/>
      <c r="J18" s="82"/>
      <c r="K18" s="85"/>
      <c r="L18" s="85"/>
      <c r="M18" s="82"/>
      <c r="N18" s="82"/>
    </row>
    <row r="19" customFormat="false" ht="15" hidden="false" customHeight="false" outlineLevel="0" collapsed="false">
      <c r="A19" s="0" t="n">
        <v>1.8</v>
      </c>
      <c r="B19" s="82" t="n">
        <v>0.0760621027118489</v>
      </c>
      <c r="D19" s="82"/>
      <c r="E19" s="82"/>
      <c r="J19" s="82"/>
      <c r="K19" s="85"/>
      <c r="L19" s="85"/>
      <c r="M19" s="82"/>
      <c r="N19" s="82"/>
    </row>
    <row r="20" customFormat="false" ht="15" hidden="false" customHeight="false" outlineLevel="0" collapsed="false">
      <c r="A20" s="0" t="n">
        <v>1.85</v>
      </c>
      <c r="B20" s="82" t="n">
        <v>0.0742557278090273</v>
      </c>
      <c r="D20" s="82"/>
      <c r="E20" s="82"/>
      <c r="J20" s="82"/>
      <c r="K20" s="85"/>
      <c r="L20" s="85"/>
      <c r="M20" s="82"/>
      <c r="N20" s="82"/>
    </row>
    <row r="21" customFormat="false" ht="15" hidden="false" customHeight="false" outlineLevel="0" collapsed="false">
      <c r="A21" s="0" t="n">
        <v>1.9</v>
      </c>
      <c r="B21" s="82" t="n">
        <v>0.0698312525723693</v>
      </c>
      <c r="D21" s="82"/>
      <c r="E21" s="82"/>
      <c r="J21" s="82"/>
      <c r="K21" s="85"/>
      <c r="L21" s="85"/>
      <c r="M21" s="82"/>
      <c r="N21" s="82"/>
    </row>
    <row r="22" customFormat="false" ht="15" hidden="false" customHeight="false" outlineLevel="0" collapsed="false">
      <c r="A22" s="0" t="n">
        <v>1.95</v>
      </c>
      <c r="B22" s="82" t="n">
        <v>0.0635203731650432</v>
      </c>
      <c r="D22" s="82"/>
      <c r="E22" s="82"/>
      <c r="J22" s="82"/>
      <c r="K22" s="85"/>
      <c r="L22" s="85"/>
      <c r="M22" s="82"/>
      <c r="N22" s="82"/>
    </row>
    <row r="23" customFormat="false" ht="15" hidden="false" customHeight="false" outlineLevel="0" collapsed="false">
      <c r="A23" s="0" t="n">
        <v>2</v>
      </c>
      <c r="B23" s="82" t="n">
        <v>0.0560662185027667</v>
      </c>
      <c r="D23" s="82"/>
      <c r="E23" s="82"/>
      <c r="J23" s="82"/>
      <c r="K23" s="85"/>
      <c r="L23" s="85"/>
      <c r="M23" s="82"/>
      <c r="N23" s="82"/>
    </row>
    <row r="24" customFormat="false" ht="15" hidden="false" customHeight="false" outlineLevel="0" collapsed="false">
      <c r="A24" s="0" t="n">
        <v>2.05</v>
      </c>
      <c r="B24" s="82" t="n">
        <v>0.0482462157589061</v>
      </c>
      <c r="D24" s="82"/>
      <c r="E24" s="82"/>
      <c r="J24" s="82"/>
      <c r="K24" s="85"/>
      <c r="L24" s="85"/>
      <c r="M24" s="82"/>
      <c r="N24" s="82"/>
    </row>
    <row r="25" customFormat="false" ht="15" hidden="false" customHeight="false" outlineLevel="0" collapsed="false">
      <c r="A25" s="0" t="n">
        <v>2.1</v>
      </c>
      <c r="B25" s="82" t="n">
        <v>0.0405977043032881</v>
      </c>
      <c r="D25" s="82"/>
      <c r="E25" s="82"/>
      <c r="J25" s="82"/>
      <c r="K25" s="85"/>
      <c r="L25" s="85"/>
      <c r="M25" s="82"/>
      <c r="N25" s="82"/>
    </row>
    <row r="26" customFormat="false" ht="15" hidden="false" customHeight="false" outlineLevel="0" collapsed="false">
      <c r="A26" s="0" t="n">
        <v>2.15</v>
      </c>
      <c r="B26" s="82" t="n">
        <v>0.0335665614853432</v>
      </c>
      <c r="D26" s="82"/>
      <c r="E26" s="82"/>
      <c r="J26" s="82"/>
      <c r="K26" s="85"/>
      <c r="L26" s="85"/>
      <c r="M26" s="82"/>
      <c r="N26" s="82"/>
    </row>
    <row r="27" customFormat="false" ht="15" hidden="false" customHeight="false" outlineLevel="0" collapsed="false">
      <c r="A27" s="0" t="n">
        <v>2.2</v>
      </c>
      <c r="B27" s="82" t="n">
        <v>0.0273357113458636</v>
      </c>
      <c r="D27" s="82"/>
      <c r="E27" s="82"/>
      <c r="J27" s="82"/>
      <c r="K27" s="85"/>
      <c r="L27" s="85"/>
      <c r="M27" s="82"/>
      <c r="N27" s="82"/>
    </row>
    <row r="28" customFormat="false" ht="15" hidden="false" customHeight="false" outlineLevel="0" collapsed="false">
      <c r="A28" s="0" t="n">
        <v>2.25</v>
      </c>
      <c r="B28" s="82" t="n">
        <v>0.0219851831526958</v>
      </c>
      <c r="D28" s="82"/>
      <c r="E28" s="82"/>
      <c r="J28" s="82"/>
      <c r="K28" s="85"/>
      <c r="L28" s="85"/>
      <c r="M28" s="82"/>
      <c r="N28" s="82"/>
    </row>
    <row r="29" customFormat="false" ht="15" hidden="false" customHeight="false" outlineLevel="0" collapsed="false">
      <c r="A29" s="0" t="n">
        <v>2.3</v>
      </c>
      <c r="B29" s="82" t="n">
        <v>0.0175149769058399</v>
      </c>
      <c r="D29" s="82"/>
      <c r="E29" s="82"/>
      <c r="J29" s="82"/>
      <c r="K29" s="85"/>
      <c r="L29" s="85"/>
      <c r="M29" s="82"/>
      <c r="N29" s="82"/>
    </row>
    <row r="30" customFormat="false" ht="15" hidden="false" customHeight="false" outlineLevel="0" collapsed="false">
      <c r="A30" s="0" t="n">
        <v>2.35</v>
      </c>
      <c r="B30" s="82" t="n">
        <v>0.0138336305848996</v>
      </c>
      <c r="D30" s="82"/>
      <c r="E30" s="82"/>
      <c r="J30" s="82"/>
      <c r="K30" s="85"/>
      <c r="L30" s="85"/>
      <c r="M30" s="82"/>
      <c r="N30" s="82"/>
    </row>
    <row r="31" customFormat="false" ht="15" hidden="false" customHeight="false" outlineLevel="0" collapsed="false">
      <c r="A31" s="0" t="n">
        <v>2.4</v>
      </c>
      <c r="B31" s="82" t="n">
        <v>0.0108382494169296</v>
      </c>
      <c r="D31" s="82"/>
      <c r="E31" s="82"/>
      <c r="J31" s="82"/>
      <c r="K31" s="85"/>
      <c r="L31" s="85"/>
      <c r="M31" s="82"/>
      <c r="N31" s="82"/>
    </row>
    <row r="32" customFormat="false" ht="15" hidden="false" customHeight="false" outlineLevel="0" collapsed="false">
      <c r="A32" s="0" t="n">
        <v>2.45</v>
      </c>
      <c r="B32" s="82" t="n">
        <v>0.00840307312388531</v>
      </c>
      <c r="D32" s="82"/>
      <c r="E32" s="82"/>
      <c r="J32" s="82"/>
      <c r="K32" s="85"/>
      <c r="L32" s="85"/>
      <c r="M32" s="82"/>
      <c r="N32" s="82"/>
    </row>
    <row r="33" customFormat="false" ht="15" hidden="false" customHeight="false" outlineLevel="0" collapsed="false">
      <c r="A33" s="0" t="n">
        <v>2.5</v>
      </c>
      <c r="B33" s="82" t="n">
        <v>0.00644807243792015</v>
      </c>
      <c r="D33" s="82"/>
      <c r="E33" s="82"/>
      <c r="J33" s="82"/>
      <c r="K33" s="85"/>
      <c r="L33" s="85"/>
      <c r="M33" s="82"/>
      <c r="N33" s="82"/>
    </row>
    <row r="34" customFormat="false" ht="15" hidden="false" customHeight="false" outlineLevel="0" collapsed="false">
      <c r="A34" s="0" t="n">
        <v>2.55</v>
      </c>
      <c r="B34" s="82" t="n">
        <v>0.00487035258608863</v>
      </c>
      <c r="D34" s="82"/>
      <c r="E34" s="82"/>
      <c r="J34" s="82"/>
      <c r="K34" s="85"/>
      <c r="L34" s="85"/>
      <c r="M34" s="82"/>
      <c r="N34" s="82"/>
    </row>
    <row r="35" customFormat="false" ht="15" hidden="false" customHeight="false" outlineLevel="0" collapsed="false">
      <c r="A35" s="0" t="n">
        <v>2.6</v>
      </c>
      <c r="B35" s="82" t="n">
        <v>0.00362418255819271</v>
      </c>
      <c r="D35" s="82"/>
      <c r="E35" s="82"/>
      <c r="J35" s="82"/>
      <c r="K35" s="85"/>
      <c r="L35" s="85"/>
      <c r="M35" s="82"/>
      <c r="N35" s="82"/>
    </row>
    <row r="36" customFormat="false" ht="15" hidden="false" customHeight="false" outlineLevel="0" collapsed="false">
      <c r="A36" s="0" t="n">
        <v>2.65</v>
      </c>
      <c r="B36" s="82" t="n">
        <v>0.00262953308638588</v>
      </c>
      <c r="D36" s="82"/>
      <c r="E36" s="82"/>
      <c r="J36" s="82"/>
      <c r="K36" s="85"/>
      <c r="L36" s="85"/>
      <c r="M36" s="82"/>
      <c r="N36" s="82"/>
    </row>
    <row r="37" customFormat="false" ht="15" hidden="false" customHeight="false" outlineLevel="0" collapsed="false">
      <c r="A37" s="0" t="n">
        <v>2.7</v>
      </c>
      <c r="B37" s="82" t="n">
        <v>0.00187497141811863</v>
      </c>
      <c r="D37" s="82"/>
      <c r="E37" s="82"/>
      <c r="J37" s="82"/>
      <c r="K37" s="85"/>
      <c r="L37" s="85"/>
      <c r="M37" s="82"/>
      <c r="N37" s="82"/>
    </row>
    <row r="38" customFormat="false" ht="15" hidden="false" customHeight="false" outlineLevel="0" collapsed="false">
      <c r="A38" s="0" t="n">
        <v>2.75</v>
      </c>
      <c r="B38" s="82" t="n">
        <v>0.00130333379064344</v>
      </c>
      <c r="D38" s="82"/>
      <c r="E38" s="82"/>
      <c r="J38" s="82"/>
      <c r="K38" s="85"/>
      <c r="L38" s="85"/>
      <c r="M38" s="82"/>
      <c r="N38" s="82"/>
    </row>
    <row r="39" customFormat="false" ht="15" hidden="false" customHeight="false" outlineLevel="0" collapsed="false">
      <c r="A39" s="0" t="n">
        <v>2.8</v>
      </c>
      <c r="B39" s="82" t="n">
        <v>0.000880321946311794</v>
      </c>
      <c r="D39" s="82"/>
      <c r="E39" s="82"/>
      <c r="J39" s="82"/>
      <c r="K39" s="85"/>
      <c r="L39" s="85"/>
      <c r="M39" s="82"/>
      <c r="N39" s="82"/>
    </row>
    <row r="40" customFormat="false" ht="15" hidden="false" customHeight="false" outlineLevel="0" collapsed="false">
      <c r="A40" s="0" t="n">
        <v>2.85</v>
      </c>
      <c r="B40" s="82" t="n">
        <v>0.000583070380024695</v>
      </c>
      <c r="D40" s="82"/>
      <c r="E40" s="82"/>
      <c r="J40" s="82"/>
      <c r="K40" s="85"/>
      <c r="L40" s="85"/>
      <c r="M40" s="82"/>
      <c r="N40" s="82"/>
    </row>
    <row r="41" customFormat="false" ht="15" hidden="false" customHeight="false" outlineLevel="0" collapsed="false">
      <c r="A41" s="0" t="n">
        <v>2.9</v>
      </c>
      <c r="B41" s="82" t="n">
        <v>0.000365848081584122</v>
      </c>
      <c r="D41" s="82"/>
      <c r="E41" s="82"/>
      <c r="J41" s="82"/>
      <c r="K41" s="85"/>
      <c r="L41" s="85"/>
      <c r="M41" s="82"/>
      <c r="N41" s="82"/>
    </row>
    <row r="42" customFormat="false" ht="15" hidden="false" customHeight="false" outlineLevel="0" collapsed="false">
      <c r="A42" s="0" t="n">
        <v>2.95</v>
      </c>
      <c r="B42" s="82" t="n">
        <v>0.000228655050990076</v>
      </c>
      <c r="D42" s="82"/>
      <c r="E42" s="82"/>
      <c r="J42" s="82"/>
      <c r="K42" s="85"/>
      <c r="L42" s="85"/>
      <c r="M42" s="82"/>
      <c r="N42" s="82"/>
    </row>
    <row r="43" customFormat="false" ht="15" hidden="false" customHeight="false" outlineLevel="0" collapsed="false">
      <c r="A43" s="0" t="n">
        <v>3</v>
      </c>
      <c r="B43" s="82" t="n">
        <v>0.000137193030594046</v>
      </c>
      <c r="D43" s="82"/>
      <c r="E43" s="82"/>
      <c r="J43" s="82"/>
      <c r="K43" s="85"/>
      <c r="L43" s="85"/>
      <c r="M43" s="82"/>
      <c r="N43" s="82"/>
    </row>
    <row r="44" customFormat="false" ht="15" hidden="false" customHeight="false" outlineLevel="0" collapsed="false">
      <c r="A44" s="0" t="n">
        <v>3.05</v>
      </c>
      <c r="B44" s="82" t="n">
        <v>8.00292678465267E-005</v>
      </c>
      <c r="D44" s="82"/>
      <c r="E44" s="82"/>
      <c r="J44" s="82"/>
      <c r="K44" s="85"/>
      <c r="L44" s="85"/>
      <c r="M44" s="82"/>
      <c r="N44" s="82"/>
    </row>
    <row r="45" customFormat="false" ht="15" hidden="false" customHeight="false" outlineLevel="0" collapsed="false">
      <c r="A45" s="0" t="n">
        <v>3.1</v>
      </c>
      <c r="B45" s="82" t="n">
        <v>4.57310101980153E-005</v>
      </c>
      <c r="D45" s="82"/>
      <c r="E45" s="82"/>
      <c r="J45" s="82"/>
      <c r="K45" s="85"/>
      <c r="L45" s="85"/>
      <c r="M45" s="82"/>
      <c r="N45" s="82"/>
    </row>
    <row r="46" customFormat="false" ht="15" hidden="false" customHeight="false" outlineLevel="0" collapsed="false">
      <c r="A46" s="0" t="n">
        <v>3.15</v>
      </c>
      <c r="B46" s="82" t="n">
        <v>2.28655050990076E-005</v>
      </c>
      <c r="D46" s="82"/>
      <c r="E46" s="82"/>
      <c r="J46" s="82"/>
      <c r="K46" s="85"/>
      <c r="L46" s="85"/>
      <c r="M46" s="82"/>
      <c r="N46" s="82"/>
    </row>
    <row r="47" customFormat="false" ht="15" hidden="false" customHeight="false" outlineLevel="0" collapsed="false">
      <c r="A47" s="0" t="n">
        <v>3.2</v>
      </c>
      <c r="B47" s="82" t="n">
        <v>1.14327525495038E-005</v>
      </c>
      <c r="D47" s="82"/>
      <c r="E47" s="82"/>
      <c r="J47" s="82"/>
      <c r="K47" s="85"/>
      <c r="L47" s="85"/>
      <c r="M47" s="82"/>
      <c r="N47" s="82"/>
    </row>
    <row r="48" customFormat="false" ht="15" hidden="false" customHeight="false" outlineLevel="0" collapsed="false">
      <c r="A48" s="0" t="n">
        <v>3.25</v>
      </c>
      <c r="B48" s="82" t="n">
        <v>1.14327525495038E-005</v>
      </c>
      <c r="D48" s="82"/>
      <c r="E48" s="82"/>
      <c r="J48" s="82"/>
      <c r="K48" s="85"/>
      <c r="L48" s="85"/>
      <c r="M48" s="82"/>
      <c r="N48" s="82"/>
    </row>
    <row r="49" customFormat="false" ht="15" hidden="false" customHeight="false" outlineLevel="0" collapsed="false">
      <c r="A49" s="0" t="n">
        <v>3.3</v>
      </c>
      <c r="B49" s="82" t="n">
        <v>0</v>
      </c>
      <c r="D49" s="82"/>
      <c r="E49" s="82"/>
      <c r="J49" s="82"/>
      <c r="K49" s="85"/>
      <c r="L49" s="85"/>
      <c r="M49" s="82"/>
      <c r="N49" s="82"/>
    </row>
    <row r="50" customFormat="false" ht="15" hidden="false" customHeight="false" outlineLevel="0" collapsed="false">
      <c r="A50" s="0" t="n">
        <v>3.35</v>
      </c>
      <c r="B50" s="82" t="n">
        <v>0</v>
      </c>
      <c r="D50" s="82"/>
      <c r="E50" s="82"/>
      <c r="J50" s="82"/>
      <c r="K50" s="85"/>
      <c r="L50" s="85"/>
      <c r="M50" s="82"/>
      <c r="N50" s="82"/>
    </row>
    <row r="51" customFormat="false" ht="15" hidden="false" customHeight="false" outlineLevel="0" collapsed="false">
      <c r="A51" s="0" t="n">
        <v>3.4</v>
      </c>
      <c r="B51" s="82" t="n">
        <v>0</v>
      </c>
      <c r="D51" s="82"/>
      <c r="E51" s="82"/>
      <c r="J51" s="82"/>
      <c r="K51" s="85"/>
      <c r="L51" s="85"/>
      <c r="M51" s="82"/>
      <c r="N51" s="82"/>
    </row>
    <row r="52" customFormat="false" ht="15" hidden="false" customHeight="false" outlineLevel="0" collapsed="false">
      <c r="A52" s="0" t="n">
        <v>3.45</v>
      </c>
      <c r="B52" s="82" t="n">
        <v>0</v>
      </c>
      <c r="D52" s="82"/>
      <c r="E52" s="82"/>
      <c r="J52" s="82"/>
      <c r="K52" s="85"/>
      <c r="L52" s="85"/>
      <c r="M52" s="82"/>
      <c r="N52" s="82"/>
    </row>
    <row r="53" customFormat="false" ht="15" hidden="false" customHeight="false" outlineLevel="0" collapsed="false">
      <c r="A53" s="0" t="n">
        <v>3.5</v>
      </c>
      <c r="B53" s="82" t="n">
        <v>0</v>
      </c>
      <c r="D53" s="82"/>
      <c r="E53" s="82"/>
      <c r="J53" s="82"/>
      <c r="K53" s="85"/>
      <c r="L53" s="85"/>
      <c r="M53" s="82"/>
      <c r="N53" s="82"/>
    </row>
    <row r="54" customFormat="false" ht="15" hidden="false" customHeight="false" outlineLevel="0" collapsed="false">
      <c r="A54" s="0" t="n">
        <v>3.55</v>
      </c>
      <c r="B54" s="82" t="n">
        <v>0</v>
      </c>
      <c r="D54" s="82"/>
      <c r="E54" s="82"/>
      <c r="J54" s="82"/>
      <c r="K54" s="85"/>
      <c r="L54" s="85"/>
      <c r="M54" s="82"/>
      <c r="N54" s="82"/>
    </row>
    <row r="55" customFormat="false" ht="15" hidden="false" customHeight="false" outlineLevel="0" collapsed="false">
      <c r="A55" s="0" t="n">
        <v>3.6</v>
      </c>
      <c r="B55" s="82" t="n">
        <v>0</v>
      </c>
      <c r="D55" s="82"/>
      <c r="E55" s="82"/>
      <c r="J55" s="82"/>
      <c r="K55" s="85"/>
      <c r="L55" s="85"/>
      <c r="M55" s="82"/>
      <c r="N55" s="82"/>
    </row>
    <row r="56" customFormat="false" ht="15" hidden="false" customHeight="false" outlineLevel="0" collapsed="false">
      <c r="A56" s="0" t="n">
        <v>4</v>
      </c>
      <c r="B56" s="82" t="n">
        <v>0.037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T5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3" activeCellId="0" sqref="J3"/>
    </sheetView>
  </sheetViews>
  <sheetFormatPr defaultRowHeight="15"/>
  <cols>
    <col collapsed="false" hidden="false" max="1" min="1" style="0" width="8.66396761133603"/>
    <col collapsed="false" hidden="false" max="2" min="2" style="0" width="13.1255060728745"/>
    <col collapsed="false" hidden="false" max="3" min="3" style="82" width="8.66396761133603"/>
    <col collapsed="false" hidden="false" max="4" min="4" style="0" width="11.3603238866397"/>
    <col collapsed="false" hidden="false" max="5" min="5" style="0" width="10.5546558704453"/>
    <col collapsed="false" hidden="false" max="1025" min="6" style="0" width="8.66396761133603"/>
  </cols>
  <sheetData>
    <row r="1" customFormat="false" ht="15" hidden="false" customHeight="false" outlineLevel="0" collapsed="false">
      <c r="A1" s="80" t="s">
        <v>1166</v>
      </c>
      <c r="B1" s="80" t="s">
        <v>1167</v>
      </c>
      <c r="C1" s="83" t="n">
        <v>1.75</v>
      </c>
      <c r="D1" s="0" t="n">
        <v>1.95</v>
      </c>
      <c r="E1" s="0" t="n">
        <v>2.25</v>
      </c>
      <c r="G1" s="0" t="n">
        <f aca="false">SUM(F3:H55)</f>
        <v>87468</v>
      </c>
      <c r="K1" s="84" t="n">
        <v>0.4</v>
      </c>
      <c r="L1" s="84" t="n">
        <f aca="false">1-K1</f>
        <v>0.6</v>
      </c>
      <c r="N1" s="0" t="s">
        <v>1168</v>
      </c>
      <c r="T1" s="29" t="s">
        <v>216</v>
      </c>
    </row>
    <row r="2" customFormat="false" ht="15" hidden="false" customHeight="false" outlineLevel="0" collapsed="false">
      <c r="A2" s="80" t="n">
        <v>0</v>
      </c>
      <c r="B2" s="80"/>
      <c r="C2" s="0"/>
      <c r="K2" s="0" t="s">
        <v>1169</v>
      </c>
      <c r="L2" s="0" t="s">
        <v>1170</v>
      </c>
      <c r="N2" s="0" t="s">
        <v>1171</v>
      </c>
      <c r="T2" s="29"/>
    </row>
    <row r="3" customFormat="false" ht="15" hidden="false" customHeight="false" outlineLevel="0" collapsed="false">
      <c r="A3" s="0" t="n">
        <v>1</v>
      </c>
      <c r="B3" s="82" t="n">
        <v>0.00014862578314355</v>
      </c>
      <c r="C3" s="82" t="n">
        <f aca="false">_xlfn.NORM.DIST(A4,C$1,C$1*$O$10,1)-_xlfn.NORM.DIST(A3,C$1,C$1*$O$10,1)</f>
        <v>0.000251540642823367</v>
      </c>
      <c r="D3" s="82" t="n">
        <f aca="false">_xlfn.NORM.DIST(A4,D$1,D$1*$O$10,1)-_xlfn.NORM.DIST(A3,D$1,D$1*$O$10,1)</f>
        <v>3.5438892955338E-005</v>
      </c>
      <c r="E3" s="82" t="n">
        <f aca="false">_xlfn.NORM.DIST(A4,E$1,E$1*$O$10,1)-_xlfn.NORM.DIST(A3,E$1,E$1*$O$10,1)</f>
        <v>2.5743619711061E-006</v>
      </c>
      <c r="F3" s="0" t="n">
        <f aca="false">ROUND(C3*$T$5,0)</f>
        <v>12</v>
      </c>
      <c r="G3" s="0" t="n">
        <f aca="false">ROUND(D3*$T$6,0)</f>
        <v>1</v>
      </c>
      <c r="H3" s="0" t="n">
        <f aca="false">ROUND(E3*$T$7,0)</f>
        <v>0</v>
      </c>
      <c r="I3" s="0" t="n">
        <f aca="false">SUM(F3:H3)</f>
        <v>13</v>
      </c>
      <c r="J3" s="82" t="n">
        <f aca="false">I3/$G$1</f>
        <v>0.00014862578314355</v>
      </c>
      <c r="K3" s="85" t="n">
        <f aca="false">I3*$K$1</f>
        <v>5.2</v>
      </c>
      <c r="L3" s="85" t="n">
        <f aca="false">I3*$L$1</f>
        <v>7.8</v>
      </c>
      <c r="M3" s="82"/>
      <c r="N3" s="82"/>
      <c r="O3" s="0" t="s">
        <v>1172</v>
      </c>
      <c r="P3" s="86"/>
      <c r="Q3" s="86"/>
      <c r="R3" s="86"/>
    </row>
    <row r="4" customFormat="false" ht="15" hidden="false" customHeight="false" outlineLevel="0" collapsed="false">
      <c r="A4" s="0" t="n">
        <v>1.05</v>
      </c>
      <c r="B4" s="82" t="n">
        <v>0.000320117071386107</v>
      </c>
      <c r="C4" s="82" t="n">
        <f aca="false">_xlfn.NORM.DIST(A5,C$1,C$1*$O$10,1)-_xlfn.NORM.DIST(A4,C$1,C$1*$O$10,1)</f>
        <v>0.000554214489045564</v>
      </c>
      <c r="D4" s="82" t="n">
        <f aca="false">_xlfn.NORM.DIST(A5,D$1,D$1*$O$10,1)-_xlfn.NORM.DIST(A4,D$1,D$1*$O$10,1)</f>
        <v>8.03626930306223E-005</v>
      </c>
      <c r="E4" s="82" t="n">
        <f aca="false">_xlfn.NORM.DIST(A5,E$1,E$1*$O$10,1)-_xlfn.NORM.DIST(A4,E$1,E$1*$O$10,1)</f>
        <v>5.84930964768628E-006</v>
      </c>
      <c r="F4" s="0" t="n">
        <f aca="false">ROUND(C4*$T$5,0)</f>
        <v>26</v>
      </c>
      <c r="G4" s="0" t="n">
        <f aca="false">ROUND(D4*$T$6,0)</f>
        <v>2</v>
      </c>
      <c r="H4" s="0" t="n">
        <f aca="false">ROUND(E4*$T$7,0)</f>
        <v>0</v>
      </c>
      <c r="I4" s="0" t="n">
        <f aca="false">SUM(F4:H4)</f>
        <v>28</v>
      </c>
      <c r="J4" s="82" t="n">
        <f aca="false">I4/$G$1</f>
        <v>0.000320117071386107</v>
      </c>
      <c r="K4" s="85" t="n">
        <f aca="false">I4*$K$1</f>
        <v>11.2</v>
      </c>
      <c r="L4" s="85" t="n">
        <f aca="false">I4*$L$1</f>
        <v>16.8</v>
      </c>
      <c r="M4" s="82"/>
      <c r="N4" s="82"/>
      <c r="O4" s="86" t="n">
        <v>0.06</v>
      </c>
      <c r="P4" s="86"/>
      <c r="Q4" s="86"/>
      <c r="R4" s="86"/>
    </row>
    <row r="5" customFormat="false" ht="15" hidden="false" customHeight="false" outlineLevel="0" collapsed="false">
      <c r="A5" s="0" t="n">
        <v>1.1</v>
      </c>
      <c r="B5" s="82" t="n">
        <v>0.000674532400420725</v>
      </c>
      <c r="C5" s="82" t="n">
        <f aca="false">_xlfn.NORM.DIST(A6,C$1,C$1*$O$10,1)-_xlfn.NORM.DIST(A5,C$1,C$1*$O$10,1)</f>
        <v>0.00115409215784388</v>
      </c>
      <c r="D5" s="82" t="n">
        <f aca="false">_xlfn.NORM.DIST(A6,D$1,D$1*$O$10,1)-_xlfn.NORM.DIST(A5,D$1,D$1*$O$10,1)</f>
        <v>0.000174129831822396</v>
      </c>
      <c r="E5" s="82" t="n">
        <f aca="false">_xlfn.NORM.DIST(A6,E$1,E$1*$O$10,1)-_xlfn.NORM.DIST(A5,E$1,E$1*$O$10,1)</f>
        <v>1.28436151383547E-005</v>
      </c>
      <c r="F5" s="0" t="n">
        <f aca="false">ROUND(C5*$T$5,0)</f>
        <v>54</v>
      </c>
      <c r="G5" s="0" t="n">
        <f aca="false">ROUND(D5*$T$6,0)</f>
        <v>5</v>
      </c>
      <c r="H5" s="0" t="n">
        <f aca="false">ROUND(E5*$T$7,0)</f>
        <v>0</v>
      </c>
      <c r="I5" s="0" t="n">
        <f aca="false">SUM(F5:H5)</f>
        <v>59</v>
      </c>
      <c r="J5" s="82" t="n">
        <f aca="false">I5/$G$1</f>
        <v>0.000674532400420725</v>
      </c>
      <c r="K5" s="85" t="n">
        <f aca="false">I5*$K$1</f>
        <v>23.6</v>
      </c>
      <c r="L5" s="85" t="n">
        <f aca="false">I5*$L$1</f>
        <v>35.4</v>
      </c>
      <c r="M5" s="82"/>
      <c r="N5" s="82"/>
      <c r="O5" s="86" t="n">
        <v>0.07</v>
      </c>
      <c r="P5" s="86"/>
      <c r="Q5" s="86"/>
      <c r="R5" s="0" t="s">
        <v>1173</v>
      </c>
      <c r="S5" s="0" t="n">
        <v>1.75</v>
      </c>
      <c r="T5" s="0" t="n">
        <f aca="false">12*3888</f>
        <v>46656</v>
      </c>
    </row>
    <row r="6" customFormat="false" ht="15" hidden="false" customHeight="false" outlineLevel="0" collapsed="false">
      <c r="A6" s="0" t="n">
        <v>1.15</v>
      </c>
      <c r="B6" s="82" t="n">
        <v>0.00133763204829195</v>
      </c>
      <c r="C6" s="82" t="n">
        <f aca="false">_xlfn.NORM.DIST(A7,C$1,C$1*$O$10,1)-_xlfn.NORM.DIST(A6,C$1,C$1*$O$10,1)</f>
        <v>0.0022714149128007</v>
      </c>
      <c r="D6" s="82" t="n">
        <f aca="false">_xlfn.NORM.DIST(A7,D$1,D$1*$O$10,1)-_xlfn.NORM.DIST(A6,D$1,D$1*$O$10,1)</f>
        <v>0.000360525922372065</v>
      </c>
      <c r="E6" s="82" t="n">
        <f aca="false">_xlfn.NORM.DIST(A7,E$1,E$1*$O$10,1)-_xlfn.NORM.DIST(A6,E$1,E$1*$O$10,1)</f>
        <v>2.72532144381548E-005</v>
      </c>
      <c r="F6" s="0" t="n">
        <f aca="false">ROUND(C6*$T$5,0)</f>
        <v>106</v>
      </c>
      <c r="G6" s="0" t="n">
        <f aca="false">ROUND(D6*$T$6,0)</f>
        <v>11</v>
      </c>
      <c r="H6" s="0" t="n">
        <f aca="false">ROUND(E6*$T$7,0)</f>
        <v>0</v>
      </c>
      <c r="I6" s="0" t="n">
        <f aca="false">SUM(F6:H6)</f>
        <v>117</v>
      </c>
      <c r="J6" s="82" t="n">
        <f aca="false">I6/$G$1</f>
        <v>0.00133763204829195</v>
      </c>
      <c r="K6" s="85" t="n">
        <f aca="false">I6*$K$1</f>
        <v>46.8</v>
      </c>
      <c r="L6" s="85" t="n">
        <f aca="false">I6*$L$1</f>
        <v>70.2</v>
      </c>
      <c r="M6" s="82"/>
      <c r="N6" s="82"/>
      <c r="O6" s="86" t="n">
        <v>0.08</v>
      </c>
      <c r="R6" s="0" t="s">
        <v>1174</v>
      </c>
      <c r="S6" s="0" t="n">
        <v>1.95</v>
      </c>
      <c r="T6" s="0" t="n">
        <f aca="false">8*3888</f>
        <v>31104</v>
      </c>
    </row>
    <row r="7" customFormat="false" ht="15" hidden="false" customHeight="false" outlineLevel="0" collapsed="false">
      <c r="A7" s="0" t="n">
        <v>1.2</v>
      </c>
      <c r="B7" s="82" t="n">
        <v>0.00251520556089084</v>
      </c>
      <c r="C7" s="82" t="n">
        <f aca="false">_xlfn.NORM.DIST(A8,C$1,C$1*$O$10,1)-_xlfn.NORM.DIST(A7,C$1,C$1*$O$10,1)</f>
        <v>0.00422519010520084</v>
      </c>
      <c r="D7" s="82" t="n">
        <f aca="false">_xlfn.NORM.DIST(A8,D$1,D$1*$O$10,1)-_xlfn.NORM.DIST(A7,D$1,D$1*$O$10,1)</f>
        <v>0.000713254746286186</v>
      </c>
      <c r="E7" s="82" t="n">
        <f aca="false">_xlfn.NORM.DIST(A8,E$1,E$1*$O$10,1)-_xlfn.NORM.DIST(A7,E$1,E$1*$O$10,1)</f>
        <v>5.58851045230299E-005</v>
      </c>
      <c r="F7" s="0" t="n">
        <f aca="false">ROUND(C7*$T$5,0)</f>
        <v>197</v>
      </c>
      <c r="G7" s="0" t="n">
        <f aca="false">ROUND(D7*$T$6,0)</f>
        <v>22</v>
      </c>
      <c r="H7" s="0" t="n">
        <f aca="false">ROUND(E7*$T$7,0)</f>
        <v>1</v>
      </c>
      <c r="I7" s="0" t="n">
        <f aca="false">SUM(F7:H7)</f>
        <v>220</v>
      </c>
      <c r="J7" s="82" t="n">
        <f aca="false">I7/$G$1</f>
        <v>0.00251520556089084</v>
      </c>
      <c r="K7" s="85" t="n">
        <f aca="false">I7*$K$1</f>
        <v>88</v>
      </c>
      <c r="L7" s="85" t="n">
        <f aca="false">I7*$L$1</f>
        <v>132</v>
      </c>
      <c r="M7" s="82"/>
      <c r="N7" s="82"/>
      <c r="O7" s="86" t="n">
        <v>0.09</v>
      </c>
      <c r="R7" s="0" t="s">
        <v>1175</v>
      </c>
      <c r="S7" s="0" t="n">
        <v>2.25</v>
      </c>
      <c r="T7" s="0" t="n">
        <f aca="false">3*3240</f>
        <v>9720</v>
      </c>
    </row>
    <row r="8" customFormat="false" ht="15" hidden="false" customHeight="false" outlineLevel="0" collapsed="false">
      <c r="A8" s="0" t="n">
        <v>1.25</v>
      </c>
      <c r="B8" s="82" t="n">
        <v>0.00445877349430649</v>
      </c>
      <c r="C8" s="82" t="n">
        <f aca="false">_xlfn.NORM.DIST(A9,C$1,C$1*$O$10,1)-_xlfn.NORM.DIST(A8,C$1,C$1*$O$10,1)</f>
        <v>0.00742831360574051</v>
      </c>
      <c r="D8" s="82" t="n">
        <f aca="false">_xlfn.NORM.DIST(A9,D$1,D$1*$O$10,1)-_xlfn.NORM.DIST(A8,D$1,D$1*$O$10,1)</f>
        <v>0.00134833537228397</v>
      </c>
      <c r="E8" s="82" t="n">
        <f aca="false">_xlfn.NORM.DIST(A9,E$1,E$1*$O$10,1)-_xlfn.NORM.DIST(A8,E$1,E$1*$O$10,1)</f>
        <v>0.000110744556001372</v>
      </c>
      <c r="F8" s="0" t="n">
        <f aca="false">ROUND(C8*$T$5,0)</f>
        <v>347</v>
      </c>
      <c r="G8" s="0" t="n">
        <f aca="false">ROUND(D8*$T$6,0)</f>
        <v>42</v>
      </c>
      <c r="H8" s="0" t="n">
        <f aca="false">ROUND(E8*$T$7,0)</f>
        <v>1</v>
      </c>
      <c r="I8" s="0" t="n">
        <f aca="false">SUM(F8:H8)</f>
        <v>390</v>
      </c>
      <c r="J8" s="82" t="n">
        <f aca="false">I8/$G$1</f>
        <v>0.00445877349430649</v>
      </c>
      <c r="K8" s="85" t="n">
        <f aca="false">I8*$K$1</f>
        <v>156</v>
      </c>
      <c r="L8" s="85" t="n">
        <f aca="false">I8*$L$1</f>
        <v>234</v>
      </c>
      <c r="M8" s="82"/>
      <c r="N8" s="82"/>
      <c r="O8" s="86" t="n">
        <v>0.1</v>
      </c>
    </row>
    <row r="9" customFormat="false" ht="15" hidden="false" customHeight="false" outlineLevel="0" collapsed="false">
      <c r="A9" s="0" t="n">
        <v>1.3</v>
      </c>
      <c r="B9" s="82" t="n">
        <v>0.0074770201673755</v>
      </c>
      <c r="C9" s="82" t="n">
        <f aca="false">_xlfn.NORM.DIST(A10,C$1,C$1*$O$10,1)-_xlfn.NORM.DIST(A9,C$1,C$1*$O$10,1)</f>
        <v>0.0123432283635355</v>
      </c>
      <c r="D9" s="82" t="n">
        <f aca="false">_xlfn.NORM.DIST(A10,D$1,D$1*$O$10,1)-_xlfn.NORM.DIST(A9,D$1,D$1*$O$10,1)</f>
        <v>0.0024355468152549</v>
      </c>
      <c r="E9" s="82" t="n">
        <f aca="false">_xlfn.NORM.DIST(A10,E$1,E$1*$O$10,1)-_xlfn.NORM.DIST(A9,E$1,E$1*$O$10,1)</f>
        <v>0.000212078569745652</v>
      </c>
      <c r="F9" s="0" t="n">
        <f aca="false">ROUND(C9*$T$5,0)</f>
        <v>576</v>
      </c>
      <c r="G9" s="0" t="n">
        <f aca="false">ROUND(D9*$T$6,0)</f>
        <v>76</v>
      </c>
      <c r="H9" s="0" t="n">
        <f aca="false">ROUND(E9*$T$7,0)</f>
        <v>2</v>
      </c>
      <c r="I9" s="0" t="n">
        <f aca="false">SUM(F9:H9)</f>
        <v>654</v>
      </c>
      <c r="J9" s="82" t="n">
        <f aca="false">I9/$G$1</f>
        <v>0.0074770201673755</v>
      </c>
      <c r="K9" s="85" t="n">
        <f aca="false">I9*$K$1</f>
        <v>261.6</v>
      </c>
      <c r="L9" s="85" t="n">
        <f aca="false">I9*$L$1</f>
        <v>392.4</v>
      </c>
      <c r="M9" s="87"/>
      <c r="N9" s="88"/>
      <c r="O9" s="86" t="n">
        <v>0.11</v>
      </c>
    </row>
    <row r="10" customFormat="false" ht="15" hidden="false" customHeight="false" outlineLevel="0" collapsed="false">
      <c r="A10" s="0" t="n">
        <v>1.35</v>
      </c>
      <c r="B10" s="82" t="n">
        <v>0.0118786298989345</v>
      </c>
      <c r="C10" s="82" t="n">
        <f aca="false">_xlfn.NORM.DIST(A11,C$1,C$1*$O$10,1)-_xlfn.NORM.DIST(A10,C$1,C$1*$O$10,1)</f>
        <v>0.0193848383054508</v>
      </c>
      <c r="D10" s="82" t="n">
        <f aca="false">_xlfn.NORM.DIST(A11,D$1,D$1*$O$10,1)-_xlfn.NORM.DIST(A10,D$1,D$1*$O$10,1)</f>
        <v>0.00420378532633477</v>
      </c>
      <c r="E10" s="82" t="n">
        <f aca="false">_xlfn.NORM.DIST(A11,E$1,E$1*$O$10,1)-_xlfn.NORM.DIST(A10,E$1,E$1*$O$10,1)</f>
        <v>0.000392481651115749</v>
      </c>
      <c r="F10" s="0" t="n">
        <f aca="false">ROUND(C10*$T$5,0)</f>
        <v>904</v>
      </c>
      <c r="G10" s="0" t="n">
        <f aca="false">ROUND(D10*$T$6,0)</f>
        <v>131</v>
      </c>
      <c r="H10" s="0" t="n">
        <f aca="false">ROUND(E10*$T$7,0)</f>
        <v>4</v>
      </c>
      <c r="I10" s="0" t="n">
        <f aca="false">SUM(F10:H10)</f>
        <v>1039</v>
      </c>
      <c r="J10" s="82" t="n">
        <f aca="false">I10/$G$1</f>
        <v>0.0118786298989345</v>
      </c>
      <c r="K10" s="85" t="n">
        <f aca="false">I10*$K$1</f>
        <v>415.6</v>
      </c>
      <c r="L10" s="85" t="n">
        <f aca="false">I10*$L$1</f>
        <v>623.4</v>
      </c>
      <c r="M10" s="87"/>
      <c r="N10" s="88"/>
      <c r="O10" s="86" t="n">
        <v>0.12</v>
      </c>
    </row>
    <row r="11" customFormat="false" ht="15" hidden="false" customHeight="false" outlineLevel="0" collapsed="false">
      <c r="A11" s="0" t="n">
        <v>1.4</v>
      </c>
      <c r="B11" s="82" t="n">
        <v>0.0178922577399735</v>
      </c>
      <c r="C11" s="82" t="n">
        <f aca="false">_xlfn.NORM.DIST(A12,C$1,C$1*$O$10,1)-_xlfn.NORM.DIST(A11,C$1,C$1*$O$10,1)</f>
        <v>0.0287733732370201</v>
      </c>
      <c r="D11" s="82" t="n">
        <f aca="false">_xlfn.NORM.DIST(A12,D$1,D$1*$O$10,1)-_xlfn.NORM.DIST(A11,D$1,D$1*$O$10,1)</f>
        <v>0.00693314456102894</v>
      </c>
      <c r="E11" s="82" t="n">
        <f aca="false">_xlfn.NORM.DIST(A12,E$1,E$1*$O$10,1)-_xlfn.NORM.DIST(A11,E$1,E$1*$O$10,1)</f>
        <v>0.000701924157687266</v>
      </c>
      <c r="F11" s="0" t="n">
        <f aca="false">ROUND(C11*$T$5,0)</f>
        <v>1342</v>
      </c>
      <c r="G11" s="0" t="n">
        <f aca="false">ROUND(D11*$T$6,0)</f>
        <v>216</v>
      </c>
      <c r="H11" s="0" t="n">
        <f aca="false">ROUND(E11*$T$7,0)</f>
        <v>7</v>
      </c>
      <c r="I11" s="0" t="n">
        <f aca="false">SUM(F11:H11)</f>
        <v>1565</v>
      </c>
      <c r="J11" s="82" t="n">
        <f aca="false">I11/$G$1</f>
        <v>0.0178922577399735</v>
      </c>
      <c r="K11" s="85" t="n">
        <f aca="false">I11*$K$1</f>
        <v>626</v>
      </c>
      <c r="L11" s="85" t="n">
        <f aca="false">I11*$L$1</f>
        <v>939</v>
      </c>
      <c r="M11" s="87"/>
      <c r="N11" s="88"/>
      <c r="O11" s="86" t="n">
        <v>0.13</v>
      </c>
    </row>
    <row r="12" customFormat="false" ht="15" hidden="false" customHeight="false" outlineLevel="0" collapsed="false">
      <c r="A12" s="0" t="n">
        <v>1.45</v>
      </c>
      <c r="B12" s="82" t="n">
        <v>0.025552201948141</v>
      </c>
      <c r="C12" s="82" t="n">
        <f aca="false">_xlfn.NORM.DIST(A13,C$1,C$1*$O$10,1)-_xlfn.NORM.DIST(A12,C$1,C$1*$O$10,1)</f>
        <v>0.0403659158365377</v>
      </c>
      <c r="D12" s="82" t="n">
        <f aca="false">_xlfn.NORM.DIST(A13,D$1,D$1*$O$10,1)-_xlfn.NORM.DIST(A12,D$1,D$1*$O$10,1)</f>
        <v>0.0109261165248759</v>
      </c>
      <c r="E12" s="82" t="n">
        <f aca="false">_xlfn.NORM.DIST(A13,E$1,E$1*$O$10,1)-_xlfn.NORM.DIST(A12,E$1,E$1*$O$10,1)</f>
        <v>0.00121313564424429</v>
      </c>
      <c r="F12" s="0" t="n">
        <f aca="false">ROUND(C12*$T$5,0)</f>
        <v>1883</v>
      </c>
      <c r="G12" s="0" t="n">
        <f aca="false">ROUND(D12*$T$6,0)</f>
        <v>340</v>
      </c>
      <c r="H12" s="0" t="n">
        <f aca="false">ROUND(E12*$T$7,0)</f>
        <v>12</v>
      </c>
      <c r="I12" s="0" t="n">
        <f aca="false">SUM(F12:H12)</f>
        <v>2235</v>
      </c>
      <c r="J12" s="82" t="n">
        <f aca="false">I12/$G$1</f>
        <v>0.025552201948141</v>
      </c>
      <c r="K12" s="85" t="n">
        <f aca="false">I12*$K$1</f>
        <v>894</v>
      </c>
      <c r="L12" s="85" t="n">
        <f aca="false">I12*$L$1</f>
        <v>1341</v>
      </c>
      <c r="M12" s="87"/>
      <c r="N12" s="88"/>
      <c r="O12" s="86" t="n">
        <v>0.14</v>
      </c>
    </row>
    <row r="13" customFormat="false" ht="15" hidden="false" customHeight="false" outlineLevel="0" collapsed="false">
      <c r="A13" s="0" t="n">
        <v>1.5</v>
      </c>
      <c r="B13" s="82" t="n">
        <v>0.0346298074724471</v>
      </c>
      <c r="C13" s="82" t="n">
        <f aca="false">_xlfn.NORM.DIST(A14,C$1,C$1*$O$10,1)-_xlfn.NORM.DIST(A13,C$1,C$1*$O$10,1)</f>
        <v>0.0535222666176927</v>
      </c>
      <c r="D13" s="82" t="n">
        <f aca="false">_xlfn.NORM.DIST(A14,D$1,D$1*$O$10,1)-_xlfn.NORM.DIST(A13,D$1,D$1*$O$10,1)</f>
        <v>0.0164530872438734</v>
      </c>
      <c r="E13" s="82" t="n">
        <f aca="false">_xlfn.NORM.DIST(A14,E$1,E$1*$O$10,1)-_xlfn.NORM.DIST(A13,E$1,E$1*$O$10,1)</f>
        <v>0.00202617502213914</v>
      </c>
      <c r="F13" s="0" t="n">
        <f aca="false">ROUND(C13*$T$5,0)</f>
        <v>2497</v>
      </c>
      <c r="G13" s="0" t="n">
        <f aca="false">ROUND(D13*$T$6,0)</f>
        <v>512</v>
      </c>
      <c r="H13" s="0" t="n">
        <f aca="false">ROUND(E13*$T$7,0)</f>
        <v>20</v>
      </c>
      <c r="I13" s="0" t="n">
        <f aca="false">SUM(F13:H13)</f>
        <v>3029</v>
      </c>
      <c r="J13" s="82" t="n">
        <f aca="false">I13/$G$1</f>
        <v>0.0346298074724471</v>
      </c>
      <c r="K13" s="85" t="n">
        <f aca="false">I13*$K$1</f>
        <v>1211.6</v>
      </c>
      <c r="L13" s="85" t="n">
        <f aca="false">I13*$L$1</f>
        <v>1817.4</v>
      </c>
      <c r="M13" s="87"/>
      <c r="N13" s="88"/>
    </row>
    <row r="14" customFormat="false" ht="15" hidden="false" customHeight="false" outlineLevel="0" collapsed="false">
      <c r="A14" s="0" t="n">
        <v>1.55</v>
      </c>
      <c r="B14" s="82" t="n">
        <v>0.0445534366854164</v>
      </c>
      <c r="C14" s="82" t="n">
        <f aca="false">_xlfn.NORM.DIST(A15,C$1,C$1*$O$10,1)-_xlfn.NORM.DIST(A14,C$1,C$1*$O$10,1)</f>
        <v>0.0670733540629114</v>
      </c>
      <c r="D14" s="82" t="n">
        <f aca="false">_xlfn.NORM.DIST(A15,D$1,D$1*$O$10,1)-_xlfn.NORM.DIST(A14,D$1,D$1*$O$10,1)</f>
        <v>0.0236741891329218</v>
      </c>
      <c r="E14" s="82" t="n">
        <f aca="false">_xlfn.NORM.DIST(A15,E$1,E$1*$O$10,1)-_xlfn.NORM.DIST(A14,E$1,E$1*$O$10,1)</f>
        <v>0.00327034104121389</v>
      </c>
      <c r="F14" s="0" t="n">
        <f aca="false">ROUND(C14*$T$5,0)</f>
        <v>3129</v>
      </c>
      <c r="G14" s="0" t="n">
        <f aca="false">ROUND(D14*$T$6,0)</f>
        <v>736</v>
      </c>
      <c r="H14" s="0" t="n">
        <f aca="false">ROUND(E14*$T$7,0)</f>
        <v>32</v>
      </c>
      <c r="I14" s="0" t="n">
        <f aca="false">SUM(F14:H14)</f>
        <v>3897</v>
      </c>
      <c r="J14" s="82" t="n">
        <f aca="false">I14/$G$1</f>
        <v>0.0445534366854164</v>
      </c>
      <c r="K14" s="85" t="n">
        <f aca="false">I14*$K$1</f>
        <v>1558.8</v>
      </c>
      <c r="L14" s="85" t="n">
        <f aca="false">I14*$L$1</f>
        <v>2338.2</v>
      </c>
      <c r="M14" s="87"/>
      <c r="N14" s="88"/>
    </row>
    <row r="15" customFormat="false" ht="15" hidden="false" customHeight="false" outlineLevel="0" collapsed="false">
      <c r="A15" s="0" t="n">
        <v>1.6</v>
      </c>
      <c r="B15" s="82" t="n">
        <v>0.0545227969085837</v>
      </c>
      <c r="C15" s="82" t="n">
        <f aca="false">_xlfn.NORM.DIST(A16,C$1,C$1*$O$10,1)-_xlfn.NORM.DIST(A15,C$1,C$1*$O$10,1)</f>
        <v>0.0794440799136961</v>
      </c>
      <c r="D15" s="82" t="n">
        <f aca="false">_xlfn.NORM.DIST(A16,D$1,D$1*$O$10,1)-_xlfn.NORM.DIST(A15,D$1,D$1*$O$10,1)</f>
        <v>0.0325498572756578</v>
      </c>
      <c r="E15" s="82" t="n">
        <f aca="false">_xlfn.NORM.DIST(A16,E$1,E$1*$O$10,1)-_xlfn.NORM.DIST(A15,E$1,E$1*$O$10,1)</f>
        <v>0.00510102784142396</v>
      </c>
      <c r="F15" s="0" t="n">
        <f aca="false">ROUND(C15*$T$5,0)</f>
        <v>3707</v>
      </c>
      <c r="G15" s="0" t="n">
        <f aca="false">ROUND(D15*$T$6,0)</f>
        <v>1012</v>
      </c>
      <c r="H15" s="0" t="n">
        <f aca="false">ROUND(E15*$T$7,0)</f>
        <v>50</v>
      </c>
      <c r="I15" s="0" t="n">
        <f aca="false">SUM(F15:H15)</f>
        <v>4769</v>
      </c>
      <c r="J15" s="82" t="n">
        <f aca="false">I15/$G$1</f>
        <v>0.0545227969085837</v>
      </c>
      <c r="K15" s="85" t="n">
        <f aca="false">I15*$K$1</f>
        <v>1907.6</v>
      </c>
      <c r="L15" s="85" t="n">
        <f aca="false">I15*$L$1</f>
        <v>2861.4</v>
      </c>
      <c r="M15" s="87"/>
      <c r="N15" s="88"/>
    </row>
    <row r="16" customFormat="false" ht="15" hidden="false" customHeight="false" outlineLevel="0" collapsed="false">
      <c r="A16" s="0" t="n">
        <v>1.65</v>
      </c>
      <c r="B16" s="82" t="n">
        <v>0.0634975076599442</v>
      </c>
      <c r="C16" s="82" t="n">
        <f aca="false">_xlfn.NORM.DIST(A17,C$1,C$1*$O$10,1)-_xlfn.NORM.DIST(A16,C$1,C$1*$O$10,1)</f>
        <v>0.0889342720610441</v>
      </c>
      <c r="D16" s="82" t="n">
        <f aca="false">_xlfn.NORM.DIST(A17,D$1,D$1*$O$10,1)-_xlfn.NORM.DIST(A16,D$1,D$1*$O$10,1)</f>
        <v>0.0427631251910487</v>
      </c>
      <c r="E16" s="82" t="n">
        <f aca="false">_xlfn.NORM.DIST(A17,E$1,E$1*$O$10,1)-_xlfn.NORM.DIST(A16,E$1,E$1*$O$10,1)</f>
        <v>0.00768901962000058</v>
      </c>
      <c r="F16" s="0" t="n">
        <f aca="false">ROUND(C16*$T$5,0)</f>
        <v>4149</v>
      </c>
      <c r="G16" s="0" t="n">
        <f aca="false">ROUND(D16*$T$6,0)</f>
        <v>1330</v>
      </c>
      <c r="H16" s="0" t="n">
        <f aca="false">ROUND(E16*$T$7,0)</f>
        <v>75</v>
      </c>
      <c r="I16" s="0" t="n">
        <f aca="false">SUM(F16:H16)</f>
        <v>5554</v>
      </c>
      <c r="J16" s="82" t="n">
        <f aca="false">I16/$G$1</f>
        <v>0.0634975076599442</v>
      </c>
      <c r="K16" s="85" t="n">
        <f aca="false">I16*$K$1</f>
        <v>2221.6</v>
      </c>
      <c r="L16" s="85" t="n">
        <f aca="false">I16*$L$1</f>
        <v>3332.4</v>
      </c>
      <c r="M16" s="87"/>
      <c r="N16" s="88"/>
    </row>
    <row r="17" customFormat="false" ht="15" hidden="false" customHeight="false" outlineLevel="0" collapsed="false">
      <c r="A17" s="0" t="n">
        <v>1.7</v>
      </c>
      <c r="B17" s="82" t="n">
        <v>0.0705286504778891</v>
      </c>
      <c r="C17" s="82" t="n">
        <f aca="false">_xlfn.NORM.DIST(A18,C$1,C$1*$O$10,1)-_xlfn.NORM.DIST(A17,C$1,C$1*$O$10,1)</f>
        <v>0.0940963859982832</v>
      </c>
      <c r="D17" s="82" t="n">
        <f aca="false">_xlfn.NORM.DIST(A18,D$1,D$1*$O$10,1)-_xlfn.NORM.DIST(A17,D$1,D$1*$O$10,1)</f>
        <v>0.0536829347722124</v>
      </c>
      <c r="E17" s="82" t="n">
        <f aca="false">_xlfn.NORM.DIST(A18,E$1,E$1*$O$10,1)-_xlfn.NORM.DIST(A17,E$1,E$1*$O$10,1)</f>
        <v>0.0112003844296998</v>
      </c>
      <c r="F17" s="0" t="n">
        <f aca="false">ROUND(C17*$T$5,0)</f>
        <v>4390</v>
      </c>
      <c r="G17" s="0" t="n">
        <f aca="false">ROUND(D17*$T$6,0)</f>
        <v>1670</v>
      </c>
      <c r="H17" s="0" t="n">
        <f aca="false">ROUND(E17*$T$7,0)</f>
        <v>109</v>
      </c>
      <c r="I17" s="0" t="n">
        <f aca="false">SUM(F17:H17)</f>
        <v>6169</v>
      </c>
      <c r="J17" s="82" t="n">
        <f aca="false">I17/$G$1</f>
        <v>0.0705286504778891</v>
      </c>
      <c r="K17" s="85" t="n">
        <f aca="false">I17*$K$1</f>
        <v>2467.6</v>
      </c>
      <c r="L17" s="85" t="n">
        <f aca="false">I17*$L$1</f>
        <v>3701.4</v>
      </c>
      <c r="M17" s="87"/>
      <c r="N17" s="88"/>
    </row>
    <row r="18" customFormat="false" ht="15" hidden="false" customHeight="false" outlineLevel="0" collapsed="false">
      <c r="A18" s="0" t="n">
        <v>1.75</v>
      </c>
      <c r="B18" s="82" t="n">
        <v>0.074838798189052</v>
      </c>
      <c r="C18" s="82" t="n">
        <f aca="false">_xlfn.NORM.DIST(A19,C$1,C$1*$O$10,1)-_xlfn.NORM.DIST(A18,C$1,C$1*$O$10,1)</f>
        <v>0.0940963859982836</v>
      </c>
      <c r="D18" s="82" t="n">
        <f aca="false">_xlfn.NORM.DIST(A19,D$1,D$1*$O$10,1)-_xlfn.NORM.DIST(A18,D$1,D$1*$O$10,1)</f>
        <v>0.0643946233266304</v>
      </c>
      <c r="E18" s="82" t="n">
        <f aca="false">_xlfn.NORM.DIST(A19,E$1,E$1*$O$10,1)-_xlfn.NORM.DIST(A18,E$1,E$1*$O$10,1)</f>
        <v>0.0157668025320932</v>
      </c>
      <c r="F18" s="0" t="n">
        <f aca="false">ROUND(C18*$T$5,0)</f>
        <v>4390</v>
      </c>
      <c r="G18" s="0" t="n">
        <f aca="false">ROUND(D18*$T$6,0)</f>
        <v>2003</v>
      </c>
      <c r="H18" s="0" t="n">
        <f aca="false">ROUND(E18*$T$7,0)</f>
        <v>153</v>
      </c>
      <c r="I18" s="0" t="n">
        <f aca="false">SUM(F18:H18)</f>
        <v>6546</v>
      </c>
      <c r="J18" s="82" t="n">
        <f aca="false">I18/$G$1</f>
        <v>0.074838798189052</v>
      </c>
      <c r="K18" s="85" t="n">
        <f aca="false">I18*$K$1</f>
        <v>2618.4</v>
      </c>
      <c r="L18" s="85" t="n">
        <f aca="false">I18*$L$1</f>
        <v>3927.6</v>
      </c>
      <c r="M18" s="87"/>
      <c r="N18" s="88"/>
    </row>
    <row r="19" customFormat="false" ht="15" hidden="false" customHeight="false" outlineLevel="0" collapsed="false">
      <c r="A19" s="0" t="n">
        <v>1.8</v>
      </c>
      <c r="B19" s="82" t="n">
        <v>0.0760621027118489</v>
      </c>
      <c r="C19" s="82" t="n">
        <f aca="false">_xlfn.NORM.DIST(A20,C$1,C$1*$O$10,1)-_xlfn.NORM.DIST(A19,C$1,C$1*$O$10,1)</f>
        <v>0.0889342720610436</v>
      </c>
      <c r="D19" s="82" t="n">
        <f aca="false">_xlfn.NORM.DIST(A20,D$1,D$1*$O$10,1)-_xlfn.NORM.DIST(A19,D$1,D$1*$O$10,1)</f>
        <v>0.0738090422985642</v>
      </c>
      <c r="E19" s="82" t="n">
        <f aca="false">_xlfn.NORM.DIST(A20,E$1,E$1*$O$10,1)-_xlfn.NORM.DIST(A19,E$1,E$1*$O$10,1)</f>
        <v>0.0214488057605956</v>
      </c>
      <c r="F19" s="0" t="n">
        <f aca="false">ROUND(C19*$T$5,0)</f>
        <v>4149</v>
      </c>
      <c r="G19" s="0" t="n">
        <f aca="false">ROUND(D19*$T$6,0)</f>
        <v>2296</v>
      </c>
      <c r="H19" s="0" t="n">
        <f aca="false">ROUND(E19*$T$7,0)</f>
        <v>208</v>
      </c>
      <c r="I19" s="0" t="n">
        <f aca="false">SUM(F19:H19)</f>
        <v>6653</v>
      </c>
      <c r="J19" s="82" t="n">
        <f aca="false">I19/$G$1</f>
        <v>0.0760621027118489</v>
      </c>
      <c r="K19" s="85" t="n">
        <f aca="false">I19*$K$1</f>
        <v>2661.2</v>
      </c>
      <c r="L19" s="85" t="n">
        <f aca="false">I19*$L$1</f>
        <v>3991.8</v>
      </c>
      <c r="M19" s="87"/>
      <c r="N19" s="88"/>
    </row>
    <row r="20" customFormat="false" ht="15" hidden="false" customHeight="false" outlineLevel="0" collapsed="false">
      <c r="A20" s="0" t="n">
        <v>1.85</v>
      </c>
      <c r="B20" s="82" t="n">
        <v>0.0742557278090273</v>
      </c>
      <c r="C20" s="82" t="n">
        <f aca="false">_xlfn.NORM.DIST(A21,C$1,C$1*$O$10,1)-_xlfn.NORM.DIST(A20,C$1,C$1*$O$10,1)</f>
        <v>0.0794440799136961</v>
      </c>
      <c r="D20" s="82" t="n">
        <f aca="false">_xlfn.NORM.DIST(A21,D$1,D$1*$O$10,1)-_xlfn.NORM.DIST(A20,D$1,D$1*$O$10,1)</f>
        <v>0.0808381165250118</v>
      </c>
      <c r="E20" s="82" t="n">
        <f aca="false">_xlfn.NORM.DIST(A21,E$1,E$1*$O$10,1)-_xlfn.NORM.DIST(A20,E$1,E$1*$O$10,1)</f>
        <v>0.0281975540180566</v>
      </c>
      <c r="F20" s="0" t="n">
        <f aca="false">ROUND(C20*$T$5,0)</f>
        <v>3707</v>
      </c>
      <c r="G20" s="0" t="n">
        <f aca="false">ROUND(D20*$T$6,0)</f>
        <v>2514</v>
      </c>
      <c r="H20" s="0" t="n">
        <f aca="false">ROUND(E20*$T$7,0)</f>
        <v>274</v>
      </c>
      <c r="I20" s="0" t="n">
        <f aca="false">SUM(F20:H20)</f>
        <v>6495</v>
      </c>
      <c r="J20" s="82" t="n">
        <f aca="false">I20/$G$1</f>
        <v>0.0742557278090273</v>
      </c>
      <c r="K20" s="85" t="n">
        <f aca="false">I20*$K$1</f>
        <v>2598</v>
      </c>
      <c r="L20" s="85" t="n">
        <f aca="false">I20*$L$1</f>
        <v>3897</v>
      </c>
      <c r="M20" s="87"/>
      <c r="N20" s="88"/>
    </row>
    <row r="21" customFormat="false" ht="15" hidden="false" customHeight="false" outlineLevel="0" collapsed="false">
      <c r="A21" s="0" t="n">
        <v>1.9</v>
      </c>
      <c r="B21" s="82" t="n">
        <v>0.0698312525723693</v>
      </c>
      <c r="C21" s="82" t="n">
        <f aca="false">_xlfn.NORM.DIST(A22,C$1,C$1*$O$10,1)-_xlfn.NORM.DIST(A21,C$1,C$1*$O$10,1)</f>
        <v>0.0670733540629117</v>
      </c>
      <c r="D21" s="82" t="n">
        <f aca="false">_xlfn.NORM.DIST(A22,D$1,D$1*$O$10,1)-_xlfn.NORM.DIST(A21,D$1,D$1*$O$10,1)</f>
        <v>0.0845998292203409</v>
      </c>
      <c r="E21" s="82" t="n">
        <f aca="false">_xlfn.NORM.DIST(A22,E$1,E$1*$O$10,1)-_xlfn.NORM.DIST(A21,E$1,E$1*$O$10,1)</f>
        <v>0.0358235508510386</v>
      </c>
      <c r="F21" s="0" t="n">
        <f aca="false">ROUND(C21*$T$5,0)</f>
        <v>3129</v>
      </c>
      <c r="G21" s="0" t="n">
        <f aca="false">ROUND(D21*$T$6,0)</f>
        <v>2631</v>
      </c>
      <c r="H21" s="0" t="n">
        <f aca="false">ROUND(E21*$T$7,0)</f>
        <v>348</v>
      </c>
      <c r="I21" s="0" t="n">
        <f aca="false">SUM(F21:H21)</f>
        <v>6108</v>
      </c>
      <c r="J21" s="82" t="n">
        <f aca="false">I21/$G$1</f>
        <v>0.0698312525723693</v>
      </c>
      <c r="K21" s="85" t="n">
        <f aca="false">I21*$K$1</f>
        <v>2443.2</v>
      </c>
      <c r="L21" s="85" t="n">
        <f aca="false">I21*$L$1</f>
        <v>3664.8</v>
      </c>
      <c r="M21" s="87"/>
      <c r="N21" s="88"/>
    </row>
    <row r="22" customFormat="false" ht="15" hidden="false" customHeight="false" outlineLevel="0" collapsed="false">
      <c r="A22" s="0" t="n">
        <v>1.95</v>
      </c>
      <c r="B22" s="82" t="n">
        <v>0.0635203731650432</v>
      </c>
      <c r="C22" s="82" t="n">
        <f aca="false">_xlfn.NORM.DIST(A23,C$1,C$1*$O$10,1)-_xlfn.NORM.DIST(A22,C$1,C$1*$O$10,1)</f>
        <v>0.0535222666176924</v>
      </c>
      <c r="D22" s="82" t="n">
        <f aca="false">_xlfn.NORM.DIST(A23,D$1,D$1*$O$10,1)-_xlfn.NORM.DIST(A22,D$1,D$1*$O$10,1)</f>
        <v>0.0845998292203402</v>
      </c>
      <c r="E22" s="82" t="n">
        <f aca="false">_xlfn.NORM.DIST(A23,E$1,E$1*$O$10,1)-_xlfn.NORM.DIST(A22,E$1,E$1*$O$10,1)</f>
        <v>0.0439819755341504</v>
      </c>
      <c r="F22" s="0" t="n">
        <f aca="false">ROUND(C22*$T$5,0)</f>
        <v>2497</v>
      </c>
      <c r="G22" s="0" t="n">
        <f aca="false">ROUND(D22*$T$6,0)</f>
        <v>2631</v>
      </c>
      <c r="H22" s="0" t="n">
        <f aca="false">ROUND(E22*$T$7,0)</f>
        <v>428</v>
      </c>
      <c r="I22" s="0" t="n">
        <f aca="false">SUM(F22:H22)</f>
        <v>5556</v>
      </c>
      <c r="J22" s="82" t="n">
        <f aca="false">I22/$G$1</f>
        <v>0.0635203731650432</v>
      </c>
      <c r="K22" s="85" t="n">
        <f aca="false">I22*$K$1</f>
        <v>2222.4</v>
      </c>
      <c r="L22" s="85" t="n">
        <f aca="false">I22*$L$1</f>
        <v>3333.6</v>
      </c>
      <c r="M22" s="87"/>
      <c r="N22" s="88"/>
    </row>
    <row r="23" customFormat="false" ht="15" hidden="false" customHeight="false" outlineLevel="0" collapsed="false">
      <c r="A23" s="0" t="n">
        <v>2</v>
      </c>
      <c r="B23" s="82" t="n">
        <v>0.0560662185027667</v>
      </c>
      <c r="C23" s="82" t="n">
        <f aca="false">_xlfn.NORM.DIST(A24,C$1,C$1*$O$10,1)-_xlfn.NORM.DIST(A23,C$1,C$1*$O$10,1)</f>
        <v>0.0403659158365377</v>
      </c>
      <c r="D23" s="82" t="n">
        <f aca="false">_xlfn.NORM.DIST(A24,D$1,D$1*$O$10,1)-_xlfn.NORM.DIST(A23,D$1,D$1*$O$10,1)</f>
        <v>0.0808381165250118</v>
      </c>
      <c r="E23" s="82" t="n">
        <f aca="false">_xlfn.NORM.DIST(A24,E$1,E$1*$O$10,1)-_xlfn.NORM.DIST(A23,E$1,E$1*$O$10,1)</f>
        <v>0.0521830875280775</v>
      </c>
      <c r="F23" s="0" t="n">
        <f aca="false">ROUND(C23*$T$5,0)</f>
        <v>1883</v>
      </c>
      <c r="G23" s="0" t="n">
        <f aca="false">ROUND(D23*$T$6,0)</f>
        <v>2514</v>
      </c>
      <c r="H23" s="0" t="n">
        <f aca="false">ROUND(E23*$T$7,0)</f>
        <v>507</v>
      </c>
      <c r="I23" s="0" t="n">
        <f aca="false">SUM(F23:H23)</f>
        <v>4904</v>
      </c>
      <c r="J23" s="82" t="n">
        <f aca="false">I23/$G$1</f>
        <v>0.0560662185027667</v>
      </c>
      <c r="K23" s="85" t="n">
        <f aca="false">I23*$K$1</f>
        <v>1961.6</v>
      </c>
      <c r="L23" s="85" t="n">
        <f aca="false">I23*$L$1</f>
        <v>2942.4</v>
      </c>
      <c r="M23" s="87"/>
      <c r="N23" s="88"/>
    </row>
    <row r="24" customFormat="false" ht="15" hidden="false" customHeight="false" outlineLevel="0" collapsed="false">
      <c r="A24" s="0" t="n">
        <v>2.05</v>
      </c>
      <c r="B24" s="82" t="n">
        <v>0.0482462157589061</v>
      </c>
      <c r="C24" s="82" t="n">
        <f aca="false">_xlfn.NORM.DIST(A25,C$1,C$1*$O$10,1)-_xlfn.NORM.DIST(A24,C$1,C$1*$O$10,1)</f>
        <v>0.0287733732370201</v>
      </c>
      <c r="D24" s="82" t="n">
        <f aca="false">_xlfn.NORM.DIST(A25,D$1,D$1*$O$10,1)-_xlfn.NORM.DIST(A24,D$1,D$1*$O$10,1)</f>
        <v>0.0738090422985646</v>
      </c>
      <c r="E24" s="82" t="n">
        <f aca="false">_xlfn.NORM.DIST(A25,E$1,E$1*$O$10,1)-_xlfn.NORM.DIST(A24,E$1,E$1*$O$10,1)</f>
        <v>0.0598320347892387</v>
      </c>
      <c r="F24" s="0" t="n">
        <f aca="false">ROUND(C24*$T$5,0)</f>
        <v>1342</v>
      </c>
      <c r="G24" s="0" t="n">
        <f aca="false">ROUND(D24*$T$6,0)</f>
        <v>2296</v>
      </c>
      <c r="H24" s="0" t="n">
        <f aca="false">ROUND(E24*$T$7,0)</f>
        <v>582</v>
      </c>
      <c r="I24" s="0" t="n">
        <f aca="false">SUM(F24:H24)</f>
        <v>4220</v>
      </c>
      <c r="J24" s="82" t="n">
        <f aca="false">I24/$G$1</f>
        <v>0.0482462157589061</v>
      </c>
      <c r="K24" s="85" t="n">
        <f aca="false">I24*$K$1</f>
        <v>1688</v>
      </c>
      <c r="L24" s="85" t="n">
        <f aca="false">I24*$L$1</f>
        <v>2532</v>
      </c>
      <c r="M24" s="87"/>
      <c r="N24" s="88"/>
    </row>
    <row r="25" customFormat="false" ht="15" hidden="false" customHeight="false" outlineLevel="0" collapsed="false">
      <c r="A25" s="0" t="n">
        <v>2.1</v>
      </c>
      <c r="B25" s="82" t="n">
        <v>0.0405977043032881</v>
      </c>
      <c r="C25" s="82" t="n">
        <f aca="false">_xlfn.NORM.DIST(A26,C$1,C$1*$O$10,1)-_xlfn.NORM.DIST(A25,C$1,C$1*$O$10,1)</f>
        <v>0.0193848383054509</v>
      </c>
      <c r="D25" s="82" t="n">
        <f aca="false">_xlfn.NORM.DIST(A26,D$1,D$1*$O$10,1)-_xlfn.NORM.DIST(A25,D$1,D$1*$O$10,1)</f>
        <v>0.0643946233266302</v>
      </c>
      <c r="E25" s="82" t="n">
        <f aca="false">_xlfn.NORM.DIST(A26,E$1,E$1*$O$10,1)-_xlfn.NORM.DIST(A25,E$1,E$1*$O$10,1)</f>
        <v>0.0662959130434297</v>
      </c>
      <c r="F25" s="0" t="n">
        <f aca="false">ROUND(C25*$T$5,0)</f>
        <v>904</v>
      </c>
      <c r="G25" s="0" t="n">
        <f aca="false">ROUND(D25*$T$6,0)</f>
        <v>2003</v>
      </c>
      <c r="H25" s="0" t="n">
        <f aca="false">ROUND(E25*$T$7,0)</f>
        <v>644</v>
      </c>
      <c r="I25" s="0" t="n">
        <f aca="false">SUM(F25:H25)</f>
        <v>3551</v>
      </c>
      <c r="J25" s="82" t="n">
        <f aca="false">I25/$G$1</f>
        <v>0.0405977043032881</v>
      </c>
      <c r="K25" s="85" t="n">
        <f aca="false">I25*$K$1</f>
        <v>1420.4</v>
      </c>
      <c r="L25" s="85" t="n">
        <f aca="false">I25*$L$1</f>
        <v>2130.6</v>
      </c>
      <c r="M25" s="87"/>
      <c r="N25" s="88"/>
    </row>
    <row r="26" customFormat="false" ht="15" hidden="false" customHeight="false" outlineLevel="0" collapsed="false">
      <c r="A26" s="0" t="n">
        <v>2.15</v>
      </c>
      <c r="B26" s="82" t="n">
        <v>0.0335665614853432</v>
      </c>
      <c r="C26" s="82" t="n">
        <f aca="false">_xlfn.NORM.DIST(A27,C$1,C$1*$O$10,1)-_xlfn.NORM.DIST(A26,C$1,C$1*$O$10,1)</f>
        <v>0.0123432283635355</v>
      </c>
      <c r="D26" s="82" t="n">
        <f aca="false">_xlfn.NORM.DIST(A27,D$1,D$1*$O$10,1)-_xlfn.NORM.DIST(A26,D$1,D$1*$O$10,1)</f>
        <v>0.053682934772213</v>
      </c>
      <c r="E26" s="82" t="n">
        <f aca="false">_xlfn.NORM.DIST(A27,E$1,E$1*$O$10,1)-_xlfn.NORM.DIST(A26,E$1,E$1*$O$10,1)</f>
        <v>0.0709886205185641</v>
      </c>
      <c r="F26" s="0" t="n">
        <f aca="false">ROUND(C26*$T$5,0)</f>
        <v>576</v>
      </c>
      <c r="G26" s="0" t="n">
        <f aca="false">ROUND(D26*$T$6,0)</f>
        <v>1670</v>
      </c>
      <c r="H26" s="0" t="n">
        <f aca="false">ROUND(E26*$T$7,0)</f>
        <v>690</v>
      </c>
      <c r="I26" s="0" t="n">
        <f aca="false">SUM(F26:H26)</f>
        <v>2936</v>
      </c>
      <c r="J26" s="82" t="n">
        <f aca="false">I26/$G$1</f>
        <v>0.0335665614853432</v>
      </c>
      <c r="K26" s="85" t="n">
        <f aca="false">I26*$K$1</f>
        <v>1174.4</v>
      </c>
      <c r="L26" s="85" t="n">
        <f aca="false">I26*$L$1</f>
        <v>1761.6</v>
      </c>
      <c r="M26" s="87"/>
      <c r="N26" s="88"/>
    </row>
    <row r="27" customFormat="false" ht="15" hidden="false" customHeight="false" outlineLevel="0" collapsed="false">
      <c r="A27" s="0" t="n">
        <v>2.2</v>
      </c>
      <c r="B27" s="82" t="n">
        <v>0.0273357113458636</v>
      </c>
      <c r="C27" s="82" t="n">
        <f aca="false">_xlfn.NORM.DIST(A28,C$1,C$1*$O$10,1)-_xlfn.NORM.DIST(A27,C$1,C$1*$O$10,1)</f>
        <v>0.00742831360574048</v>
      </c>
      <c r="D27" s="82" t="n">
        <f aca="false">_xlfn.NORM.DIST(A28,D$1,D$1*$O$10,1)-_xlfn.NORM.DIST(A27,D$1,D$1*$O$10,1)</f>
        <v>0.0427631251910483</v>
      </c>
      <c r="E27" s="82" t="n">
        <f aca="false">_xlfn.NORM.DIST(A28,E$1,E$1*$O$10,1)-_xlfn.NORM.DIST(A27,E$1,E$1*$O$10,1)</f>
        <v>0.073458105684034</v>
      </c>
      <c r="F27" s="0" t="n">
        <f aca="false">ROUND(C27*$T$5,0)</f>
        <v>347</v>
      </c>
      <c r="G27" s="0" t="n">
        <f aca="false">ROUND(D27*$T$6,0)</f>
        <v>1330</v>
      </c>
      <c r="H27" s="0" t="n">
        <f aca="false">ROUND(E27*$T$7,0)</f>
        <v>714</v>
      </c>
      <c r="I27" s="0" t="n">
        <f aca="false">SUM(F27:H27)</f>
        <v>2391</v>
      </c>
      <c r="J27" s="82" t="n">
        <f aca="false">I27/$G$1</f>
        <v>0.0273357113458636</v>
      </c>
      <c r="K27" s="85" t="n">
        <f aca="false">I27*$K$1</f>
        <v>956.4</v>
      </c>
      <c r="L27" s="85" t="n">
        <f aca="false">I27*$L$1</f>
        <v>1434.6</v>
      </c>
      <c r="M27" s="87"/>
      <c r="N27" s="88"/>
    </row>
    <row r="28" customFormat="false" ht="15" hidden="false" customHeight="false" outlineLevel="0" collapsed="false">
      <c r="A28" s="0" t="n">
        <v>2.25</v>
      </c>
      <c r="B28" s="82" t="n">
        <v>0.0219851831526958</v>
      </c>
      <c r="C28" s="82" t="n">
        <f aca="false">_xlfn.NORM.DIST(A29,C$1,C$1*$O$10,1)-_xlfn.NORM.DIST(A28,C$1,C$1*$O$10,1)</f>
        <v>0.00422519010520084</v>
      </c>
      <c r="D28" s="82" t="n">
        <f aca="false">_xlfn.NORM.DIST(A29,D$1,D$1*$O$10,1)-_xlfn.NORM.DIST(A28,D$1,D$1*$O$10,1)</f>
        <v>0.032549857275658</v>
      </c>
      <c r="E28" s="82" t="n">
        <f aca="false">_xlfn.NORM.DIST(A29,E$1,E$1*$O$10,1)-_xlfn.NORM.DIST(A28,E$1,E$1*$O$10,1)</f>
        <v>0.073458105684034</v>
      </c>
      <c r="F28" s="0" t="n">
        <f aca="false">ROUND(C28*$T$5,0)</f>
        <v>197</v>
      </c>
      <c r="G28" s="0" t="n">
        <f aca="false">ROUND(D28*$T$6,0)</f>
        <v>1012</v>
      </c>
      <c r="H28" s="0" t="n">
        <f aca="false">ROUND(E28*$T$7,0)</f>
        <v>714</v>
      </c>
      <c r="I28" s="0" t="n">
        <f aca="false">SUM(F28:H28)</f>
        <v>1923</v>
      </c>
      <c r="J28" s="82" t="n">
        <f aca="false">I28/$G$1</f>
        <v>0.0219851831526958</v>
      </c>
      <c r="K28" s="85" t="n">
        <f aca="false">I28*$K$1</f>
        <v>769.2</v>
      </c>
      <c r="L28" s="85" t="n">
        <f aca="false">I28*$L$1</f>
        <v>1153.8</v>
      </c>
      <c r="M28" s="87"/>
      <c r="N28" s="88"/>
    </row>
    <row r="29" customFormat="false" ht="15" hidden="false" customHeight="false" outlineLevel="0" collapsed="false">
      <c r="A29" s="0" t="n">
        <v>2.3</v>
      </c>
      <c r="B29" s="82" t="n">
        <v>0.0175149769058399</v>
      </c>
      <c r="C29" s="82" t="n">
        <f aca="false">_xlfn.NORM.DIST(A30,C$1,C$1*$O$10,1)-_xlfn.NORM.DIST(A29,C$1,C$1*$O$10,1)</f>
        <v>0.0022714149128007</v>
      </c>
      <c r="D29" s="82" t="n">
        <f aca="false">_xlfn.NORM.DIST(A30,D$1,D$1*$O$10,1)-_xlfn.NORM.DIST(A29,D$1,D$1*$O$10,1)</f>
        <v>0.023674189132922</v>
      </c>
      <c r="E29" s="82" t="n">
        <f aca="false">_xlfn.NORM.DIST(A30,E$1,E$1*$O$10,1)-_xlfn.NORM.DIST(A29,E$1,E$1*$O$10,1)</f>
        <v>0.0709886205185641</v>
      </c>
      <c r="F29" s="0" t="n">
        <f aca="false">ROUND(C29*$T$5,0)</f>
        <v>106</v>
      </c>
      <c r="G29" s="0" t="n">
        <f aca="false">ROUND(D29*$T$6,0)</f>
        <v>736</v>
      </c>
      <c r="H29" s="0" t="n">
        <f aca="false">ROUND(E29*$T$7,0)</f>
        <v>690</v>
      </c>
      <c r="I29" s="0" t="n">
        <f aca="false">SUM(F29:H29)</f>
        <v>1532</v>
      </c>
      <c r="J29" s="82" t="n">
        <f aca="false">I29/$G$1</f>
        <v>0.0175149769058399</v>
      </c>
      <c r="K29" s="85" t="n">
        <f aca="false">I29*$K$1</f>
        <v>612.8</v>
      </c>
      <c r="L29" s="85" t="n">
        <f aca="false">I29*$L$1</f>
        <v>919.2</v>
      </c>
      <c r="M29" s="87"/>
      <c r="N29" s="88"/>
    </row>
    <row r="30" customFormat="false" ht="15" hidden="false" customHeight="false" outlineLevel="0" collapsed="false">
      <c r="A30" s="0" t="n">
        <v>2.35</v>
      </c>
      <c r="B30" s="82" t="n">
        <v>0.0138336305848996</v>
      </c>
      <c r="C30" s="82" t="n">
        <f aca="false">_xlfn.NORM.DIST(A31,C$1,C$1*$O$10,1)-_xlfn.NORM.DIST(A30,C$1,C$1*$O$10,1)</f>
        <v>0.0011540921578439</v>
      </c>
      <c r="D30" s="82" t="n">
        <f aca="false">_xlfn.NORM.DIST(A31,D$1,D$1*$O$10,1)-_xlfn.NORM.DIST(A30,D$1,D$1*$O$10,1)</f>
        <v>0.0164530872438733</v>
      </c>
      <c r="E30" s="82" t="n">
        <f aca="false">_xlfn.NORM.DIST(A31,E$1,E$1*$O$10,1)-_xlfn.NORM.DIST(A30,E$1,E$1*$O$10,1)</f>
        <v>0.0662959130434297</v>
      </c>
      <c r="F30" s="0" t="n">
        <f aca="false">ROUND(C30*$T$5,0)</f>
        <v>54</v>
      </c>
      <c r="G30" s="0" t="n">
        <f aca="false">ROUND(D30*$T$6,0)</f>
        <v>512</v>
      </c>
      <c r="H30" s="0" t="n">
        <f aca="false">ROUND(E30*$T$7,0)</f>
        <v>644</v>
      </c>
      <c r="I30" s="0" t="n">
        <f aca="false">SUM(F30:H30)</f>
        <v>1210</v>
      </c>
      <c r="J30" s="82" t="n">
        <f aca="false">I30/$G$1</f>
        <v>0.0138336305848996</v>
      </c>
      <c r="K30" s="85" t="n">
        <f aca="false">I30*$K$1</f>
        <v>484</v>
      </c>
      <c r="L30" s="85" t="n">
        <f aca="false">I30*$L$1</f>
        <v>726</v>
      </c>
      <c r="M30" s="87"/>
      <c r="N30" s="88"/>
    </row>
    <row r="31" customFormat="false" ht="15" hidden="false" customHeight="false" outlineLevel="0" collapsed="false">
      <c r="A31" s="0" t="n">
        <v>2.4</v>
      </c>
      <c r="B31" s="82" t="n">
        <v>0.0108382494169296</v>
      </c>
      <c r="C31" s="82" t="n">
        <f aca="false">_xlfn.NORM.DIST(A32,C$1,C$1*$O$10,1)-_xlfn.NORM.DIST(A31,C$1,C$1*$O$10,1)</f>
        <v>0.000554214489045579</v>
      </c>
      <c r="D31" s="82" t="n">
        <f aca="false">_xlfn.NORM.DIST(A32,D$1,D$1*$O$10,1)-_xlfn.NORM.DIST(A31,D$1,D$1*$O$10,1)</f>
        <v>0.0109261165248761</v>
      </c>
      <c r="E31" s="82" t="n">
        <f aca="false">_xlfn.NORM.DIST(A32,E$1,E$1*$O$10,1)-_xlfn.NORM.DIST(A31,E$1,E$1*$O$10,1)</f>
        <v>0.0598320347892386</v>
      </c>
      <c r="F31" s="0" t="n">
        <f aca="false">ROUND(C31*$T$5,0)</f>
        <v>26</v>
      </c>
      <c r="G31" s="0" t="n">
        <f aca="false">ROUND(D31*$T$6,0)</f>
        <v>340</v>
      </c>
      <c r="H31" s="0" t="n">
        <f aca="false">ROUND(E31*$T$7,0)</f>
        <v>582</v>
      </c>
      <c r="I31" s="0" t="n">
        <f aca="false">SUM(F31:H31)</f>
        <v>948</v>
      </c>
      <c r="J31" s="82" t="n">
        <f aca="false">I31/$G$1</f>
        <v>0.0108382494169296</v>
      </c>
      <c r="K31" s="85" t="n">
        <f aca="false">I31*$K$1</f>
        <v>379.2</v>
      </c>
      <c r="L31" s="85" t="n">
        <f aca="false">I31*$L$1</f>
        <v>568.8</v>
      </c>
      <c r="M31" s="87"/>
      <c r="N31" s="88"/>
    </row>
    <row r="32" customFormat="false" ht="15" hidden="false" customHeight="false" outlineLevel="0" collapsed="false">
      <c r="A32" s="0" t="n">
        <v>2.45</v>
      </c>
      <c r="B32" s="82" t="n">
        <v>0.00840307312388531</v>
      </c>
      <c r="C32" s="82" t="n">
        <f aca="false">_xlfn.NORM.DIST(A33,C$1,C$1*$O$10,1)-_xlfn.NORM.DIST(A32,C$1,C$1*$O$10,1)</f>
        <v>0.000251540642823289</v>
      </c>
      <c r="D32" s="82" t="n">
        <f aca="false">_xlfn.NORM.DIST(A33,D$1,D$1*$O$10,1)-_xlfn.NORM.DIST(A32,D$1,D$1*$O$10,1)</f>
        <v>0.00693314456102889</v>
      </c>
      <c r="E32" s="82" t="n">
        <f aca="false">_xlfn.NORM.DIST(A33,E$1,E$1*$O$10,1)-_xlfn.NORM.DIST(A32,E$1,E$1*$O$10,1)</f>
        <v>0.0521830875280775</v>
      </c>
      <c r="F32" s="0" t="n">
        <f aca="false">ROUND(C32*$T$5,0)</f>
        <v>12</v>
      </c>
      <c r="G32" s="0" t="n">
        <f aca="false">ROUND(D32*$T$6,0)</f>
        <v>216</v>
      </c>
      <c r="H32" s="0" t="n">
        <f aca="false">ROUND(E32*$T$7,0)</f>
        <v>507</v>
      </c>
      <c r="I32" s="0" t="n">
        <f aca="false">SUM(F32:H32)</f>
        <v>735</v>
      </c>
      <c r="J32" s="82" t="n">
        <f aca="false">I32/$G$1</f>
        <v>0.00840307312388531</v>
      </c>
      <c r="K32" s="85" t="n">
        <f aca="false">I32*$K$1</f>
        <v>294</v>
      </c>
      <c r="L32" s="85" t="n">
        <f aca="false">I32*$L$1</f>
        <v>441</v>
      </c>
      <c r="M32" s="87"/>
      <c r="N32" s="88"/>
    </row>
    <row r="33" customFormat="false" ht="15" hidden="false" customHeight="false" outlineLevel="0" collapsed="false">
      <c r="A33" s="0" t="n">
        <v>2.5</v>
      </c>
      <c r="B33" s="82" t="n">
        <v>0.00644807243792015</v>
      </c>
      <c r="C33" s="82" t="n">
        <f aca="false">_xlfn.NORM.DIST(A34,C$1,C$1*$O$10,1)-_xlfn.NORM.DIST(A33,C$1,C$1*$O$10,1)</f>
        <v>0.00010790234110114</v>
      </c>
      <c r="D33" s="82" t="n">
        <f aca="false">_xlfn.NORM.DIST(A34,D$1,D$1*$O$10,1)-_xlfn.NORM.DIST(A33,D$1,D$1*$O$10,1)</f>
        <v>0.00420378532633481</v>
      </c>
      <c r="E33" s="82" t="n">
        <f aca="false">_xlfn.NORM.DIST(A34,E$1,E$1*$O$10,1)-_xlfn.NORM.DIST(A33,E$1,E$1*$O$10,1)</f>
        <v>0.0439819755341504</v>
      </c>
      <c r="F33" s="0" t="n">
        <f aca="false">ROUND(C33*$T$5,0)</f>
        <v>5</v>
      </c>
      <c r="G33" s="0" t="n">
        <f aca="false">ROUND(D33*$T$6,0)</f>
        <v>131</v>
      </c>
      <c r="H33" s="0" t="n">
        <f aca="false">ROUND(E33*$T$7,0)</f>
        <v>428</v>
      </c>
      <c r="I33" s="0" t="n">
        <f aca="false">SUM(F33:H33)</f>
        <v>564</v>
      </c>
      <c r="J33" s="82" t="n">
        <f aca="false">I33/$G$1</f>
        <v>0.00644807243792015</v>
      </c>
      <c r="K33" s="85" t="n">
        <f aca="false">I33*$K$1</f>
        <v>225.6</v>
      </c>
      <c r="L33" s="85" t="n">
        <f aca="false">I33*$L$1</f>
        <v>338.4</v>
      </c>
      <c r="M33" s="87"/>
      <c r="N33" s="88"/>
    </row>
    <row r="34" customFormat="false" ht="15" hidden="false" customHeight="false" outlineLevel="0" collapsed="false">
      <c r="A34" s="0" t="n">
        <v>2.55</v>
      </c>
      <c r="B34" s="82" t="n">
        <v>0.00487035258608863</v>
      </c>
      <c r="C34" s="82" t="n">
        <f aca="false">_xlfn.NORM.DIST(A35,C$1,C$1*$O$10,1)-_xlfn.NORM.DIST(A34,C$1,C$1*$O$10,1)</f>
        <v>4.37467154941196E-005</v>
      </c>
      <c r="D34" s="82" t="n">
        <f aca="false">_xlfn.NORM.DIST(A35,D$1,D$1*$O$10,1)-_xlfn.NORM.DIST(A34,D$1,D$1*$O$10,1)</f>
        <v>0.00243554681525493</v>
      </c>
      <c r="E34" s="82" t="n">
        <f aca="false">_xlfn.NORM.DIST(A35,E$1,E$1*$O$10,1)-_xlfn.NORM.DIST(A34,E$1,E$1*$O$10,1)</f>
        <v>0.0358235508510386</v>
      </c>
      <c r="F34" s="0" t="n">
        <f aca="false">ROUND(C34*$T$5,0)</f>
        <v>2</v>
      </c>
      <c r="G34" s="0" t="n">
        <f aca="false">ROUND(D34*$T$6,0)</f>
        <v>76</v>
      </c>
      <c r="H34" s="0" t="n">
        <f aca="false">ROUND(E34*$T$7,0)</f>
        <v>348</v>
      </c>
      <c r="I34" s="0" t="n">
        <f aca="false">SUM(F34:H34)</f>
        <v>426</v>
      </c>
      <c r="J34" s="82" t="n">
        <f aca="false">I34/$G$1</f>
        <v>0.00487035258608863</v>
      </c>
      <c r="K34" s="85" t="n">
        <f aca="false">I34*$K$1</f>
        <v>170.4</v>
      </c>
      <c r="L34" s="85" t="n">
        <f aca="false">I34*$L$1</f>
        <v>255.6</v>
      </c>
      <c r="M34" s="87"/>
      <c r="N34" s="88"/>
    </row>
    <row r="35" customFormat="false" ht="15" hidden="false" customHeight="false" outlineLevel="0" collapsed="false">
      <c r="A35" s="0" t="n">
        <v>2.6</v>
      </c>
      <c r="B35" s="82" t="n">
        <v>0.00362418255819271</v>
      </c>
      <c r="C35" s="82" t="n">
        <f aca="false">_xlfn.NORM.DIST(A36,C$1,C$1*$O$10,1)-_xlfn.NORM.DIST(A35,C$1,C$1*$O$10,1)</f>
        <v>1.67629852036999E-005</v>
      </c>
      <c r="D35" s="82" t="n">
        <f aca="false">_xlfn.NORM.DIST(A36,D$1,D$1*$O$10,1)-_xlfn.NORM.DIST(A35,D$1,D$1*$O$10,1)</f>
        <v>0.00134833537228396</v>
      </c>
      <c r="E35" s="82" t="n">
        <f aca="false">_xlfn.NORM.DIST(A36,E$1,E$1*$O$10,1)-_xlfn.NORM.DIST(A35,E$1,E$1*$O$10,1)</f>
        <v>0.0281975540180566</v>
      </c>
      <c r="F35" s="0" t="n">
        <f aca="false">ROUND(C35*$T$5,0)</f>
        <v>1</v>
      </c>
      <c r="G35" s="0" t="n">
        <f aca="false">ROUND(D35*$T$6,0)</f>
        <v>42</v>
      </c>
      <c r="H35" s="0" t="n">
        <f aca="false">ROUND(E35*$T$7,0)</f>
        <v>274</v>
      </c>
      <c r="I35" s="0" t="n">
        <f aca="false">SUM(F35:H35)</f>
        <v>317</v>
      </c>
      <c r="J35" s="82" t="n">
        <f aca="false">I35/$G$1</f>
        <v>0.00362418255819271</v>
      </c>
      <c r="K35" s="85" t="n">
        <f aca="false">I35*$K$1</f>
        <v>126.8</v>
      </c>
      <c r="L35" s="85" t="n">
        <f aca="false">I35*$L$1</f>
        <v>190.2</v>
      </c>
      <c r="M35" s="87"/>
      <c r="N35" s="88"/>
    </row>
    <row r="36" customFormat="false" ht="15" hidden="false" customHeight="false" outlineLevel="0" collapsed="false">
      <c r="A36" s="0" t="n">
        <v>2.65</v>
      </c>
      <c r="B36" s="82" t="n">
        <v>0.00262953308638588</v>
      </c>
      <c r="C36" s="82" t="n">
        <f aca="false">_xlfn.NORM.DIST(A37,C$1,C$1*$O$10,1)-_xlfn.NORM.DIST(A36,C$1,C$1*$O$10,1)</f>
        <v>6.07082913428592E-006</v>
      </c>
      <c r="D36" s="82" t="n">
        <f aca="false">_xlfn.NORM.DIST(A37,D$1,D$1*$O$10,1)-_xlfn.NORM.DIST(A36,D$1,D$1*$O$10,1)</f>
        <v>0.000713254746286141</v>
      </c>
      <c r="E36" s="82" t="n">
        <f aca="false">_xlfn.NORM.DIST(A37,E$1,E$1*$O$10,1)-_xlfn.NORM.DIST(A36,E$1,E$1*$O$10,1)</f>
        <v>0.0214488057605957</v>
      </c>
      <c r="F36" s="0" t="n">
        <f aca="false">ROUND(C36*$T$5,0)</f>
        <v>0</v>
      </c>
      <c r="G36" s="0" t="n">
        <f aca="false">ROUND(D36*$T$6,0)</f>
        <v>22</v>
      </c>
      <c r="H36" s="0" t="n">
        <f aca="false">ROUND(E36*$T$7,0)</f>
        <v>208</v>
      </c>
      <c r="I36" s="0" t="n">
        <f aca="false">SUM(F36:H36)</f>
        <v>230</v>
      </c>
      <c r="J36" s="82" t="n">
        <f aca="false">I36/$G$1</f>
        <v>0.00262953308638588</v>
      </c>
      <c r="K36" s="85" t="n">
        <f aca="false">I36*$K$1</f>
        <v>92</v>
      </c>
      <c r="L36" s="85" t="n">
        <f aca="false">I36*$L$1</f>
        <v>138</v>
      </c>
      <c r="M36" s="82"/>
      <c r="N36" s="88"/>
    </row>
    <row r="37" customFormat="false" ht="15" hidden="false" customHeight="false" outlineLevel="0" collapsed="false">
      <c r="A37" s="0" t="n">
        <v>2.7</v>
      </c>
      <c r="B37" s="82" t="n">
        <v>0.00187497141811863</v>
      </c>
      <c r="C37" s="82" t="n">
        <f aca="false">_xlfn.NORM.DIST(A38,C$1,C$1*$O$10,1)-_xlfn.NORM.DIST(A37,C$1,C$1*$O$10,1)</f>
        <v>2.07794849571563E-006</v>
      </c>
      <c r="D37" s="82" t="n">
        <f aca="false">_xlfn.NORM.DIST(A38,D$1,D$1*$O$10,1)-_xlfn.NORM.DIST(A37,D$1,D$1*$O$10,1)</f>
        <v>0.000360525922372124</v>
      </c>
      <c r="E37" s="82" t="n">
        <f aca="false">_xlfn.NORM.DIST(A38,E$1,E$1*$O$10,1)-_xlfn.NORM.DIST(A37,E$1,E$1*$O$10,1)</f>
        <v>0.0157668025320932</v>
      </c>
      <c r="F37" s="0" t="n">
        <f aca="false">ROUND(C37*$T$5,0)</f>
        <v>0</v>
      </c>
      <c r="G37" s="0" t="n">
        <f aca="false">ROUND(D37*$T$6,0)</f>
        <v>11</v>
      </c>
      <c r="H37" s="0" t="n">
        <f aca="false">ROUND(E37*$T$7,0)</f>
        <v>153</v>
      </c>
      <c r="I37" s="0" t="n">
        <f aca="false">SUM(F37:H37)</f>
        <v>164</v>
      </c>
      <c r="J37" s="82" t="n">
        <f aca="false">I37/$G$1</f>
        <v>0.00187497141811863</v>
      </c>
      <c r="K37" s="85" t="n">
        <f aca="false">I37*$K$1</f>
        <v>65.6</v>
      </c>
      <c r="L37" s="85" t="n">
        <f aca="false">I37*$L$1</f>
        <v>98.4</v>
      </c>
      <c r="M37" s="82"/>
      <c r="N37" s="88"/>
    </row>
    <row r="38" customFormat="false" ht="15" hidden="false" customHeight="false" outlineLevel="0" collapsed="false">
      <c r="A38" s="0" t="n">
        <v>2.75</v>
      </c>
      <c r="B38" s="82" t="n">
        <v>0.00130333379064344</v>
      </c>
      <c r="C38" s="82" t="n">
        <f aca="false">_xlfn.NORM.DIST(A39,C$1,C$1*$O$10,1)-_xlfn.NORM.DIST(A38,C$1,C$1*$O$10,1)</f>
        <v>6.72219372610527E-007</v>
      </c>
      <c r="D38" s="82" t="n">
        <f aca="false">_xlfn.NORM.DIST(A39,D$1,D$1*$O$10,1)-_xlfn.NORM.DIST(A38,D$1,D$1*$O$10,1)</f>
        <v>0.000174129831822412</v>
      </c>
      <c r="E38" s="82" t="n">
        <f aca="false">_xlfn.NORM.DIST(A39,E$1,E$1*$O$10,1)-_xlfn.NORM.DIST(A38,E$1,E$1*$O$10,1)</f>
        <v>0.0112003844296998</v>
      </c>
      <c r="F38" s="0" t="n">
        <f aca="false">ROUND(C38*$T$5,0)</f>
        <v>0</v>
      </c>
      <c r="G38" s="0" t="n">
        <f aca="false">ROUND(D38*$T$6,0)</f>
        <v>5</v>
      </c>
      <c r="H38" s="0" t="n">
        <f aca="false">ROUND(E38*$T$7,0)</f>
        <v>109</v>
      </c>
      <c r="I38" s="0" t="n">
        <f aca="false">SUM(F38:H38)</f>
        <v>114</v>
      </c>
      <c r="J38" s="82" t="n">
        <f aca="false">I38/$G$1</f>
        <v>0.00130333379064344</v>
      </c>
      <c r="K38" s="85" t="n">
        <f aca="false">I38*$K$1</f>
        <v>45.6</v>
      </c>
      <c r="L38" s="85" t="n">
        <f aca="false">I38*$L$1</f>
        <v>68.4</v>
      </c>
      <c r="M38" s="82"/>
      <c r="N38" s="88"/>
    </row>
    <row r="39" customFormat="false" ht="15" hidden="false" customHeight="false" outlineLevel="0" collapsed="false">
      <c r="A39" s="0" t="n">
        <v>2.8</v>
      </c>
      <c r="B39" s="82" t="n">
        <v>0.000880321946311794</v>
      </c>
      <c r="C39" s="82" t="n">
        <f aca="false">_xlfn.NORM.DIST(A40,C$1,C$1*$O$10,1)-_xlfn.NORM.DIST(A39,C$1,C$1*$O$10,1)</f>
        <v>2.05530402697107E-007</v>
      </c>
      <c r="D39" s="82" t="n">
        <f aca="false">_xlfn.NORM.DIST(A40,D$1,D$1*$O$10,1)-_xlfn.NORM.DIST(A39,D$1,D$1*$O$10,1)</f>
        <v>8.03626930305779E-005</v>
      </c>
      <c r="E39" s="82" t="n">
        <f aca="false">_xlfn.NORM.DIST(A40,E$1,E$1*$O$10,1)-_xlfn.NORM.DIST(A39,E$1,E$1*$O$10,1)</f>
        <v>0.00768901962000057</v>
      </c>
      <c r="F39" s="0" t="n">
        <f aca="false">ROUND(C39*$T$5,0)</f>
        <v>0</v>
      </c>
      <c r="G39" s="0" t="n">
        <f aca="false">ROUND(D39*$T$6,0)</f>
        <v>2</v>
      </c>
      <c r="H39" s="0" t="n">
        <f aca="false">ROUND(E39*$T$7,0)</f>
        <v>75</v>
      </c>
      <c r="I39" s="0" t="n">
        <f aca="false">SUM(F39:H39)</f>
        <v>77</v>
      </c>
      <c r="J39" s="82" t="n">
        <f aca="false">I39/$G$1</f>
        <v>0.000880321946311794</v>
      </c>
      <c r="K39" s="85" t="n">
        <f aca="false">I39*$K$1</f>
        <v>30.8</v>
      </c>
      <c r="L39" s="85" t="n">
        <f aca="false">I39*$L$1</f>
        <v>46.2</v>
      </c>
      <c r="M39" s="82"/>
      <c r="N39" s="88"/>
    </row>
    <row r="40" customFormat="false" ht="15" hidden="false" customHeight="false" outlineLevel="0" collapsed="false">
      <c r="A40" s="0" t="n">
        <v>2.85</v>
      </c>
      <c r="B40" s="82" t="n">
        <v>0.000583070380024695</v>
      </c>
      <c r="C40" s="82" t="n">
        <f aca="false">_xlfn.NORM.DIST(A41,C$1,C$1*$O$10,1)-_xlfn.NORM.DIST(A40,C$1,C$1*$O$10,1)</f>
        <v>5.93921744007631E-008</v>
      </c>
      <c r="D40" s="82" t="n">
        <f aca="false">_xlfn.NORM.DIST(A41,D$1,D$1*$O$10,1)-_xlfn.NORM.DIST(A40,D$1,D$1*$O$10,1)</f>
        <v>3.54388929553195E-005</v>
      </c>
      <c r="E40" s="82" t="n">
        <f aca="false">_xlfn.NORM.DIST(A41,E$1,E$1*$O$10,1)-_xlfn.NORM.DIST(A40,E$1,E$1*$O$10,1)</f>
        <v>0.00510102784142397</v>
      </c>
      <c r="F40" s="0" t="n">
        <f aca="false">ROUND(C40*$T$5,0)</f>
        <v>0</v>
      </c>
      <c r="G40" s="0" t="n">
        <f aca="false">ROUND(D40*$T$6,0)</f>
        <v>1</v>
      </c>
      <c r="H40" s="0" t="n">
        <f aca="false">ROUND(E40*$T$7,0)</f>
        <v>50</v>
      </c>
      <c r="I40" s="0" t="n">
        <f aca="false">SUM(F40:H40)</f>
        <v>51</v>
      </c>
      <c r="J40" s="82" t="n">
        <f aca="false">I40/$G$1</f>
        <v>0.000583070380024695</v>
      </c>
      <c r="K40" s="85" t="n">
        <f aca="false">I40*$K$1</f>
        <v>20.4</v>
      </c>
      <c r="L40" s="85" t="n">
        <f aca="false">I40*$L$1</f>
        <v>30.6</v>
      </c>
      <c r="M40" s="82"/>
      <c r="N40" s="88"/>
    </row>
    <row r="41" customFormat="false" ht="15" hidden="false" customHeight="false" outlineLevel="0" collapsed="false">
      <c r="A41" s="0" t="n">
        <v>2.9</v>
      </c>
      <c r="B41" s="82" t="n">
        <v>0.000365848081584122</v>
      </c>
      <c r="C41" s="82" t="n">
        <f aca="false">_xlfn.NORM.DIST(A42,C$1,C$1*$O$10,1)-_xlfn.NORM.DIST(A41,C$1,C$1*$O$10,1)</f>
        <v>1.62207062226472E-008</v>
      </c>
      <c r="D41" s="82" t="n">
        <f aca="false">_xlfn.NORM.DIST(A42,D$1,D$1*$O$10,1)-_xlfn.NORM.DIST(A41,D$1,D$1*$O$10,1)</f>
        <v>1.49330977561313E-005</v>
      </c>
      <c r="E41" s="82" t="n">
        <f aca="false">_xlfn.NORM.DIST(A42,E$1,E$1*$O$10,1)-_xlfn.NORM.DIST(A41,E$1,E$1*$O$10,1)</f>
        <v>0.00327034104121393</v>
      </c>
      <c r="F41" s="0" t="n">
        <f aca="false">ROUND(C41*$T$5,0)</f>
        <v>0</v>
      </c>
      <c r="G41" s="0" t="n">
        <f aca="false">ROUND(D41*$T$6,0)</f>
        <v>0</v>
      </c>
      <c r="H41" s="0" t="n">
        <f aca="false">ROUND(E41*$T$7,0)</f>
        <v>32</v>
      </c>
      <c r="I41" s="0" t="n">
        <f aca="false">SUM(F41:H41)</f>
        <v>32</v>
      </c>
      <c r="J41" s="82" t="n">
        <f aca="false">I41/$G$1</f>
        <v>0.000365848081584122</v>
      </c>
      <c r="K41" s="85" t="n">
        <f aca="false">I41*$K$1</f>
        <v>12.8</v>
      </c>
      <c r="L41" s="85" t="n">
        <f aca="false">I41*$L$1</f>
        <v>19.2</v>
      </c>
      <c r="M41" s="82"/>
      <c r="N41" s="88"/>
    </row>
    <row r="42" customFormat="false" ht="15" hidden="false" customHeight="false" outlineLevel="0" collapsed="false">
      <c r="A42" s="0" t="n">
        <v>2.95</v>
      </c>
      <c r="B42" s="82" t="n">
        <v>0.000228655050990076</v>
      </c>
      <c r="C42" s="82" t="n">
        <f aca="false">_xlfn.NORM.DIST(A43,C$1,C$1*$O$10,1)-_xlfn.NORM.DIST(A42,C$1,C$1*$O$10,1)</f>
        <v>4.18694179327161E-009</v>
      </c>
      <c r="D42" s="82" t="n">
        <f aca="false">_xlfn.NORM.DIST(A43,D$1,D$1*$O$10,1)-_xlfn.NORM.DIST(A42,D$1,D$1*$O$10,1)</f>
        <v>6.01261623556226E-006</v>
      </c>
      <c r="E42" s="82" t="n">
        <f aca="false">_xlfn.NORM.DIST(A43,E$1,E$1*$O$10,1)-_xlfn.NORM.DIST(A42,E$1,E$1*$O$10,1)</f>
        <v>0.00202617502213909</v>
      </c>
      <c r="F42" s="0" t="n">
        <f aca="false">ROUND(C42*$T$5,0)</f>
        <v>0</v>
      </c>
      <c r="G42" s="0" t="n">
        <f aca="false">ROUND(D42*$T$6,0)</f>
        <v>0</v>
      </c>
      <c r="H42" s="0" t="n">
        <f aca="false">ROUND(E42*$T$7,0)</f>
        <v>20</v>
      </c>
      <c r="I42" s="0" t="n">
        <f aca="false">SUM(F42:H42)</f>
        <v>20</v>
      </c>
      <c r="J42" s="82" t="n">
        <f aca="false">I42/$G$1</f>
        <v>0.000228655050990076</v>
      </c>
      <c r="K42" s="85" t="n">
        <f aca="false">I42*$K$1</f>
        <v>8</v>
      </c>
      <c r="L42" s="85" t="n">
        <f aca="false">I42*$L$1</f>
        <v>12</v>
      </c>
      <c r="M42" s="82"/>
      <c r="N42" s="88"/>
    </row>
    <row r="43" customFormat="false" ht="15" hidden="false" customHeight="false" outlineLevel="0" collapsed="false">
      <c r="A43" s="0" t="n">
        <v>3</v>
      </c>
      <c r="B43" s="82" t="n">
        <v>0.000137193030594046</v>
      </c>
      <c r="C43" s="82" t="n">
        <f aca="false">_xlfn.NORM.DIST(A44,C$1,C$1*$O$10,1)-_xlfn.NORM.DIST(A43,C$1,C$1*$O$10,1)</f>
        <v>1.02143316027536E-009</v>
      </c>
      <c r="D43" s="82" t="n">
        <f aca="false">_xlfn.NORM.DIST(A44,D$1,D$1*$O$10,1)-_xlfn.NORM.DIST(A43,D$1,D$1*$O$10,1)</f>
        <v>2.31323942190276E-006</v>
      </c>
      <c r="E43" s="82" t="n">
        <f aca="false">_xlfn.NORM.DIST(A44,E$1,E$1*$O$10,1)-_xlfn.NORM.DIST(A43,E$1,E$1*$O$10,1)</f>
        <v>0.0012131356442443</v>
      </c>
      <c r="F43" s="0" t="n">
        <f aca="false">ROUND(C43*$T$5,0)</f>
        <v>0</v>
      </c>
      <c r="G43" s="0" t="n">
        <f aca="false">ROUND(D43*$T$6,0)</f>
        <v>0</v>
      </c>
      <c r="H43" s="0" t="n">
        <f aca="false">ROUND(E43*$T$7,0)</f>
        <v>12</v>
      </c>
      <c r="I43" s="0" t="n">
        <f aca="false">SUM(F43:H43)</f>
        <v>12</v>
      </c>
      <c r="J43" s="82" t="n">
        <f aca="false">I43/$G$1</f>
        <v>0.000137193030594046</v>
      </c>
      <c r="K43" s="85" t="n">
        <f aca="false">I43*$K$1</f>
        <v>4.8</v>
      </c>
      <c r="L43" s="85" t="n">
        <f aca="false">I43*$L$1</f>
        <v>7.2</v>
      </c>
      <c r="M43" s="82"/>
      <c r="N43" s="88"/>
    </row>
    <row r="44" customFormat="false" ht="15" hidden="false" customHeight="false" outlineLevel="0" collapsed="false">
      <c r="A44" s="0" t="n">
        <v>3.05</v>
      </c>
      <c r="B44" s="82" t="n">
        <v>8.00292678465267E-005</v>
      </c>
      <c r="C44" s="82" t="n">
        <f aca="false">_xlfn.NORM.DIST(A45,C$1,C$1*$O$10,1)-_xlfn.NORM.DIST(A44,C$1,C$1*$O$10,1)</f>
        <v>2.35509278745383E-010</v>
      </c>
      <c r="D44" s="82" t="n">
        <f aca="false">_xlfn.NORM.DIST(A45,D$1,D$1*$O$10,1)-_xlfn.NORM.DIST(A44,D$1,D$1*$O$10,1)</f>
        <v>8.50395397544723E-007</v>
      </c>
      <c r="E44" s="82" t="n">
        <f aca="false">_xlfn.NORM.DIST(A45,E$1,E$1*$O$10,1)-_xlfn.NORM.DIST(A44,E$1,E$1*$O$10,1)</f>
        <v>0.000701924157687217</v>
      </c>
      <c r="F44" s="0" t="n">
        <f aca="false">ROUND(C44*$T$5,0)</f>
        <v>0</v>
      </c>
      <c r="G44" s="0" t="n">
        <f aca="false">ROUND(D44*$T$6,0)</f>
        <v>0</v>
      </c>
      <c r="H44" s="0" t="n">
        <f aca="false">ROUND(E44*$T$7,0)</f>
        <v>7</v>
      </c>
      <c r="I44" s="0" t="n">
        <f aca="false">SUM(F44:H44)</f>
        <v>7</v>
      </c>
      <c r="J44" s="82" t="n">
        <f aca="false">I44/$G$1</f>
        <v>8.00292678465267E-005</v>
      </c>
      <c r="K44" s="85" t="n">
        <f aca="false">I44*$K$1</f>
        <v>2.8</v>
      </c>
      <c r="L44" s="85" t="n">
        <f aca="false">I44*$L$1</f>
        <v>4.2</v>
      </c>
      <c r="M44" s="82"/>
      <c r="N44" s="88"/>
    </row>
    <row r="45" customFormat="false" ht="15" hidden="false" customHeight="false" outlineLevel="0" collapsed="false">
      <c r="A45" s="0" t="n">
        <v>3.1</v>
      </c>
      <c r="B45" s="82" t="n">
        <v>4.57310101980153E-005</v>
      </c>
      <c r="C45" s="82" t="n">
        <f aca="false">_xlfn.NORM.DIST(A46,C$1,C$1*$O$10,1)-_xlfn.NORM.DIST(A45,C$1,C$1*$O$10,1)</f>
        <v>5.13203923802053E-011</v>
      </c>
      <c r="D45" s="82" t="n">
        <f aca="false">_xlfn.NORM.DIST(A46,D$1,D$1*$O$10,1)-_xlfn.NORM.DIST(A45,D$1,D$1*$O$10,1)</f>
        <v>2.98719872615649E-007</v>
      </c>
      <c r="E45" s="82" t="n">
        <f aca="false">_xlfn.NORM.DIST(A46,E$1,E$1*$O$10,1)-_xlfn.NORM.DIST(A45,E$1,E$1*$O$10,1)</f>
        <v>0.000392481651115828</v>
      </c>
      <c r="F45" s="0" t="n">
        <f aca="false">ROUND(C45*$T$5,0)</f>
        <v>0</v>
      </c>
      <c r="G45" s="0" t="n">
        <f aca="false">ROUND(D45*$T$6,0)</f>
        <v>0</v>
      </c>
      <c r="H45" s="0" t="n">
        <f aca="false">ROUND(E45*$T$7,0)</f>
        <v>4</v>
      </c>
      <c r="I45" s="0" t="n">
        <f aca="false">SUM(F45:H45)</f>
        <v>4</v>
      </c>
      <c r="J45" s="82" t="n">
        <f aca="false">I45/$G$1</f>
        <v>4.57310101980153E-005</v>
      </c>
      <c r="K45" s="85" t="n">
        <f aca="false">I45*$K$1</f>
        <v>1.6</v>
      </c>
      <c r="L45" s="85" t="n">
        <f aca="false">I45*$L$1</f>
        <v>2.4</v>
      </c>
      <c r="M45" s="82"/>
      <c r="N45" s="88"/>
    </row>
    <row r="46" customFormat="false" ht="15" hidden="false" customHeight="false" outlineLevel="0" collapsed="false">
      <c r="A46" s="0" t="n">
        <v>3.15</v>
      </c>
      <c r="B46" s="82" t="n">
        <v>2.28655050990076E-005</v>
      </c>
      <c r="C46" s="82" t="n">
        <f aca="false">_xlfn.NORM.DIST(A47,C$1,C$1*$O$10,1)-_xlfn.NORM.DIST(A46,C$1,C$1*$O$10,1)</f>
        <v>1.05695452390364E-011</v>
      </c>
      <c r="D46" s="82" t="n">
        <f aca="false">_xlfn.NORM.DIST(A47,D$1,D$1*$O$10,1)-_xlfn.NORM.DIST(A46,D$1,D$1*$O$10,1)</f>
        <v>1.00265124647336E-007</v>
      </c>
      <c r="E46" s="82" t="n">
        <f aca="false">_xlfn.NORM.DIST(A47,E$1,E$1*$O$10,1)-_xlfn.NORM.DIST(A46,E$1,E$1*$O$10,1)</f>
        <v>0.000212078569745588</v>
      </c>
      <c r="F46" s="0" t="n">
        <f aca="false">ROUND(C46*$T$5,0)</f>
        <v>0</v>
      </c>
      <c r="G46" s="0" t="n">
        <f aca="false">ROUND(D46*$T$6,0)</f>
        <v>0</v>
      </c>
      <c r="H46" s="0" t="n">
        <f aca="false">ROUND(E46*$T$7,0)</f>
        <v>2</v>
      </c>
      <c r="I46" s="0" t="n">
        <f aca="false">SUM(F46:H46)</f>
        <v>2</v>
      </c>
      <c r="J46" s="82" t="n">
        <f aca="false">I46/$G$1</f>
        <v>2.28655050990076E-005</v>
      </c>
      <c r="K46" s="85" t="n">
        <f aca="false">I46*$K$1</f>
        <v>0.8</v>
      </c>
      <c r="L46" s="85" t="n">
        <f aca="false">I46*$L$1</f>
        <v>1.2</v>
      </c>
      <c r="M46" s="82"/>
      <c r="N46" s="88"/>
    </row>
    <row r="47" customFormat="false" ht="15" hidden="false" customHeight="false" outlineLevel="0" collapsed="false">
      <c r="A47" s="0" t="n">
        <v>3.2</v>
      </c>
      <c r="B47" s="82" t="n">
        <v>1.14327525495038E-005</v>
      </c>
      <c r="C47" s="82" t="n">
        <f aca="false">_xlfn.NORM.DIST(A48,C$1,C$1*$O$10,1)-_xlfn.NORM.DIST(A47,C$1,C$1*$O$10,1)</f>
        <v>2.05735428693288E-012</v>
      </c>
      <c r="D47" s="82" t="n">
        <f aca="false">_xlfn.NORM.DIST(A48,D$1,D$1*$O$10,1)-_xlfn.NORM.DIST(A47,D$1,D$1*$O$10,1)</f>
        <v>3.21571762551542E-008</v>
      </c>
      <c r="E47" s="82" t="n">
        <f aca="false">_xlfn.NORM.DIST(A48,E$1,E$1*$O$10,1)-_xlfn.NORM.DIST(A47,E$1,E$1*$O$10,1)</f>
        <v>0.000110744556001352</v>
      </c>
      <c r="F47" s="0" t="n">
        <f aca="false">ROUND(C47*$T$5,0)</f>
        <v>0</v>
      </c>
      <c r="G47" s="0" t="n">
        <f aca="false">ROUND(D47*$T$6,0)</f>
        <v>0</v>
      </c>
      <c r="H47" s="0" t="n">
        <f aca="false">ROUND(E47*$T$7,0)</f>
        <v>1</v>
      </c>
      <c r="I47" s="0" t="n">
        <f aca="false">SUM(F47:H47)</f>
        <v>1</v>
      </c>
      <c r="J47" s="82" t="n">
        <f aca="false">I47/$G$1</f>
        <v>1.14327525495038E-005</v>
      </c>
      <c r="K47" s="85" t="n">
        <f aca="false">I47*$K$1</f>
        <v>0.4</v>
      </c>
      <c r="L47" s="85" t="n">
        <f aca="false">I47*$L$1</f>
        <v>0.6</v>
      </c>
      <c r="M47" s="82"/>
      <c r="N47" s="88"/>
    </row>
    <row r="48" customFormat="false" ht="15" hidden="false" customHeight="false" outlineLevel="0" collapsed="false">
      <c r="A48" s="0" t="n">
        <v>3.25</v>
      </c>
      <c r="B48" s="82" t="n">
        <v>1.14327525495038E-005</v>
      </c>
      <c r="C48" s="82" t="n">
        <f aca="false">_xlfn.NORM.DIST(A49,C$1,C$1*$O$10,1)-_xlfn.NORM.DIST(A48,C$1,C$1*$O$10,1)</f>
        <v>3.78475029094716E-013</v>
      </c>
      <c r="D48" s="82" t="n">
        <f aca="false">_xlfn.NORM.DIST(A49,D$1,D$1*$O$10,1)-_xlfn.NORM.DIST(A48,D$1,D$1*$O$10,1)</f>
        <v>9.85479930992739E-009</v>
      </c>
      <c r="E48" s="82" t="n">
        <f aca="false">_xlfn.NORM.DIST(A49,E$1,E$1*$O$10,1)-_xlfn.NORM.DIST(A48,E$1,E$1*$O$10,1)</f>
        <v>5.58851045230346E-005</v>
      </c>
      <c r="F48" s="0" t="n">
        <f aca="false">ROUND(C48*$T$5,0)</f>
        <v>0</v>
      </c>
      <c r="G48" s="0" t="n">
        <f aca="false">ROUND(D48*$T$6,0)</f>
        <v>0</v>
      </c>
      <c r="H48" s="0" t="n">
        <f aca="false">ROUND(E48*$T$7,0)</f>
        <v>1</v>
      </c>
      <c r="I48" s="0" t="n">
        <f aca="false">SUM(F48:H48)</f>
        <v>1</v>
      </c>
      <c r="J48" s="82" t="n">
        <f aca="false">I48/$G$1</f>
        <v>1.14327525495038E-005</v>
      </c>
      <c r="K48" s="85" t="n">
        <f aca="false">I48*$K$1</f>
        <v>0.4</v>
      </c>
      <c r="L48" s="85" t="n">
        <f aca="false">I48*$L$1</f>
        <v>0.6</v>
      </c>
      <c r="M48" s="82"/>
      <c r="N48" s="88"/>
    </row>
    <row r="49" customFormat="false" ht="15" hidden="false" customHeight="false" outlineLevel="0" collapsed="false">
      <c r="A49" s="0" t="n">
        <v>3.3</v>
      </c>
      <c r="B49" s="82" t="n">
        <v>0</v>
      </c>
      <c r="C49" s="82" t="n">
        <f aca="false">_xlfn.NORM.DIST(A50,C$1,C$1*$O$10,1)-_xlfn.NORM.DIST(A49,C$1,C$1*$O$10,1)</f>
        <v>6.58362253602718E-014</v>
      </c>
      <c r="D49" s="82" t="n">
        <f aca="false">_xlfn.NORM.DIST(A50,D$1,D$1*$O$10,1)-_xlfn.NORM.DIST(A49,D$1,D$1*$O$10,1)</f>
        <v>2.88575308093897E-009</v>
      </c>
      <c r="E49" s="82" t="n">
        <f aca="false">_xlfn.NORM.DIST(A50,E$1,E$1*$O$10,1)-_xlfn.NORM.DIST(A49,E$1,E$1*$O$10,1)</f>
        <v>2.72532144381943E-005</v>
      </c>
      <c r="F49" s="0" t="n">
        <f aca="false">ROUND(C49*$T$5,0)</f>
        <v>0</v>
      </c>
      <c r="G49" s="0" t="n">
        <f aca="false">ROUND(D49*$T$6,0)</f>
        <v>0</v>
      </c>
      <c r="H49" s="0" t="n">
        <f aca="false">ROUND(E49*$T$7,0)</f>
        <v>0</v>
      </c>
      <c r="I49" s="0" t="n">
        <f aca="false">SUM(F49:H49)</f>
        <v>0</v>
      </c>
      <c r="J49" s="82" t="n">
        <f aca="false">I49/$G$1</f>
        <v>0</v>
      </c>
      <c r="K49" s="85" t="n">
        <f aca="false">I49*$K$1</f>
        <v>0</v>
      </c>
      <c r="L49" s="85" t="n">
        <f aca="false">I49*$L$1</f>
        <v>0</v>
      </c>
      <c r="M49" s="82"/>
      <c r="N49" s="88"/>
    </row>
    <row r="50" customFormat="false" ht="15" hidden="false" customHeight="false" outlineLevel="0" collapsed="false">
      <c r="A50" s="0" t="n">
        <v>3.35</v>
      </c>
      <c r="B50" s="82" t="n">
        <v>0</v>
      </c>
      <c r="C50" s="82" t="n">
        <f aca="false">_xlfn.NORM.DIST(A51,C$1,C$1*$O$10,1)-_xlfn.NORM.DIST(A50,C$1,C$1*$O$10,1)</f>
        <v>1.0769163338864E-014</v>
      </c>
      <c r="D50" s="82" t="n">
        <f aca="false">_xlfn.NORM.DIST(A51,D$1,D$1*$O$10,1)-_xlfn.NORM.DIST(A50,D$1,D$1*$O$10,1)</f>
        <v>8.07442668282476E-010</v>
      </c>
      <c r="E50" s="82" t="n">
        <f aca="false">_xlfn.NORM.DIST(A51,E$1,E$1*$O$10,1)-_xlfn.NORM.DIST(A50,E$1,E$1*$O$10,1)</f>
        <v>1.28436151383138E-005</v>
      </c>
      <c r="F50" s="0" t="n">
        <f aca="false">ROUND(C50*$T$5,0)</f>
        <v>0</v>
      </c>
      <c r="G50" s="0" t="n">
        <f aca="false">ROUND(D50*$T$6,0)</f>
        <v>0</v>
      </c>
      <c r="H50" s="0" t="n">
        <f aca="false">ROUND(E50*$T$7,0)</f>
        <v>0</v>
      </c>
      <c r="I50" s="0" t="n">
        <f aca="false">SUM(F50:H50)</f>
        <v>0</v>
      </c>
      <c r="J50" s="82" t="n">
        <f aca="false">I50/$G$1</f>
        <v>0</v>
      </c>
      <c r="K50" s="85" t="n">
        <f aca="false">I50*$K$1</f>
        <v>0</v>
      </c>
      <c r="L50" s="85" t="n">
        <f aca="false">I50*$L$1</f>
        <v>0</v>
      </c>
      <c r="M50" s="82"/>
      <c r="N50" s="88"/>
    </row>
    <row r="51" customFormat="false" ht="15" hidden="false" customHeight="false" outlineLevel="0" collapsed="false">
      <c r="A51" s="0" t="n">
        <v>3.4</v>
      </c>
      <c r="B51" s="82" t="n">
        <v>0</v>
      </c>
      <c r="C51" s="82" t="n">
        <f aca="false">_xlfn.NORM.DIST(A52,C$1,C$1*$O$10,1)-_xlfn.NORM.DIST(A51,C$1,C$1*$O$10,1)</f>
        <v>0</v>
      </c>
      <c r="D51" s="82" t="n">
        <f aca="false">_xlfn.NORM.DIST(A52,D$1,D$1*$O$10,1)-_xlfn.NORM.DIST(A51,D$1,D$1*$O$10,1)</f>
        <v>2.15876316822516E-010</v>
      </c>
      <c r="E51" s="82" t="n">
        <f aca="false">_xlfn.NORM.DIST(A52,E$1,E$1*$O$10,1)-_xlfn.NORM.DIST(A51,E$1,E$1*$O$10,1)</f>
        <v>5.8493096477541E-006</v>
      </c>
      <c r="F51" s="0" t="n">
        <f aca="false">ROUND(C51*$T$5,0)</f>
        <v>0</v>
      </c>
      <c r="G51" s="0" t="n">
        <f aca="false">ROUND(D51*$T$6,0)</f>
        <v>0</v>
      </c>
      <c r="H51" s="0" t="n">
        <f aca="false">ROUND(E51*$T$7,0)</f>
        <v>0</v>
      </c>
      <c r="I51" s="0" t="n">
        <f aca="false">SUM(F51:H51)</f>
        <v>0</v>
      </c>
      <c r="J51" s="82" t="n">
        <f aca="false">I51/$G$1</f>
        <v>0</v>
      </c>
      <c r="K51" s="85" t="n">
        <f aca="false">I51*$K$1</f>
        <v>0</v>
      </c>
      <c r="L51" s="85" t="n">
        <f aca="false">I51*$L$1</f>
        <v>0</v>
      </c>
      <c r="M51" s="82"/>
      <c r="N51" s="88"/>
    </row>
    <row r="52" customFormat="false" ht="15" hidden="false" customHeight="false" outlineLevel="0" collapsed="false">
      <c r="A52" s="0" t="n">
        <v>3.45</v>
      </c>
      <c r="B52" s="82" t="n">
        <v>0</v>
      </c>
      <c r="C52" s="82" t="n">
        <f aca="false">_xlfn.NORM.DIST(A53,C$1,C$1*$O$10,1)-_xlfn.NORM.DIST(A52,C$1,C$1*$O$10,1)</f>
        <v>0</v>
      </c>
      <c r="D52" s="82" t="n">
        <f aca="false">_xlfn.NORM.DIST(A53,D$1,D$1*$O$10,1)-_xlfn.NORM.DIST(A52,D$1,D$1*$O$10,1)</f>
        <v>5.51491075029276E-011</v>
      </c>
      <c r="E52" s="82" t="n">
        <f aca="false">_xlfn.NORM.DIST(A53,E$1,E$1*$O$10,1)-_xlfn.NORM.DIST(A52,E$1,E$1*$O$10,1)</f>
        <v>2.57436197104166E-006</v>
      </c>
      <c r="F52" s="0" t="n">
        <f aca="false">ROUND(C52*$T$5,0)</f>
        <v>0</v>
      </c>
      <c r="G52" s="0" t="n">
        <f aca="false">ROUND(D52*$T$6,0)</f>
        <v>0</v>
      </c>
      <c r="H52" s="0" t="n">
        <f aca="false">ROUND(E52*$T$7,0)</f>
        <v>0</v>
      </c>
      <c r="I52" s="0" t="n">
        <f aca="false">SUM(F52:H52)</f>
        <v>0</v>
      </c>
      <c r="J52" s="82" t="n">
        <f aca="false">I52/$G$1</f>
        <v>0</v>
      </c>
      <c r="K52" s="85" t="n">
        <f aca="false">I52*$K$1</f>
        <v>0</v>
      </c>
      <c r="L52" s="85" t="n">
        <f aca="false">I52*$L$1</f>
        <v>0</v>
      </c>
      <c r="M52" s="82"/>
      <c r="N52" s="88"/>
    </row>
    <row r="53" customFormat="false" ht="15" hidden="false" customHeight="false" outlineLevel="0" collapsed="false">
      <c r="A53" s="0" t="n">
        <v>3.5</v>
      </c>
      <c r="B53" s="82" t="n">
        <v>0</v>
      </c>
      <c r="C53" s="82" t="n">
        <f aca="false">_xlfn.NORM.DIST(A54,C$1,C$1*$O$10,1)-_xlfn.NORM.DIST(A53,C$1,C$1*$O$10,1)</f>
        <v>0</v>
      </c>
      <c r="D53" s="82" t="n">
        <f aca="false">_xlfn.NORM.DIST(A54,D$1,D$1*$O$10,1)-_xlfn.NORM.DIST(A53,D$1,D$1*$O$10,1)</f>
        <v>1.34621203073948E-011</v>
      </c>
      <c r="E53" s="82" t="n">
        <f aca="false">_xlfn.NORM.DIST(A54,E$1,E$1*$O$10,1)-_xlfn.NORM.DIST(A53,E$1,E$1*$O$10,1)</f>
        <v>1.09491943989237E-006</v>
      </c>
      <c r="F53" s="0" t="n">
        <f aca="false">ROUND(C53*$T$5,0)</f>
        <v>0</v>
      </c>
      <c r="G53" s="0" t="n">
        <f aca="false">ROUND(D53*$T$6,0)</f>
        <v>0</v>
      </c>
      <c r="H53" s="0" t="n">
        <f aca="false">ROUND(E53*$T$7,0)</f>
        <v>0</v>
      </c>
      <c r="I53" s="0" t="n">
        <f aca="false">SUM(F53:H53)</f>
        <v>0</v>
      </c>
      <c r="J53" s="82" t="n">
        <f aca="false">I53/$G$1</f>
        <v>0</v>
      </c>
      <c r="K53" s="85" t="n">
        <f aca="false">I53*$K$1</f>
        <v>0</v>
      </c>
      <c r="L53" s="85" t="n">
        <f aca="false">I53*$L$1</f>
        <v>0</v>
      </c>
      <c r="M53" s="82"/>
      <c r="N53" s="88"/>
    </row>
    <row r="54" customFormat="false" ht="15" hidden="false" customHeight="false" outlineLevel="0" collapsed="false">
      <c r="A54" s="0" t="n">
        <v>3.55</v>
      </c>
      <c r="B54" s="82" t="n">
        <v>0</v>
      </c>
      <c r="C54" s="82" t="n">
        <f aca="false">_xlfn.NORM.DIST(A55,C$1,C$1*$O$10,1)-_xlfn.NORM.DIST(A54,C$1,C$1*$O$10,1)</f>
        <v>0</v>
      </c>
      <c r="D54" s="82" t="n">
        <f aca="false">_xlfn.NORM.DIST(A55,D$1,D$1*$O$10,1)-_xlfn.NORM.DIST(A54,D$1,D$1*$O$10,1)</f>
        <v>3.13993275824487E-012</v>
      </c>
      <c r="E54" s="82" t="n">
        <f aca="false">_xlfn.NORM.DIST(A55,E$1,E$1*$O$10,1)-_xlfn.NORM.DIST(A54,E$1,E$1*$O$10,1)</f>
        <v>4.50030719689742E-007</v>
      </c>
      <c r="F54" s="0" t="n">
        <f aca="false">ROUND(C54*$T$5,0)</f>
        <v>0</v>
      </c>
      <c r="G54" s="0" t="n">
        <f aca="false">ROUND(D54*$T$6,0)</f>
        <v>0</v>
      </c>
      <c r="H54" s="0" t="n">
        <f aca="false">ROUND(E54*$T$7,0)</f>
        <v>0</v>
      </c>
      <c r="I54" s="0" t="n">
        <f aca="false">SUM(F54:H54)</f>
        <v>0</v>
      </c>
      <c r="J54" s="82" t="n">
        <f aca="false">I54/$G$1</f>
        <v>0</v>
      </c>
      <c r="K54" s="85" t="n">
        <f aca="false">I54*$K$1</f>
        <v>0</v>
      </c>
      <c r="L54" s="85" t="n">
        <f aca="false">I54*$L$1</f>
        <v>0</v>
      </c>
      <c r="M54" s="82"/>
      <c r="N54" s="88"/>
    </row>
    <row r="55" customFormat="false" ht="15" hidden="false" customHeight="false" outlineLevel="0" collapsed="false">
      <c r="A55" s="0" t="n">
        <v>3.6</v>
      </c>
      <c r="B55" s="82" t="n">
        <v>0</v>
      </c>
      <c r="C55" s="82" t="n">
        <f aca="false">_xlfn.NORM.DIST(A56,C$1,C$1*$O$10,1)-_xlfn.NORM.DIST(A55,C$1,C$1*$O$10,1)</f>
        <v>0</v>
      </c>
      <c r="D55" s="82" t="n">
        <f aca="false">_xlfn.NORM.DIST(A56,D$1,D$1*$O$10,1)-_xlfn.NORM.DIST(A55,D$1,D$1*$O$10,1)</f>
        <v>8.86402062860725E-013</v>
      </c>
      <c r="E55" s="82" t="n">
        <f aca="false">_xlfn.NORM.DIST(A56,E$1,E$1*$O$10,1)-_xlfn.NORM.DIST(A55,E$1,E$1*$O$10,1)</f>
        <v>2.86606158805824E-007</v>
      </c>
      <c r="F55" s="0" t="n">
        <f aca="false">ROUND(C55*$T$5,0)</f>
        <v>0</v>
      </c>
      <c r="G55" s="0" t="n">
        <f aca="false">ROUND(D55*$T$6,0)</f>
        <v>0</v>
      </c>
      <c r="H55" s="0" t="n">
        <f aca="false">ROUND(E55*$T$7,0)</f>
        <v>0</v>
      </c>
      <c r="I55" s="0" t="n">
        <f aca="false">SUM(F55:H55)</f>
        <v>0</v>
      </c>
      <c r="J55" s="82" t="n">
        <f aca="false">I55/$G$1</f>
        <v>0</v>
      </c>
      <c r="K55" s="85" t="n">
        <f aca="false">I55*$K$1</f>
        <v>0</v>
      </c>
      <c r="L55" s="85" t="n">
        <f aca="false">I55*$L$1</f>
        <v>0</v>
      </c>
      <c r="M55" s="82"/>
      <c r="N55" s="88"/>
    </row>
    <row r="56" customFormat="false" ht="15" hidden="false" customHeight="false" outlineLevel="0" collapsed="false">
      <c r="A56" s="0" t="n">
        <v>4</v>
      </c>
      <c r="N56" s="88"/>
    </row>
  </sheetData>
  <hyperlinks>
    <hyperlink ref="T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L1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RowHeight="15"/>
  <cols>
    <col collapsed="false" hidden="false" max="1" min="1" style="0" width="35.4493927125506"/>
    <col collapsed="false" hidden="false" max="2" min="2" style="0" width="21.914979757085"/>
    <col collapsed="false" hidden="false" max="3" min="3" style="0" width="10.1457489878543"/>
    <col collapsed="false" hidden="false" max="1025" min="4" style="0" width="8.12145748987854"/>
  </cols>
  <sheetData>
    <row r="1" customFormat="false" ht="15" hidden="false" customHeight="false" outlineLevel="0" collapsed="false">
      <c r="A1" s="80" t="s">
        <v>1176</v>
      </c>
      <c r="B1" s="80" t="s">
        <v>1177</v>
      </c>
      <c r="L1" s="29" t="s">
        <v>216</v>
      </c>
    </row>
    <row r="2" customFormat="false" ht="15" hidden="false" customHeight="false" outlineLevel="0" collapsed="false">
      <c r="A2" s="80" t="s">
        <v>67</v>
      </c>
      <c r="B2" s="61" t="n">
        <v>96768</v>
      </c>
    </row>
    <row r="3" customFormat="false" ht="15" hidden="false" customHeight="false" outlineLevel="0" collapsed="false">
      <c r="A3" s="80" t="s">
        <v>69</v>
      </c>
      <c r="B3" s="61" t="n">
        <v>1433116</v>
      </c>
    </row>
    <row r="4" customFormat="false" ht="15" hidden="false" customHeight="false" outlineLevel="0" collapsed="false">
      <c r="A4" s="89" t="s">
        <v>1178</v>
      </c>
      <c r="B4" s="61" t="n">
        <v>87</v>
      </c>
    </row>
    <row r="5" customFormat="false" ht="15" hidden="false" customHeight="false" outlineLevel="0" collapsed="false">
      <c r="A5" s="80" t="s">
        <v>1179</v>
      </c>
      <c r="B5" s="90" t="n">
        <f aca="false">Common_Data!B4*7.75*10</f>
        <v>6742.5</v>
      </c>
    </row>
    <row r="6" customFormat="false" ht="15" hidden="false" customHeight="false" outlineLevel="0" collapsed="false">
      <c r="A6" s="80" t="s">
        <v>1180</v>
      </c>
      <c r="B6" s="91" t="n">
        <f aca="false">Common_Data!B4*4*10</f>
        <v>3480</v>
      </c>
    </row>
    <row r="7" customFormat="false" ht="15" hidden="false" customHeight="false" outlineLevel="0" collapsed="false">
      <c r="A7" s="80" t="s">
        <v>75</v>
      </c>
      <c r="B7" s="0" t="n">
        <v>0.095</v>
      </c>
      <c r="C7" s="0" t="s">
        <v>1181</v>
      </c>
    </row>
    <row r="8" customFormat="false" ht="15" hidden="false" customHeight="false" outlineLevel="0" collapsed="false">
      <c r="A8" s="80" t="s">
        <v>76</v>
      </c>
      <c r="B8" s="0" t="n">
        <f aca="false">20000*9</f>
        <v>180000</v>
      </c>
    </row>
    <row r="9" customFormat="false" ht="15" hidden="false" customHeight="false" outlineLevel="0" collapsed="false">
      <c r="A9" s="80" t="s">
        <v>77</v>
      </c>
      <c r="B9" s="0" t="n">
        <v>1</v>
      </c>
    </row>
    <row r="10" customFormat="false" ht="15" hidden="false" customHeight="false" outlineLevel="0" collapsed="false">
      <c r="A10" s="80" t="s">
        <v>1182</v>
      </c>
    </row>
    <row r="11" customFormat="false" ht="15" hidden="false" customHeight="false" outlineLevel="0" collapsed="false">
      <c r="A11" s="80" t="s">
        <v>1183</v>
      </c>
      <c r="B11" s="92"/>
      <c r="C11" s="0" t="s">
        <v>1181</v>
      </c>
    </row>
  </sheetData>
  <autoFilter ref="A13:D381"/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8.12145748987854"/>
    <col collapsed="false" hidden="false" max="2" min="2" style="0" width="9.20647773279352"/>
    <col collapsed="false" hidden="false" max="1025" min="3" style="0" width="8.12145748987854"/>
  </cols>
  <sheetData>
    <row r="1" customFormat="false" ht="15" hidden="false" customHeight="false" outlineLevel="0" collapsed="false">
      <c r="A1" s="80" t="s">
        <v>1184</v>
      </c>
      <c r="B1" s="80" t="s">
        <v>87</v>
      </c>
      <c r="C1" s="0" t="s">
        <v>1185</v>
      </c>
      <c r="N1" s="29" t="s">
        <v>216</v>
      </c>
    </row>
    <row r="2" customFormat="false" ht="15" hidden="false" customHeight="false" outlineLevel="0" collapsed="false">
      <c r="A2" s="0" t="n">
        <v>1</v>
      </c>
      <c r="B2" s="0" t="n">
        <v>87468</v>
      </c>
      <c r="D2" s="0" t="n">
        <v>87468</v>
      </c>
      <c r="E2" s="0" t="n">
        <f aca="false">B2-D2</f>
        <v>0</v>
      </c>
    </row>
    <row r="3" customFormat="false" ht="15" hidden="false" customHeight="false" outlineLevel="0" collapsed="false">
      <c r="A3" s="0" t="n">
        <v>2</v>
      </c>
      <c r="B3" s="0" t="n">
        <v>87468</v>
      </c>
    </row>
    <row r="4" customFormat="false" ht="15" hidden="false" customHeight="false" outlineLevel="0" collapsed="false">
      <c r="A4" s="0" t="n">
        <v>3</v>
      </c>
      <c r="B4" s="0" t="n">
        <v>87468</v>
      </c>
    </row>
    <row r="5" customFormat="false" ht="15" hidden="false" customHeight="false" outlineLevel="0" collapsed="false">
      <c r="A5" s="0" t="n">
        <v>4</v>
      </c>
      <c r="B5" s="0" t="n">
        <v>87468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RowHeight="15"/>
  <cols>
    <col collapsed="false" hidden="false" max="1" min="1" style="0" width="6.09311740890688"/>
    <col collapsed="false" hidden="false" max="2" min="2" style="0" width="12.4453441295547"/>
    <col collapsed="false" hidden="false" max="3" min="3" style="0" width="8.12145748987854"/>
    <col collapsed="false" hidden="false" max="4" min="4" style="0" width="16.3765182186235"/>
    <col collapsed="false" hidden="false" max="1025" min="5" style="0" width="8.12145748987854"/>
  </cols>
  <sheetData>
    <row r="1" customFormat="false" ht="15" hidden="false" customHeight="false" outlineLevel="0" collapsed="false">
      <c r="A1" s="80" t="s">
        <v>1163</v>
      </c>
      <c r="B1" s="80" t="s">
        <v>1164</v>
      </c>
      <c r="D1" s="0" t="s">
        <v>1186</v>
      </c>
      <c r="E1" s="0" t="n">
        <f aca="false">1950</f>
        <v>1950</v>
      </c>
      <c r="N1" s="29" t="s">
        <v>216</v>
      </c>
    </row>
    <row r="2" customFormat="false" ht="15" hidden="false" customHeight="false" outlineLevel="0" collapsed="false">
      <c r="A2" s="0" t="n">
        <v>1</v>
      </c>
      <c r="B2" s="81" t="n">
        <f aca="false">Available_Hour_Overtime!$E$1*4</f>
        <v>7800</v>
      </c>
    </row>
    <row r="3" customFormat="false" ht="15" hidden="false" customHeight="false" outlineLevel="0" collapsed="false">
      <c r="A3" s="0" t="n">
        <v>2</v>
      </c>
      <c r="B3" s="81" t="n">
        <f aca="false">Available_Hour_Overtime!$E$1*4</f>
        <v>7800</v>
      </c>
    </row>
    <row r="4" customFormat="false" ht="15" hidden="false" customHeight="false" outlineLevel="0" collapsed="false">
      <c r="A4" s="0" t="n">
        <v>3</v>
      </c>
      <c r="B4" s="81" t="n">
        <f aca="false">Available_Hour_Overtime!$E$1*4</f>
        <v>7800</v>
      </c>
    </row>
    <row r="5" customFormat="false" ht="15" hidden="false" customHeight="false" outlineLevel="0" collapsed="false">
      <c r="A5" s="0" t="n">
        <v>4</v>
      </c>
      <c r="B5" s="81" t="n">
        <f aca="false">Available_Hour_Overtime!$E$1*4</f>
        <v>7800</v>
      </c>
    </row>
    <row r="6" customFormat="false" ht="15" hidden="false" customHeight="false" outlineLevel="0" collapsed="false">
      <c r="B6" s="81"/>
    </row>
    <row r="7" customFormat="false" ht="15" hidden="false" customHeight="false" outlineLevel="0" collapsed="false">
      <c r="B7" s="81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I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RowHeight="15"/>
  <cols>
    <col collapsed="false" hidden="false" max="2" min="1" style="0" width="14.3481781376518"/>
    <col collapsed="false" hidden="false" max="3" min="3" style="0" width="16.2388663967611"/>
    <col collapsed="false" hidden="false" max="1025" min="4" style="0" width="8.12145748987854"/>
  </cols>
  <sheetData>
    <row r="1" customFormat="false" ht="15" hidden="false" customHeight="false" outlineLevel="0" collapsed="false">
      <c r="A1" s="0" t="s">
        <v>1187</v>
      </c>
      <c r="B1" s="0" t="s">
        <v>1188</v>
      </c>
      <c r="C1" s="0" t="s">
        <v>1189</v>
      </c>
      <c r="D1" s="0" t="s">
        <v>93</v>
      </c>
      <c r="I1" s="29" t="s">
        <v>216</v>
      </c>
    </row>
    <row r="2" customFormat="false" ht="15" hidden="false" customHeight="false" outlineLevel="0" collapsed="false">
      <c r="A2" s="0" t="s">
        <v>243</v>
      </c>
      <c r="B2" s="0" t="s">
        <v>199</v>
      </c>
      <c r="C2" s="62" t="n">
        <v>0.0609984984984985</v>
      </c>
    </row>
    <row r="3" customFormat="false" ht="15" hidden="false" customHeight="false" outlineLevel="0" collapsed="false">
      <c r="A3" s="0" t="s">
        <v>268</v>
      </c>
      <c r="B3" s="0" t="s">
        <v>139</v>
      </c>
      <c r="C3" s="62" t="n">
        <v>0.0214491587908037</v>
      </c>
    </row>
    <row r="4" customFormat="false" ht="15" hidden="false" customHeight="false" outlineLevel="0" collapsed="false">
      <c r="A4" s="0" t="s">
        <v>271</v>
      </c>
      <c r="B4" s="0" t="s">
        <v>139</v>
      </c>
      <c r="C4" s="62" t="n">
        <v>0.0214491587908037</v>
      </c>
    </row>
    <row r="5" customFormat="false" ht="15" hidden="false" customHeight="false" outlineLevel="0" collapsed="false">
      <c r="A5" s="0" t="s">
        <v>261</v>
      </c>
      <c r="B5" s="0" t="s">
        <v>139</v>
      </c>
      <c r="C5" s="62" t="n">
        <v>0.0229495110756336</v>
      </c>
    </row>
    <row r="6" customFormat="false" ht="15" hidden="false" customHeight="false" outlineLevel="0" collapsed="false">
      <c r="A6" s="0" t="s">
        <v>251</v>
      </c>
      <c r="B6" s="0" t="s">
        <v>139</v>
      </c>
      <c r="C6" s="62" t="n">
        <v>0.0281463610776035</v>
      </c>
    </row>
    <row r="7" customFormat="false" ht="15" hidden="false" customHeight="false" outlineLevel="0" collapsed="false">
      <c r="A7" s="0" t="s">
        <v>265</v>
      </c>
      <c r="B7" s="0" t="s">
        <v>139</v>
      </c>
      <c r="C7" s="62" t="n">
        <v>0.0406615497076023</v>
      </c>
    </row>
    <row r="8" customFormat="false" ht="15" hidden="false" customHeight="false" outlineLevel="0" collapsed="false">
      <c r="A8" s="0" t="s">
        <v>266</v>
      </c>
      <c r="B8" s="0" t="s">
        <v>139</v>
      </c>
      <c r="C8" s="62" t="n">
        <v>0.0406615497076023</v>
      </c>
    </row>
    <row r="9" customFormat="false" ht="15" hidden="false" customHeight="false" outlineLevel="0" collapsed="false">
      <c r="A9" s="0" t="s">
        <v>262</v>
      </c>
      <c r="B9" s="0" t="s">
        <v>139</v>
      </c>
      <c r="C9" s="62" t="n">
        <v>0.0270734284204966</v>
      </c>
    </row>
    <row r="10" customFormat="false" ht="15" hidden="false" customHeight="false" outlineLevel="0" collapsed="false">
      <c r="A10" s="0" t="s">
        <v>263</v>
      </c>
      <c r="B10" s="0" t="s">
        <v>139</v>
      </c>
      <c r="C10" s="62" t="n">
        <v>0.0270734284204966</v>
      </c>
    </row>
    <row r="11" customFormat="false" ht="15" hidden="false" customHeight="false" outlineLevel="0" collapsed="false">
      <c r="A11" s="0" t="s">
        <v>264</v>
      </c>
      <c r="B11" s="0" t="s">
        <v>139</v>
      </c>
      <c r="C11" s="62" t="n">
        <v>0.0270734284204966</v>
      </c>
    </row>
    <row r="12" customFormat="false" ht="15" hidden="false" customHeight="false" outlineLevel="0" collapsed="false">
      <c r="A12" s="0" t="s">
        <v>131</v>
      </c>
      <c r="B12" s="0" t="s">
        <v>201</v>
      </c>
      <c r="C12" s="62" t="n">
        <v>0.635028248587571</v>
      </c>
    </row>
    <row r="13" customFormat="false" ht="15" hidden="false" customHeight="false" outlineLevel="0" collapsed="false">
      <c r="A13" s="0" t="s">
        <v>131</v>
      </c>
      <c r="B13" s="0" t="s">
        <v>203</v>
      </c>
      <c r="C13" s="62" t="n">
        <v>0.635028248587571</v>
      </c>
    </row>
    <row r="14" customFormat="false" ht="15" hidden="false" customHeight="false" outlineLevel="0" collapsed="false">
      <c r="A14" s="0" t="s">
        <v>144</v>
      </c>
      <c r="B14" s="0" t="s">
        <v>664</v>
      </c>
      <c r="C14" s="62" t="n">
        <v>0.298288955988654</v>
      </c>
    </row>
    <row r="15" customFormat="false" ht="15" hidden="false" customHeight="false" outlineLevel="0" collapsed="false">
      <c r="A15" s="0" t="s">
        <v>141</v>
      </c>
      <c r="B15" s="62" t="s">
        <v>767</v>
      </c>
      <c r="C15" s="62" t="n">
        <v>0.50075257612597</v>
      </c>
    </row>
    <row r="16" customFormat="false" ht="15" hidden="false" customHeight="false" outlineLevel="0" collapsed="false">
      <c r="A16" s="0" t="s">
        <v>149</v>
      </c>
      <c r="B16" s="62" t="s">
        <v>664</v>
      </c>
      <c r="C16" s="62" t="n">
        <v>0.358523506671655</v>
      </c>
    </row>
    <row r="17" customFormat="false" ht="15" hidden="false" customHeight="false" outlineLevel="0" collapsed="false">
      <c r="A17" s="0" t="s">
        <v>150</v>
      </c>
      <c r="B17" s="62" t="s">
        <v>664</v>
      </c>
      <c r="C17" s="62" t="n">
        <v>0.358523506671655</v>
      </c>
    </row>
    <row r="18" customFormat="false" ht="15" hidden="false" customHeight="false" outlineLevel="0" collapsed="false">
      <c r="A18" s="0" t="s">
        <v>147</v>
      </c>
      <c r="B18" s="62" t="s">
        <v>125</v>
      </c>
      <c r="C18" s="62" t="n">
        <v>0.382615156017831</v>
      </c>
    </row>
    <row r="19" customFormat="false" ht="15" hidden="false" customHeight="false" outlineLevel="0" collapsed="false">
      <c r="A19" s="0" t="s">
        <v>922</v>
      </c>
      <c r="B19" s="62" t="s">
        <v>121</v>
      </c>
      <c r="C19" s="62" t="n">
        <v>0.201109570041609</v>
      </c>
    </row>
  </sheetData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2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28.1417004048583"/>
    <col collapsed="false" hidden="false" max="2" min="2" style="0" width="13.5344129554656"/>
    <col collapsed="false" hidden="false" max="3" min="3" style="0" width="11.2348178137652"/>
    <col collapsed="false" hidden="false" max="1025" min="4" style="0" width="8.52631578947369"/>
  </cols>
  <sheetData>
    <row r="1" customFormat="false" ht="15" hidden="false" customHeight="false" outlineLevel="0" collapsed="false">
      <c r="A1" s="0" t="s">
        <v>1190</v>
      </c>
      <c r="B1" s="0" t="s">
        <v>1191</v>
      </c>
      <c r="C1" s="0" t="s">
        <v>93</v>
      </c>
    </row>
    <row r="2" customFormat="false" ht="15" hidden="false" customHeight="false" outlineLevel="0" collapsed="false">
      <c r="A2" s="0" t="s">
        <v>1192</v>
      </c>
    </row>
    <row r="3" customFormat="false" ht="15" hidden="false" customHeight="false" outlineLevel="0" collapsed="false">
      <c r="A3" s="0" t="s">
        <v>1193</v>
      </c>
    </row>
    <row r="4" customFormat="false" ht="15" hidden="false" customHeight="false" outlineLevel="0" collapsed="false">
      <c r="A4" s="0" t="s">
        <v>1194</v>
      </c>
    </row>
    <row r="5" customFormat="false" ht="15" hidden="false" customHeight="false" outlineLevel="0" collapsed="false">
      <c r="A5" s="0" t="s">
        <v>1195</v>
      </c>
    </row>
    <row r="6" customFormat="false" ht="15" hidden="false" customHeight="false" outlineLevel="0" collapsed="false">
      <c r="A6" s="0" t="s">
        <v>1196</v>
      </c>
    </row>
    <row r="7" customFormat="false" ht="15" hidden="false" customHeight="false" outlineLevel="0" collapsed="false">
      <c r="A7" s="0" t="s">
        <v>1197</v>
      </c>
    </row>
    <row r="8" customFormat="false" ht="15" hidden="false" customHeight="false" outlineLevel="0" collapsed="false">
      <c r="A8" s="0" t="s">
        <v>1198</v>
      </c>
    </row>
    <row r="9" customFormat="false" ht="15" hidden="false" customHeight="false" outlineLevel="0" collapsed="false">
      <c r="A9" s="0" t="s">
        <v>1199</v>
      </c>
    </row>
    <row r="10" customFormat="false" ht="15" hidden="false" customHeight="false" outlineLevel="0" collapsed="false">
      <c r="A10" s="0" t="s">
        <v>1200</v>
      </c>
    </row>
    <row r="11" customFormat="false" ht="15" hidden="false" customHeight="false" outlineLevel="0" collapsed="false">
      <c r="A11" s="0" t="s">
        <v>1201</v>
      </c>
    </row>
    <row r="12" customFormat="false" ht="15" hidden="false" customHeight="false" outlineLevel="0" collapsed="false">
      <c r="A12" s="0" t="s">
        <v>1202</v>
      </c>
    </row>
    <row r="13" customFormat="false" ht="15" hidden="false" customHeight="false" outlineLevel="0" collapsed="false">
      <c r="A13" s="0" t="s">
        <v>1203</v>
      </c>
    </row>
    <row r="14" customFormat="false" ht="15" hidden="false" customHeight="false" outlineLevel="0" collapsed="false">
      <c r="A14" s="0" t="s">
        <v>1204</v>
      </c>
    </row>
    <row r="15" customFormat="false" ht="15" hidden="false" customHeight="false" outlineLevel="0" collapsed="false">
      <c r="A15" s="0" t="s">
        <v>1205</v>
      </c>
    </row>
    <row r="16" customFormat="false" ht="15" hidden="false" customHeight="false" outlineLevel="0" collapsed="false">
      <c r="A16" s="0" t="s">
        <v>1206</v>
      </c>
    </row>
    <row r="17" customFormat="false" ht="15" hidden="false" customHeight="false" outlineLevel="0" collapsed="false">
      <c r="A17" s="0" t="s">
        <v>1207</v>
      </c>
    </row>
    <row r="18" customFormat="false" ht="15" hidden="false" customHeight="false" outlineLevel="0" collapsed="false">
      <c r="A18" s="0" t="s">
        <v>1208</v>
      </c>
    </row>
    <row r="19" customFormat="false" ht="15" hidden="false" customHeight="false" outlineLevel="0" collapsed="false">
      <c r="A19" s="0" t="s">
        <v>1209</v>
      </c>
    </row>
    <row r="20" customFormat="false" ht="15" hidden="false" customHeight="false" outlineLevel="0" collapsed="false">
      <c r="A20" s="0" t="s">
        <v>1210</v>
      </c>
    </row>
    <row r="21" customFormat="false" ht="15" hidden="false" customHeight="false" outlineLevel="0" collapsed="false">
      <c r="A21" s="0" t="s">
        <v>1211</v>
      </c>
    </row>
    <row r="22" customFormat="false" ht="15" hidden="false" customHeight="false" outlineLevel="0" collapsed="false">
      <c r="A22" s="0" t="s">
        <v>1212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RowHeight="15"/>
  <cols>
    <col collapsed="false" hidden="false" max="1" min="1" style="0" width="8.52631578947369"/>
    <col collapsed="false" hidden="false" max="2" min="2" style="0" width="11.6315789473684"/>
    <col collapsed="false" hidden="false" max="1025" min="3" style="0" width="8.52631578947369"/>
  </cols>
  <sheetData>
    <row r="1" customFormat="false" ht="15" hidden="false" customHeight="false" outlineLevel="0" collapsed="false">
      <c r="A1" s="0" t="s">
        <v>1213</v>
      </c>
      <c r="B1" s="0" t="s">
        <v>1214</v>
      </c>
    </row>
    <row r="2" customFormat="false" ht="15" hidden="false" customHeight="false" outlineLevel="0" collapsed="false">
      <c r="A2" s="0" t="s">
        <v>1215</v>
      </c>
    </row>
    <row r="3" customFormat="false" ht="15" hidden="false" customHeight="false" outlineLevel="0" collapsed="false">
      <c r="A3" s="0" t="s">
        <v>1173</v>
      </c>
      <c r="B3" s="65" t="n">
        <f aca="false">Raw_Material!$B$8*Raw_Material!C3</f>
        <v>7.0175</v>
      </c>
      <c r="C3" s="0" t="n">
        <v>1.75</v>
      </c>
    </row>
    <row r="4" customFormat="false" ht="15" hidden="false" customHeight="false" outlineLevel="0" collapsed="false">
      <c r="A4" s="0" t="s">
        <v>1174</v>
      </c>
      <c r="B4" s="65" t="n">
        <f aca="false">Raw_Material!$B$8*Raw_Material!C4</f>
        <v>7.8195</v>
      </c>
      <c r="C4" s="0" t="n">
        <v>1.95</v>
      </c>
    </row>
    <row r="5" customFormat="false" ht="15" hidden="false" customHeight="false" outlineLevel="0" collapsed="false">
      <c r="A5" s="0" t="s">
        <v>1175</v>
      </c>
      <c r="B5" s="65" t="n">
        <f aca="false">Raw_Material!$B$8*Raw_Material!C5</f>
        <v>8.822</v>
      </c>
      <c r="C5" s="0" t="n">
        <v>2.2</v>
      </c>
    </row>
    <row r="6" customFormat="false" ht="15" hidden="false" customHeight="false" outlineLevel="0" collapsed="false">
      <c r="A6" s="0" t="s">
        <v>1216</v>
      </c>
      <c r="B6" s="65" t="n">
        <f aca="false">Raw_Material!$B$8*Raw_Material!C6</f>
        <v>9.624</v>
      </c>
      <c r="C6" s="0" t="n">
        <v>2.4</v>
      </c>
    </row>
    <row r="8" customFormat="false" ht="15" hidden="false" customHeight="false" outlineLevel="0" collapsed="false">
      <c r="A8" s="0" t="s">
        <v>1217</v>
      </c>
      <c r="B8" s="0" t="n">
        <v>4.01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B5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8" activeCellId="0" sqref="B8"/>
    </sheetView>
  </sheetViews>
  <sheetFormatPr defaultRowHeight="15"/>
  <cols>
    <col collapsed="false" hidden="false" max="2" min="1" style="0" width="15.6963562753036"/>
    <col collapsed="false" hidden="false" max="1020" min="3" style="0" width="8.52631578947369"/>
    <col collapsed="false" hidden="false" max="1025" min="1021" style="0" width="8.12145748987854"/>
  </cols>
  <sheetData>
    <row r="1" customFormat="false" ht="15" hidden="false" customHeight="false" outlineLevel="0" collapsed="false">
      <c r="A1" s="27" t="s">
        <v>1218</v>
      </c>
      <c r="B1" s="27" t="s">
        <v>1219</v>
      </c>
    </row>
    <row r="2" customFormat="false" ht="15" hidden="false" customHeight="false" outlineLevel="0" collapsed="false">
      <c r="A2" s="0" t="s">
        <v>120</v>
      </c>
      <c r="B2" s="0" t="s">
        <v>217</v>
      </c>
    </row>
    <row r="3" customFormat="false" ht="15" hidden="false" customHeight="false" outlineLevel="0" collapsed="false">
      <c r="A3" s="0" t="s">
        <v>121</v>
      </c>
      <c r="B3" s="0" t="s">
        <v>223</v>
      </c>
    </row>
    <row r="4" customFormat="false" ht="15" hidden="false" customHeight="false" outlineLevel="0" collapsed="false">
      <c r="A4" s="0" t="s">
        <v>123</v>
      </c>
      <c r="B4" s="0" t="s">
        <v>227</v>
      </c>
    </row>
    <row r="5" customFormat="false" ht="15" hidden="false" customHeight="false" outlineLevel="0" collapsed="false">
      <c r="A5" s="0" t="s">
        <v>124</v>
      </c>
      <c r="B5" s="0" t="s">
        <v>229</v>
      </c>
    </row>
    <row r="6" customFormat="false" ht="15" hidden="false" customHeight="false" outlineLevel="0" collapsed="false">
      <c r="A6" s="0" t="s">
        <v>125</v>
      </c>
      <c r="B6" s="0" t="s">
        <v>231</v>
      </c>
    </row>
    <row r="7" customFormat="false" ht="15" hidden="false" customHeight="false" outlineLevel="0" collapsed="false">
      <c r="A7" s="0" t="s">
        <v>127</v>
      </c>
      <c r="B7" s="0" t="s">
        <v>237</v>
      </c>
    </row>
    <row r="8" customFormat="false" ht="15" hidden="false" customHeight="false" outlineLevel="0" collapsed="false">
      <c r="A8" s="0" t="s">
        <v>128</v>
      </c>
      <c r="B8" s="0" t="s">
        <v>238</v>
      </c>
    </row>
    <row r="9" customFormat="false" ht="15" hidden="false" customHeight="false" outlineLevel="0" collapsed="false">
      <c r="A9" s="0" t="s">
        <v>130</v>
      </c>
      <c r="B9" s="0" t="s">
        <v>241</v>
      </c>
    </row>
    <row r="10" customFormat="false" ht="15" hidden="false" customHeight="false" outlineLevel="0" collapsed="false">
      <c r="A10" s="0" t="s">
        <v>131</v>
      </c>
      <c r="B10" s="0" t="s">
        <v>243</v>
      </c>
    </row>
    <row r="11" customFormat="false" ht="15" hidden="false" customHeight="false" outlineLevel="0" collapsed="false">
      <c r="A11" s="0" t="s">
        <v>133</v>
      </c>
      <c r="B11" s="0" t="s">
        <v>246</v>
      </c>
    </row>
    <row r="12" customFormat="false" ht="15" hidden="false" customHeight="false" outlineLevel="0" collapsed="false">
      <c r="A12" s="0" t="s">
        <v>134</v>
      </c>
      <c r="B12" s="0" t="s">
        <v>249</v>
      </c>
    </row>
    <row r="13" customFormat="false" ht="15" hidden="false" customHeight="false" outlineLevel="0" collapsed="false">
      <c r="A13" s="0" t="s">
        <v>136</v>
      </c>
      <c r="B13" s="0" t="s">
        <v>250</v>
      </c>
    </row>
    <row r="14" customFormat="false" ht="15" hidden="false" customHeight="false" outlineLevel="0" collapsed="false">
      <c r="A14" s="0" t="s">
        <v>137</v>
      </c>
      <c r="B14" s="0" t="s">
        <v>251</v>
      </c>
    </row>
    <row r="15" customFormat="false" ht="15" hidden="false" customHeight="false" outlineLevel="0" collapsed="false">
      <c r="A15" s="0" t="s">
        <v>139</v>
      </c>
      <c r="B15" s="0" t="s">
        <v>252</v>
      </c>
    </row>
    <row r="16" customFormat="false" ht="15" hidden="false" customHeight="false" outlineLevel="0" collapsed="false">
      <c r="A16" s="0" t="s">
        <v>140</v>
      </c>
      <c r="B16" s="0" t="s">
        <v>253</v>
      </c>
    </row>
    <row r="17" customFormat="false" ht="15" hidden="false" customHeight="false" outlineLevel="0" collapsed="false">
      <c r="A17" s="0" t="s">
        <v>141</v>
      </c>
      <c r="B17" s="0" t="s">
        <v>254</v>
      </c>
    </row>
    <row r="18" customFormat="false" ht="15" hidden="false" customHeight="false" outlineLevel="0" collapsed="false">
      <c r="A18" s="0" t="s">
        <v>142</v>
      </c>
      <c r="B18" s="0" t="s">
        <v>255</v>
      </c>
    </row>
    <row r="19" customFormat="false" ht="15" hidden="false" customHeight="false" outlineLevel="0" collapsed="false">
      <c r="A19" s="0" t="s">
        <v>143</v>
      </c>
      <c r="B19" s="0" t="s">
        <v>257</v>
      </c>
    </row>
    <row r="20" customFormat="false" ht="15" hidden="false" customHeight="false" outlineLevel="0" collapsed="false">
      <c r="A20" s="0" t="s">
        <v>144</v>
      </c>
      <c r="B20" s="0" t="s">
        <v>261</v>
      </c>
    </row>
    <row r="21" customFormat="false" ht="15" hidden="false" customHeight="false" outlineLevel="0" collapsed="false">
      <c r="A21" s="0" t="s">
        <v>145</v>
      </c>
      <c r="B21" s="0" t="s">
        <v>262</v>
      </c>
    </row>
    <row r="22" customFormat="false" ht="15" hidden="false" customHeight="false" outlineLevel="0" collapsed="false">
      <c r="A22" s="0" t="s">
        <v>146</v>
      </c>
      <c r="B22" s="0" t="s">
        <v>263</v>
      </c>
    </row>
    <row r="23" customFormat="false" ht="15" hidden="false" customHeight="false" outlineLevel="0" collapsed="false">
      <c r="A23" s="0" t="s">
        <v>147</v>
      </c>
      <c r="B23" s="0" t="s">
        <v>264</v>
      </c>
    </row>
    <row r="24" customFormat="false" ht="15" hidden="false" customHeight="false" outlineLevel="0" collapsed="false">
      <c r="A24" s="0" t="s">
        <v>148</v>
      </c>
      <c r="B24" s="0" t="s">
        <v>265</v>
      </c>
    </row>
    <row r="25" customFormat="false" ht="15" hidden="false" customHeight="false" outlineLevel="0" collapsed="false">
      <c r="A25" s="0" t="s">
        <v>150</v>
      </c>
      <c r="B25" s="0" t="s">
        <v>266</v>
      </c>
    </row>
    <row r="26" customFormat="false" ht="15" hidden="false" customHeight="false" outlineLevel="0" collapsed="false">
      <c r="A26" s="0" t="s">
        <v>152</v>
      </c>
      <c r="B26" s="0" t="s">
        <v>268</v>
      </c>
    </row>
    <row r="27" customFormat="false" ht="15" hidden="false" customHeight="false" outlineLevel="0" collapsed="false">
      <c r="A27" s="0" t="s">
        <v>153</v>
      </c>
      <c r="B27" s="0" t="s">
        <v>271</v>
      </c>
    </row>
    <row r="28" customFormat="false" ht="15" hidden="false" customHeight="false" outlineLevel="0" collapsed="false">
      <c r="A28" s="0" t="s">
        <v>154</v>
      </c>
      <c r="B28" s="0" t="s">
        <v>273</v>
      </c>
    </row>
    <row r="29" customFormat="false" ht="15" hidden="false" customHeight="false" outlineLevel="0" collapsed="false">
      <c r="A29" s="0" t="s">
        <v>155</v>
      </c>
      <c r="B29" s="0" t="s">
        <v>276</v>
      </c>
    </row>
    <row r="30" customFormat="false" ht="15" hidden="false" customHeight="false" outlineLevel="0" collapsed="false">
      <c r="A30" s="0" t="s">
        <v>156</v>
      </c>
      <c r="B30" s="0" t="s">
        <v>277</v>
      </c>
    </row>
    <row r="31" customFormat="false" ht="15" hidden="false" customHeight="false" outlineLevel="0" collapsed="false">
      <c r="A31" s="0" t="s">
        <v>157</v>
      </c>
      <c r="B31" s="0" t="s">
        <v>278</v>
      </c>
    </row>
    <row r="32" customFormat="false" ht="15" hidden="false" customHeight="false" outlineLevel="0" collapsed="false">
      <c r="A32" s="0" t="s">
        <v>158</v>
      </c>
      <c r="B32" s="0" t="s">
        <v>280</v>
      </c>
    </row>
    <row r="33" customFormat="false" ht="15" hidden="false" customHeight="false" outlineLevel="0" collapsed="false">
      <c r="A33" s="0" t="s">
        <v>160</v>
      </c>
      <c r="B33" s="0" t="s">
        <v>283</v>
      </c>
    </row>
    <row r="34" customFormat="false" ht="15" hidden="false" customHeight="false" outlineLevel="0" collapsed="false">
      <c r="A34" s="0" t="s">
        <v>161</v>
      </c>
      <c r="B34" s="0" t="s">
        <v>284</v>
      </c>
    </row>
    <row r="35" customFormat="false" ht="15" hidden="false" customHeight="false" outlineLevel="0" collapsed="false">
      <c r="A35" s="0" t="s">
        <v>164</v>
      </c>
      <c r="B35" s="0" t="s">
        <v>286</v>
      </c>
    </row>
    <row r="36" customFormat="false" ht="15" hidden="false" customHeight="false" outlineLevel="0" collapsed="false">
      <c r="A36" s="0" t="s">
        <v>165</v>
      </c>
      <c r="B36" s="0" t="s">
        <v>1220</v>
      </c>
    </row>
    <row r="37" customFormat="false" ht="15" hidden="false" customHeight="false" outlineLevel="0" collapsed="false">
      <c r="A37" s="0" t="s">
        <v>166</v>
      </c>
      <c r="B37" s="0" t="s">
        <v>288</v>
      </c>
    </row>
    <row r="38" customFormat="false" ht="15" hidden="false" customHeight="false" outlineLevel="0" collapsed="false">
      <c r="A38" s="0" t="s">
        <v>174</v>
      </c>
      <c r="B38" s="0" t="s">
        <v>299</v>
      </c>
    </row>
    <row r="39" customFormat="false" ht="15" hidden="false" customHeight="false" outlineLevel="0" collapsed="false">
      <c r="A39" s="0" t="s">
        <v>187</v>
      </c>
      <c r="B39" s="0" t="s">
        <v>317</v>
      </c>
    </row>
    <row r="40" customFormat="false" ht="15" hidden="false" customHeight="false" outlineLevel="0" collapsed="false">
      <c r="A40" s="0" t="s">
        <v>199</v>
      </c>
      <c r="B40" s="0" t="s">
        <v>321</v>
      </c>
    </row>
    <row r="41" customFormat="false" ht="15" hidden="false" customHeight="false" outlineLevel="0" collapsed="false">
      <c r="A41" s="0" t="s">
        <v>200</v>
      </c>
      <c r="B41" s="0" t="s">
        <v>322</v>
      </c>
    </row>
    <row r="42" customFormat="false" ht="15" hidden="false" customHeight="false" outlineLevel="0" collapsed="false">
      <c r="A42" s="0" t="s">
        <v>201</v>
      </c>
      <c r="B42" s="0" t="s">
        <v>324</v>
      </c>
    </row>
    <row r="43" customFormat="false" ht="15" hidden="false" customHeight="false" outlineLevel="0" collapsed="false">
      <c r="A43" s="0" t="s">
        <v>203</v>
      </c>
      <c r="B43" s="0" t="s">
        <v>325</v>
      </c>
    </row>
    <row r="44" customFormat="false" ht="15" hidden="false" customHeight="false" outlineLevel="0" collapsed="false">
      <c r="A44" s="0" t="s">
        <v>205</v>
      </c>
      <c r="B44" s="0" t="s">
        <v>326</v>
      </c>
    </row>
    <row r="45" customFormat="false" ht="15" hidden="false" customHeight="false" outlineLevel="0" collapsed="false">
      <c r="A45" s="0" t="s">
        <v>207</v>
      </c>
      <c r="B45" s="0" t="s">
        <v>327</v>
      </c>
    </row>
    <row r="46" customFormat="false" ht="15" hidden="false" customHeight="false" outlineLevel="0" collapsed="false">
      <c r="A46" s="0" t="s">
        <v>208</v>
      </c>
      <c r="B46" s="0" t="s">
        <v>328</v>
      </c>
    </row>
    <row r="47" customFormat="false" ht="15" hidden="false" customHeight="false" outlineLevel="0" collapsed="false">
      <c r="A47" s="0" t="s">
        <v>209</v>
      </c>
      <c r="B47" s="0" t="s">
        <v>329</v>
      </c>
    </row>
    <row r="48" customFormat="false" ht="15" hidden="false" customHeight="false" outlineLevel="0" collapsed="false">
      <c r="A48" s="0" t="s">
        <v>210</v>
      </c>
      <c r="B48" s="0" t="s">
        <v>331</v>
      </c>
    </row>
    <row r="49" customFormat="false" ht="15" hidden="false" customHeight="false" outlineLevel="0" collapsed="false">
      <c r="A49" s="0" t="s">
        <v>211</v>
      </c>
      <c r="B49" s="0" t="s">
        <v>332</v>
      </c>
    </row>
    <row r="50" customFormat="false" ht="15" hidden="false" customHeight="false" outlineLevel="0" collapsed="false">
      <c r="A50" s="0" t="s">
        <v>213</v>
      </c>
      <c r="B50" s="0" t="s">
        <v>333</v>
      </c>
    </row>
    <row r="51" customFormat="false" ht="15" hidden="false" customHeight="false" outlineLevel="0" collapsed="false">
      <c r="A51" s="0" t="s">
        <v>214</v>
      </c>
      <c r="B51" s="0" t="s">
        <v>334</v>
      </c>
    </row>
    <row r="52" customFormat="false" ht="15" hidden="false" customHeight="false" outlineLevel="0" collapsed="false">
      <c r="A52" s="0" t="s">
        <v>215</v>
      </c>
      <c r="B52" s="0" t="s">
        <v>335</v>
      </c>
    </row>
  </sheetData>
  <autoFilter ref="A1:B137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filterMode="true">
    <tabColor rgb="FF00B050"/>
    <pageSetUpPr fitToPage="false"/>
  </sheetPr>
  <dimension ref="A1:AD431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2" topLeftCell="F3" activePane="bottomRight" state="frozen"/>
      <selection pane="topLeft" activeCell="A1" activeCellId="0" sqref="A1"/>
      <selection pane="topRight" activeCell="F1" activeCellId="0" sqref="F1"/>
      <selection pane="bottomLeft" activeCell="A3" activeCellId="0" sqref="A3"/>
      <selection pane="bottomRight" activeCell="B80" activeCellId="0" sqref="B80"/>
    </sheetView>
  </sheetViews>
  <sheetFormatPr defaultRowHeight="15"/>
  <cols>
    <col collapsed="false" hidden="false" max="1" min="1" style="68" width="14.0769230769231"/>
    <col collapsed="false" hidden="false" max="2" min="2" style="68" width="11.2348178137652"/>
    <col collapsed="false" hidden="false" max="3" min="3" style="0" width="17.1821862348178"/>
    <col collapsed="false" hidden="false" max="4" min="4" style="0" width="41.9473684210526"/>
    <col collapsed="false" hidden="false" max="5" min="5" style="68" width="6.09311740890688"/>
    <col collapsed="false" hidden="false" max="6" min="6" style="93" width="8.52631578947369"/>
    <col collapsed="false" hidden="false" max="7" min="7" style="93" width="7.8502024291498"/>
    <col collapsed="false" hidden="false" max="8" min="8" style="93" width="9.33198380566802"/>
    <col collapsed="false" hidden="false" max="9" min="9" style="93" width="8.12145748987854"/>
    <col collapsed="false" hidden="false" max="10" min="10" style="93" width="6.36437246963563"/>
    <col collapsed="false" hidden="false" max="11" min="11" style="94" width="7.17004048582996"/>
    <col collapsed="false" hidden="false" max="14" min="12" style="73" width="7.17004048582996"/>
    <col collapsed="false" hidden="false" max="15" min="15" style="73" width="6.76113360323887"/>
    <col collapsed="false" hidden="false" max="19" min="16" style="95" width="6.76113360323887"/>
    <col collapsed="false" hidden="false" max="23" min="20" style="96" width="6.76113360323887"/>
    <col collapsed="false" hidden="false" max="28" min="24" style="93" width="6.76113360323887"/>
    <col collapsed="false" hidden="false" max="29" min="29" style="68" width="6.76113360323887"/>
    <col collapsed="false" hidden="false" max="1025" min="30" style="0" width="8.12145748987854"/>
  </cols>
  <sheetData>
    <row r="1" customFormat="false" ht="15" hidden="false" customHeight="false" outlineLevel="0" collapsed="false">
      <c r="A1" s="0"/>
      <c r="B1" s="0"/>
      <c r="E1" s="0"/>
      <c r="F1" s="0"/>
      <c r="G1" s="0"/>
      <c r="H1" s="0"/>
      <c r="I1" s="0"/>
      <c r="J1" s="0"/>
      <c r="K1" s="0"/>
      <c r="L1" s="97" t="n">
        <f aca="false">Yield_Originals!L2*0.75</f>
        <v>1.2</v>
      </c>
      <c r="M1" s="97" t="n">
        <f aca="false">Yield_Originals!M2*0.75</f>
        <v>1.2375</v>
      </c>
      <c r="N1" s="97" t="n">
        <f aca="false">Yield_Originals!N2*0.75</f>
        <v>1.275</v>
      </c>
      <c r="O1" s="97" t="n">
        <f aca="false">Yield_Originals!O2*0.75</f>
        <v>1.3125</v>
      </c>
      <c r="P1" s="98" t="n">
        <f aca="false">Yield_Originals!P2*0.75</f>
        <v>1.35</v>
      </c>
      <c r="Q1" s="98" t="n">
        <f aca="false">Yield_Originals!Q2*0.75</f>
        <v>1.3875</v>
      </c>
      <c r="R1" s="98" t="n">
        <f aca="false">Yield_Originals!R2*0.75</f>
        <v>1.425</v>
      </c>
      <c r="S1" s="98" t="n">
        <f aca="false">Yield_Originals!S2*0.75</f>
        <v>1.4625</v>
      </c>
      <c r="T1" s="99" t="n">
        <f aca="false">Yield_Originals!T2*0.75</f>
        <v>1.5</v>
      </c>
      <c r="U1" s="99" t="n">
        <f aca="false">Yield_Originals!U2*0.75</f>
        <v>1.5375</v>
      </c>
      <c r="V1" s="99" t="n">
        <f aca="false">Yield_Originals!V2*0.75</f>
        <v>1.575</v>
      </c>
      <c r="W1" s="99" t="n">
        <f aca="false">Yield_Originals!W2*0.75</f>
        <v>1.6125</v>
      </c>
      <c r="X1" s="100" t="n">
        <f aca="false">Yield_Originals!X2*0.75</f>
        <v>1.65</v>
      </c>
      <c r="Y1" s="100" t="n">
        <f aca="false">Yield_Originals!Y2*0.75</f>
        <v>1.6875</v>
      </c>
      <c r="Z1" s="100" t="n">
        <f aca="false">Yield_Originals!Z2*0.75</f>
        <v>1.725</v>
      </c>
      <c r="AA1" s="100" t="n">
        <f aca="false">Yield_Originals!AA2*0.75</f>
        <v>1.7625</v>
      </c>
      <c r="AB1" s="100" t="n">
        <f aca="false">Yield_Originals!AB2*0.75</f>
        <v>1.8</v>
      </c>
      <c r="AC1" s="0"/>
    </row>
    <row r="2" customFormat="false" ht="15" hidden="false" customHeight="false" outlineLevel="0" collapsed="false">
      <c r="A2" s="101" t="s">
        <v>1190</v>
      </c>
      <c r="B2" s="101" t="s">
        <v>589</v>
      </c>
      <c r="C2" s="80" t="s">
        <v>1221</v>
      </c>
      <c r="D2" s="80" t="s">
        <v>1222</v>
      </c>
      <c r="E2" s="101" t="s">
        <v>1223</v>
      </c>
      <c r="F2" s="100" t="s">
        <v>1224</v>
      </c>
      <c r="G2" s="100" t="s">
        <v>1225</v>
      </c>
      <c r="H2" s="100" t="s">
        <v>1226</v>
      </c>
      <c r="I2" s="100" t="s">
        <v>1227</v>
      </c>
      <c r="J2" s="100" t="s">
        <v>1228</v>
      </c>
      <c r="K2" s="102" t="s">
        <v>1229</v>
      </c>
      <c r="L2" s="97" t="n">
        <v>1.6</v>
      </c>
      <c r="M2" s="97" t="n">
        <f aca="false">Yield_Originals!L2+0.05</f>
        <v>1.65</v>
      </c>
      <c r="N2" s="97" t="n">
        <f aca="false">Yield_Originals!M2+0.05</f>
        <v>1.7</v>
      </c>
      <c r="O2" s="97" t="n">
        <f aca="false">Yield_Originals!N2+0.05</f>
        <v>1.75</v>
      </c>
      <c r="P2" s="98" t="n">
        <f aca="false">Yield_Originals!O2+0.05</f>
        <v>1.8</v>
      </c>
      <c r="Q2" s="98" t="n">
        <f aca="false">Yield_Originals!P2+0.05</f>
        <v>1.85</v>
      </c>
      <c r="R2" s="98" t="n">
        <f aca="false">Yield_Originals!Q2+0.05</f>
        <v>1.9</v>
      </c>
      <c r="S2" s="98" t="n">
        <f aca="false">Yield_Originals!R2+0.05</f>
        <v>1.95</v>
      </c>
      <c r="T2" s="99" t="n">
        <f aca="false">Yield_Originals!S2+0.05</f>
        <v>2</v>
      </c>
      <c r="U2" s="99" t="n">
        <f aca="false">Yield_Originals!T2+0.05</f>
        <v>2.05</v>
      </c>
      <c r="V2" s="99" t="n">
        <f aca="false">Yield_Originals!U2+0.05</f>
        <v>2.1</v>
      </c>
      <c r="W2" s="99" t="n">
        <f aca="false">Yield_Originals!V2+0.05</f>
        <v>2.15</v>
      </c>
      <c r="X2" s="100" t="n">
        <f aca="false">Yield_Originals!W2+0.05</f>
        <v>2.2</v>
      </c>
      <c r="Y2" s="100" t="n">
        <f aca="false">Yield_Originals!X2+0.05</f>
        <v>2.25</v>
      </c>
      <c r="Z2" s="100" t="n">
        <f aca="false">Yield_Originals!Y2+0.05</f>
        <v>2.3</v>
      </c>
      <c r="AA2" s="100" t="n">
        <f aca="false">Yield_Originals!Z2+0.05</f>
        <v>2.35</v>
      </c>
      <c r="AB2" s="100" t="n">
        <f aca="false">Yield_Originals!AA2+0.05</f>
        <v>2.4</v>
      </c>
      <c r="AC2" s="101"/>
      <c r="AD2" s="53"/>
    </row>
    <row r="3" customFormat="false" ht="15" hidden="false" customHeight="false" outlineLevel="0" collapsed="false">
      <c r="A3" s="68" t="s">
        <v>609</v>
      </c>
      <c r="B3" s="68" t="n">
        <v>2</v>
      </c>
      <c r="C3" s="103" t="s">
        <v>598</v>
      </c>
      <c r="D3" s="103" t="s">
        <v>608</v>
      </c>
      <c r="E3" s="104" t="n">
        <v>11</v>
      </c>
      <c r="F3" s="105" t="n">
        <v>0.25629900044452</v>
      </c>
      <c r="G3" s="105" t="n">
        <v>0.25629900044452</v>
      </c>
      <c r="H3" s="106" t="n">
        <f aca="false">+(Yield_Originals!I3+Yield_Originals!G3)/2</f>
        <v>0.271265956108044</v>
      </c>
      <c r="I3" s="105" t="n">
        <v>0.286232911771569</v>
      </c>
      <c r="J3" s="105" t="n">
        <v>0.286232911771569</v>
      </c>
      <c r="K3" s="107" t="n">
        <v>1</v>
      </c>
      <c r="L3" s="108" t="n">
        <f aca="false">(Yield_Originals!$G3*Yield_Originals!L$1)/Yield_Originals!$K3</f>
        <v>0.307558800533424</v>
      </c>
      <c r="M3" s="108" t="n">
        <f aca="false">(Yield_Originals!$G3*Yield_Originals!M$1)/Yield_Originals!$K3</f>
        <v>0.317170013050093</v>
      </c>
      <c r="N3" s="108" t="n">
        <f aca="false">(Yield_Originals!$G3*Yield_Originals!N$1)/Yield_Originals!$K3</f>
        <v>0.326781225566763</v>
      </c>
      <c r="O3" s="108"/>
      <c r="P3" s="109"/>
      <c r="Q3" s="109"/>
      <c r="R3" s="109"/>
      <c r="S3" s="109"/>
      <c r="T3" s="0"/>
      <c r="U3" s="0"/>
      <c r="V3" s="0"/>
      <c r="W3" s="0"/>
      <c r="X3" s="0"/>
      <c r="Y3" s="0"/>
      <c r="Z3" s="0"/>
      <c r="AA3" s="0"/>
      <c r="AB3" s="0"/>
      <c r="AC3" s="110"/>
    </row>
    <row r="4" customFormat="false" ht="15" hidden="false" customHeight="false" outlineLevel="0" collapsed="false">
      <c r="A4" s="68" t="s">
        <v>609</v>
      </c>
      <c r="B4" s="68" t="n">
        <v>2</v>
      </c>
      <c r="C4" s="103" t="s">
        <v>598</v>
      </c>
      <c r="D4" s="103" t="s">
        <v>608</v>
      </c>
      <c r="E4" s="104" t="n">
        <v>18</v>
      </c>
      <c r="F4" s="105" t="n">
        <v>0.25629900044452</v>
      </c>
      <c r="G4" s="105" t="n">
        <v>0.25629900044452</v>
      </c>
      <c r="H4" s="106" t="n">
        <f aca="false">+(Yield_Originals!I4+Yield_Originals!G4)/2</f>
        <v>0.271265956108044</v>
      </c>
      <c r="I4" s="105" t="n">
        <v>0.286232911771569</v>
      </c>
      <c r="J4" s="105" t="n">
        <v>0.286232911771569</v>
      </c>
      <c r="K4" s="107" t="n">
        <v>1</v>
      </c>
      <c r="L4" s="108" t="n">
        <f aca="false">(Yield_Originals!$G4*Yield_Originals!L$1)/Yield_Originals!$K4</f>
        <v>0.307558800533424</v>
      </c>
      <c r="M4" s="108" t="n">
        <f aca="false">(Yield_Originals!$G4*Yield_Originals!M$1)/Yield_Originals!$K4</f>
        <v>0.317170013050093</v>
      </c>
      <c r="N4" s="108" t="n">
        <f aca="false">(Yield_Originals!$G4*Yield_Originals!N$1)/Yield_Originals!$K4</f>
        <v>0.326781225566763</v>
      </c>
      <c r="O4" s="108"/>
      <c r="P4" s="109"/>
      <c r="Q4" s="109"/>
      <c r="R4" s="109"/>
      <c r="S4" s="109"/>
      <c r="T4" s="0"/>
      <c r="U4" s="0"/>
      <c r="V4" s="0"/>
      <c r="W4" s="0"/>
      <c r="X4" s="0"/>
      <c r="Y4" s="0"/>
      <c r="Z4" s="0"/>
      <c r="AA4" s="0"/>
      <c r="AB4" s="0"/>
      <c r="AC4" s="110"/>
    </row>
    <row r="5" customFormat="false" ht="15" hidden="false" customHeight="false" outlineLevel="0" collapsed="false">
      <c r="A5" s="68" t="s">
        <v>600</v>
      </c>
      <c r="B5" s="68" t="n">
        <v>2</v>
      </c>
      <c r="C5" s="103" t="s">
        <v>120</v>
      </c>
      <c r="D5" s="103" t="s">
        <v>1230</v>
      </c>
      <c r="E5" s="104" t="n">
        <v>9</v>
      </c>
      <c r="F5" s="106" t="n">
        <v>0.26400256871098</v>
      </c>
      <c r="G5" s="106" t="n">
        <v>0.26400256871098</v>
      </c>
      <c r="H5" s="106" t="n">
        <f aca="false">+(Yield_Originals!I5+Yield_Originals!G5)/2</f>
        <v>0.274814614266812</v>
      </c>
      <c r="I5" s="106" t="n">
        <v>0.285626659822644</v>
      </c>
      <c r="J5" s="106" t="n">
        <v>0.26674367384993</v>
      </c>
      <c r="K5" s="107" t="n">
        <v>1</v>
      </c>
      <c r="L5" s="108" t="n">
        <f aca="false">(Yield_Originals!$G5*Yield_Originals!L$1)/Yield_Originals!$K5</f>
        <v>0.316803082453176</v>
      </c>
      <c r="M5" s="108" t="n">
        <f aca="false">(Yield_Originals!$G5*Yield_Originals!M$1)/Yield_Originals!$K5</f>
        <v>0.326703178779838</v>
      </c>
      <c r="N5" s="108" t="n">
        <f aca="false">(Yield_Originals!$G5*Yield_Originals!N$1)/Yield_Originals!$K5</f>
        <v>0.336603275106499</v>
      </c>
      <c r="O5" s="108" t="n">
        <f aca="false">(Yield_Originals!$G5*Yield_Originals!O$1)/Yield_Originals!$K5</f>
        <v>0.346503371433161</v>
      </c>
      <c r="P5" s="109" t="n">
        <f aca="false">(Yield_Originals!$H5*Yield_Originals!P$1)/Yield_Originals!$K5</f>
        <v>0.370999729260196</v>
      </c>
      <c r="Q5" s="109" t="n">
        <f aca="false">(Yield_Originals!$H5*Yield_Originals!Q$1)/Yield_Originals!$K5</f>
        <v>0.381305277295202</v>
      </c>
      <c r="R5" s="109" t="n">
        <f aca="false">(Yield_Originals!$H5*Yield_Originals!R$1)/Yield_Originals!$K5</f>
        <v>0.391610825330207</v>
      </c>
      <c r="S5" s="109" t="n">
        <f aca="false">(Yield_Originals!$H5*Yield_Originals!S$1)/Yield_Originals!$K5</f>
        <v>0.401916373365213</v>
      </c>
      <c r="T5" s="111" t="n">
        <f aca="false">(Yield_Originals!$I5*Yield_Originals!T$1)/Yield_Originals!$K5</f>
        <v>0.428439989733966</v>
      </c>
      <c r="U5" s="111" t="n">
        <f aca="false">(Yield_Originals!$I5*Yield_Originals!U$1)/Yield_Originals!$K5</f>
        <v>0.439150989477315</v>
      </c>
      <c r="V5" s="111" t="n">
        <f aca="false">(Yield_Originals!$I5*Yield_Originals!V$1)/Yield_Originals!$K5</f>
        <v>0.449861989220664</v>
      </c>
      <c r="W5" s="111" t="n">
        <f aca="false">(Yield_Originals!$I5*Yield_Originals!W$1)/Yield_Originals!$K5</f>
        <v>0.460572988964013</v>
      </c>
      <c r="X5" s="112" t="n">
        <f aca="false">(Yield_Originals!$J5*Yield_Originals!X$1)/Yield_Originals!$K5</f>
        <v>0.440127061852384</v>
      </c>
      <c r="Y5" s="112" t="n">
        <f aca="false">(Yield_Originals!$J5*Yield_Originals!Y$1)/Yield_Originals!$K5</f>
        <v>0.450129949621757</v>
      </c>
      <c r="Z5" s="112" t="n">
        <f aca="false">(Yield_Originals!$J5*Yield_Originals!Z$1)/Yield_Originals!$K5</f>
        <v>0.460132837391129</v>
      </c>
      <c r="AA5" s="112" t="n">
        <f aca="false">(Yield_Originals!$J5*Yield_Originals!AA$1)/Yield_Originals!$K5</f>
        <v>0.470135725160501</v>
      </c>
      <c r="AB5" s="112" t="n">
        <f aca="false">(Yield_Originals!$J5*Yield_Originals!AB$1)/Yield_Originals!$K5</f>
        <v>0.480138612929874</v>
      </c>
      <c r="AC5" s="86"/>
    </row>
    <row r="6" customFormat="false" ht="15" hidden="false" customHeight="false" outlineLevel="0" collapsed="false">
      <c r="A6" s="68" t="s">
        <v>600</v>
      </c>
      <c r="B6" s="68" t="n">
        <v>2</v>
      </c>
      <c r="C6" s="103" t="s">
        <v>120</v>
      </c>
      <c r="D6" s="103" t="s">
        <v>1230</v>
      </c>
      <c r="E6" s="104" t="n">
        <v>16</v>
      </c>
      <c r="F6" s="106" t="n">
        <v>0.26400256871098</v>
      </c>
      <c r="G6" s="106" t="n">
        <v>0.26400256871098</v>
      </c>
      <c r="H6" s="106" t="n">
        <f aca="false">+(Yield_Originals!I6+Yield_Originals!G6)/2</f>
        <v>0.274814614266812</v>
      </c>
      <c r="I6" s="106" t="n">
        <v>0.285626659822644</v>
      </c>
      <c r="J6" s="106" t="n">
        <v>0.26674367384993</v>
      </c>
      <c r="K6" s="107" t="n">
        <v>1</v>
      </c>
      <c r="L6" s="108" t="n">
        <f aca="false">(Yield_Originals!$G6*Yield_Originals!L$1)/Yield_Originals!$K6</f>
        <v>0.316803082453176</v>
      </c>
      <c r="M6" s="108" t="n">
        <f aca="false">(Yield_Originals!$G6*Yield_Originals!M$1)/Yield_Originals!$K6</f>
        <v>0.326703178779838</v>
      </c>
      <c r="N6" s="108" t="n">
        <f aca="false">(Yield_Originals!$G6*Yield_Originals!N$1)/Yield_Originals!$K6</f>
        <v>0.336603275106499</v>
      </c>
      <c r="O6" s="108" t="n">
        <f aca="false">(Yield_Originals!$G6*Yield_Originals!O$1)/Yield_Originals!$K6</f>
        <v>0.346503371433161</v>
      </c>
      <c r="P6" s="109" t="n">
        <f aca="false">(Yield_Originals!$H6*Yield_Originals!P$1)/Yield_Originals!$K6</f>
        <v>0.370999729260196</v>
      </c>
      <c r="Q6" s="109" t="n">
        <f aca="false">(Yield_Originals!$H6*Yield_Originals!Q$1)/Yield_Originals!$K6</f>
        <v>0.381305277295202</v>
      </c>
      <c r="R6" s="109" t="n">
        <f aca="false">(Yield_Originals!$H6*Yield_Originals!R$1)/Yield_Originals!$K6</f>
        <v>0.391610825330207</v>
      </c>
      <c r="S6" s="109" t="n">
        <f aca="false">(Yield_Originals!$H6*Yield_Originals!S$1)/Yield_Originals!$K6</f>
        <v>0.401916373365213</v>
      </c>
      <c r="T6" s="111" t="n">
        <f aca="false">(Yield_Originals!$I6*Yield_Originals!T$1)/Yield_Originals!$K6</f>
        <v>0.428439989733966</v>
      </c>
      <c r="U6" s="111" t="n">
        <f aca="false">(Yield_Originals!$I6*Yield_Originals!U$1)/Yield_Originals!$K6</f>
        <v>0.439150989477315</v>
      </c>
      <c r="V6" s="111" t="n">
        <f aca="false">(Yield_Originals!$I6*Yield_Originals!V$1)/Yield_Originals!$K6</f>
        <v>0.449861989220664</v>
      </c>
      <c r="W6" s="111" t="n">
        <f aca="false">(Yield_Originals!$I6*Yield_Originals!W$1)/Yield_Originals!$K6</f>
        <v>0.460572988964013</v>
      </c>
      <c r="X6" s="112" t="n">
        <f aca="false">(Yield_Originals!$J6*Yield_Originals!X$1)/Yield_Originals!$K6</f>
        <v>0.440127061852384</v>
      </c>
      <c r="Y6" s="112" t="n">
        <f aca="false">(Yield_Originals!$J6*Yield_Originals!Y$1)/Yield_Originals!$K6</f>
        <v>0.450129949621757</v>
      </c>
      <c r="Z6" s="112" t="n">
        <f aca="false">(Yield_Originals!$J6*Yield_Originals!Z$1)/Yield_Originals!$K6</f>
        <v>0.460132837391129</v>
      </c>
      <c r="AA6" s="112" t="n">
        <f aca="false">(Yield_Originals!$J6*Yield_Originals!AA$1)/Yield_Originals!$K6</f>
        <v>0.470135725160501</v>
      </c>
      <c r="AB6" s="112" t="n">
        <f aca="false">(Yield_Originals!$J6*Yield_Originals!AB$1)/Yield_Originals!$K6</f>
        <v>0.480138612929874</v>
      </c>
      <c r="AC6" s="0"/>
    </row>
    <row r="7" customFormat="false" ht="15" hidden="false" customHeight="false" outlineLevel="0" collapsed="false">
      <c r="A7" s="68" t="s">
        <v>614</v>
      </c>
      <c r="B7" s="68" t="n">
        <v>2</v>
      </c>
      <c r="C7" s="38" t="s">
        <v>120</v>
      </c>
      <c r="D7" s="38" t="s">
        <v>1230</v>
      </c>
      <c r="E7" s="104" t="n">
        <v>10</v>
      </c>
      <c r="F7" s="106" t="n">
        <v>0.22742850037207</v>
      </c>
      <c r="G7" s="106" t="n">
        <v>0.22742850037207</v>
      </c>
      <c r="H7" s="106" t="n">
        <v>0.24190829770174</v>
      </c>
      <c r="I7" s="106" t="n">
        <v>0.256388095031411</v>
      </c>
      <c r="J7" s="106" t="n">
        <v>0.230208122470512</v>
      </c>
      <c r="K7" s="107" t="n">
        <v>1</v>
      </c>
      <c r="L7" s="108" t="n">
        <f aca="false">(Yield_Originals!$G7*Yield_Originals!L$1)/Yield_Originals!$K7</f>
        <v>0.272914200446484</v>
      </c>
      <c r="M7" s="108" t="n">
        <f aca="false">(Yield_Originals!$G7*Yield_Originals!M$1)/Yield_Originals!$K7</f>
        <v>0.281442769210437</v>
      </c>
      <c r="N7" s="108" t="n">
        <f aca="false">(Yield_Originals!$G7*Yield_Originals!N$1)/Yield_Originals!$K7</f>
        <v>0.289971337974389</v>
      </c>
      <c r="O7" s="108" t="n">
        <f aca="false">(Yield_Originals!$G7*Yield_Originals!O$1)/Yield_Originals!$K7</f>
        <v>0.298499906738342</v>
      </c>
      <c r="P7" s="109" t="n">
        <f aca="false">(Yield_Originals!$H7*Yield_Originals!P$1)/Yield_Originals!$K7</f>
        <v>0.326576201897349</v>
      </c>
      <c r="Q7" s="109" t="n">
        <f aca="false">(Yield_Originals!$H7*Yield_Originals!Q$1)/Yield_Originals!$K7</f>
        <v>0.335647763061164</v>
      </c>
      <c r="R7" s="109" t="n">
        <f aca="false">(Yield_Originals!$H7*Yield_Originals!R$1)/Yield_Originals!$K7</f>
        <v>0.34471932422498</v>
      </c>
      <c r="S7" s="109" t="n">
        <f aca="false">(Yield_Originals!$H7*Yield_Originals!S$1)/Yield_Originals!$K7</f>
        <v>0.353790885388795</v>
      </c>
      <c r="T7" s="111" t="n">
        <f aca="false">(Yield_Originals!$I7*Yield_Originals!T$1)/Yield_Originals!$K7</f>
        <v>0.384582142547117</v>
      </c>
      <c r="U7" s="111" t="n">
        <f aca="false">(Yield_Originals!$I7*Yield_Originals!U$1)/Yield_Originals!$K7</f>
        <v>0.394196696110794</v>
      </c>
      <c r="V7" s="111" t="n">
        <f aca="false">(Yield_Originals!$I7*Yield_Originals!V$1)/Yield_Originals!$K7</f>
        <v>0.403811249674472</v>
      </c>
      <c r="W7" s="111" t="n">
        <f aca="false">(Yield_Originals!$I7*Yield_Originals!W$1)/Yield_Originals!$K7</f>
        <v>0.41342580323815</v>
      </c>
      <c r="X7" s="112" t="n">
        <f aca="false">(Yield_Originals!$J7*Yield_Originals!X$1)/Yield_Originals!$K7</f>
        <v>0.379843402076345</v>
      </c>
      <c r="Y7" s="112" t="n">
        <f aca="false">(Yield_Originals!$J7*Yield_Originals!Y$1)/Yield_Originals!$K7</f>
        <v>0.388476206668989</v>
      </c>
      <c r="Z7" s="112" t="n">
        <f aca="false">(Yield_Originals!$J7*Yield_Originals!Z$1)/Yield_Originals!$K7</f>
        <v>0.397109011261633</v>
      </c>
      <c r="AA7" s="112" t="n">
        <f aca="false">(Yield_Originals!$J7*Yield_Originals!AA$1)/Yield_Originals!$K7</f>
        <v>0.405741815854277</v>
      </c>
      <c r="AB7" s="112" t="n">
        <f aca="false">(Yield_Originals!$J7*Yield_Originals!AB$1)/Yield_Originals!$K7</f>
        <v>0.414374620446921</v>
      </c>
      <c r="AC7" s="0"/>
    </row>
    <row r="8" customFormat="false" ht="15" hidden="false" customHeight="false" outlineLevel="0" collapsed="false">
      <c r="A8" s="68" t="s">
        <v>614</v>
      </c>
      <c r="B8" s="68" t="n">
        <v>2</v>
      </c>
      <c r="C8" s="38" t="s">
        <v>120</v>
      </c>
      <c r="D8" s="38" t="s">
        <v>1230</v>
      </c>
      <c r="E8" s="104" t="n">
        <v>17</v>
      </c>
      <c r="F8" s="106" t="n">
        <v>0.22742850037207</v>
      </c>
      <c r="G8" s="106" t="n">
        <v>0.22742850037207</v>
      </c>
      <c r="H8" s="106" t="n">
        <v>0.24190829770174</v>
      </c>
      <c r="I8" s="106" t="n">
        <v>0.256388095031411</v>
      </c>
      <c r="J8" s="106" t="n">
        <v>0.230208122470512</v>
      </c>
      <c r="K8" s="107" t="n">
        <v>1</v>
      </c>
      <c r="L8" s="108" t="n">
        <f aca="false">(Yield_Originals!$G8*Yield_Originals!L$1)/Yield_Originals!$K8</f>
        <v>0.272914200446484</v>
      </c>
      <c r="M8" s="108" t="n">
        <f aca="false">(Yield_Originals!$G8*Yield_Originals!M$1)/Yield_Originals!$K8</f>
        <v>0.281442769210437</v>
      </c>
      <c r="N8" s="108" t="n">
        <f aca="false">(Yield_Originals!$G8*Yield_Originals!N$1)/Yield_Originals!$K8</f>
        <v>0.289971337974389</v>
      </c>
      <c r="O8" s="108" t="n">
        <f aca="false">(Yield_Originals!$G8*Yield_Originals!O$1)/Yield_Originals!$K8</f>
        <v>0.298499906738342</v>
      </c>
      <c r="P8" s="109" t="n">
        <f aca="false">(Yield_Originals!$H8*Yield_Originals!P$1)/Yield_Originals!$K8</f>
        <v>0.326576201897349</v>
      </c>
      <c r="Q8" s="109" t="n">
        <f aca="false">(Yield_Originals!$H8*Yield_Originals!Q$1)/Yield_Originals!$K8</f>
        <v>0.335647763061164</v>
      </c>
      <c r="R8" s="109" t="n">
        <f aca="false">(Yield_Originals!$H8*Yield_Originals!R$1)/Yield_Originals!$K8</f>
        <v>0.34471932422498</v>
      </c>
      <c r="S8" s="109" t="n">
        <f aca="false">(Yield_Originals!$H8*Yield_Originals!S$1)/Yield_Originals!$K8</f>
        <v>0.353790885388795</v>
      </c>
      <c r="T8" s="111" t="n">
        <f aca="false">(Yield_Originals!$I8*Yield_Originals!T$1)/Yield_Originals!$K8</f>
        <v>0.384582142547117</v>
      </c>
      <c r="U8" s="111" t="n">
        <f aca="false">(Yield_Originals!$I8*Yield_Originals!U$1)/Yield_Originals!$K8</f>
        <v>0.394196696110794</v>
      </c>
      <c r="V8" s="111" t="n">
        <f aca="false">(Yield_Originals!$I8*Yield_Originals!V$1)/Yield_Originals!$K8</f>
        <v>0.403811249674472</v>
      </c>
      <c r="W8" s="111" t="n">
        <f aca="false">(Yield_Originals!$I8*Yield_Originals!W$1)/Yield_Originals!$K8</f>
        <v>0.41342580323815</v>
      </c>
      <c r="X8" s="112" t="n">
        <f aca="false">(Yield_Originals!$J8*Yield_Originals!X$1)/Yield_Originals!$K8</f>
        <v>0.379843402076345</v>
      </c>
      <c r="Y8" s="112" t="n">
        <f aca="false">(Yield_Originals!$J8*Yield_Originals!Y$1)/Yield_Originals!$K8</f>
        <v>0.388476206668989</v>
      </c>
      <c r="Z8" s="112" t="n">
        <f aca="false">(Yield_Originals!$J8*Yield_Originals!Z$1)/Yield_Originals!$K8</f>
        <v>0.397109011261633</v>
      </c>
      <c r="AA8" s="112" t="n">
        <f aca="false">(Yield_Originals!$J8*Yield_Originals!AA$1)/Yield_Originals!$K8</f>
        <v>0.405741815854277</v>
      </c>
      <c r="AB8" s="112" t="n">
        <f aca="false">(Yield_Originals!$J8*Yield_Originals!AB$1)/Yield_Originals!$K8</f>
        <v>0.414374620446921</v>
      </c>
      <c r="AC8" s="0"/>
    </row>
    <row r="9" customFormat="false" ht="15" hidden="false" customHeight="false" outlineLevel="0" collapsed="false">
      <c r="A9" s="68" t="s">
        <v>600</v>
      </c>
      <c r="B9" s="68" t="n">
        <v>2</v>
      </c>
      <c r="C9" s="103" t="s">
        <v>217</v>
      </c>
      <c r="D9" s="103" t="s">
        <v>1230</v>
      </c>
      <c r="E9" s="104" t="n">
        <v>9</v>
      </c>
      <c r="F9" s="106" t="n">
        <v>0.26400256871098</v>
      </c>
      <c r="G9" s="106" t="n">
        <v>0.26400256871098</v>
      </c>
      <c r="H9" s="106" t="n">
        <f aca="false">+(Yield_Originals!I9+Yield_Originals!G9)/2</f>
        <v>0.274814614266812</v>
      </c>
      <c r="I9" s="106" t="n">
        <v>0.285626659822644</v>
      </c>
      <c r="J9" s="106" t="n">
        <v>0.26674367384993</v>
      </c>
      <c r="K9" s="107" t="n">
        <v>1</v>
      </c>
      <c r="L9" s="108" t="n">
        <f aca="false">(Yield_Originals!$G9*Yield_Originals!L$1)/Yield_Originals!$K9</f>
        <v>0.316803082453176</v>
      </c>
      <c r="M9" s="108" t="n">
        <f aca="false">(Yield_Originals!$G9*Yield_Originals!M$1)/Yield_Originals!$K9</f>
        <v>0.326703178779838</v>
      </c>
      <c r="N9" s="108" t="n">
        <f aca="false">(Yield_Originals!$G9*Yield_Originals!N$1)/Yield_Originals!$K9</f>
        <v>0.336603275106499</v>
      </c>
      <c r="O9" s="108" t="n">
        <f aca="false">(Yield_Originals!$G9*Yield_Originals!O$1)/Yield_Originals!$K9</f>
        <v>0.346503371433161</v>
      </c>
      <c r="P9" s="109" t="n">
        <f aca="false">(Yield_Originals!$H9*Yield_Originals!P$1)/Yield_Originals!$K9</f>
        <v>0.370999729260196</v>
      </c>
      <c r="Q9" s="109" t="n">
        <f aca="false">(Yield_Originals!$H9*Yield_Originals!Q$1)/Yield_Originals!$K9</f>
        <v>0.381305277295202</v>
      </c>
      <c r="R9" s="109" t="n">
        <f aca="false">(Yield_Originals!$H9*Yield_Originals!R$1)/Yield_Originals!$K9</f>
        <v>0.391610825330207</v>
      </c>
      <c r="S9" s="109" t="n">
        <f aca="false">(Yield_Originals!$H9*Yield_Originals!S$1)/Yield_Originals!$K9</f>
        <v>0.401916373365213</v>
      </c>
      <c r="T9" s="111" t="n">
        <f aca="false">(Yield_Originals!$I9*Yield_Originals!T$1)/Yield_Originals!$K9</f>
        <v>0.428439989733966</v>
      </c>
      <c r="U9" s="111" t="n">
        <f aca="false">(Yield_Originals!$I9*Yield_Originals!U$1)/Yield_Originals!$K9</f>
        <v>0.439150989477315</v>
      </c>
      <c r="V9" s="111" t="n">
        <f aca="false">(Yield_Originals!$I9*Yield_Originals!V$1)/Yield_Originals!$K9</f>
        <v>0.449861989220664</v>
      </c>
      <c r="W9" s="111" t="n">
        <f aca="false">(Yield_Originals!$I9*Yield_Originals!W$1)/Yield_Originals!$K9</f>
        <v>0.460572988964013</v>
      </c>
      <c r="X9" s="112" t="n">
        <f aca="false">(Yield_Originals!$J9*Yield_Originals!X$1)/Yield_Originals!$K9</f>
        <v>0.440127061852384</v>
      </c>
      <c r="Y9" s="112" t="n">
        <f aca="false">(Yield_Originals!$J9*Yield_Originals!Y$1)/Yield_Originals!$K9</f>
        <v>0.450129949621757</v>
      </c>
      <c r="Z9" s="112" t="n">
        <f aca="false">(Yield_Originals!$J9*Yield_Originals!Z$1)/Yield_Originals!$K9</f>
        <v>0.460132837391129</v>
      </c>
      <c r="AA9" s="112" t="n">
        <f aca="false">(Yield_Originals!$J9*Yield_Originals!AA$1)/Yield_Originals!$K9</f>
        <v>0.470135725160501</v>
      </c>
      <c r="AB9" s="112" t="n">
        <f aca="false">(Yield_Originals!$J9*Yield_Originals!AB$1)/Yield_Originals!$K9</f>
        <v>0.480138612929874</v>
      </c>
      <c r="AC9" s="0"/>
    </row>
    <row r="10" customFormat="false" ht="15" hidden="false" customHeight="false" outlineLevel="0" collapsed="false">
      <c r="A10" s="68" t="s">
        <v>600</v>
      </c>
      <c r="B10" s="68" t="n">
        <v>2</v>
      </c>
      <c r="C10" s="103" t="s">
        <v>217</v>
      </c>
      <c r="D10" s="103" t="s">
        <v>1230</v>
      </c>
      <c r="E10" s="104" t="n">
        <v>16</v>
      </c>
      <c r="F10" s="106" t="n">
        <v>0.26400256871098</v>
      </c>
      <c r="G10" s="106" t="n">
        <v>0.26400256871098</v>
      </c>
      <c r="H10" s="106" t="n">
        <f aca="false">+(Yield_Originals!I10+Yield_Originals!G10)/2</f>
        <v>0.274814614266812</v>
      </c>
      <c r="I10" s="106" t="n">
        <v>0.285626659822644</v>
      </c>
      <c r="J10" s="106" t="n">
        <v>0.26674367384993</v>
      </c>
      <c r="K10" s="107" t="n">
        <v>1</v>
      </c>
      <c r="L10" s="108" t="n">
        <f aca="false">(Yield_Originals!$G10*Yield_Originals!L$1)/Yield_Originals!$K10</f>
        <v>0.316803082453176</v>
      </c>
      <c r="M10" s="108" t="n">
        <f aca="false">(Yield_Originals!$G10*Yield_Originals!M$1)/Yield_Originals!$K10</f>
        <v>0.326703178779838</v>
      </c>
      <c r="N10" s="108" t="n">
        <f aca="false">(Yield_Originals!$G10*Yield_Originals!N$1)/Yield_Originals!$K10</f>
        <v>0.336603275106499</v>
      </c>
      <c r="O10" s="108" t="n">
        <f aca="false">(Yield_Originals!$G10*Yield_Originals!O$1)/Yield_Originals!$K10</f>
        <v>0.346503371433161</v>
      </c>
      <c r="P10" s="109" t="n">
        <f aca="false">(Yield_Originals!$H10*Yield_Originals!P$1)/Yield_Originals!$K10</f>
        <v>0.370999729260196</v>
      </c>
      <c r="Q10" s="109" t="n">
        <f aca="false">(Yield_Originals!$H10*Yield_Originals!Q$1)/Yield_Originals!$K10</f>
        <v>0.381305277295202</v>
      </c>
      <c r="R10" s="109" t="n">
        <f aca="false">(Yield_Originals!$H10*Yield_Originals!R$1)/Yield_Originals!$K10</f>
        <v>0.391610825330207</v>
      </c>
      <c r="S10" s="109" t="n">
        <f aca="false">(Yield_Originals!$H10*Yield_Originals!S$1)/Yield_Originals!$K10</f>
        <v>0.401916373365213</v>
      </c>
      <c r="T10" s="111" t="n">
        <f aca="false">(Yield_Originals!$I10*Yield_Originals!T$1)/Yield_Originals!$K10</f>
        <v>0.428439989733966</v>
      </c>
      <c r="U10" s="111" t="n">
        <f aca="false">(Yield_Originals!$I10*Yield_Originals!U$1)/Yield_Originals!$K10</f>
        <v>0.439150989477315</v>
      </c>
      <c r="V10" s="111" t="n">
        <f aca="false">(Yield_Originals!$I10*Yield_Originals!V$1)/Yield_Originals!$K10</f>
        <v>0.449861989220664</v>
      </c>
      <c r="W10" s="111" t="n">
        <f aca="false">(Yield_Originals!$I10*Yield_Originals!W$1)/Yield_Originals!$K10</f>
        <v>0.460572988964013</v>
      </c>
      <c r="X10" s="112" t="n">
        <f aca="false">(Yield_Originals!$J10*Yield_Originals!X$1)/Yield_Originals!$K10</f>
        <v>0.440127061852384</v>
      </c>
      <c r="Y10" s="112" t="n">
        <f aca="false">(Yield_Originals!$J10*Yield_Originals!Y$1)/Yield_Originals!$K10</f>
        <v>0.450129949621757</v>
      </c>
      <c r="Z10" s="112" t="n">
        <f aca="false">(Yield_Originals!$J10*Yield_Originals!Z$1)/Yield_Originals!$K10</f>
        <v>0.460132837391129</v>
      </c>
      <c r="AA10" s="112" t="n">
        <f aca="false">(Yield_Originals!$J10*Yield_Originals!AA$1)/Yield_Originals!$K10</f>
        <v>0.470135725160501</v>
      </c>
      <c r="AB10" s="112" t="n">
        <f aca="false">(Yield_Originals!$J10*Yield_Originals!AB$1)/Yield_Originals!$K10</f>
        <v>0.480138612929874</v>
      </c>
      <c r="AC10" s="0"/>
    </row>
    <row r="11" customFormat="false" ht="15" hidden="false" customHeight="false" outlineLevel="0" collapsed="false">
      <c r="A11" s="68" t="s">
        <v>614</v>
      </c>
      <c r="B11" s="68" t="n">
        <v>2</v>
      </c>
      <c r="C11" s="38" t="s">
        <v>217</v>
      </c>
      <c r="D11" s="38" t="s">
        <v>1230</v>
      </c>
      <c r="E11" s="104" t="n">
        <v>10</v>
      </c>
      <c r="F11" s="106" t="n">
        <v>0.22742850037207</v>
      </c>
      <c r="G11" s="106" t="n">
        <v>0.22742850037207</v>
      </c>
      <c r="H11" s="106" t="n">
        <v>0.24190829770174</v>
      </c>
      <c r="I11" s="106" t="n">
        <v>0.256388095031411</v>
      </c>
      <c r="J11" s="106" t="n">
        <v>0.230208122470512</v>
      </c>
      <c r="K11" s="107" t="n">
        <v>1</v>
      </c>
      <c r="L11" s="108" t="n">
        <f aca="false">(Yield_Originals!$G11*Yield_Originals!L$1)/Yield_Originals!$K11</f>
        <v>0.272914200446484</v>
      </c>
      <c r="M11" s="108" t="n">
        <f aca="false">(Yield_Originals!$G11*Yield_Originals!M$1)/Yield_Originals!$K11</f>
        <v>0.281442769210437</v>
      </c>
      <c r="N11" s="108" t="n">
        <f aca="false">(Yield_Originals!$G11*Yield_Originals!N$1)/Yield_Originals!$K11</f>
        <v>0.289971337974389</v>
      </c>
      <c r="O11" s="108" t="n">
        <f aca="false">(Yield_Originals!$G11*Yield_Originals!O$1)/Yield_Originals!$K11</f>
        <v>0.298499906738342</v>
      </c>
      <c r="P11" s="109" t="n">
        <f aca="false">(Yield_Originals!$H11*Yield_Originals!P$1)/Yield_Originals!$K11</f>
        <v>0.326576201897349</v>
      </c>
      <c r="Q11" s="109" t="n">
        <f aca="false">(Yield_Originals!$H11*Yield_Originals!Q$1)/Yield_Originals!$K11</f>
        <v>0.335647763061164</v>
      </c>
      <c r="R11" s="109" t="n">
        <f aca="false">(Yield_Originals!$H11*Yield_Originals!R$1)/Yield_Originals!$K11</f>
        <v>0.34471932422498</v>
      </c>
      <c r="S11" s="109" t="n">
        <f aca="false">(Yield_Originals!$H11*Yield_Originals!S$1)/Yield_Originals!$K11</f>
        <v>0.353790885388795</v>
      </c>
      <c r="T11" s="111" t="n">
        <f aca="false">(Yield_Originals!$I11*Yield_Originals!T$1)/Yield_Originals!$K11</f>
        <v>0.384582142547117</v>
      </c>
      <c r="U11" s="111" t="n">
        <f aca="false">(Yield_Originals!$I11*Yield_Originals!U$1)/Yield_Originals!$K11</f>
        <v>0.394196696110794</v>
      </c>
      <c r="V11" s="111" t="n">
        <f aca="false">(Yield_Originals!$I11*Yield_Originals!V$1)/Yield_Originals!$K11</f>
        <v>0.403811249674472</v>
      </c>
      <c r="W11" s="111" t="n">
        <f aca="false">(Yield_Originals!$I11*Yield_Originals!W$1)/Yield_Originals!$K11</f>
        <v>0.41342580323815</v>
      </c>
      <c r="X11" s="112" t="n">
        <f aca="false">(Yield_Originals!$J11*Yield_Originals!X$1)/Yield_Originals!$K11</f>
        <v>0.379843402076345</v>
      </c>
      <c r="Y11" s="112" t="n">
        <f aca="false">(Yield_Originals!$J11*Yield_Originals!Y$1)/Yield_Originals!$K11</f>
        <v>0.388476206668989</v>
      </c>
      <c r="Z11" s="112" t="n">
        <f aca="false">(Yield_Originals!$J11*Yield_Originals!Z$1)/Yield_Originals!$K11</f>
        <v>0.397109011261633</v>
      </c>
      <c r="AA11" s="112" t="n">
        <f aca="false">(Yield_Originals!$J11*Yield_Originals!AA$1)/Yield_Originals!$K11</f>
        <v>0.405741815854277</v>
      </c>
      <c r="AB11" s="112" t="n">
        <f aca="false">(Yield_Originals!$J11*Yield_Originals!AB$1)/Yield_Originals!$K11</f>
        <v>0.414374620446921</v>
      </c>
      <c r="AC11" s="0"/>
    </row>
    <row r="12" customFormat="false" ht="15" hidden="false" customHeight="false" outlineLevel="0" collapsed="false">
      <c r="A12" s="68" t="s">
        <v>614</v>
      </c>
      <c r="B12" s="68" t="n">
        <v>2</v>
      </c>
      <c r="C12" s="38" t="s">
        <v>217</v>
      </c>
      <c r="D12" s="38" t="s">
        <v>1230</v>
      </c>
      <c r="E12" s="104" t="n">
        <v>17</v>
      </c>
      <c r="F12" s="106" t="n">
        <v>0.22742850037207</v>
      </c>
      <c r="G12" s="106" t="n">
        <v>0.22742850037207</v>
      </c>
      <c r="H12" s="106" t="n">
        <v>0.24190829770174</v>
      </c>
      <c r="I12" s="106" t="n">
        <v>0.256388095031411</v>
      </c>
      <c r="J12" s="106" t="n">
        <v>0.230208122470512</v>
      </c>
      <c r="K12" s="107" t="n">
        <v>1</v>
      </c>
      <c r="L12" s="108" t="n">
        <f aca="false">(Yield_Originals!$G12*Yield_Originals!L$1)/Yield_Originals!$K12</f>
        <v>0.272914200446484</v>
      </c>
      <c r="M12" s="108" t="n">
        <f aca="false">(Yield_Originals!$G12*Yield_Originals!M$1)/Yield_Originals!$K12</f>
        <v>0.281442769210437</v>
      </c>
      <c r="N12" s="108" t="n">
        <f aca="false">(Yield_Originals!$G12*Yield_Originals!N$1)/Yield_Originals!$K12</f>
        <v>0.289971337974389</v>
      </c>
      <c r="O12" s="108" t="n">
        <f aca="false">(Yield_Originals!$G12*Yield_Originals!O$1)/Yield_Originals!$K12</f>
        <v>0.298499906738342</v>
      </c>
      <c r="P12" s="109" t="n">
        <f aca="false">(Yield_Originals!$H12*Yield_Originals!P$1)/Yield_Originals!$K12</f>
        <v>0.326576201897349</v>
      </c>
      <c r="Q12" s="109" t="n">
        <f aca="false">(Yield_Originals!$H12*Yield_Originals!Q$1)/Yield_Originals!$K12</f>
        <v>0.335647763061164</v>
      </c>
      <c r="R12" s="109" t="n">
        <f aca="false">(Yield_Originals!$H12*Yield_Originals!R$1)/Yield_Originals!$K12</f>
        <v>0.34471932422498</v>
      </c>
      <c r="S12" s="109" t="n">
        <f aca="false">(Yield_Originals!$H12*Yield_Originals!S$1)/Yield_Originals!$K12</f>
        <v>0.353790885388795</v>
      </c>
      <c r="T12" s="111" t="n">
        <f aca="false">(Yield_Originals!$I12*Yield_Originals!T$1)/Yield_Originals!$K12</f>
        <v>0.384582142547117</v>
      </c>
      <c r="U12" s="111" t="n">
        <f aca="false">(Yield_Originals!$I12*Yield_Originals!U$1)/Yield_Originals!$K12</f>
        <v>0.394196696110794</v>
      </c>
      <c r="V12" s="111" t="n">
        <f aca="false">(Yield_Originals!$I12*Yield_Originals!V$1)/Yield_Originals!$K12</f>
        <v>0.403811249674472</v>
      </c>
      <c r="W12" s="111" t="n">
        <f aca="false">(Yield_Originals!$I12*Yield_Originals!W$1)/Yield_Originals!$K12</f>
        <v>0.41342580323815</v>
      </c>
      <c r="X12" s="112" t="n">
        <f aca="false">(Yield_Originals!$J12*Yield_Originals!X$1)/Yield_Originals!$K12</f>
        <v>0.379843402076345</v>
      </c>
      <c r="Y12" s="112" t="n">
        <f aca="false">(Yield_Originals!$J12*Yield_Originals!Y$1)/Yield_Originals!$K12</f>
        <v>0.388476206668989</v>
      </c>
      <c r="Z12" s="112" t="n">
        <f aca="false">(Yield_Originals!$J12*Yield_Originals!Z$1)/Yield_Originals!$K12</f>
        <v>0.397109011261633</v>
      </c>
      <c r="AA12" s="112" t="n">
        <f aca="false">(Yield_Originals!$J12*Yield_Originals!AA$1)/Yield_Originals!$K12</f>
        <v>0.405741815854277</v>
      </c>
      <c r="AB12" s="112" t="n">
        <f aca="false">(Yield_Originals!$J12*Yield_Originals!AB$1)/Yield_Originals!$K12</f>
        <v>0.414374620446921</v>
      </c>
      <c r="AC12" s="0"/>
    </row>
    <row r="13" customFormat="false" ht="15" hidden="false" customHeight="false" outlineLevel="0" collapsed="false">
      <c r="A13" s="68" t="s">
        <v>600</v>
      </c>
      <c r="B13" s="68" t="n">
        <v>2</v>
      </c>
      <c r="C13" s="103" t="s">
        <v>607</v>
      </c>
      <c r="D13" s="103" t="s">
        <v>1231</v>
      </c>
      <c r="E13" s="104" t="n">
        <v>9</v>
      </c>
      <c r="F13" s="106" t="n">
        <v>0.26400256871098</v>
      </c>
      <c r="G13" s="106" t="n">
        <v>0.26400256871098</v>
      </c>
      <c r="H13" s="106" t="n">
        <f aca="false">+(Yield_Originals!I13+Yield_Originals!G13)/2</f>
        <v>0.274814614266812</v>
      </c>
      <c r="I13" s="106" t="n">
        <v>0.285626659822644</v>
      </c>
      <c r="J13" s="106" t="n">
        <v>0.26674367384993</v>
      </c>
      <c r="K13" s="107" t="n">
        <v>1</v>
      </c>
      <c r="L13" s="108" t="n">
        <f aca="false">(Yield_Originals!$G13*Yield_Originals!L$1)/Yield_Originals!$K13</f>
        <v>0.316803082453176</v>
      </c>
      <c r="M13" s="108" t="n">
        <f aca="false">(Yield_Originals!$G13*Yield_Originals!M$1)/Yield_Originals!$K13</f>
        <v>0.326703178779838</v>
      </c>
      <c r="N13" s="108" t="n">
        <f aca="false">(Yield_Originals!$G13*Yield_Originals!N$1)/Yield_Originals!$K13</f>
        <v>0.336603275106499</v>
      </c>
      <c r="O13" s="108" t="n">
        <f aca="false">(Yield_Originals!$G13*Yield_Originals!O$1)/Yield_Originals!$K13</f>
        <v>0.346503371433161</v>
      </c>
      <c r="P13" s="109" t="n">
        <f aca="false">(Yield_Originals!$H13*Yield_Originals!P$1)/Yield_Originals!$K13</f>
        <v>0.370999729260196</v>
      </c>
      <c r="Q13" s="109" t="n">
        <f aca="false">(Yield_Originals!$H13*Yield_Originals!Q$1)/Yield_Originals!$K13</f>
        <v>0.381305277295202</v>
      </c>
      <c r="R13" s="109" t="n">
        <f aca="false">(Yield_Originals!$H13*Yield_Originals!R$1)/Yield_Originals!$K13</f>
        <v>0.391610825330207</v>
      </c>
      <c r="S13" s="109" t="n">
        <f aca="false">(Yield_Originals!$H13*Yield_Originals!S$1)/Yield_Originals!$K13</f>
        <v>0.401916373365213</v>
      </c>
      <c r="T13" s="111" t="n">
        <f aca="false">(Yield_Originals!$I13*Yield_Originals!T$1)/Yield_Originals!$K13</f>
        <v>0.428439989733966</v>
      </c>
      <c r="U13" s="111" t="n">
        <f aca="false">(Yield_Originals!$I13*Yield_Originals!U$1)/Yield_Originals!$K13</f>
        <v>0.439150989477315</v>
      </c>
      <c r="V13" s="111" t="n">
        <f aca="false">(Yield_Originals!$I13*Yield_Originals!V$1)/Yield_Originals!$K13</f>
        <v>0.449861989220664</v>
      </c>
      <c r="W13" s="111" t="n">
        <f aca="false">(Yield_Originals!$I13*Yield_Originals!W$1)/Yield_Originals!$K13</f>
        <v>0.460572988964013</v>
      </c>
      <c r="X13" s="112" t="n">
        <f aca="false">(Yield_Originals!$J13*Yield_Originals!X$1)/Yield_Originals!$K13</f>
        <v>0.440127061852384</v>
      </c>
      <c r="Y13" s="112" t="n">
        <f aca="false">(Yield_Originals!$J13*Yield_Originals!Y$1)/Yield_Originals!$K13</f>
        <v>0.450129949621757</v>
      </c>
      <c r="Z13" s="112" t="n">
        <f aca="false">(Yield_Originals!$J13*Yield_Originals!Z$1)/Yield_Originals!$K13</f>
        <v>0.460132837391129</v>
      </c>
      <c r="AA13" s="112" t="n">
        <f aca="false">(Yield_Originals!$J13*Yield_Originals!AA$1)/Yield_Originals!$K13</f>
        <v>0.470135725160501</v>
      </c>
      <c r="AB13" s="112" t="n">
        <f aca="false">(Yield_Originals!$J13*Yield_Originals!AB$1)/Yield_Originals!$K13</f>
        <v>0.480138612929874</v>
      </c>
      <c r="AC13" s="0"/>
    </row>
    <row r="14" customFormat="false" ht="15" hidden="false" customHeight="false" outlineLevel="0" collapsed="false">
      <c r="A14" s="68" t="s">
        <v>600</v>
      </c>
      <c r="B14" s="68" t="n">
        <v>2</v>
      </c>
      <c r="C14" s="103" t="s">
        <v>607</v>
      </c>
      <c r="D14" s="103" t="s">
        <v>1231</v>
      </c>
      <c r="E14" s="104" t="n">
        <v>16</v>
      </c>
      <c r="F14" s="106" t="n">
        <v>0.26400256871098</v>
      </c>
      <c r="G14" s="106" t="n">
        <v>0.26400256871098</v>
      </c>
      <c r="H14" s="106" t="n">
        <f aca="false">+(Yield_Originals!I14+Yield_Originals!G14)/2</f>
        <v>0.274814614266812</v>
      </c>
      <c r="I14" s="106" t="n">
        <v>0.285626659822644</v>
      </c>
      <c r="J14" s="106" t="n">
        <v>0.26674367384993</v>
      </c>
      <c r="K14" s="107" t="n">
        <v>1</v>
      </c>
      <c r="L14" s="108" t="n">
        <f aca="false">(Yield_Originals!$G14*Yield_Originals!L$1)/Yield_Originals!$K14</f>
        <v>0.316803082453176</v>
      </c>
      <c r="M14" s="108" t="n">
        <f aca="false">(Yield_Originals!$G14*Yield_Originals!M$1)/Yield_Originals!$K14</f>
        <v>0.326703178779838</v>
      </c>
      <c r="N14" s="108" t="n">
        <f aca="false">(Yield_Originals!$G14*Yield_Originals!N$1)/Yield_Originals!$K14</f>
        <v>0.336603275106499</v>
      </c>
      <c r="O14" s="108" t="n">
        <f aca="false">(Yield_Originals!$G14*Yield_Originals!O$1)/Yield_Originals!$K14</f>
        <v>0.346503371433161</v>
      </c>
      <c r="P14" s="109" t="n">
        <f aca="false">(Yield_Originals!$H14*Yield_Originals!P$1)/Yield_Originals!$K14</f>
        <v>0.370999729260196</v>
      </c>
      <c r="Q14" s="109" t="n">
        <f aca="false">(Yield_Originals!$H14*Yield_Originals!Q$1)/Yield_Originals!$K14</f>
        <v>0.381305277295202</v>
      </c>
      <c r="R14" s="109" t="n">
        <f aca="false">(Yield_Originals!$H14*Yield_Originals!R$1)/Yield_Originals!$K14</f>
        <v>0.391610825330207</v>
      </c>
      <c r="S14" s="109" t="n">
        <f aca="false">(Yield_Originals!$H14*Yield_Originals!S$1)/Yield_Originals!$K14</f>
        <v>0.401916373365213</v>
      </c>
      <c r="T14" s="111" t="n">
        <f aca="false">(Yield_Originals!$I14*Yield_Originals!T$1)/Yield_Originals!$K14</f>
        <v>0.428439989733966</v>
      </c>
      <c r="U14" s="111" t="n">
        <f aca="false">(Yield_Originals!$I14*Yield_Originals!U$1)/Yield_Originals!$K14</f>
        <v>0.439150989477315</v>
      </c>
      <c r="V14" s="111" t="n">
        <f aca="false">(Yield_Originals!$I14*Yield_Originals!V$1)/Yield_Originals!$K14</f>
        <v>0.449861989220664</v>
      </c>
      <c r="W14" s="111" t="n">
        <f aca="false">(Yield_Originals!$I14*Yield_Originals!W$1)/Yield_Originals!$K14</f>
        <v>0.460572988964013</v>
      </c>
      <c r="X14" s="112" t="n">
        <f aca="false">(Yield_Originals!$J14*Yield_Originals!X$1)/Yield_Originals!$K14</f>
        <v>0.440127061852384</v>
      </c>
      <c r="Y14" s="112" t="n">
        <f aca="false">(Yield_Originals!$J14*Yield_Originals!Y$1)/Yield_Originals!$K14</f>
        <v>0.450129949621757</v>
      </c>
      <c r="Z14" s="112" t="n">
        <f aca="false">(Yield_Originals!$J14*Yield_Originals!Z$1)/Yield_Originals!$K14</f>
        <v>0.460132837391129</v>
      </c>
      <c r="AA14" s="112" t="n">
        <f aca="false">(Yield_Originals!$J14*Yield_Originals!AA$1)/Yield_Originals!$K14</f>
        <v>0.470135725160501</v>
      </c>
      <c r="AB14" s="112" t="n">
        <f aca="false">(Yield_Originals!$J14*Yield_Originals!AB$1)/Yield_Originals!$K14</f>
        <v>0.480138612929874</v>
      </c>
      <c r="AC14" s="0"/>
    </row>
    <row r="15" customFormat="false" ht="15" hidden="false" customHeight="false" outlineLevel="0" collapsed="false">
      <c r="A15" s="68" t="s">
        <v>614</v>
      </c>
      <c r="B15" s="68" t="n">
        <v>2</v>
      </c>
      <c r="C15" s="38" t="s">
        <v>607</v>
      </c>
      <c r="D15" s="38" t="s">
        <v>1231</v>
      </c>
      <c r="E15" s="104" t="n">
        <v>10</v>
      </c>
      <c r="F15" s="106" t="n">
        <v>0.22742850037207</v>
      </c>
      <c r="G15" s="106" t="n">
        <v>0.22742850037207</v>
      </c>
      <c r="H15" s="106" t="n">
        <v>0.24190829770174</v>
      </c>
      <c r="I15" s="106" t="n">
        <v>0.256388095031411</v>
      </c>
      <c r="J15" s="106" t="n">
        <v>0.230208122470512</v>
      </c>
      <c r="K15" s="107" t="n">
        <v>1</v>
      </c>
      <c r="L15" s="108" t="n">
        <f aca="false">(Yield_Originals!$G15*Yield_Originals!L$1)/Yield_Originals!$K15</f>
        <v>0.272914200446484</v>
      </c>
      <c r="M15" s="108" t="n">
        <f aca="false">(Yield_Originals!$G15*Yield_Originals!M$1)/Yield_Originals!$K15</f>
        <v>0.281442769210437</v>
      </c>
      <c r="N15" s="108" t="n">
        <f aca="false">(Yield_Originals!$G15*Yield_Originals!N$1)/Yield_Originals!$K15</f>
        <v>0.289971337974389</v>
      </c>
      <c r="O15" s="108" t="n">
        <f aca="false">(Yield_Originals!$G15*Yield_Originals!O$1)/Yield_Originals!$K15</f>
        <v>0.298499906738342</v>
      </c>
      <c r="P15" s="109" t="n">
        <f aca="false">(Yield_Originals!$H15*Yield_Originals!P$1)/Yield_Originals!$K15</f>
        <v>0.326576201897349</v>
      </c>
      <c r="Q15" s="109" t="n">
        <f aca="false">(Yield_Originals!$H15*Yield_Originals!Q$1)/Yield_Originals!$K15</f>
        <v>0.335647763061164</v>
      </c>
      <c r="R15" s="109" t="n">
        <f aca="false">(Yield_Originals!$H15*Yield_Originals!R$1)/Yield_Originals!$K15</f>
        <v>0.34471932422498</v>
      </c>
      <c r="S15" s="109" t="n">
        <f aca="false">(Yield_Originals!$H15*Yield_Originals!S$1)/Yield_Originals!$K15</f>
        <v>0.353790885388795</v>
      </c>
      <c r="T15" s="111" t="n">
        <f aca="false">(Yield_Originals!$I15*Yield_Originals!T$1)/Yield_Originals!$K15</f>
        <v>0.384582142547117</v>
      </c>
      <c r="U15" s="111" t="n">
        <f aca="false">(Yield_Originals!$I15*Yield_Originals!U$1)/Yield_Originals!$K15</f>
        <v>0.394196696110794</v>
      </c>
      <c r="V15" s="111" t="n">
        <f aca="false">(Yield_Originals!$I15*Yield_Originals!V$1)/Yield_Originals!$K15</f>
        <v>0.403811249674472</v>
      </c>
      <c r="W15" s="111" t="n">
        <f aca="false">(Yield_Originals!$I15*Yield_Originals!W$1)/Yield_Originals!$K15</f>
        <v>0.41342580323815</v>
      </c>
      <c r="X15" s="112" t="n">
        <f aca="false">(Yield_Originals!$J15*Yield_Originals!X$1)/Yield_Originals!$K15</f>
        <v>0.379843402076345</v>
      </c>
      <c r="Y15" s="112" t="n">
        <f aca="false">(Yield_Originals!$J15*Yield_Originals!Y$1)/Yield_Originals!$K15</f>
        <v>0.388476206668989</v>
      </c>
      <c r="Z15" s="112" t="n">
        <f aca="false">(Yield_Originals!$J15*Yield_Originals!Z$1)/Yield_Originals!$K15</f>
        <v>0.397109011261633</v>
      </c>
      <c r="AA15" s="112" t="n">
        <f aca="false">(Yield_Originals!$J15*Yield_Originals!AA$1)/Yield_Originals!$K15</f>
        <v>0.405741815854277</v>
      </c>
      <c r="AB15" s="112" t="n">
        <f aca="false">(Yield_Originals!$J15*Yield_Originals!AB$1)/Yield_Originals!$K15</f>
        <v>0.414374620446921</v>
      </c>
      <c r="AC15" s="0"/>
    </row>
    <row r="16" customFormat="false" ht="15" hidden="false" customHeight="false" outlineLevel="0" collapsed="false">
      <c r="A16" s="68" t="s">
        <v>614</v>
      </c>
      <c r="B16" s="68" t="n">
        <v>2</v>
      </c>
      <c r="C16" s="38" t="s">
        <v>607</v>
      </c>
      <c r="D16" s="38" t="s">
        <v>1231</v>
      </c>
      <c r="E16" s="104" t="n">
        <v>17</v>
      </c>
      <c r="F16" s="106" t="n">
        <v>0.22742850037207</v>
      </c>
      <c r="G16" s="106" t="n">
        <v>0.22742850037207</v>
      </c>
      <c r="H16" s="106" t="n">
        <v>0.24190829770174</v>
      </c>
      <c r="I16" s="106" t="n">
        <v>0.256388095031411</v>
      </c>
      <c r="J16" s="106" t="n">
        <v>0.230208122470512</v>
      </c>
      <c r="K16" s="107" t="n">
        <v>1</v>
      </c>
      <c r="L16" s="108" t="n">
        <f aca="false">(Yield_Originals!$G16*Yield_Originals!L$1)/Yield_Originals!$K16</f>
        <v>0.272914200446484</v>
      </c>
      <c r="M16" s="108" t="n">
        <f aca="false">(Yield_Originals!$G16*Yield_Originals!M$1)/Yield_Originals!$K16</f>
        <v>0.281442769210437</v>
      </c>
      <c r="N16" s="108" t="n">
        <f aca="false">(Yield_Originals!$G16*Yield_Originals!N$1)/Yield_Originals!$K16</f>
        <v>0.289971337974389</v>
      </c>
      <c r="O16" s="108" t="n">
        <f aca="false">(Yield_Originals!$G16*Yield_Originals!O$1)/Yield_Originals!$K16</f>
        <v>0.298499906738342</v>
      </c>
      <c r="P16" s="109" t="n">
        <f aca="false">(Yield_Originals!$H16*Yield_Originals!P$1)/Yield_Originals!$K16</f>
        <v>0.326576201897349</v>
      </c>
      <c r="Q16" s="109" t="n">
        <f aca="false">(Yield_Originals!$H16*Yield_Originals!Q$1)/Yield_Originals!$K16</f>
        <v>0.335647763061164</v>
      </c>
      <c r="R16" s="109" t="n">
        <f aca="false">(Yield_Originals!$H16*Yield_Originals!R$1)/Yield_Originals!$K16</f>
        <v>0.34471932422498</v>
      </c>
      <c r="S16" s="109" t="n">
        <f aca="false">(Yield_Originals!$H16*Yield_Originals!S$1)/Yield_Originals!$K16</f>
        <v>0.353790885388795</v>
      </c>
      <c r="T16" s="111" t="n">
        <f aca="false">(Yield_Originals!$I16*Yield_Originals!T$1)/Yield_Originals!$K16</f>
        <v>0.384582142547117</v>
      </c>
      <c r="U16" s="111" t="n">
        <f aca="false">(Yield_Originals!$I16*Yield_Originals!U$1)/Yield_Originals!$K16</f>
        <v>0.394196696110794</v>
      </c>
      <c r="V16" s="111" t="n">
        <f aca="false">(Yield_Originals!$I16*Yield_Originals!V$1)/Yield_Originals!$K16</f>
        <v>0.403811249674472</v>
      </c>
      <c r="W16" s="111" t="n">
        <f aca="false">(Yield_Originals!$I16*Yield_Originals!W$1)/Yield_Originals!$K16</f>
        <v>0.41342580323815</v>
      </c>
      <c r="X16" s="112" t="n">
        <f aca="false">(Yield_Originals!$J16*Yield_Originals!X$1)/Yield_Originals!$K16</f>
        <v>0.379843402076345</v>
      </c>
      <c r="Y16" s="112" t="n">
        <f aca="false">(Yield_Originals!$J16*Yield_Originals!Y$1)/Yield_Originals!$K16</f>
        <v>0.388476206668989</v>
      </c>
      <c r="Z16" s="112" t="n">
        <f aca="false">(Yield_Originals!$J16*Yield_Originals!Z$1)/Yield_Originals!$K16</f>
        <v>0.397109011261633</v>
      </c>
      <c r="AA16" s="112" t="n">
        <f aca="false">(Yield_Originals!$J16*Yield_Originals!AA$1)/Yield_Originals!$K16</f>
        <v>0.405741815854277</v>
      </c>
      <c r="AB16" s="112" t="n">
        <f aca="false">(Yield_Originals!$J16*Yield_Originals!AB$1)/Yield_Originals!$K16</f>
        <v>0.414374620446921</v>
      </c>
      <c r="AC16" s="0"/>
    </row>
    <row r="17" customFormat="false" ht="15" hidden="false" customHeight="false" outlineLevel="0" collapsed="false">
      <c r="A17" s="68" t="s">
        <v>614</v>
      </c>
      <c r="B17" s="68" t="n">
        <v>2</v>
      </c>
      <c r="C17" s="38" t="s">
        <v>612</v>
      </c>
      <c r="D17" s="38" t="s">
        <v>1232</v>
      </c>
      <c r="E17" s="104" t="n">
        <v>10</v>
      </c>
      <c r="F17" s="106" t="n">
        <v>0.22742850037207</v>
      </c>
      <c r="G17" s="106" t="n">
        <v>0.22742850037207</v>
      </c>
      <c r="H17" s="106" t="n">
        <v>0.24190829770174</v>
      </c>
      <c r="I17" s="106" t="n">
        <v>0.256388095031411</v>
      </c>
      <c r="J17" s="106" t="n">
        <v>0.230208122470512</v>
      </c>
      <c r="K17" s="107" t="n">
        <v>1</v>
      </c>
      <c r="L17" s="108" t="n">
        <f aca="false">(Yield_Originals!$G17*Yield_Originals!L$1)/Yield_Originals!$K17</f>
        <v>0.272914200446484</v>
      </c>
      <c r="M17" s="108" t="n">
        <f aca="false">(Yield_Originals!$G17*Yield_Originals!M$1)/Yield_Originals!$K17</f>
        <v>0.281442769210437</v>
      </c>
      <c r="N17" s="108" t="n">
        <f aca="false">(Yield_Originals!$G17*Yield_Originals!N$1)/Yield_Originals!$K17</f>
        <v>0.289971337974389</v>
      </c>
      <c r="O17" s="108" t="n">
        <f aca="false">(Yield_Originals!$G17*Yield_Originals!O$1)/Yield_Originals!$K17</f>
        <v>0.298499906738342</v>
      </c>
      <c r="P17" s="109" t="n">
        <f aca="false">(Yield_Originals!$H17*Yield_Originals!P$1)/Yield_Originals!$K17</f>
        <v>0.326576201897349</v>
      </c>
      <c r="Q17" s="109" t="n">
        <f aca="false">(Yield_Originals!$H17*Yield_Originals!Q$1)/Yield_Originals!$K17</f>
        <v>0.335647763061164</v>
      </c>
      <c r="R17" s="109" t="n">
        <f aca="false">(Yield_Originals!$H17*Yield_Originals!R$1)/Yield_Originals!$K17</f>
        <v>0.34471932422498</v>
      </c>
      <c r="S17" s="109" t="n">
        <f aca="false">(Yield_Originals!$H17*Yield_Originals!S$1)/Yield_Originals!$K17</f>
        <v>0.353790885388795</v>
      </c>
      <c r="T17" s="111" t="n">
        <f aca="false">(Yield_Originals!$I17*Yield_Originals!T$1)/Yield_Originals!$K17</f>
        <v>0.384582142547117</v>
      </c>
      <c r="U17" s="111" t="n">
        <f aca="false">(Yield_Originals!$I17*Yield_Originals!U$1)/Yield_Originals!$K17</f>
        <v>0.394196696110794</v>
      </c>
      <c r="V17" s="111" t="n">
        <f aca="false">(Yield_Originals!$I17*Yield_Originals!V$1)/Yield_Originals!$K17</f>
        <v>0.403811249674472</v>
      </c>
      <c r="W17" s="111" t="n">
        <f aca="false">(Yield_Originals!$I17*Yield_Originals!W$1)/Yield_Originals!$K17</f>
        <v>0.41342580323815</v>
      </c>
      <c r="X17" s="112" t="n">
        <f aca="false">(Yield_Originals!$J17*Yield_Originals!X$1)/Yield_Originals!$K17</f>
        <v>0.379843402076345</v>
      </c>
      <c r="Y17" s="112" t="n">
        <f aca="false">(Yield_Originals!$J17*Yield_Originals!Y$1)/Yield_Originals!$K17</f>
        <v>0.388476206668989</v>
      </c>
      <c r="Z17" s="112" t="n">
        <f aca="false">(Yield_Originals!$J17*Yield_Originals!Z$1)/Yield_Originals!$K17</f>
        <v>0.397109011261633</v>
      </c>
      <c r="AA17" s="112" t="n">
        <f aca="false">(Yield_Originals!$J17*Yield_Originals!AA$1)/Yield_Originals!$K17</f>
        <v>0.405741815854277</v>
      </c>
      <c r="AB17" s="112" t="n">
        <f aca="false">(Yield_Originals!$J17*Yield_Originals!AB$1)/Yield_Originals!$K17</f>
        <v>0.414374620446921</v>
      </c>
      <c r="AC17" s="0"/>
    </row>
    <row r="18" s="38" customFormat="true" ht="15" hidden="false" customHeight="false" outlineLevel="0" collapsed="false">
      <c r="A18" s="68" t="s">
        <v>614</v>
      </c>
      <c r="B18" s="68" t="n">
        <v>2</v>
      </c>
      <c r="C18" s="38" t="s">
        <v>612</v>
      </c>
      <c r="D18" s="38" t="s">
        <v>1232</v>
      </c>
      <c r="E18" s="104" t="n">
        <v>17</v>
      </c>
      <c r="F18" s="106" t="n">
        <v>0.22742850037207</v>
      </c>
      <c r="G18" s="106" t="n">
        <v>0.22742850037207</v>
      </c>
      <c r="H18" s="106" t="n">
        <v>0.24190829770174</v>
      </c>
      <c r="I18" s="106" t="n">
        <v>0.256388095031411</v>
      </c>
      <c r="J18" s="106" t="n">
        <v>0.230208122470512</v>
      </c>
      <c r="K18" s="107" t="n">
        <v>1</v>
      </c>
      <c r="L18" s="108" t="n">
        <f aca="false">(Yield_Originals!$G18*Yield_Originals!L$1)/Yield_Originals!$K18</f>
        <v>0.272914200446484</v>
      </c>
      <c r="M18" s="108" t="n">
        <f aca="false">(Yield_Originals!$G18*Yield_Originals!M$1)/Yield_Originals!$K18</f>
        <v>0.281442769210437</v>
      </c>
      <c r="N18" s="108" t="n">
        <f aca="false">(Yield_Originals!$G18*Yield_Originals!N$1)/Yield_Originals!$K18</f>
        <v>0.289971337974389</v>
      </c>
      <c r="O18" s="108" t="n">
        <f aca="false">(Yield_Originals!$G18*Yield_Originals!O$1)/Yield_Originals!$K18</f>
        <v>0.298499906738342</v>
      </c>
      <c r="P18" s="109" t="n">
        <f aca="false">(Yield_Originals!$H18*Yield_Originals!P$1)/Yield_Originals!$K18</f>
        <v>0.326576201897349</v>
      </c>
      <c r="Q18" s="109" t="n">
        <f aca="false">(Yield_Originals!$H18*Yield_Originals!Q$1)/Yield_Originals!$K18</f>
        <v>0.335647763061164</v>
      </c>
      <c r="R18" s="109" t="n">
        <f aca="false">(Yield_Originals!$H18*Yield_Originals!R$1)/Yield_Originals!$K18</f>
        <v>0.34471932422498</v>
      </c>
      <c r="S18" s="109" t="n">
        <f aca="false">(Yield_Originals!$H18*Yield_Originals!S$1)/Yield_Originals!$K18</f>
        <v>0.353790885388795</v>
      </c>
      <c r="T18" s="111" t="n">
        <f aca="false">(Yield_Originals!$I18*Yield_Originals!T$1)/Yield_Originals!$K18</f>
        <v>0.384582142547117</v>
      </c>
      <c r="U18" s="111" t="n">
        <f aca="false">(Yield_Originals!$I18*Yield_Originals!U$1)/Yield_Originals!$K18</f>
        <v>0.394196696110794</v>
      </c>
      <c r="V18" s="111" t="n">
        <f aca="false">(Yield_Originals!$I18*Yield_Originals!V$1)/Yield_Originals!$K18</f>
        <v>0.403811249674472</v>
      </c>
      <c r="W18" s="111" t="n">
        <f aca="false">(Yield_Originals!$I18*Yield_Originals!W$1)/Yield_Originals!$K18</f>
        <v>0.41342580323815</v>
      </c>
      <c r="X18" s="112" t="n">
        <f aca="false">(Yield_Originals!$J18*Yield_Originals!X$1)/Yield_Originals!$K18</f>
        <v>0.379843402076345</v>
      </c>
      <c r="Y18" s="112" t="n">
        <f aca="false">(Yield_Originals!$J18*Yield_Originals!Y$1)/Yield_Originals!$K18</f>
        <v>0.388476206668989</v>
      </c>
      <c r="Z18" s="112" t="n">
        <f aca="false">(Yield_Originals!$J18*Yield_Originals!Z$1)/Yield_Originals!$K18</f>
        <v>0.397109011261633</v>
      </c>
      <c r="AA18" s="112" t="n">
        <f aca="false">(Yield_Originals!$J18*Yield_Originals!AA$1)/Yield_Originals!$K18</f>
        <v>0.405741815854277</v>
      </c>
      <c r="AB18" s="112" t="n">
        <f aca="false">(Yield_Originals!$J18*Yield_Originals!AB$1)/Yield_Originals!$K18</f>
        <v>0.414374620446921</v>
      </c>
      <c r="AC18" s="64"/>
    </row>
    <row r="19" customFormat="false" ht="15" hidden="false" customHeight="false" outlineLevel="0" collapsed="false">
      <c r="A19" s="68" t="s">
        <v>614</v>
      </c>
      <c r="B19" s="68" t="n">
        <v>2</v>
      </c>
      <c r="C19" s="38" t="s">
        <v>616</v>
      </c>
      <c r="D19" s="38" t="s">
        <v>1233</v>
      </c>
      <c r="E19" s="104" t="n">
        <v>10</v>
      </c>
      <c r="F19" s="106" t="n">
        <v>0.22742850037207</v>
      </c>
      <c r="G19" s="106" t="n">
        <v>0.22742850037207</v>
      </c>
      <c r="H19" s="106" t="n">
        <v>0.24190829770174</v>
      </c>
      <c r="I19" s="106" t="n">
        <v>0.256388095031411</v>
      </c>
      <c r="J19" s="106" t="n">
        <v>0.230208122470512</v>
      </c>
      <c r="K19" s="107" t="n">
        <v>1</v>
      </c>
      <c r="L19" s="108" t="n">
        <f aca="false">(Yield_Originals!$G19*Yield_Originals!L$1)/Yield_Originals!$K19</f>
        <v>0.272914200446484</v>
      </c>
      <c r="M19" s="108" t="n">
        <f aca="false">(Yield_Originals!$G19*Yield_Originals!M$1)/Yield_Originals!$K19</f>
        <v>0.281442769210437</v>
      </c>
      <c r="N19" s="108" t="n">
        <f aca="false">(Yield_Originals!$G19*Yield_Originals!N$1)/Yield_Originals!$K19</f>
        <v>0.289971337974389</v>
      </c>
      <c r="O19" s="108" t="n">
        <f aca="false">(Yield_Originals!$G19*Yield_Originals!O$1)/Yield_Originals!$K19</f>
        <v>0.298499906738342</v>
      </c>
      <c r="P19" s="109" t="n">
        <f aca="false">(Yield_Originals!$H19*Yield_Originals!P$1)/Yield_Originals!$K19</f>
        <v>0.326576201897349</v>
      </c>
      <c r="Q19" s="109" t="n">
        <f aca="false">(Yield_Originals!$H19*Yield_Originals!Q$1)/Yield_Originals!$K19</f>
        <v>0.335647763061164</v>
      </c>
      <c r="R19" s="109" t="n">
        <f aca="false">(Yield_Originals!$H19*Yield_Originals!R$1)/Yield_Originals!$K19</f>
        <v>0.34471932422498</v>
      </c>
      <c r="S19" s="109" t="n">
        <f aca="false">(Yield_Originals!$H19*Yield_Originals!S$1)/Yield_Originals!$K19</f>
        <v>0.353790885388795</v>
      </c>
      <c r="T19" s="111" t="n">
        <f aca="false">(Yield_Originals!$I19*Yield_Originals!T$1)/Yield_Originals!$K19</f>
        <v>0.384582142547117</v>
      </c>
      <c r="U19" s="111" t="n">
        <f aca="false">(Yield_Originals!$I19*Yield_Originals!U$1)/Yield_Originals!$K19</f>
        <v>0.394196696110794</v>
      </c>
      <c r="V19" s="111" t="n">
        <f aca="false">(Yield_Originals!$I19*Yield_Originals!V$1)/Yield_Originals!$K19</f>
        <v>0.403811249674472</v>
      </c>
      <c r="W19" s="111" t="n">
        <f aca="false">(Yield_Originals!$I19*Yield_Originals!W$1)/Yield_Originals!$K19</f>
        <v>0.41342580323815</v>
      </c>
      <c r="X19" s="112" t="n">
        <f aca="false">(Yield_Originals!$J19*Yield_Originals!X$1)/Yield_Originals!$K19</f>
        <v>0.379843402076345</v>
      </c>
      <c r="Y19" s="112" t="n">
        <f aca="false">(Yield_Originals!$J19*Yield_Originals!Y$1)/Yield_Originals!$K19</f>
        <v>0.388476206668989</v>
      </c>
      <c r="Z19" s="112" t="n">
        <f aca="false">(Yield_Originals!$J19*Yield_Originals!Z$1)/Yield_Originals!$K19</f>
        <v>0.397109011261633</v>
      </c>
      <c r="AA19" s="112" t="n">
        <f aca="false">(Yield_Originals!$J19*Yield_Originals!AA$1)/Yield_Originals!$K19</f>
        <v>0.405741815854277</v>
      </c>
      <c r="AB19" s="112" t="n">
        <f aca="false">(Yield_Originals!$J19*Yield_Originals!AB$1)/Yield_Originals!$K19</f>
        <v>0.414374620446921</v>
      </c>
      <c r="AC19" s="0"/>
    </row>
    <row r="20" customFormat="false" ht="15" hidden="false" customHeight="false" outlineLevel="0" collapsed="false">
      <c r="A20" s="68" t="s">
        <v>614</v>
      </c>
      <c r="B20" s="68" t="n">
        <v>2</v>
      </c>
      <c r="C20" s="38" t="s">
        <v>616</v>
      </c>
      <c r="D20" s="38" t="s">
        <v>1233</v>
      </c>
      <c r="E20" s="104" t="n">
        <v>17</v>
      </c>
      <c r="F20" s="106" t="n">
        <v>0.22742850037207</v>
      </c>
      <c r="G20" s="106" t="n">
        <v>0.22742850037207</v>
      </c>
      <c r="H20" s="106" t="n">
        <v>0.24190829770174</v>
      </c>
      <c r="I20" s="106" t="n">
        <v>0.256388095031411</v>
      </c>
      <c r="J20" s="106" t="n">
        <v>0.230208122470512</v>
      </c>
      <c r="K20" s="107" t="n">
        <v>1</v>
      </c>
      <c r="L20" s="108" t="n">
        <f aca="false">(Yield_Originals!$G20*Yield_Originals!L$1)/Yield_Originals!$K20</f>
        <v>0.272914200446484</v>
      </c>
      <c r="M20" s="108" t="n">
        <f aca="false">(Yield_Originals!$G20*Yield_Originals!M$1)/Yield_Originals!$K20</f>
        <v>0.281442769210437</v>
      </c>
      <c r="N20" s="108" t="n">
        <f aca="false">(Yield_Originals!$G20*Yield_Originals!N$1)/Yield_Originals!$K20</f>
        <v>0.289971337974389</v>
      </c>
      <c r="O20" s="108" t="n">
        <f aca="false">(Yield_Originals!$G20*Yield_Originals!O$1)/Yield_Originals!$K20</f>
        <v>0.298499906738342</v>
      </c>
      <c r="P20" s="109" t="n">
        <f aca="false">(Yield_Originals!$H20*Yield_Originals!P$1)/Yield_Originals!$K20</f>
        <v>0.326576201897349</v>
      </c>
      <c r="Q20" s="109" t="n">
        <f aca="false">(Yield_Originals!$H20*Yield_Originals!Q$1)/Yield_Originals!$K20</f>
        <v>0.335647763061164</v>
      </c>
      <c r="R20" s="109" t="n">
        <f aca="false">(Yield_Originals!$H20*Yield_Originals!R$1)/Yield_Originals!$K20</f>
        <v>0.34471932422498</v>
      </c>
      <c r="S20" s="109" t="n">
        <f aca="false">(Yield_Originals!$H20*Yield_Originals!S$1)/Yield_Originals!$K20</f>
        <v>0.353790885388795</v>
      </c>
      <c r="T20" s="111" t="n">
        <f aca="false">(Yield_Originals!$I20*Yield_Originals!T$1)/Yield_Originals!$K20</f>
        <v>0.384582142547117</v>
      </c>
      <c r="U20" s="111" t="n">
        <f aca="false">(Yield_Originals!$I20*Yield_Originals!U$1)/Yield_Originals!$K20</f>
        <v>0.394196696110794</v>
      </c>
      <c r="V20" s="111" t="n">
        <f aca="false">(Yield_Originals!$I20*Yield_Originals!V$1)/Yield_Originals!$K20</f>
        <v>0.403811249674472</v>
      </c>
      <c r="W20" s="111" t="n">
        <f aca="false">(Yield_Originals!$I20*Yield_Originals!W$1)/Yield_Originals!$K20</f>
        <v>0.41342580323815</v>
      </c>
      <c r="X20" s="112" t="n">
        <f aca="false">(Yield_Originals!$J20*Yield_Originals!X$1)/Yield_Originals!$K20</f>
        <v>0.379843402076345</v>
      </c>
      <c r="Y20" s="112" t="n">
        <f aca="false">(Yield_Originals!$J20*Yield_Originals!Y$1)/Yield_Originals!$K20</f>
        <v>0.388476206668989</v>
      </c>
      <c r="Z20" s="112" t="n">
        <f aca="false">(Yield_Originals!$J20*Yield_Originals!Z$1)/Yield_Originals!$K20</f>
        <v>0.397109011261633</v>
      </c>
      <c r="AA20" s="112" t="n">
        <f aca="false">(Yield_Originals!$J20*Yield_Originals!AA$1)/Yield_Originals!$K20</f>
        <v>0.405741815854277</v>
      </c>
      <c r="AB20" s="112" t="n">
        <f aca="false">(Yield_Originals!$J20*Yield_Originals!AB$1)/Yield_Originals!$K20</f>
        <v>0.414374620446921</v>
      </c>
      <c r="AC20" s="0"/>
    </row>
    <row r="21" customFormat="false" ht="15" hidden="false" customHeight="false" outlineLevel="0" collapsed="false">
      <c r="A21" s="68" t="s">
        <v>614</v>
      </c>
      <c r="B21" s="68" t="n">
        <v>2</v>
      </c>
      <c r="C21" s="38" t="s">
        <v>619</v>
      </c>
      <c r="D21" s="38" t="s">
        <v>1233</v>
      </c>
      <c r="E21" s="104" t="n">
        <v>10</v>
      </c>
      <c r="F21" s="106" t="n">
        <v>0.22742850037207</v>
      </c>
      <c r="G21" s="106" t="n">
        <v>0.22742850037207</v>
      </c>
      <c r="H21" s="106" t="n">
        <v>0.24190829770174</v>
      </c>
      <c r="I21" s="106" t="n">
        <v>0.256388095031411</v>
      </c>
      <c r="J21" s="106" t="n">
        <v>0.230208122470512</v>
      </c>
      <c r="K21" s="107" t="n">
        <v>1</v>
      </c>
      <c r="L21" s="108" t="n">
        <f aca="false">(Yield_Originals!$G21*Yield_Originals!L$1)/Yield_Originals!$K21</f>
        <v>0.272914200446484</v>
      </c>
      <c r="M21" s="108" t="n">
        <f aca="false">(Yield_Originals!$G21*Yield_Originals!M$1)/Yield_Originals!$K21</f>
        <v>0.281442769210437</v>
      </c>
      <c r="N21" s="108" t="n">
        <f aca="false">(Yield_Originals!$G21*Yield_Originals!N$1)/Yield_Originals!$K21</f>
        <v>0.289971337974389</v>
      </c>
      <c r="O21" s="108" t="n">
        <f aca="false">(Yield_Originals!$G21*Yield_Originals!O$1)/Yield_Originals!$K21</f>
        <v>0.298499906738342</v>
      </c>
      <c r="P21" s="109" t="n">
        <f aca="false">(Yield_Originals!$H21*Yield_Originals!P$1)/Yield_Originals!$K21</f>
        <v>0.326576201897349</v>
      </c>
      <c r="Q21" s="109" t="n">
        <f aca="false">(Yield_Originals!$H21*Yield_Originals!Q$1)/Yield_Originals!$K21</f>
        <v>0.335647763061164</v>
      </c>
      <c r="R21" s="109" t="n">
        <f aca="false">(Yield_Originals!$H21*Yield_Originals!R$1)/Yield_Originals!$K21</f>
        <v>0.34471932422498</v>
      </c>
      <c r="S21" s="109" t="n">
        <f aca="false">(Yield_Originals!$H21*Yield_Originals!S$1)/Yield_Originals!$K21</f>
        <v>0.353790885388795</v>
      </c>
      <c r="T21" s="111" t="n">
        <f aca="false">(Yield_Originals!$I21*Yield_Originals!T$1)/Yield_Originals!$K21</f>
        <v>0.384582142547117</v>
      </c>
      <c r="U21" s="111" t="n">
        <f aca="false">(Yield_Originals!$I21*Yield_Originals!U$1)/Yield_Originals!$K21</f>
        <v>0.394196696110794</v>
      </c>
      <c r="V21" s="111" t="n">
        <f aca="false">(Yield_Originals!$I21*Yield_Originals!V$1)/Yield_Originals!$K21</f>
        <v>0.403811249674472</v>
      </c>
      <c r="W21" s="111" t="n">
        <f aca="false">(Yield_Originals!$I21*Yield_Originals!W$1)/Yield_Originals!$K21</f>
        <v>0.41342580323815</v>
      </c>
      <c r="X21" s="112" t="n">
        <f aca="false">(Yield_Originals!$J21*Yield_Originals!X$1)/Yield_Originals!$K21</f>
        <v>0.379843402076345</v>
      </c>
      <c r="Y21" s="112" t="n">
        <f aca="false">(Yield_Originals!$J21*Yield_Originals!Y$1)/Yield_Originals!$K21</f>
        <v>0.388476206668989</v>
      </c>
      <c r="Z21" s="112" t="n">
        <f aca="false">(Yield_Originals!$J21*Yield_Originals!Z$1)/Yield_Originals!$K21</f>
        <v>0.397109011261633</v>
      </c>
      <c r="AA21" s="112" t="n">
        <f aca="false">(Yield_Originals!$J21*Yield_Originals!AA$1)/Yield_Originals!$K21</f>
        <v>0.405741815854277</v>
      </c>
      <c r="AB21" s="112" t="n">
        <f aca="false">(Yield_Originals!$J21*Yield_Originals!AB$1)/Yield_Originals!$K21</f>
        <v>0.414374620446921</v>
      </c>
      <c r="AC21" s="0"/>
    </row>
    <row r="22" customFormat="false" ht="15" hidden="false" customHeight="false" outlineLevel="0" collapsed="false">
      <c r="A22" s="68" t="s">
        <v>614</v>
      </c>
      <c r="B22" s="68" t="n">
        <v>2</v>
      </c>
      <c r="C22" s="38" t="s">
        <v>619</v>
      </c>
      <c r="D22" s="38" t="s">
        <v>1233</v>
      </c>
      <c r="E22" s="104" t="n">
        <v>17</v>
      </c>
      <c r="F22" s="106" t="n">
        <v>0.22742850037207</v>
      </c>
      <c r="G22" s="106" t="n">
        <v>0.22742850037207</v>
      </c>
      <c r="H22" s="106" t="n">
        <v>0.24190829770174</v>
      </c>
      <c r="I22" s="106" t="n">
        <v>0.256388095031411</v>
      </c>
      <c r="J22" s="106" t="n">
        <v>0.230208122470512</v>
      </c>
      <c r="K22" s="107" t="n">
        <v>1</v>
      </c>
      <c r="L22" s="108" t="n">
        <f aca="false">(Yield_Originals!$G22*Yield_Originals!L$1)/Yield_Originals!$K22</f>
        <v>0.272914200446484</v>
      </c>
      <c r="M22" s="108" t="n">
        <f aca="false">(Yield_Originals!$G22*Yield_Originals!M$1)/Yield_Originals!$K22</f>
        <v>0.281442769210437</v>
      </c>
      <c r="N22" s="108" t="n">
        <f aca="false">(Yield_Originals!$G22*Yield_Originals!N$1)/Yield_Originals!$K22</f>
        <v>0.289971337974389</v>
      </c>
      <c r="O22" s="108" t="n">
        <f aca="false">(Yield_Originals!$G22*Yield_Originals!O$1)/Yield_Originals!$K22</f>
        <v>0.298499906738342</v>
      </c>
      <c r="P22" s="109" t="n">
        <f aca="false">(Yield_Originals!$H22*Yield_Originals!P$1)/Yield_Originals!$K22</f>
        <v>0.326576201897349</v>
      </c>
      <c r="Q22" s="109" t="n">
        <f aca="false">(Yield_Originals!$H22*Yield_Originals!Q$1)/Yield_Originals!$K22</f>
        <v>0.335647763061164</v>
      </c>
      <c r="R22" s="109" t="n">
        <f aca="false">(Yield_Originals!$H22*Yield_Originals!R$1)/Yield_Originals!$K22</f>
        <v>0.34471932422498</v>
      </c>
      <c r="S22" s="109" t="n">
        <f aca="false">(Yield_Originals!$H22*Yield_Originals!S$1)/Yield_Originals!$K22</f>
        <v>0.353790885388795</v>
      </c>
      <c r="T22" s="111" t="n">
        <f aca="false">(Yield_Originals!$I22*Yield_Originals!T$1)/Yield_Originals!$K22</f>
        <v>0.384582142547117</v>
      </c>
      <c r="U22" s="111" t="n">
        <f aca="false">(Yield_Originals!$I22*Yield_Originals!U$1)/Yield_Originals!$K22</f>
        <v>0.394196696110794</v>
      </c>
      <c r="V22" s="111" t="n">
        <f aca="false">(Yield_Originals!$I22*Yield_Originals!V$1)/Yield_Originals!$K22</f>
        <v>0.403811249674472</v>
      </c>
      <c r="W22" s="111" t="n">
        <f aca="false">(Yield_Originals!$I22*Yield_Originals!W$1)/Yield_Originals!$K22</f>
        <v>0.41342580323815</v>
      </c>
      <c r="X22" s="112" t="n">
        <f aca="false">(Yield_Originals!$J22*Yield_Originals!X$1)/Yield_Originals!$K22</f>
        <v>0.379843402076345</v>
      </c>
      <c r="Y22" s="112" t="n">
        <f aca="false">(Yield_Originals!$J22*Yield_Originals!Y$1)/Yield_Originals!$K22</f>
        <v>0.388476206668989</v>
      </c>
      <c r="Z22" s="112" t="n">
        <f aca="false">(Yield_Originals!$J22*Yield_Originals!Z$1)/Yield_Originals!$K22</f>
        <v>0.397109011261633</v>
      </c>
      <c r="AA22" s="112" t="n">
        <f aca="false">(Yield_Originals!$J22*Yield_Originals!AA$1)/Yield_Originals!$K22</f>
        <v>0.405741815854277</v>
      </c>
      <c r="AB22" s="112" t="n">
        <f aca="false">(Yield_Originals!$J22*Yield_Originals!AB$1)/Yield_Originals!$K22</f>
        <v>0.414374620446921</v>
      </c>
      <c r="AC22" s="0"/>
    </row>
    <row r="23" customFormat="false" ht="15" hidden="false" customHeight="false" outlineLevel="0" collapsed="false">
      <c r="A23" s="68" t="s">
        <v>614</v>
      </c>
      <c r="B23" s="68" t="n">
        <v>2</v>
      </c>
      <c r="C23" s="38" t="s">
        <v>622</v>
      </c>
      <c r="D23" s="38" t="s">
        <v>1234</v>
      </c>
      <c r="E23" s="104" t="n">
        <v>10</v>
      </c>
      <c r="F23" s="106" t="n">
        <v>0.22742850037207</v>
      </c>
      <c r="G23" s="106" t="n">
        <v>0.22742850037207</v>
      </c>
      <c r="H23" s="106" t="n">
        <v>0.24190829770174</v>
      </c>
      <c r="I23" s="106" t="n">
        <v>0.256388095031411</v>
      </c>
      <c r="J23" s="106" t="n">
        <v>0.230208122470512</v>
      </c>
      <c r="K23" s="107" t="n">
        <v>1</v>
      </c>
      <c r="L23" s="108" t="n">
        <f aca="false">(Yield_Originals!$G23*Yield_Originals!L$1)/Yield_Originals!$K23</f>
        <v>0.272914200446484</v>
      </c>
      <c r="M23" s="108" t="n">
        <f aca="false">(Yield_Originals!$G23*Yield_Originals!M$1)/Yield_Originals!$K23</f>
        <v>0.281442769210437</v>
      </c>
      <c r="N23" s="108" t="n">
        <f aca="false">(Yield_Originals!$G23*Yield_Originals!N$1)/Yield_Originals!$K23</f>
        <v>0.289971337974389</v>
      </c>
      <c r="O23" s="108" t="n">
        <f aca="false">(Yield_Originals!$G23*Yield_Originals!O$1)/Yield_Originals!$K23</f>
        <v>0.298499906738342</v>
      </c>
      <c r="P23" s="109" t="n">
        <f aca="false">(Yield_Originals!$H23*Yield_Originals!P$1)/Yield_Originals!$K23</f>
        <v>0.326576201897349</v>
      </c>
      <c r="Q23" s="109" t="n">
        <f aca="false">(Yield_Originals!$H23*Yield_Originals!Q$1)/Yield_Originals!$K23</f>
        <v>0.335647763061164</v>
      </c>
      <c r="R23" s="109" t="n">
        <f aca="false">(Yield_Originals!$H23*Yield_Originals!R$1)/Yield_Originals!$K23</f>
        <v>0.34471932422498</v>
      </c>
      <c r="S23" s="109" t="n">
        <f aca="false">(Yield_Originals!$H23*Yield_Originals!S$1)/Yield_Originals!$K23</f>
        <v>0.353790885388795</v>
      </c>
      <c r="T23" s="111" t="n">
        <f aca="false">(Yield_Originals!$I23*Yield_Originals!T$1)/Yield_Originals!$K23</f>
        <v>0.384582142547117</v>
      </c>
      <c r="U23" s="111" t="n">
        <f aca="false">(Yield_Originals!$I23*Yield_Originals!U$1)/Yield_Originals!$K23</f>
        <v>0.394196696110794</v>
      </c>
      <c r="V23" s="111" t="n">
        <f aca="false">(Yield_Originals!$I23*Yield_Originals!V$1)/Yield_Originals!$K23</f>
        <v>0.403811249674472</v>
      </c>
      <c r="W23" s="111" t="n">
        <f aca="false">(Yield_Originals!$I23*Yield_Originals!W$1)/Yield_Originals!$K23</f>
        <v>0.41342580323815</v>
      </c>
      <c r="X23" s="112" t="n">
        <f aca="false">(Yield_Originals!$J23*Yield_Originals!X$1)/Yield_Originals!$K23</f>
        <v>0.379843402076345</v>
      </c>
      <c r="Y23" s="112" t="n">
        <f aca="false">(Yield_Originals!$J23*Yield_Originals!Y$1)/Yield_Originals!$K23</f>
        <v>0.388476206668989</v>
      </c>
      <c r="Z23" s="112" t="n">
        <f aca="false">(Yield_Originals!$J23*Yield_Originals!Z$1)/Yield_Originals!$K23</f>
        <v>0.397109011261633</v>
      </c>
      <c r="AA23" s="112" t="n">
        <f aca="false">(Yield_Originals!$J23*Yield_Originals!AA$1)/Yield_Originals!$K23</f>
        <v>0.405741815854277</v>
      </c>
      <c r="AB23" s="112" t="n">
        <f aca="false">(Yield_Originals!$J23*Yield_Originals!AB$1)/Yield_Originals!$K23</f>
        <v>0.414374620446921</v>
      </c>
      <c r="AC23" s="0"/>
    </row>
    <row r="24" customFormat="false" ht="15" hidden="false" customHeight="false" outlineLevel="0" collapsed="false">
      <c r="A24" s="68" t="s">
        <v>614</v>
      </c>
      <c r="B24" s="68" t="n">
        <v>2</v>
      </c>
      <c r="C24" s="38" t="s">
        <v>622</v>
      </c>
      <c r="D24" s="38" t="s">
        <v>1234</v>
      </c>
      <c r="E24" s="104" t="n">
        <v>17</v>
      </c>
      <c r="F24" s="106" t="n">
        <v>0.22742850037207</v>
      </c>
      <c r="G24" s="106" t="n">
        <v>0.22742850037207</v>
      </c>
      <c r="H24" s="106" t="n">
        <v>0.24190829770174</v>
      </c>
      <c r="I24" s="106" t="n">
        <v>0.256388095031411</v>
      </c>
      <c r="J24" s="106" t="n">
        <v>0.230208122470512</v>
      </c>
      <c r="K24" s="107" t="n">
        <v>1</v>
      </c>
      <c r="L24" s="108" t="n">
        <f aca="false">(Yield_Originals!$G24*Yield_Originals!L$1)/Yield_Originals!$K24</f>
        <v>0.272914200446484</v>
      </c>
      <c r="M24" s="108" t="n">
        <f aca="false">(Yield_Originals!$G24*Yield_Originals!M$1)/Yield_Originals!$K24</f>
        <v>0.281442769210437</v>
      </c>
      <c r="N24" s="108" t="n">
        <f aca="false">(Yield_Originals!$G24*Yield_Originals!N$1)/Yield_Originals!$K24</f>
        <v>0.289971337974389</v>
      </c>
      <c r="O24" s="108" t="n">
        <f aca="false">(Yield_Originals!$G24*Yield_Originals!O$1)/Yield_Originals!$K24</f>
        <v>0.298499906738342</v>
      </c>
      <c r="P24" s="109" t="n">
        <f aca="false">(Yield_Originals!$H24*Yield_Originals!P$1)/Yield_Originals!$K24</f>
        <v>0.326576201897349</v>
      </c>
      <c r="Q24" s="109" t="n">
        <f aca="false">(Yield_Originals!$H24*Yield_Originals!Q$1)/Yield_Originals!$K24</f>
        <v>0.335647763061164</v>
      </c>
      <c r="R24" s="109" t="n">
        <f aca="false">(Yield_Originals!$H24*Yield_Originals!R$1)/Yield_Originals!$K24</f>
        <v>0.34471932422498</v>
      </c>
      <c r="S24" s="109" t="n">
        <f aca="false">(Yield_Originals!$H24*Yield_Originals!S$1)/Yield_Originals!$K24</f>
        <v>0.353790885388795</v>
      </c>
      <c r="T24" s="111" t="n">
        <f aca="false">(Yield_Originals!$I24*Yield_Originals!T$1)/Yield_Originals!$K24</f>
        <v>0.384582142547117</v>
      </c>
      <c r="U24" s="111" t="n">
        <f aca="false">(Yield_Originals!$I24*Yield_Originals!U$1)/Yield_Originals!$K24</f>
        <v>0.394196696110794</v>
      </c>
      <c r="V24" s="111" t="n">
        <f aca="false">(Yield_Originals!$I24*Yield_Originals!V$1)/Yield_Originals!$K24</f>
        <v>0.403811249674472</v>
      </c>
      <c r="W24" s="111" t="n">
        <f aca="false">(Yield_Originals!$I24*Yield_Originals!W$1)/Yield_Originals!$K24</f>
        <v>0.41342580323815</v>
      </c>
      <c r="X24" s="112" t="n">
        <f aca="false">(Yield_Originals!$J24*Yield_Originals!X$1)/Yield_Originals!$K24</f>
        <v>0.379843402076345</v>
      </c>
      <c r="Y24" s="112" t="n">
        <f aca="false">(Yield_Originals!$J24*Yield_Originals!Y$1)/Yield_Originals!$K24</f>
        <v>0.388476206668989</v>
      </c>
      <c r="Z24" s="112" t="n">
        <f aca="false">(Yield_Originals!$J24*Yield_Originals!Z$1)/Yield_Originals!$K24</f>
        <v>0.397109011261633</v>
      </c>
      <c r="AA24" s="112" t="n">
        <f aca="false">(Yield_Originals!$J24*Yield_Originals!AA$1)/Yield_Originals!$K24</f>
        <v>0.405741815854277</v>
      </c>
      <c r="AB24" s="112" t="n">
        <f aca="false">(Yield_Originals!$J24*Yield_Originals!AB$1)/Yield_Originals!$K24</f>
        <v>0.414374620446921</v>
      </c>
      <c r="AC24" s="0"/>
    </row>
    <row r="25" customFormat="false" ht="15" hidden="false" customHeight="false" outlineLevel="0" collapsed="false">
      <c r="A25" s="68" t="s">
        <v>614</v>
      </c>
      <c r="B25" s="68" t="n">
        <v>2</v>
      </c>
      <c r="C25" s="38" t="s">
        <v>218</v>
      </c>
      <c r="D25" s="38" t="s">
        <v>1235</v>
      </c>
      <c r="E25" s="104" t="n">
        <v>10</v>
      </c>
      <c r="F25" s="106" t="n">
        <v>0.22742850037207</v>
      </c>
      <c r="G25" s="106" t="n">
        <v>0.22742850037207</v>
      </c>
      <c r="H25" s="106" t="n">
        <v>0.24190829770174</v>
      </c>
      <c r="I25" s="106" t="n">
        <v>0.256388095031411</v>
      </c>
      <c r="J25" s="106" t="n">
        <v>0.230208122470512</v>
      </c>
      <c r="K25" s="107" t="n">
        <v>1</v>
      </c>
      <c r="L25" s="108" t="n">
        <f aca="false">(Yield_Originals!$G25*Yield_Originals!L$1)/Yield_Originals!$K25</f>
        <v>0.272914200446484</v>
      </c>
      <c r="M25" s="108" t="n">
        <f aca="false">(Yield_Originals!$G25*Yield_Originals!M$1)/Yield_Originals!$K25</f>
        <v>0.281442769210437</v>
      </c>
      <c r="N25" s="108" t="n">
        <f aca="false">(Yield_Originals!$G25*Yield_Originals!N$1)/Yield_Originals!$K25</f>
        <v>0.289971337974389</v>
      </c>
      <c r="O25" s="108" t="n">
        <f aca="false">(Yield_Originals!$G25*Yield_Originals!O$1)/Yield_Originals!$K25</f>
        <v>0.298499906738342</v>
      </c>
      <c r="P25" s="109" t="n">
        <f aca="false">(Yield_Originals!$H25*Yield_Originals!P$1)/Yield_Originals!$K25</f>
        <v>0.326576201897349</v>
      </c>
      <c r="Q25" s="109" t="n">
        <f aca="false">(Yield_Originals!$H25*Yield_Originals!Q$1)/Yield_Originals!$K25</f>
        <v>0.335647763061164</v>
      </c>
      <c r="R25" s="109" t="n">
        <f aca="false">(Yield_Originals!$H25*Yield_Originals!R$1)/Yield_Originals!$K25</f>
        <v>0.34471932422498</v>
      </c>
      <c r="S25" s="109" t="n">
        <f aca="false">(Yield_Originals!$H25*Yield_Originals!S$1)/Yield_Originals!$K25</f>
        <v>0.353790885388795</v>
      </c>
      <c r="T25" s="111" t="n">
        <f aca="false">(Yield_Originals!$I25*Yield_Originals!T$1)/Yield_Originals!$K25</f>
        <v>0.384582142547117</v>
      </c>
      <c r="U25" s="111" t="n">
        <f aca="false">(Yield_Originals!$I25*Yield_Originals!U$1)/Yield_Originals!$K25</f>
        <v>0.394196696110794</v>
      </c>
      <c r="V25" s="111" t="n">
        <f aca="false">(Yield_Originals!$I25*Yield_Originals!V$1)/Yield_Originals!$K25</f>
        <v>0.403811249674472</v>
      </c>
      <c r="W25" s="111" t="n">
        <f aca="false">(Yield_Originals!$I25*Yield_Originals!W$1)/Yield_Originals!$K25</f>
        <v>0.41342580323815</v>
      </c>
      <c r="X25" s="112" t="n">
        <f aca="false">(Yield_Originals!$J25*Yield_Originals!X$1)/Yield_Originals!$K25</f>
        <v>0.379843402076345</v>
      </c>
      <c r="Y25" s="112" t="n">
        <f aca="false">(Yield_Originals!$J25*Yield_Originals!Y$1)/Yield_Originals!$K25</f>
        <v>0.388476206668989</v>
      </c>
      <c r="Z25" s="112" t="n">
        <f aca="false">(Yield_Originals!$J25*Yield_Originals!Z$1)/Yield_Originals!$K25</f>
        <v>0.397109011261633</v>
      </c>
      <c r="AA25" s="112" t="n">
        <f aca="false">(Yield_Originals!$J25*Yield_Originals!AA$1)/Yield_Originals!$K25</f>
        <v>0.405741815854277</v>
      </c>
      <c r="AB25" s="112" t="n">
        <f aca="false">(Yield_Originals!$J25*Yield_Originals!AB$1)/Yield_Originals!$K25</f>
        <v>0.414374620446921</v>
      </c>
      <c r="AC25" s="0"/>
    </row>
    <row r="26" customFormat="false" ht="15" hidden="false" customHeight="false" outlineLevel="0" collapsed="false">
      <c r="A26" s="68" t="s">
        <v>614</v>
      </c>
      <c r="B26" s="68" t="n">
        <v>2</v>
      </c>
      <c r="C26" s="38" t="s">
        <v>218</v>
      </c>
      <c r="D26" s="38" t="s">
        <v>1235</v>
      </c>
      <c r="E26" s="104" t="n">
        <v>17</v>
      </c>
      <c r="F26" s="106" t="n">
        <v>0.22742850037207</v>
      </c>
      <c r="G26" s="106" t="n">
        <v>0.22742850037207</v>
      </c>
      <c r="H26" s="106" t="n">
        <v>0.24190829770174</v>
      </c>
      <c r="I26" s="106" t="n">
        <v>0.256388095031411</v>
      </c>
      <c r="J26" s="106" t="n">
        <v>0.230208122470512</v>
      </c>
      <c r="K26" s="107" t="n">
        <v>1</v>
      </c>
      <c r="L26" s="108" t="n">
        <f aca="false">(Yield_Originals!$G26*Yield_Originals!L$1)/Yield_Originals!$K26</f>
        <v>0.272914200446484</v>
      </c>
      <c r="M26" s="108" t="n">
        <f aca="false">(Yield_Originals!$G26*Yield_Originals!M$1)/Yield_Originals!$K26</f>
        <v>0.281442769210437</v>
      </c>
      <c r="N26" s="108" t="n">
        <f aca="false">(Yield_Originals!$G26*Yield_Originals!N$1)/Yield_Originals!$K26</f>
        <v>0.289971337974389</v>
      </c>
      <c r="O26" s="108" t="n">
        <f aca="false">(Yield_Originals!$G26*Yield_Originals!O$1)/Yield_Originals!$K26</f>
        <v>0.298499906738342</v>
      </c>
      <c r="P26" s="109"/>
      <c r="Q26" s="109"/>
      <c r="R26" s="109"/>
      <c r="S26" s="109"/>
      <c r="T26" s="111"/>
      <c r="U26" s="111"/>
      <c r="V26" s="111"/>
      <c r="W26" s="111"/>
      <c r="X26" s="112"/>
      <c r="Y26" s="112"/>
      <c r="Z26" s="112"/>
      <c r="AA26" s="112"/>
      <c r="AB26" s="112"/>
      <c r="AC26" s="0"/>
    </row>
    <row r="27" customFormat="false" ht="15" hidden="false" customHeight="false" outlineLevel="0" collapsed="false">
      <c r="A27" s="68" t="s">
        <v>614</v>
      </c>
      <c r="B27" s="68" t="n">
        <v>2</v>
      </c>
      <c r="C27" s="38" t="s">
        <v>627</v>
      </c>
      <c r="D27" s="38" t="s">
        <v>1236</v>
      </c>
      <c r="E27" s="104" t="n">
        <v>10</v>
      </c>
      <c r="F27" s="106" t="n">
        <v>0.22742850037207</v>
      </c>
      <c r="G27" s="106" t="n">
        <v>0.22742850037207</v>
      </c>
      <c r="H27" s="106" t="n">
        <v>0.24190829770174</v>
      </c>
      <c r="I27" s="106" t="n">
        <v>0.256388095031411</v>
      </c>
      <c r="J27" s="106" t="n">
        <v>0.230208122470512</v>
      </c>
      <c r="K27" s="107" t="n">
        <v>1</v>
      </c>
      <c r="L27" s="108" t="n">
        <f aca="false">(Yield_Originals!$G27*Yield_Originals!L$1)/Yield_Originals!$K27</f>
        <v>0.272914200446484</v>
      </c>
      <c r="M27" s="108" t="n">
        <f aca="false">(Yield_Originals!$G27*Yield_Originals!M$1)/Yield_Originals!$K27</f>
        <v>0.281442769210437</v>
      </c>
      <c r="N27" s="108" t="n">
        <f aca="false">(Yield_Originals!$G27*Yield_Originals!N$1)/Yield_Originals!$K27</f>
        <v>0.289971337974389</v>
      </c>
      <c r="O27" s="108" t="n">
        <f aca="false">(Yield_Originals!$G27*Yield_Originals!O$1)/Yield_Originals!$K27</f>
        <v>0.298499906738342</v>
      </c>
      <c r="P27" s="109" t="n">
        <f aca="false">(Yield_Originals!$H27*Yield_Originals!P$1)/Yield_Originals!$K27</f>
        <v>0.326576201897349</v>
      </c>
      <c r="Q27" s="109" t="n">
        <f aca="false">(Yield_Originals!$H27*Yield_Originals!Q$1)/Yield_Originals!$K27</f>
        <v>0.335647763061164</v>
      </c>
      <c r="R27" s="109" t="n">
        <f aca="false">(Yield_Originals!$H27*Yield_Originals!R$1)/Yield_Originals!$K27</f>
        <v>0.34471932422498</v>
      </c>
      <c r="S27" s="109" t="n">
        <f aca="false">(Yield_Originals!$H27*Yield_Originals!S$1)/Yield_Originals!$K27</f>
        <v>0.353790885388795</v>
      </c>
      <c r="T27" s="111" t="n">
        <f aca="false">(Yield_Originals!$I27*Yield_Originals!T$1)/Yield_Originals!$K27</f>
        <v>0.384582142547117</v>
      </c>
      <c r="U27" s="111" t="n">
        <f aca="false">(Yield_Originals!$I27*Yield_Originals!U$1)/Yield_Originals!$K27</f>
        <v>0.394196696110794</v>
      </c>
      <c r="V27" s="111" t="n">
        <f aca="false">(Yield_Originals!$I27*Yield_Originals!V$1)/Yield_Originals!$K27</f>
        <v>0.403811249674472</v>
      </c>
      <c r="W27" s="111" t="n">
        <f aca="false">(Yield_Originals!$I27*Yield_Originals!W$1)/Yield_Originals!$K27</f>
        <v>0.41342580323815</v>
      </c>
      <c r="X27" s="112" t="n">
        <f aca="false">(Yield_Originals!$J27*Yield_Originals!X$1)/Yield_Originals!$K27</f>
        <v>0.379843402076345</v>
      </c>
      <c r="Y27" s="112" t="n">
        <f aca="false">(Yield_Originals!$J27*Yield_Originals!Y$1)/Yield_Originals!$K27</f>
        <v>0.388476206668989</v>
      </c>
      <c r="Z27" s="112" t="n">
        <f aca="false">(Yield_Originals!$J27*Yield_Originals!Z$1)/Yield_Originals!$K27</f>
        <v>0.397109011261633</v>
      </c>
      <c r="AA27" s="112" t="n">
        <f aca="false">(Yield_Originals!$J27*Yield_Originals!AA$1)/Yield_Originals!$K27</f>
        <v>0.405741815854277</v>
      </c>
      <c r="AB27" s="112" t="n">
        <f aca="false">(Yield_Originals!$J27*Yield_Originals!AB$1)/Yield_Originals!$K27</f>
        <v>0.414374620446921</v>
      </c>
      <c r="AC27" s="0"/>
    </row>
    <row r="28" customFormat="false" ht="15" hidden="false" customHeight="false" outlineLevel="0" collapsed="false">
      <c r="A28" s="68" t="s">
        <v>614</v>
      </c>
      <c r="B28" s="68" t="n">
        <v>2</v>
      </c>
      <c r="C28" s="38" t="s">
        <v>627</v>
      </c>
      <c r="D28" s="38" t="s">
        <v>1236</v>
      </c>
      <c r="E28" s="104" t="n">
        <v>17</v>
      </c>
      <c r="F28" s="106" t="n">
        <v>0.22742850037207</v>
      </c>
      <c r="G28" s="106" t="n">
        <v>0.22742850037207</v>
      </c>
      <c r="H28" s="106" t="n">
        <v>0.24190829770174</v>
      </c>
      <c r="I28" s="106" t="n">
        <v>0.256388095031411</v>
      </c>
      <c r="J28" s="106" t="n">
        <v>0.230208122470512</v>
      </c>
      <c r="K28" s="107" t="n">
        <v>1</v>
      </c>
      <c r="L28" s="108" t="n">
        <f aca="false">(Yield_Originals!$G28*Yield_Originals!L$1)/Yield_Originals!$K28</f>
        <v>0.272914200446484</v>
      </c>
      <c r="M28" s="108" t="n">
        <f aca="false">(Yield_Originals!$G28*Yield_Originals!M$1)/Yield_Originals!$K28</f>
        <v>0.281442769210437</v>
      </c>
      <c r="N28" s="108" t="n">
        <f aca="false">(Yield_Originals!$G28*Yield_Originals!N$1)/Yield_Originals!$K28</f>
        <v>0.289971337974389</v>
      </c>
      <c r="O28" s="108" t="n">
        <f aca="false">(Yield_Originals!$G28*Yield_Originals!O$1)/Yield_Originals!$K28</f>
        <v>0.298499906738342</v>
      </c>
      <c r="P28" s="109"/>
      <c r="Q28" s="109"/>
      <c r="R28" s="109"/>
      <c r="S28" s="109"/>
      <c r="T28" s="111"/>
      <c r="U28" s="111"/>
      <c r="V28" s="111"/>
      <c r="W28" s="111"/>
      <c r="X28" s="112"/>
      <c r="Y28" s="112"/>
      <c r="Z28" s="112"/>
      <c r="AA28" s="112"/>
      <c r="AB28" s="112"/>
      <c r="AC28" s="0"/>
    </row>
    <row r="29" customFormat="false" ht="15" hidden="false" customHeight="false" outlineLevel="0" collapsed="false">
      <c r="A29" s="68" t="s">
        <v>614</v>
      </c>
      <c r="B29" s="68" t="n">
        <v>2</v>
      </c>
      <c r="C29" s="38" t="s">
        <v>630</v>
      </c>
      <c r="D29" s="38" t="s">
        <v>1236</v>
      </c>
      <c r="E29" s="104" t="n">
        <v>10</v>
      </c>
      <c r="F29" s="106" t="n">
        <v>0.22742850037207</v>
      </c>
      <c r="G29" s="106" t="n">
        <v>0.22742850037207</v>
      </c>
      <c r="H29" s="106" t="n">
        <v>0.24190829770174</v>
      </c>
      <c r="I29" s="106" t="n">
        <v>0.256388095031411</v>
      </c>
      <c r="J29" s="106" t="n">
        <v>0.230208122470512</v>
      </c>
      <c r="K29" s="107" t="n">
        <v>1</v>
      </c>
      <c r="L29" s="108" t="n">
        <f aca="false">(Yield_Originals!$G29*Yield_Originals!L$1)/Yield_Originals!$K29</f>
        <v>0.272914200446484</v>
      </c>
      <c r="M29" s="108" t="n">
        <f aca="false">(Yield_Originals!$G29*Yield_Originals!M$1)/Yield_Originals!$K29</f>
        <v>0.281442769210437</v>
      </c>
      <c r="N29" s="108" t="n">
        <f aca="false">(Yield_Originals!$G29*Yield_Originals!N$1)/Yield_Originals!$K29</f>
        <v>0.289971337974389</v>
      </c>
      <c r="O29" s="108" t="n">
        <f aca="false">(Yield_Originals!$G29*Yield_Originals!O$1)/Yield_Originals!$K29</f>
        <v>0.298499906738342</v>
      </c>
      <c r="P29" s="109" t="n">
        <f aca="false">(Yield_Originals!$H29*Yield_Originals!P$1)/Yield_Originals!$K29</f>
        <v>0.326576201897349</v>
      </c>
      <c r="Q29" s="109" t="n">
        <f aca="false">(Yield_Originals!$H29*Yield_Originals!Q$1)/Yield_Originals!$K29</f>
        <v>0.335647763061164</v>
      </c>
      <c r="R29" s="109" t="n">
        <f aca="false">(Yield_Originals!$H29*Yield_Originals!R$1)/Yield_Originals!$K29</f>
        <v>0.34471932422498</v>
      </c>
      <c r="S29" s="109" t="n">
        <f aca="false">(Yield_Originals!$H29*Yield_Originals!S$1)/Yield_Originals!$K29</f>
        <v>0.353790885388795</v>
      </c>
      <c r="T29" s="111" t="n">
        <f aca="false">(Yield_Originals!$I29*Yield_Originals!T$1)/Yield_Originals!$K29</f>
        <v>0.384582142547117</v>
      </c>
      <c r="U29" s="111" t="n">
        <f aca="false">(Yield_Originals!$I29*Yield_Originals!U$1)/Yield_Originals!$K29</f>
        <v>0.394196696110794</v>
      </c>
      <c r="V29" s="111" t="n">
        <f aca="false">(Yield_Originals!$I29*Yield_Originals!V$1)/Yield_Originals!$K29</f>
        <v>0.403811249674472</v>
      </c>
      <c r="W29" s="111" t="n">
        <f aca="false">(Yield_Originals!$I29*Yield_Originals!W$1)/Yield_Originals!$K29</f>
        <v>0.41342580323815</v>
      </c>
      <c r="X29" s="112" t="n">
        <f aca="false">(Yield_Originals!$J29*Yield_Originals!X$1)/Yield_Originals!$K29</f>
        <v>0.379843402076345</v>
      </c>
      <c r="Y29" s="112" t="n">
        <f aca="false">(Yield_Originals!$J29*Yield_Originals!Y$1)/Yield_Originals!$K29</f>
        <v>0.388476206668989</v>
      </c>
      <c r="Z29" s="112" t="n">
        <f aca="false">(Yield_Originals!$J29*Yield_Originals!Z$1)/Yield_Originals!$K29</f>
        <v>0.397109011261633</v>
      </c>
      <c r="AA29" s="112" t="n">
        <f aca="false">(Yield_Originals!$J29*Yield_Originals!AA$1)/Yield_Originals!$K29</f>
        <v>0.405741815854277</v>
      </c>
      <c r="AB29" s="112" t="n">
        <f aca="false">(Yield_Originals!$J29*Yield_Originals!AB$1)/Yield_Originals!$K29</f>
        <v>0.414374620446921</v>
      </c>
      <c r="AC29" s="0"/>
    </row>
    <row r="30" customFormat="false" ht="15" hidden="false" customHeight="false" outlineLevel="0" collapsed="false">
      <c r="A30" s="68" t="s">
        <v>614</v>
      </c>
      <c r="B30" s="68" t="n">
        <v>2</v>
      </c>
      <c r="C30" s="38" t="s">
        <v>630</v>
      </c>
      <c r="D30" s="38" t="s">
        <v>1236</v>
      </c>
      <c r="E30" s="104" t="n">
        <v>17</v>
      </c>
      <c r="F30" s="106" t="n">
        <v>0.22742850037207</v>
      </c>
      <c r="G30" s="106" t="n">
        <v>0.22742850037207</v>
      </c>
      <c r="H30" s="106" t="n">
        <v>0.24190829770174</v>
      </c>
      <c r="I30" s="106" t="n">
        <v>0.256388095031411</v>
      </c>
      <c r="J30" s="106" t="n">
        <v>0.230208122470512</v>
      </c>
      <c r="K30" s="107" t="n">
        <v>1</v>
      </c>
      <c r="L30" s="108" t="n">
        <f aca="false">(Yield_Originals!$G30*Yield_Originals!L$1)/Yield_Originals!$K30</f>
        <v>0.272914200446484</v>
      </c>
      <c r="M30" s="108" t="n">
        <f aca="false">(Yield_Originals!$G30*Yield_Originals!M$1)/Yield_Originals!$K30</f>
        <v>0.281442769210437</v>
      </c>
      <c r="N30" s="108" t="n">
        <f aca="false">(Yield_Originals!$G30*Yield_Originals!N$1)/Yield_Originals!$K30</f>
        <v>0.289971337974389</v>
      </c>
      <c r="O30" s="108" t="n">
        <f aca="false">(Yield_Originals!$G30*Yield_Originals!O$1)/Yield_Originals!$K30</f>
        <v>0.298499906738342</v>
      </c>
      <c r="P30" s="109"/>
      <c r="Q30" s="109"/>
      <c r="R30" s="109"/>
      <c r="S30" s="109"/>
      <c r="T30" s="111"/>
      <c r="U30" s="111"/>
      <c r="V30" s="111"/>
      <c r="W30" s="111"/>
      <c r="X30" s="112"/>
      <c r="Y30" s="112"/>
      <c r="Z30" s="112"/>
      <c r="AA30" s="112"/>
      <c r="AB30" s="112"/>
      <c r="AC30" s="0"/>
    </row>
    <row r="31" customFormat="false" ht="15" hidden="false" customHeight="false" outlineLevel="0" collapsed="false">
      <c r="A31" s="70" t="s">
        <v>677</v>
      </c>
      <c r="B31" s="68" t="n">
        <v>2</v>
      </c>
      <c r="C31" s="103" t="s">
        <v>633</v>
      </c>
      <c r="D31" s="103" t="s">
        <v>676</v>
      </c>
      <c r="E31" s="104" t="n">
        <v>13</v>
      </c>
      <c r="F31" s="106" t="n">
        <v>0.22742850037207</v>
      </c>
      <c r="G31" s="106" t="n">
        <v>0.22742850037207</v>
      </c>
      <c r="H31" s="106" t="n">
        <f aca="false">+(Yield_Originals!I31+Yield_Originals!G31)/2</f>
        <v>0.24190829770174</v>
      </c>
      <c r="I31" s="106" t="n">
        <v>0.256388095031411</v>
      </c>
      <c r="J31" s="106" t="n">
        <v>0.230208122470512</v>
      </c>
      <c r="K31" s="107" t="n">
        <v>1</v>
      </c>
      <c r="L31" s="108"/>
      <c r="M31" s="108"/>
      <c r="N31" s="108"/>
      <c r="O31" s="108"/>
      <c r="P31" s="109" t="n">
        <f aca="false">(Yield_Originals!$H31*Yield_Originals!P$1)/Yield_Originals!$K31</f>
        <v>0.32657620189735</v>
      </c>
      <c r="Q31" s="109" t="n">
        <f aca="false">(Yield_Originals!$H31*Yield_Originals!Q$1)/Yield_Originals!$K31</f>
        <v>0.335647763061165</v>
      </c>
      <c r="R31" s="109" t="n">
        <f aca="false">(Yield_Originals!$H31*Yield_Originals!R$1)/Yield_Originals!$K31</f>
        <v>0.34471932422498</v>
      </c>
      <c r="S31" s="109" t="n">
        <f aca="false">(Yield_Originals!$H31*Yield_Originals!S$1)/Yield_Originals!$K31</f>
        <v>0.353790885388796</v>
      </c>
      <c r="T31" s="111" t="n">
        <f aca="false">(Yield_Originals!$I31*Yield_Originals!T$1)/Yield_Originals!$K31</f>
        <v>0.384582142547117</v>
      </c>
      <c r="U31" s="111"/>
      <c r="V31" s="111"/>
      <c r="W31" s="111"/>
      <c r="X31" s="112"/>
      <c r="Y31" s="112"/>
      <c r="Z31" s="112"/>
      <c r="AA31" s="112"/>
      <c r="AB31" s="112"/>
      <c r="AC31" s="0"/>
    </row>
    <row r="32" customFormat="false" ht="15" hidden="false" customHeight="false" outlineLevel="0" collapsed="false">
      <c r="A32" s="70" t="s">
        <v>677</v>
      </c>
      <c r="B32" s="68" t="n">
        <v>2</v>
      </c>
      <c r="C32" s="103" t="s">
        <v>633</v>
      </c>
      <c r="D32" s="103" t="s">
        <v>676</v>
      </c>
      <c r="E32" s="104" t="n">
        <v>20</v>
      </c>
      <c r="F32" s="106" t="n">
        <v>0.22742850037207</v>
      </c>
      <c r="G32" s="106" t="n">
        <v>0.22742850037207</v>
      </c>
      <c r="H32" s="106" t="n">
        <f aca="false">+(Yield_Originals!I32+Yield_Originals!G32)/2</f>
        <v>0.24190829770174</v>
      </c>
      <c r="I32" s="106" t="n">
        <v>0.256388095031411</v>
      </c>
      <c r="J32" s="106" t="n">
        <v>0.230208122470512</v>
      </c>
      <c r="K32" s="107" t="n">
        <v>1</v>
      </c>
      <c r="L32" s="108"/>
      <c r="M32" s="108"/>
      <c r="N32" s="108"/>
      <c r="O32" s="108"/>
      <c r="P32" s="109" t="n">
        <f aca="false">(Yield_Originals!$H32*Yield_Originals!P$1)/Yield_Originals!$K32</f>
        <v>0.32657620189735</v>
      </c>
      <c r="Q32" s="109" t="n">
        <f aca="false">(Yield_Originals!$H32*Yield_Originals!Q$1)/Yield_Originals!$K32</f>
        <v>0.335647763061165</v>
      </c>
      <c r="R32" s="109" t="n">
        <f aca="false">(Yield_Originals!$H32*Yield_Originals!R$1)/Yield_Originals!$K32</f>
        <v>0.34471932422498</v>
      </c>
      <c r="S32" s="109" t="n">
        <f aca="false">(Yield_Originals!$H32*Yield_Originals!S$1)/Yield_Originals!$K32</f>
        <v>0.353790885388796</v>
      </c>
      <c r="T32" s="111" t="n">
        <f aca="false">(Yield_Originals!$I32*Yield_Originals!T$1)/Yield_Originals!$K32</f>
        <v>0.384582142547117</v>
      </c>
      <c r="U32" s="111"/>
      <c r="V32" s="111"/>
      <c r="W32" s="111"/>
      <c r="X32" s="112"/>
      <c r="Y32" s="112"/>
      <c r="Z32" s="112"/>
      <c r="AA32" s="112"/>
      <c r="AB32" s="112"/>
      <c r="AC32" s="0"/>
    </row>
    <row r="33" customFormat="false" ht="15" hidden="false" customHeight="false" outlineLevel="0" collapsed="false">
      <c r="A33" s="70" t="s">
        <v>677</v>
      </c>
      <c r="B33" s="68" t="n">
        <v>2</v>
      </c>
      <c r="C33" s="103" t="s">
        <v>219</v>
      </c>
      <c r="D33" s="103" t="s">
        <v>681</v>
      </c>
      <c r="E33" s="104" t="n">
        <v>13</v>
      </c>
      <c r="F33" s="106" t="n">
        <v>0.22742850037207</v>
      </c>
      <c r="G33" s="106" t="n">
        <v>0.22742850037207</v>
      </c>
      <c r="H33" s="106" t="n">
        <f aca="false">+(Yield_Originals!I33+Yield_Originals!G33)/2</f>
        <v>0.24190829770174</v>
      </c>
      <c r="I33" s="106" t="n">
        <v>0.256388095031411</v>
      </c>
      <c r="J33" s="106" t="n">
        <v>0.230208122470512</v>
      </c>
      <c r="K33" s="107" t="n">
        <v>1</v>
      </c>
      <c r="L33" s="108"/>
      <c r="M33" s="108"/>
      <c r="N33" s="108"/>
      <c r="O33" s="108"/>
      <c r="P33" s="109" t="n">
        <f aca="false">(Yield_Originals!$H33*Yield_Originals!P$1)/Yield_Originals!$K33</f>
        <v>0.32657620189735</v>
      </c>
      <c r="Q33" s="109" t="n">
        <f aca="false">(Yield_Originals!$H33*Yield_Originals!Q$1)/Yield_Originals!$K33</f>
        <v>0.335647763061165</v>
      </c>
      <c r="R33" s="109" t="n">
        <f aca="false">(Yield_Originals!$H33*Yield_Originals!R$1)/Yield_Originals!$K33</f>
        <v>0.34471932422498</v>
      </c>
      <c r="S33" s="109" t="n">
        <f aca="false">(Yield_Originals!$H33*Yield_Originals!S$1)/Yield_Originals!$K33</f>
        <v>0.353790885388796</v>
      </c>
      <c r="T33" s="111" t="n">
        <f aca="false">(Yield_Originals!$I33*Yield_Originals!T$1)/Yield_Originals!$K33</f>
        <v>0.384582142547117</v>
      </c>
      <c r="U33" s="111"/>
      <c r="V33" s="111"/>
      <c r="W33" s="111"/>
      <c r="X33" s="112"/>
      <c r="Y33" s="112"/>
      <c r="Z33" s="112"/>
      <c r="AA33" s="112"/>
      <c r="AB33" s="112"/>
      <c r="AC33" s="0"/>
    </row>
    <row r="34" customFormat="false" ht="15" hidden="false" customHeight="false" outlineLevel="0" collapsed="false">
      <c r="A34" s="70" t="s">
        <v>677</v>
      </c>
      <c r="B34" s="68" t="n">
        <v>2</v>
      </c>
      <c r="C34" s="103" t="s">
        <v>219</v>
      </c>
      <c r="D34" s="103" t="s">
        <v>681</v>
      </c>
      <c r="E34" s="104" t="n">
        <v>20</v>
      </c>
      <c r="F34" s="106" t="n">
        <v>0.22742850037207</v>
      </c>
      <c r="G34" s="106" t="n">
        <v>0.22742850037207</v>
      </c>
      <c r="H34" s="106" t="n">
        <f aca="false">+(Yield_Originals!I34+Yield_Originals!G34)/2</f>
        <v>0.24190829770174</v>
      </c>
      <c r="I34" s="106" t="n">
        <v>0.256388095031411</v>
      </c>
      <c r="J34" s="106" t="n">
        <v>0.230208122470512</v>
      </c>
      <c r="K34" s="107" t="n">
        <v>1</v>
      </c>
      <c r="L34" s="108"/>
      <c r="M34" s="108"/>
      <c r="N34" s="108"/>
      <c r="O34" s="108"/>
      <c r="P34" s="109" t="n">
        <f aca="false">(Yield_Originals!$H34*Yield_Originals!P$1)/Yield_Originals!$K34</f>
        <v>0.32657620189735</v>
      </c>
      <c r="Q34" s="109" t="n">
        <f aca="false">(Yield_Originals!$H34*Yield_Originals!Q$1)/Yield_Originals!$K34</f>
        <v>0.335647763061165</v>
      </c>
      <c r="R34" s="109" t="n">
        <f aca="false">(Yield_Originals!$H34*Yield_Originals!R$1)/Yield_Originals!$K34</f>
        <v>0.34471932422498</v>
      </c>
      <c r="S34" s="109" t="n">
        <f aca="false">(Yield_Originals!$H34*Yield_Originals!S$1)/Yield_Originals!$K34</f>
        <v>0.353790885388796</v>
      </c>
      <c r="T34" s="111" t="n">
        <f aca="false">(Yield_Originals!$I34*Yield_Originals!T$1)/Yield_Originals!$K34</f>
        <v>0.384582142547117</v>
      </c>
      <c r="U34" s="111"/>
      <c r="V34" s="111"/>
      <c r="W34" s="111"/>
      <c r="X34" s="112"/>
      <c r="Y34" s="112"/>
      <c r="Z34" s="112"/>
      <c r="AA34" s="112"/>
      <c r="AB34" s="112"/>
      <c r="AC34" s="0"/>
    </row>
    <row r="35" customFormat="false" ht="15" hidden="false" customHeight="false" outlineLevel="0" collapsed="false">
      <c r="A35" s="68" t="s">
        <v>662</v>
      </c>
      <c r="B35" s="68" t="n">
        <v>2</v>
      </c>
      <c r="C35" s="103" t="s">
        <v>638</v>
      </c>
      <c r="D35" s="103" t="s">
        <v>661</v>
      </c>
      <c r="E35" s="104" t="n">
        <v>12</v>
      </c>
      <c r="F35" s="106" t="n">
        <v>0.22742850037207</v>
      </c>
      <c r="G35" s="106" t="n">
        <v>0.22742850037207</v>
      </c>
      <c r="H35" s="106" t="n">
        <f aca="false">+(Yield_Originals!I35+Yield_Originals!G35)/2</f>
        <v>0.24190829770174</v>
      </c>
      <c r="I35" s="106" t="n">
        <v>0.256388095031411</v>
      </c>
      <c r="J35" s="106" t="n">
        <v>0.230208122470512</v>
      </c>
      <c r="K35" s="107" t="n">
        <v>1</v>
      </c>
      <c r="L35" s="108" t="n">
        <f aca="false">(Yield_Originals!$G35*Yield_Originals!L$1)/Yield_Originals!$K35</f>
        <v>0.272914200446484</v>
      </c>
      <c r="M35" s="108" t="n">
        <f aca="false">(Yield_Originals!$G35*Yield_Originals!M$1)/Yield_Originals!$K35</f>
        <v>0.281442769210437</v>
      </c>
      <c r="N35" s="108" t="n">
        <f aca="false">(Yield_Originals!$G35*Yield_Originals!N$1)/Yield_Originals!$K35</f>
        <v>0.289971337974389</v>
      </c>
      <c r="O35" s="108" t="n">
        <f aca="false">(Yield_Originals!$G35*Yield_Originals!O$1)/Yield_Originals!$K35</f>
        <v>0.298499906738342</v>
      </c>
      <c r="P35" s="109"/>
      <c r="Q35" s="109"/>
      <c r="R35" s="109"/>
      <c r="S35" s="109"/>
      <c r="T35" s="111"/>
      <c r="U35" s="111"/>
      <c r="V35" s="111"/>
      <c r="W35" s="111"/>
      <c r="X35" s="112"/>
      <c r="Y35" s="112"/>
      <c r="Z35" s="112"/>
      <c r="AA35" s="112"/>
      <c r="AB35" s="112"/>
      <c r="AC35" s="0"/>
    </row>
    <row r="36" customFormat="false" ht="15" hidden="false" customHeight="false" outlineLevel="0" collapsed="false">
      <c r="A36" s="68" t="s">
        <v>662</v>
      </c>
      <c r="B36" s="68" t="n">
        <v>2</v>
      </c>
      <c r="C36" s="103" t="s">
        <v>638</v>
      </c>
      <c r="D36" s="103" t="s">
        <v>661</v>
      </c>
      <c r="E36" s="104" t="n">
        <v>19</v>
      </c>
      <c r="F36" s="106" t="n">
        <v>0.22742850037207</v>
      </c>
      <c r="G36" s="106" t="n">
        <v>0.22742850037207</v>
      </c>
      <c r="H36" s="106" t="n">
        <f aca="false">+(Yield_Originals!I36+Yield_Originals!G36)/2</f>
        <v>0.24190829770174</v>
      </c>
      <c r="I36" s="106" t="n">
        <v>0.256388095031411</v>
      </c>
      <c r="J36" s="106" t="n">
        <v>0.230208122470512</v>
      </c>
      <c r="K36" s="107" t="n">
        <v>1</v>
      </c>
      <c r="L36" s="108" t="n">
        <f aca="false">(Yield_Originals!$G36*Yield_Originals!L$1)/Yield_Originals!$K36</f>
        <v>0.272914200446484</v>
      </c>
      <c r="M36" s="108" t="n">
        <f aca="false">(Yield_Originals!$G36*Yield_Originals!M$1)/Yield_Originals!$K36</f>
        <v>0.281442769210437</v>
      </c>
      <c r="N36" s="108" t="n">
        <f aca="false">(Yield_Originals!$G36*Yield_Originals!N$1)/Yield_Originals!$K36</f>
        <v>0.289971337974389</v>
      </c>
      <c r="O36" s="108" t="n">
        <f aca="false">(Yield_Originals!$G36*Yield_Originals!O$1)/Yield_Originals!$K36</f>
        <v>0.298499906738342</v>
      </c>
      <c r="P36" s="109"/>
      <c r="Q36" s="109"/>
      <c r="R36" s="109"/>
      <c r="S36" s="109"/>
      <c r="T36" s="111"/>
      <c r="U36" s="111"/>
      <c r="V36" s="111"/>
      <c r="W36" s="111"/>
      <c r="X36" s="112"/>
      <c r="Y36" s="112"/>
      <c r="Z36" s="112"/>
      <c r="AA36" s="112"/>
      <c r="AB36" s="112"/>
      <c r="AC36" s="0"/>
    </row>
    <row r="37" customFormat="false" ht="15" hidden="false" customHeight="false" outlineLevel="0" collapsed="false">
      <c r="A37" s="68" t="s">
        <v>662</v>
      </c>
      <c r="B37" s="68" t="n">
        <v>2</v>
      </c>
      <c r="C37" s="103" t="s">
        <v>220</v>
      </c>
      <c r="D37" s="103" t="s">
        <v>665</v>
      </c>
      <c r="E37" s="104" t="n">
        <v>12</v>
      </c>
      <c r="F37" s="106" t="n">
        <v>0.22742850037207</v>
      </c>
      <c r="G37" s="106" t="n">
        <v>0.22742850037207</v>
      </c>
      <c r="H37" s="106" t="n">
        <f aca="false">+(Yield_Originals!I37+Yield_Originals!G37)/2</f>
        <v>0.24190829770174</v>
      </c>
      <c r="I37" s="106" t="n">
        <v>0.256388095031411</v>
      </c>
      <c r="J37" s="106" t="n">
        <v>0.230208122470512</v>
      </c>
      <c r="K37" s="107" t="n">
        <v>1</v>
      </c>
      <c r="L37" s="108" t="n">
        <f aca="false">(Yield_Originals!$G37*Yield_Originals!L$1)/Yield_Originals!$K37</f>
        <v>0.272914200446484</v>
      </c>
      <c r="M37" s="108" t="n">
        <f aca="false">(Yield_Originals!$G37*Yield_Originals!M$1)/Yield_Originals!$K37</f>
        <v>0.281442769210437</v>
      </c>
      <c r="N37" s="108" t="n">
        <f aca="false">(Yield_Originals!$G37*Yield_Originals!N$1)/Yield_Originals!$K37</f>
        <v>0.289971337974389</v>
      </c>
      <c r="O37" s="108" t="n">
        <f aca="false">(Yield_Originals!$G37*Yield_Originals!O$1)/Yield_Originals!$K37</f>
        <v>0.298499906738342</v>
      </c>
      <c r="P37" s="109"/>
      <c r="Q37" s="109"/>
      <c r="R37" s="109"/>
      <c r="S37" s="109"/>
      <c r="T37" s="111"/>
      <c r="U37" s="111"/>
      <c r="V37" s="111"/>
      <c r="W37" s="111"/>
      <c r="X37" s="112"/>
      <c r="Y37" s="112"/>
      <c r="Z37" s="112"/>
      <c r="AA37" s="112"/>
      <c r="AB37" s="112"/>
      <c r="AC37" s="0"/>
    </row>
    <row r="38" customFormat="false" ht="15" hidden="false" customHeight="false" outlineLevel="0" collapsed="false">
      <c r="A38" s="68" t="s">
        <v>662</v>
      </c>
      <c r="B38" s="68" t="n">
        <v>2</v>
      </c>
      <c r="C38" s="103" t="s">
        <v>220</v>
      </c>
      <c r="D38" s="103" t="s">
        <v>665</v>
      </c>
      <c r="E38" s="104" t="n">
        <v>19</v>
      </c>
      <c r="F38" s="106" t="n">
        <v>0.22742850037207</v>
      </c>
      <c r="G38" s="106" t="n">
        <v>0.22742850037207</v>
      </c>
      <c r="H38" s="106" t="n">
        <f aca="false">+(Yield_Originals!I38+Yield_Originals!G38)/2</f>
        <v>0.24190829770174</v>
      </c>
      <c r="I38" s="106" t="n">
        <v>0.256388095031411</v>
      </c>
      <c r="J38" s="106" t="n">
        <v>0.230208122470512</v>
      </c>
      <c r="K38" s="107" t="n">
        <v>1</v>
      </c>
      <c r="L38" s="108" t="n">
        <f aca="false">(Yield_Originals!$G38*Yield_Originals!L$1)/Yield_Originals!$K38</f>
        <v>0.272914200446484</v>
      </c>
      <c r="M38" s="108" t="n">
        <f aca="false">(Yield_Originals!$G38*Yield_Originals!M$1)/Yield_Originals!$K38</f>
        <v>0.281442769210437</v>
      </c>
      <c r="N38" s="108" t="n">
        <f aca="false">(Yield_Originals!$G38*Yield_Originals!N$1)/Yield_Originals!$K38</f>
        <v>0.289971337974389</v>
      </c>
      <c r="O38" s="108" t="n">
        <f aca="false">(Yield_Originals!$G38*Yield_Originals!O$1)/Yield_Originals!$K38</f>
        <v>0.298499906738342</v>
      </c>
      <c r="P38" s="109"/>
      <c r="Q38" s="109"/>
      <c r="R38" s="109"/>
      <c r="S38" s="109"/>
      <c r="T38" s="111"/>
      <c r="U38" s="111"/>
      <c r="V38" s="111"/>
      <c r="W38" s="111"/>
      <c r="X38" s="112"/>
      <c r="Y38" s="112"/>
      <c r="Z38" s="112"/>
      <c r="AA38" s="112"/>
      <c r="AB38" s="112"/>
      <c r="AC38" s="0"/>
    </row>
    <row r="39" customFormat="false" ht="15" hidden="false" customHeight="false" outlineLevel="0" collapsed="false">
      <c r="A39" s="68" t="s">
        <v>662</v>
      </c>
      <c r="B39" s="68" t="n">
        <v>2</v>
      </c>
      <c r="C39" s="103" t="s">
        <v>221</v>
      </c>
      <c r="D39" s="103" t="s">
        <v>673</v>
      </c>
      <c r="E39" s="104" t="n">
        <v>12</v>
      </c>
      <c r="F39" s="106" t="n">
        <v>0.22742850037207</v>
      </c>
      <c r="G39" s="106" t="n">
        <v>0.22742850037207</v>
      </c>
      <c r="H39" s="106" t="n">
        <f aca="false">+(Yield_Originals!I39+Yield_Originals!G39)/2</f>
        <v>0.24190829770174</v>
      </c>
      <c r="I39" s="106" t="n">
        <v>0.256388095031411</v>
      </c>
      <c r="J39" s="106" t="n">
        <v>0.230208122470512</v>
      </c>
      <c r="K39" s="107" t="n">
        <v>1</v>
      </c>
      <c r="L39" s="108" t="n">
        <f aca="false">(Yield_Originals!$G39*Yield_Originals!L$1)/Yield_Originals!$K39</f>
        <v>0.272914200446484</v>
      </c>
      <c r="M39" s="108" t="n">
        <f aca="false">(Yield_Originals!$G39*Yield_Originals!M$1)/Yield_Originals!$K39</f>
        <v>0.281442769210437</v>
      </c>
      <c r="N39" s="108" t="n">
        <f aca="false">(Yield_Originals!$G39*Yield_Originals!N$1)/Yield_Originals!$K39</f>
        <v>0.289971337974389</v>
      </c>
      <c r="O39" s="108" t="n">
        <f aca="false">(Yield_Originals!$G39*Yield_Originals!O$1)/Yield_Originals!$K39</f>
        <v>0.298499906738342</v>
      </c>
      <c r="P39" s="109"/>
      <c r="Q39" s="109"/>
      <c r="R39" s="109"/>
      <c r="S39" s="109"/>
      <c r="T39" s="111"/>
      <c r="U39" s="111"/>
      <c r="V39" s="111"/>
      <c r="W39" s="111"/>
      <c r="X39" s="112"/>
      <c r="Y39" s="112"/>
      <c r="Z39" s="112"/>
      <c r="AA39" s="112"/>
      <c r="AB39" s="112"/>
      <c r="AC39" s="0"/>
    </row>
    <row r="40" customFormat="false" ht="15" hidden="false" customHeight="false" outlineLevel="0" collapsed="false">
      <c r="A40" s="68" t="s">
        <v>662</v>
      </c>
      <c r="B40" s="68" t="n">
        <v>2</v>
      </c>
      <c r="C40" s="103" t="s">
        <v>221</v>
      </c>
      <c r="D40" s="103" t="s">
        <v>673</v>
      </c>
      <c r="E40" s="104" t="n">
        <v>19</v>
      </c>
      <c r="F40" s="106" t="n">
        <v>0.22742850037207</v>
      </c>
      <c r="G40" s="106" t="n">
        <v>0.22742850037207</v>
      </c>
      <c r="H40" s="106" t="n">
        <f aca="false">+(Yield_Originals!I40+Yield_Originals!G40)/2</f>
        <v>0.24190829770174</v>
      </c>
      <c r="I40" s="106" t="n">
        <v>0.256388095031411</v>
      </c>
      <c r="J40" s="106" t="n">
        <v>0.230208122470512</v>
      </c>
      <c r="K40" s="107" t="n">
        <v>1</v>
      </c>
      <c r="L40" s="108" t="n">
        <f aca="false">(Yield_Originals!$G40*Yield_Originals!L$1)/Yield_Originals!$K40</f>
        <v>0.272914200446484</v>
      </c>
      <c r="M40" s="108" t="n">
        <f aca="false">(Yield_Originals!$G40*Yield_Originals!M$1)/Yield_Originals!$K40</f>
        <v>0.281442769210437</v>
      </c>
      <c r="N40" s="108" t="n">
        <f aca="false">(Yield_Originals!$G40*Yield_Originals!N$1)/Yield_Originals!$K40</f>
        <v>0.289971337974389</v>
      </c>
      <c r="O40" s="108" t="n">
        <f aca="false">(Yield_Originals!$G40*Yield_Originals!O$1)/Yield_Originals!$K40</f>
        <v>0.298499906738342</v>
      </c>
      <c r="P40" s="109"/>
      <c r="Q40" s="109"/>
      <c r="R40" s="109"/>
      <c r="S40" s="109"/>
      <c r="T40" s="111"/>
      <c r="U40" s="111"/>
      <c r="V40" s="111"/>
      <c r="W40" s="111"/>
      <c r="X40" s="112"/>
      <c r="Y40" s="112"/>
      <c r="Z40" s="112"/>
      <c r="AA40" s="112"/>
      <c r="AB40" s="112"/>
      <c r="AC40" s="0"/>
    </row>
    <row r="41" s="103" customFormat="true" ht="15" hidden="false" customHeight="false" outlineLevel="0" collapsed="false">
      <c r="A41" s="68" t="s">
        <v>662</v>
      </c>
      <c r="B41" s="68" t="n">
        <v>2</v>
      </c>
      <c r="C41" s="103" t="s">
        <v>645</v>
      </c>
      <c r="D41" s="103" t="s">
        <v>668</v>
      </c>
      <c r="E41" s="104" t="n">
        <v>12</v>
      </c>
      <c r="F41" s="106" t="n">
        <v>0.22742850037207</v>
      </c>
      <c r="G41" s="106" t="n">
        <v>0.22742850037207</v>
      </c>
      <c r="H41" s="106" t="n">
        <f aca="false">+(Yield_Originals!I41+Yield_Originals!G41)/2</f>
        <v>0.24190829770174</v>
      </c>
      <c r="I41" s="106" t="n">
        <v>0.256388095031411</v>
      </c>
      <c r="J41" s="106" t="n">
        <v>0.230208122470512</v>
      </c>
      <c r="K41" s="107" t="n">
        <v>1</v>
      </c>
      <c r="L41" s="108" t="n">
        <f aca="false">(Yield_Originals!$G41*Yield_Originals!L$1)/Yield_Originals!$K41</f>
        <v>0.272914200446484</v>
      </c>
      <c r="M41" s="108" t="n">
        <f aca="false">(Yield_Originals!$G41*Yield_Originals!M$1)/Yield_Originals!$K41</f>
        <v>0.281442769210437</v>
      </c>
      <c r="N41" s="108" t="n">
        <f aca="false">(Yield_Originals!$G41*Yield_Originals!N$1)/Yield_Originals!$K41</f>
        <v>0.289971337974389</v>
      </c>
      <c r="O41" s="108" t="n">
        <f aca="false">(Yield_Originals!$G41*Yield_Originals!O$1)/Yield_Originals!$K41</f>
        <v>0.298499906738342</v>
      </c>
      <c r="P41" s="109"/>
      <c r="Q41" s="109"/>
      <c r="R41" s="109"/>
      <c r="S41" s="109"/>
      <c r="T41" s="111"/>
      <c r="U41" s="111"/>
      <c r="V41" s="111"/>
      <c r="W41" s="111"/>
      <c r="X41" s="112"/>
      <c r="Y41" s="112"/>
      <c r="Z41" s="112"/>
      <c r="AA41" s="112"/>
      <c r="AB41" s="112"/>
      <c r="AC41" s="68"/>
    </row>
    <row r="42" s="103" customFormat="true" ht="15" hidden="false" customHeight="false" outlineLevel="0" collapsed="false">
      <c r="A42" s="68" t="s">
        <v>662</v>
      </c>
      <c r="B42" s="68" t="n">
        <v>2</v>
      </c>
      <c r="C42" s="103" t="s">
        <v>645</v>
      </c>
      <c r="D42" s="103" t="s">
        <v>668</v>
      </c>
      <c r="E42" s="104" t="n">
        <v>19</v>
      </c>
      <c r="F42" s="106" t="n">
        <v>0.22742850037207</v>
      </c>
      <c r="G42" s="106" t="n">
        <v>0.22742850037207</v>
      </c>
      <c r="H42" s="106" t="n">
        <f aca="false">+(Yield_Originals!I42+Yield_Originals!G42)/2</f>
        <v>0.24190829770174</v>
      </c>
      <c r="I42" s="106" t="n">
        <v>0.256388095031411</v>
      </c>
      <c r="J42" s="106" t="n">
        <v>0.230208122470512</v>
      </c>
      <c r="K42" s="107" t="n">
        <v>1</v>
      </c>
      <c r="L42" s="108" t="n">
        <f aca="false">(Yield_Originals!$G42*Yield_Originals!L$1)/Yield_Originals!$K42</f>
        <v>0.272914200446484</v>
      </c>
      <c r="M42" s="108" t="n">
        <f aca="false">(Yield_Originals!$G42*Yield_Originals!M$1)/Yield_Originals!$K42</f>
        <v>0.281442769210437</v>
      </c>
      <c r="N42" s="108" t="n">
        <f aca="false">(Yield_Originals!$G42*Yield_Originals!N$1)/Yield_Originals!$K42</f>
        <v>0.289971337974389</v>
      </c>
      <c r="O42" s="108" t="n">
        <f aca="false">(Yield_Originals!$G42*Yield_Originals!O$1)/Yield_Originals!$K42</f>
        <v>0.298499906738342</v>
      </c>
      <c r="P42" s="109"/>
      <c r="Q42" s="109"/>
      <c r="R42" s="109"/>
      <c r="S42" s="109"/>
      <c r="T42" s="111"/>
      <c r="U42" s="111"/>
      <c r="V42" s="111"/>
      <c r="W42" s="111"/>
      <c r="X42" s="112"/>
      <c r="Y42" s="112"/>
      <c r="Z42" s="112"/>
      <c r="AA42" s="112"/>
      <c r="AB42" s="112"/>
      <c r="AC42" s="68"/>
    </row>
    <row r="43" s="103" customFormat="true" ht="15" hidden="false" customHeight="false" outlineLevel="0" collapsed="false">
      <c r="A43" s="68" t="s">
        <v>662</v>
      </c>
      <c r="B43" s="68" t="n">
        <v>2</v>
      </c>
      <c r="C43" s="103" t="s">
        <v>222</v>
      </c>
      <c r="D43" s="103" t="s">
        <v>671</v>
      </c>
      <c r="E43" s="104" t="n">
        <v>12</v>
      </c>
      <c r="F43" s="106" t="n">
        <v>0.22742850037207</v>
      </c>
      <c r="G43" s="106" t="n">
        <v>0.22742850037207</v>
      </c>
      <c r="H43" s="106" t="n">
        <f aca="false">+(Yield_Originals!I43+Yield_Originals!G43)/2</f>
        <v>0.24190829770174</v>
      </c>
      <c r="I43" s="106" t="n">
        <v>0.256388095031411</v>
      </c>
      <c r="J43" s="106" t="n">
        <v>0.230208122470512</v>
      </c>
      <c r="K43" s="107" t="n">
        <v>1</v>
      </c>
      <c r="L43" s="108" t="n">
        <f aca="false">(Yield_Originals!$G43*Yield_Originals!L$1)/Yield_Originals!$K43</f>
        <v>0.272914200446484</v>
      </c>
      <c r="M43" s="108" t="n">
        <f aca="false">(Yield_Originals!$G43*Yield_Originals!M$1)/Yield_Originals!$K43</f>
        <v>0.281442769210437</v>
      </c>
      <c r="N43" s="108" t="n">
        <f aca="false">(Yield_Originals!$G43*Yield_Originals!N$1)/Yield_Originals!$K43</f>
        <v>0.289971337974389</v>
      </c>
      <c r="O43" s="108" t="n">
        <f aca="false">(Yield_Originals!$G43*Yield_Originals!O$1)/Yield_Originals!$K43</f>
        <v>0.298499906738342</v>
      </c>
      <c r="P43" s="109"/>
      <c r="Q43" s="109"/>
      <c r="R43" s="109"/>
      <c r="S43" s="109"/>
      <c r="T43" s="111"/>
      <c r="U43" s="111"/>
      <c r="V43" s="111"/>
      <c r="W43" s="111"/>
      <c r="X43" s="112"/>
      <c r="Y43" s="112"/>
      <c r="Z43" s="112"/>
      <c r="AA43" s="112"/>
      <c r="AB43" s="112"/>
      <c r="AC43" s="68"/>
    </row>
    <row r="44" s="103" customFormat="true" ht="15" hidden="false" customHeight="false" outlineLevel="0" collapsed="false">
      <c r="A44" s="68" t="s">
        <v>662</v>
      </c>
      <c r="B44" s="68" t="n">
        <v>2</v>
      </c>
      <c r="C44" s="103" t="s">
        <v>222</v>
      </c>
      <c r="D44" s="103" t="s">
        <v>671</v>
      </c>
      <c r="E44" s="104" t="n">
        <v>19</v>
      </c>
      <c r="F44" s="106" t="n">
        <v>0.22742850037207</v>
      </c>
      <c r="G44" s="106" t="n">
        <v>0.22742850037207</v>
      </c>
      <c r="H44" s="106" t="n">
        <f aca="false">+(Yield_Originals!I44+Yield_Originals!G44)/2</f>
        <v>0.24190829770174</v>
      </c>
      <c r="I44" s="106" t="n">
        <v>0.256388095031411</v>
      </c>
      <c r="J44" s="106" t="n">
        <v>0.230208122470512</v>
      </c>
      <c r="K44" s="107" t="n">
        <v>1</v>
      </c>
      <c r="L44" s="108" t="n">
        <f aca="false">(Yield_Originals!$G44*Yield_Originals!L$1)/Yield_Originals!$K44</f>
        <v>0.272914200446484</v>
      </c>
      <c r="M44" s="108" t="n">
        <f aca="false">(Yield_Originals!$G44*Yield_Originals!M$1)/Yield_Originals!$K44</f>
        <v>0.281442769210437</v>
      </c>
      <c r="N44" s="108" t="n">
        <f aca="false">(Yield_Originals!$G44*Yield_Originals!N$1)/Yield_Originals!$K44</f>
        <v>0.289971337974389</v>
      </c>
      <c r="O44" s="108" t="n">
        <f aca="false">(Yield_Originals!$G44*Yield_Originals!O$1)/Yield_Originals!$K44</f>
        <v>0.298499906738342</v>
      </c>
      <c r="P44" s="109"/>
      <c r="Q44" s="109"/>
      <c r="R44" s="109"/>
      <c r="S44" s="109"/>
      <c r="T44" s="111"/>
      <c r="U44" s="111"/>
      <c r="V44" s="111"/>
      <c r="W44" s="111"/>
      <c r="X44" s="112"/>
      <c r="Y44" s="112"/>
      <c r="Z44" s="112"/>
      <c r="AA44" s="112"/>
      <c r="AB44" s="112"/>
      <c r="AC44" s="68"/>
    </row>
    <row r="45" customFormat="false" ht="15" hidden="false" customHeight="false" outlineLevel="0" collapsed="false">
      <c r="A45" s="68" t="s">
        <v>614</v>
      </c>
      <c r="B45" s="68" t="n">
        <v>2</v>
      </c>
      <c r="C45" s="38" t="s">
        <v>650</v>
      </c>
      <c r="D45" s="38" t="s">
        <v>1237</v>
      </c>
      <c r="E45" s="104" t="n">
        <v>10</v>
      </c>
      <c r="F45" s="106" t="n">
        <v>0.22742850037207</v>
      </c>
      <c r="G45" s="106" t="n">
        <v>0.22742850037207</v>
      </c>
      <c r="H45" s="106" t="n">
        <v>0.24190829770174</v>
      </c>
      <c r="I45" s="106" t="n">
        <v>0.256388095031411</v>
      </c>
      <c r="J45" s="106" t="n">
        <v>0.230208122470512</v>
      </c>
      <c r="K45" s="107" t="n">
        <v>1</v>
      </c>
      <c r="L45" s="108" t="n">
        <f aca="false">(Yield_Originals!$G45*Yield_Originals!L$1)/Yield_Originals!$K45</f>
        <v>0.272914200446484</v>
      </c>
      <c r="M45" s="108" t="n">
        <f aca="false">(Yield_Originals!$G45*Yield_Originals!M$1)/Yield_Originals!$K45</f>
        <v>0.281442769210437</v>
      </c>
      <c r="N45" s="108" t="n">
        <f aca="false">(Yield_Originals!$G45*Yield_Originals!N$1)/Yield_Originals!$K45</f>
        <v>0.289971337974389</v>
      </c>
      <c r="O45" s="108" t="n">
        <f aca="false">(Yield_Originals!$G45*Yield_Originals!O$1)/Yield_Originals!$K45</f>
        <v>0.298499906738342</v>
      </c>
      <c r="P45" s="109" t="n">
        <f aca="false">(Yield_Originals!$H45*Yield_Originals!P$1)/Yield_Originals!$K45</f>
        <v>0.326576201897349</v>
      </c>
      <c r="Q45" s="109" t="n">
        <f aca="false">(Yield_Originals!$H45*Yield_Originals!Q$1)/Yield_Originals!$K45</f>
        <v>0.335647763061164</v>
      </c>
      <c r="R45" s="109" t="n">
        <f aca="false">(Yield_Originals!$H45*Yield_Originals!R$1)/Yield_Originals!$K45</f>
        <v>0.34471932422498</v>
      </c>
      <c r="S45" s="109" t="n">
        <f aca="false">(Yield_Originals!$H45*Yield_Originals!S$1)/Yield_Originals!$K45</f>
        <v>0.353790885388795</v>
      </c>
      <c r="T45" s="111" t="n">
        <f aca="false">(Yield_Originals!$I45*Yield_Originals!T$1)/Yield_Originals!$K45</f>
        <v>0.384582142547117</v>
      </c>
      <c r="U45" s="111" t="n">
        <f aca="false">(Yield_Originals!$I45*Yield_Originals!U$1)/Yield_Originals!$K45</f>
        <v>0.394196696110794</v>
      </c>
      <c r="V45" s="111" t="n">
        <f aca="false">(Yield_Originals!$I45*Yield_Originals!V$1)/Yield_Originals!$K45</f>
        <v>0.403811249674472</v>
      </c>
      <c r="W45" s="111" t="n">
        <f aca="false">(Yield_Originals!$I45*Yield_Originals!W$1)/Yield_Originals!$K45</f>
        <v>0.41342580323815</v>
      </c>
      <c r="X45" s="112" t="n">
        <f aca="false">(Yield_Originals!$J45*Yield_Originals!X$1)/Yield_Originals!$K45</f>
        <v>0.379843402076345</v>
      </c>
      <c r="Y45" s="112" t="n">
        <f aca="false">(Yield_Originals!$J45*Yield_Originals!Y$1)/Yield_Originals!$K45</f>
        <v>0.388476206668989</v>
      </c>
      <c r="Z45" s="112" t="n">
        <f aca="false">(Yield_Originals!$J45*Yield_Originals!Z$1)/Yield_Originals!$K45</f>
        <v>0.397109011261633</v>
      </c>
      <c r="AA45" s="112" t="n">
        <f aca="false">(Yield_Originals!$J45*Yield_Originals!AA$1)/Yield_Originals!$K45</f>
        <v>0.405741815854277</v>
      </c>
      <c r="AB45" s="112" t="n">
        <f aca="false">(Yield_Originals!$J45*Yield_Originals!AB$1)/Yield_Originals!$K45</f>
        <v>0.414374620446921</v>
      </c>
    </row>
    <row r="46" customFormat="false" ht="15" hidden="false" customHeight="false" outlineLevel="0" collapsed="false">
      <c r="A46" s="68" t="s">
        <v>614</v>
      </c>
      <c r="B46" s="68" t="n">
        <v>2</v>
      </c>
      <c r="C46" s="38" t="s">
        <v>650</v>
      </c>
      <c r="D46" s="38" t="s">
        <v>1237</v>
      </c>
      <c r="E46" s="104" t="n">
        <v>17</v>
      </c>
      <c r="F46" s="106" t="n">
        <v>0.22742850037207</v>
      </c>
      <c r="G46" s="106" t="n">
        <v>0.22742850037207</v>
      </c>
      <c r="H46" s="106" t="n">
        <v>0.24190829770174</v>
      </c>
      <c r="I46" s="106" t="n">
        <v>0.256388095031411</v>
      </c>
      <c r="J46" s="106" t="n">
        <v>0.230208122470512</v>
      </c>
      <c r="K46" s="107" t="n">
        <v>1</v>
      </c>
      <c r="L46" s="108" t="n">
        <f aca="false">(Yield_Originals!$G46*Yield_Originals!L$1)/Yield_Originals!$K46</f>
        <v>0.272914200446484</v>
      </c>
      <c r="M46" s="108" t="n">
        <f aca="false">(Yield_Originals!$G46*Yield_Originals!M$1)/Yield_Originals!$K46</f>
        <v>0.281442769210437</v>
      </c>
      <c r="N46" s="108" t="n">
        <f aca="false">(Yield_Originals!$G46*Yield_Originals!N$1)/Yield_Originals!$K46</f>
        <v>0.289971337974389</v>
      </c>
      <c r="O46" s="108" t="n">
        <f aca="false">(Yield_Originals!$G46*Yield_Originals!O$1)/Yield_Originals!$K46</f>
        <v>0.298499906738342</v>
      </c>
      <c r="P46" s="109" t="n">
        <f aca="false">(Yield_Originals!$H46*Yield_Originals!P$1)/Yield_Originals!$K46</f>
        <v>0.326576201897349</v>
      </c>
      <c r="Q46" s="109" t="n">
        <f aca="false">(Yield_Originals!$H46*Yield_Originals!Q$1)/Yield_Originals!$K46</f>
        <v>0.335647763061164</v>
      </c>
      <c r="R46" s="109" t="n">
        <f aca="false">(Yield_Originals!$H46*Yield_Originals!R$1)/Yield_Originals!$K46</f>
        <v>0.34471932422498</v>
      </c>
      <c r="S46" s="109" t="n">
        <f aca="false">(Yield_Originals!$H46*Yield_Originals!S$1)/Yield_Originals!$K46</f>
        <v>0.353790885388795</v>
      </c>
      <c r="T46" s="111" t="n">
        <f aca="false">(Yield_Originals!$I46*Yield_Originals!T$1)/Yield_Originals!$K46</f>
        <v>0.384582142547117</v>
      </c>
      <c r="U46" s="111" t="n">
        <f aca="false">(Yield_Originals!$I46*Yield_Originals!U$1)/Yield_Originals!$K46</f>
        <v>0.394196696110794</v>
      </c>
      <c r="V46" s="111" t="n">
        <f aca="false">(Yield_Originals!$I46*Yield_Originals!V$1)/Yield_Originals!$K46</f>
        <v>0.403811249674472</v>
      </c>
      <c r="W46" s="111" t="n">
        <f aca="false">(Yield_Originals!$I46*Yield_Originals!W$1)/Yield_Originals!$K46</f>
        <v>0.41342580323815</v>
      </c>
      <c r="X46" s="112" t="n">
        <f aca="false">(Yield_Originals!$J46*Yield_Originals!X$1)/Yield_Originals!$K46</f>
        <v>0.379843402076345</v>
      </c>
      <c r="Y46" s="112" t="n">
        <f aca="false">(Yield_Originals!$J46*Yield_Originals!Y$1)/Yield_Originals!$K46</f>
        <v>0.388476206668989</v>
      </c>
      <c r="Z46" s="112" t="n">
        <f aca="false">(Yield_Originals!$J46*Yield_Originals!Z$1)/Yield_Originals!$K46</f>
        <v>0.397109011261633</v>
      </c>
      <c r="AA46" s="112" t="n">
        <f aca="false">(Yield_Originals!$J46*Yield_Originals!AA$1)/Yield_Originals!$K46</f>
        <v>0.405741815854277</v>
      </c>
      <c r="AB46" s="112" t="n">
        <f aca="false">(Yield_Originals!$J46*Yield_Originals!AB$1)/Yield_Originals!$K46</f>
        <v>0.414374620446921</v>
      </c>
    </row>
    <row r="47" customFormat="false" ht="15" hidden="false" customHeight="false" outlineLevel="0" collapsed="false">
      <c r="A47" s="68" t="s">
        <v>614</v>
      </c>
      <c r="B47" s="68" t="n">
        <v>2</v>
      </c>
      <c r="C47" s="38" t="s">
        <v>121</v>
      </c>
      <c r="D47" s="38" t="s">
        <v>1238</v>
      </c>
      <c r="E47" s="104" t="n">
        <v>10</v>
      </c>
      <c r="F47" s="106" t="n">
        <v>0.22742850037207</v>
      </c>
      <c r="G47" s="106" t="n">
        <v>0.22742850037207</v>
      </c>
      <c r="H47" s="106" t="n">
        <v>0.24190829770174</v>
      </c>
      <c r="I47" s="106" t="n">
        <v>0.256388095031411</v>
      </c>
      <c r="J47" s="106" t="n">
        <v>0.230208122470512</v>
      </c>
      <c r="K47" s="107" t="n">
        <v>1</v>
      </c>
      <c r="L47" s="108" t="n">
        <f aca="false">(Yield_Originals!$G47*Yield_Originals!L$1)/Yield_Originals!$K47</f>
        <v>0.272914200446484</v>
      </c>
      <c r="M47" s="108" t="n">
        <f aca="false">(Yield_Originals!$G47*Yield_Originals!M$1)/Yield_Originals!$K47</f>
        <v>0.281442769210437</v>
      </c>
      <c r="N47" s="108" t="n">
        <f aca="false">(Yield_Originals!$G47*Yield_Originals!N$1)/Yield_Originals!$K47</f>
        <v>0.289971337974389</v>
      </c>
      <c r="O47" s="108" t="n">
        <f aca="false">(Yield_Originals!$G47*Yield_Originals!O$1)/Yield_Originals!$K47</f>
        <v>0.298499906738342</v>
      </c>
      <c r="P47" s="109" t="n">
        <f aca="false">(Yield_Originals!$H47*Yield_Originals!P$1)/Yield_Originals!$K47</f>
        <v>0.326576201897349</v>
      </c>
      <c r="Q47" s="109" t="n">
        <f aca="false">(Yield_Originals!$H47*Yield_Originals!Q$1)/Yield_Originals!$K47</f>
        <v>0.335647763061164</v>
      </c>
      <c r="R47" s="109" t="n">
        <f aca="false">(Yield_Originals!$H47*Yield_Originals!R$1)/Yield_Originals!$K47</f>
        <v>0.34471932422498</v>
      </c>
      <c r="S47" s="109" t="n">
        <f aca="false">(Yield_Originals!$H47*Yield_Originals!S$1)/Yield_Originals!$K47</f>
        <v>0.353790885388795</v>
      </c>
      <c r="T47" s="111" t="n">
        <f aca="false">(Yield_Originals!$I47*Yield_Originals!T$1)/Yield_Originals!$K47</f>
        <v>0.384582142547117</v>
      </c>
      <c r="U47" s="111" t="n">
        <f aca="false">(Yield_Originals!$I47*Yield_Originals!U$1)/Yield_Originals!$K47</f>
        <v>0.394196696110794</v>
      </c>
      <c r="V47" s="111" t="n">
        <f aca="false">(Yield_Originals!$I47*Yield_Originals!V$1)/Yield_Originals!$K47</f>
        <v>0.403811249674472</v>
      </c>
      <c r="W47" s="111" t="n">
        <f aca="false">(Yield_Originals!$I47*Yield_Originals!W$1)/Yield_Originals!$K47</f>
        <v>0.41342580323815</v>
      </c>
      <c r="X47" s="112" t="n">
        <f aca="false">(Yield_Originals!$J47*Yield_Originals!X$1)/Yield_Originals!$K47</f>
        <v>0.379843402076345</v>
      </c>
      <c r="Y47" s="112" t="n">
        <f aca="false">(Yield_Originals!$J47*Yield_Originals!Y$1)/Yield_Originals!$K47</f>
        <v>0.388476206668989</v>
      </c>
      <c r="Z47" s="112" t="n">
        <f aca="false">(Yield_Originals!$J47*Yield_Originals!Z$1)/Yield_Originals!$K47</f>
        <v>0.397109011261633</v>
      </c>
      <c r="AA47" s="112" t="n">
        <f aca="false">(Yield_Originals!$J47*Yield_Originals!AA$1)/Yield_Originals!$K47</f>
        <v>0.405741815854277</v>
      </c>
      <c r="AB47" s="112" t="n">
        <f aca="false">(Yield_Originals!$J47*Yield_Originals!AB$1)/Yield_Originals!$K47</f>
        <v>0.414374620446921</v>
      </c>
    </row>
    <row r="48" customFormat="false" ht="15" hidden="false" customHeight="false" outlineLevel="0" collapsed="false">
      <c r="A48" s="68" t="s">
        <v>614</v>
      </c>
      <c r="B48" s="68" t="n">
        <v>2</v>
      </c>
      <c r="C48" s="38" t="s">
        <v>121</v>
      </c>
      <c r="D48" s="38" t="s">
        <v>1238</v>
      </c>
      <c r="E48" s="104" t="n">
        <v>17</v>
      </c>
      <c r="F48" s="106" t="n">
        <v>0.22742850037207</v>
      </c>
      <c r="G48" s="106" t="n">
        <v>0.22742850037207</v>
      </c>
      <c r="H48" s="106" t="n">
        <v>0.24190829770174</v>
      </c>
      <c r="I48" s="106" t="n">
        <v>0.256388095031411</v>
      </c>
      <c r="J48" s="106" t="n">
        <v>0.230208122470512</v>
      </c>
      <c r="K48" s="107" t="n">
        <v>1</v>
      </c>
      <c r="L48" s="108" t="n">
        <f aca="false">(Yield_Originals!$G48*Yield_Originals!L$1)/Yield_Originals!$K48</f>
        <v>0.272914200446484</v>
      </c>
      <c r="M48" s="108" t="n">
        <f aca="false">(Yield_Originals!$G48*Yield_Originals!M$1)/Yield_Originals!$K48</f>
        <v>0.281442769210437</v>
      </c>
      <c r="N48" s="108" t="n">
        <f aca="false">(Yield_Originals!$G48*Yield_Originals!N$1)/Yield_Originals!$K48</f>
        <v>0.289971337974389</v>
      </c>
      <c r="O48" s="108" t="n">
        <f aca="false">(Yield_Originals!$G48*Yield_Originals!O$1)/Yield_Originals!$K48</f>
        <v>0.298499906738342</v>
      </c>
      <c r="P48" s="109" t="n">
        <f aca="false">(Yield_Originals!$H48*Yield_Originals!P$1)/Yield_Originals!$K48</f>
        <v>0.326576201897349</v>
      </c>
      <c r="Q48" s="109" t="n">
        <f aca="false">(Yield_Originals!$H48*Yield_Originals!Q$1)/Yield_Originals!$K48</f>
        <v>0.335647763061164</v>
      </c>
      <c r="R48" s="109" t="n">
        <f aca="false">(Yield_Originals!$H48*Yield_Originals!R$1)/Yield_Originals!$K48</f>
        <v>0.34471932422498</v>
      </c>
      <c r="S48" s="109" t="n">
        <f aca="false">(Yield_Originals!$H48*Yield_Originals!S$1)/Yield_Originals!$K48</f>
        <v>0.353790885388795</v>
      </c>
      <c r="T48" s="111" t="n">
        <f aca="false">(Yield_Originals!$I48*Yield_Originals!T$1)/Yield_Originals!$K48</f>
        <v>0.384582142547117</v>
      </c>
      <c r="U48" s="111" t="n">
        <f aca="false">(Yield_Originals!$I48*Yield_Originals!U$1)/Yield_Originals!$K48</f>
        <v>0.394196696110794</v>
      </c>
      <c r="V48" s="111" t="n">
        <f aca="false">(Yield_Originals!$I48*Yield_Originals!V$1)/Yield_Originals!$K48</f>
        <v>0.403811249674472</v>
      </c>
      <c r="W48" s="111" t="n">
        <f aca="false">(Yield_Originals!$I48*Yield_Originals!W$1)/Yield_Originals!$K48</f>
        <v>0.41342580323815</v>
      </c>
      <c r="X48" s="112" t="n">
        <f aca="false">(Yield_Originals!$J48*Yield_Originals!X$1)/Yield_Originals!$K48</f>
        <v>0.379843402076345</v>
      </c>
      <c r="Y48" s="112" t="n">
        <f aca="false">(Yield_Originals!$J48*Yield_Originals!Y$1)/Yield_Originals!$K48</f>
        <v>0.388476206668989</v>
      </c>
      <c r="Z48" s="112" t="n">
        <f aca="false">(Yield_Originals!$J48*Yield_Originals!Z$1)/Yield_Originals!$K48</f>
        <v>0.397109011261633</v>
      </c>
      <c r="AA48" s="112" t="n">
        <f aca="false">(Yield_Originals!$J48*Yield_Originals!AA$1)/Yield_Originals!$K48</f>
        <v>0.405741815854277</v>
      </c>
      <c r="AB48" s="112" t="n">
        <f aca="false">(Yield_Originals!$J48*Yield_Originals!AB$1)/Yield_Originals!$K48</f>
        <v>0.414374620446921</v>
      </c>
    </row>
    <row r="49" customFormat="false" ht="15" hidden="false" customHeight="false" outlineLevel="0" collapsed="false">
      <c r="A49" s="68" t="s">
        <v>614</v>
      </c>
      <c r="B49" s="68" t="n">
        <v>2</v>
      </c>
      <c r="C49" s="38" t="s">
        <v>223</v>
      </c>
      <c r="D49" s="38" t="s">
        <v>1238</v>
      </c>
      <c r="E49" s="104" t="n">
        <v>10</v>
      </c>
      <c r="F49" s="106" t="n">
        <v>0.22742850037207</v>
      </c>
      <c r="G49" s="106" t="n">
        <v>0.22742850037207</v>
      </c>
      <c r="H49" s="106" t="n">
        <v>0.24190829770174</v>
      </c>
      <c r="I49" s="106" t="n">
        <v>0.256388095031411</v>
      </c>
      <c r="J49" s="106" t="n">
        <v>0.230208122470512</v>
      </c>
      <c r="K49" s="107" t="n">
        <v>1</v>
      </c>
      <c r="L49" s="108" t="n">
        <f aca="false">(Yield_Originals!$G49*Yield_Originals!L$1)/Yield_Originals!$K49</f>
        <v>0.272914200446484</v>
      </c>
      <c r="M49" s="108" t="n">
        <f aca="false">(Yield_Originals!$G49*Yield_Originals!M$1)/Yield_Originals!$K49</f>
        <v>0.281442769210437</v>
      </c>
      <c r="N49" s="108" t="n">
        <f aca="false">(Yield_Originals!$G49*Yield_Originals!N$1)/Yield_Originals!$K49</f>
        <v>0.289971337974389</v>
      </c>
      <c r="O49" s="108" t="n">
        <f aca="false">(Yield_Originals!$G49*Yield_Originals!O$1)/Yield_Originals!$K49</f>
        <v>0.298499906738342</v>
      </c>
      <c r="P49" s="109" t="n">
        <f aca="false">(Yield_Originals!$H49*Yield_Originals!P$1)/Yield_Originals!$K49</f>
        <v>0.326576201897349</v>
      </c>
      <c r="Q49" s="109" t="n">
        <f aca="false">(Yield_Originals!$H49*Yield_Originals!Q$1)/Yield_Originals!$K49</f>
        <v>0.335647763061164</v>
      </c>
      <c r="R49" s="109" t="n">
        <f aca="false">(Yield_Originals!$H49*Yield_Originals!R$1)/Yield_Originals!$K49</f>
        <v>0.34471932422498</v>
      </c>
      <c r="S49" s="109" t="n">
        <f aca="false">(Yield_Originals!$H49*Yield_Originals!S$1)/Yield_Originals!$K49</f>
        <v>0.353790885388795</v>
      </c>
      <c r="T49" s="111" t="n">
        <f aca="false">(Yield_Originals!$I49*Yield_Originals!T$1)/Yield_Originals!$K49</f>
        <v>0.384582142547117</v>
      </c>
      <c r="U49" s="111" t="n">
        <f aca="false">(Yield_Originals!$I49*Yield_Originals!U$1)/Yield_Originals!$K49</f>
        <v>0.394196696110794</v>
      </c>
      <c r="V49" s="111" t="n">
        <f aca="false">(Yield_Originals!$I49*Yield_Originals!V$1)/Yield_Originals!$K49</f>
        <v>0.403811249674472</v>
      </c>
      <c r="W49" s="111" t="n">
        <f aca="false">(Yield_Originals!$I49*Yield_Originals!W$1)/Yield_Originals!$K49</f>
        <v>0.41342580323815</v>
      </c>
      <c r="X49" s="112" t="n">
        <f aca="false">(Yield_Originals!$J49*Yield_Originals!X$1)/Yield_Originals!$K49</f>
        <v>0.379843402076345</v>
      </c>
      <c r="Y49" s="112" t="n">
        <f aca="false">(Yield_Originals!$J49*Yield_Originals!Y$1)/Yield_Originals!$K49</f>
        <v>0.388476206668989</v>
      </c>
      <c r="Z49" s="112" t="n">
        <f aca="false">(Yield_Originals!$J49*Yield_Originals!Z$1)/Yield_Originals!$K49</f>
        <v>0.397109011261633</v>
      </c>
      <c r="AA49" s="112" t="n">
        <f aca="false">(Yield_Originals!$J49*Yield_Originals!AA$1)/Yield_Originals!$K49</f>
        <v>0.405741815854277</v>
      </c>
      <c r="AB49" s="112" t="n">
        <f aca="false">(Yield_Originals!$J49*Yield_Originals!AB$1)/Yield_Originals!$K49</f>
        <v>0.414374620446921</v>
      </c>
    </row>
    <row r="50" customFormat="false" ht="15" hidden="false" customHeight="false" outlineLevel="0" collapsed="false">
      <c r="A50" s="68" t="s">
        <v>614</v>
      </c>
      <c r="B50" s="68" t="n">
        <v>2</v>
      </c>
      <c r="C50" s="38" t="s">
        <v>223</v>
      </c>
      <c r="D50" s="38" t="s">
        <v>1238</v>
      </c>
      <c r="E50" s="104" t="n">
        <v>17</v>
      </c>
      <c r="F50" s="106" t="n">
        <v>0.22742850037207</v>
      </c>
      <c r="G50" s="106" t="n">
        <v>0.22742850037207</v>
      </c>
      <c r="H50" s="106" t="n">
        <v>0.24190829770174</v>
      </c>
      <c r="I50" s="106" t="n">
        <v>0.256388095031411</v>
      </c>
      <c r="J50" s="106" t="n">
        <v>0.230208122470512</v>
      </c>
      <c r="K50" s="107" t="n">
        <v>1</v>
      </c>
      <c r="L50" s="108" t="n">
        <f aca="false">(Yield_Originals!$G50*Yield_Originals!L$1)/Yield_Originals!$K50</f>
        <v>0.272914200446484</v>
      </c>
      <c r="M50" s="108" t="n">
        <f aca="false">(Yield_Originals!$G50*Yield_Originals!M$1)/Yield_Originals!$K50</f>
        <v>0.281442769210437</v>
      </c>
      <c r="N50" s="108" t="n">
        <f aca="false">(Yield_Originals!$G50*Yield_Originals!N$1)/Yield_Originals!$K50</f>
        <v>0.289971337974389</v>
      </c>
      <c r="O50" s="108" t="n">
        <f aca="false">(Yield_Originals!$G50*Yield_Originals!O$1)/Yield_Originals!$K50</f>
        <v>0.298499906738342</v>
      </c>
      <c r="P50" s="109" t="n">
        <f aca="false">(Yield_Originals!$H50*Yield_Originals!P$1)/Yield_Originals!$K50</f>
        <v>0.326576201897349</v>
      </c>
      <c r="Q50" s="109" t="n">
        <f aca="false">(Yield_Originals!$H50*Yield_Originals!Q$1)/Yield_Originals!$K50</f>
        <v>0.335647763061164</v>
      </c>
      <c r="R50" s="109" t="n">
        <f aca="false">(Yield_Originals!$H50*Yield_Originals!R$1)/Yield_Originals!$K50</f>
        <v>0.34471932422498</v>
      </c>
      <c r="S50" s="109" t="n">
        <f aca="false">(Yield_Originals!$H50*Yield_Originals!S$1)/Yield_Originals!$K50</f>
        <v>0.353790885388795</v>
      </c>
      <c r="T50" s="111" t="n">
        <f aca="false">(Yield_Originals!$I50*Yield_Originals!T$1)/Yield_Originals!$K50</f>
        <v>0.384582142547117</v>
      </c>
      <c r="U50" s="111" t="n">
        <f aca="false">(Yield_Originals!$I50*Yield_Originals!U$1)/Yield_Originals!$K50</f>
        <v>0.394196696110794</v>
      </c>
      <c r="V50" s="111" t="n">
        <f aca="false">(Yield_Originals!$I50*Yield_Originals!V$1)/Yield_Originals!$K50</f>
        <v>0.403811249674472</v>
      </c>
      <c r="W50" s="111" t="n">
        <f aca="false">(Yield_Originals!$I50*Yield_Originals!W$1)/Yield_Originals!$K50</f>
        <v>0.41342580323815</v>
      </c>
      <c r="X50" s="112" t="n">
        <f aca="false">(Yield_Originals!$J50*Yield_Originals!X$1)/Yield_Originals!$K50</f>
        <v>0.379843402076345</v>
      </c>
      <c r="Y50" s="112" t="n">
        <f aca="false">(Yield_Originals!$J50*Yield_Originals!Y$1)/Yield_Originals!$K50</f>
        <v>0.388476206668989</v>
      </c>
      <c r="Z50" s="112" t="n">
        <f aca="false">(Yield_Originals!$J50*Yield_Originals!Z$1)/Yield_Originals!$K50</f>
        <v>0.397109011261633</v>
      </c>
      <c r="AA50" s="112" t="n">
        <f aca="false">(Yield_Originals!$J50*Yield_Originals!AA$1)/Yield_Originals!$K50</f>
        <v>0.405741815854277</v>
      </c>
      <c r="AB50" s="112" t="n">
        <f aca="false">(Yield_Originals!$J50*Yield_Originals!AB$1)/Yield_Originals!$K50</f>
        <v>0.414374620446921</v>
      </c>
    </row>
    <row r="51" customFormat="false" ht="15" hidden="false" customHeight="false" outlineLevel="0" collapsed="false">
      <c r="A51" s="68" t="s">
        <v>614</v>
      </c>
      <c r="B51" s="68" t="n">
        <v>2</v>
      </c>
      <c r="C51" s="38" t="s">
        <v>657</v>
      </c>
      <c r="D51" s="38" t="s">
        <v>1239</v>
      </c>
      <c r="E51" s="104" t="n">
        <v>10</v>
      </c>
      <c r="F51" s="106" t="n">
        <v>0.22742850037207</v>
      </c>
      <c r="G51" s="106" t="n">
        <v>0.22742850037207</v>
      </c>
      <c r="H51" s="106" t="n">
        <v>0.24190829770174</v>
      </c>
      <c r="I51" s="106" t="n">
        <v>0.256388095031411</v>
      </c>
      <c r="J51" s="106" t="n">
        <v>0.230208122470512</v>
      </c>
      <c r="K51" s="107" t="n">
        <v>1</v>
      </c>
      <c r="L51" s="108" t="n">
        <f aca="false">(Yield_Originals!$G51*Yield_Originals!L$1)/Yield_Originals!$K51</f>
        <v>0.272914200446484</v>
      </c>
      <c r="M51" s="108" t="n">
        <f aca="false">(Yield_Originals!$G51*Yield_Originals!M$1)/Yield_Originals!$K51</f>
        <v>0.281442769210437</v>
      </c>
      <c r="N51" s="108" t="n">
        <f aca="false">(Yield_Originals!$G51*Yield_Originals!N$1)/Yield_Originals!$K51</f>
        <v>0.289971337974389</v>
      </c>
      <c r="O51" s="108" t="n">
        <f aca="false">(Yield_Originals!$G51*Yield_Originals!O$1)/Yield_Originals!$K51</f>
        <v>0.298499906738342</v>
      </c>
      <c r="P51" s="109" t="n">
        <f aca="false">(Yield_Originals!$H51*Yield_Originals!P$1)/Yield_Originals!$K51</f>
        <v>0.326576201897349</v>
      </c>
      <c r="Q51" s="109" t="n">
        <f aca="false">(Yield_Originals!$H51*Yield_Originals!Q$1)/Yield_Originals!$K51</f>
        <v>0.335647763061164</v>
      </c>
      <c r="R51" s="109" t="n">
        <f aca="false">(Yield_Originals!$H51*Yield_Originals!R$1)/Yield_Originals!$K51</f>
        <v>0.34471932422498</v>
      </c>
      <c r="S51" s="109" t="n">
        <f aca="false">(Yield_Originals!$H51*Yield_Originals!S$1)/Yield_Originals!$K51</f>
        <v>0.353790885388795</v>
      </c>
      <c r="T51" s="111" t="n">
        <f aca="false">(Yield_Originals!$I51*Yield_Originals!T$1)/Yield_Originals!$K51</f>
        <v>0.384582142547117</v>
      </c>
      <c r="U51" s="111" t="n">
        <f aca="false">(Yield_Originals!$I51*Yield_Originals!U$1)/Yield_Originals!$K51</f>
        <v>0.394196696110794</v>
      </c>
      <c r="V51" s="111" t="n">
        <f aca="false">(Yield_Originals!$I51*Yield_Originals!V$1)/Yield_Originals!$K51</f>
        <v>0.403811249674472</v>
      </c>
      <c r="W51" s="111" t="n">
        <f aca="false">(Yield_Originals!$I51*Yield_Originals!W$1)/Yield_Originals!$K51</f>
        <v>0.41342580323815</v>
      </c>
      <c r="X51" s="112" t="n">
        <f aca="false">(Yield_Originals!$J51*Yield_Originals!X$1)/Yield_Originals!$K51</f>
        <v>0.379843402076345</v>
      </c>
      <c r="Y51" s="112" t="n">
        <f aca="false">(Yield_Originals!$J51*Yield_Originals!Y$1)/Yield_Originals!$K51</f>
        <v>0.388476206668989</v>
      </c>
      <c r="Z51" s="112" t="n">
        <f aca="false">(Yield_Originals!$J51*Yield_Originals!Z$1)/Yield_Originals!$K51</f>
        <v>0.397109011261633</v>
      </c>
      <c r="AA51" s="112" t="n">
        <f aca="false">(Yield_Originals!$J51*Yield_Originals!AA$1)/Yield_Originals!$K51</f>
        <v>0.405741815854277</v>
      </c>
      <c r="AB51" s="112" t="n">
        <f aca="false">(Yield_Originals!$J51*Yield_Originals!AB$1)/Yield_Originals!$K51</f>
        <v>0.414374620446921</v>
      </c>
    </row>
    <row r="52" customFormat="false" ht="15" hidden="false" customHeight="false" outlineLevel="0" collapsed="false">
      <c r="A52" s="68" t="s">
        <v>614</v>
      </c>
      <c r="B52" s="68" t="n">
        <v>2</v>
      </c>
      <c r="C52" s="38" t="s">
        <v>657</v>
      </c>
      <c r="D52" s="38" t="s">
        <v>1239</v>
      </c>
      <c r="E52" s="104" t="n">
        <v>17</v>
      </c>
      <c r="F52" s="106" t="n">
        <v>0.22742850037207</v>
      </c>
      <c r="G52" s="106" t="n">
        <v>0.22742850037207</v>
      </c>
      <c r="H52" s="106" t="n">
        <v>0.24190829770174</v>
      </c>
      <c r="I52" s="106" t="n">
        <v>0.256388095031411</v>
      </c>
      <c r="J52" s="106" t="n">
        <v>0.230208122470512</v>
      </c>
      <c r="K52" s="107" t="n">
        <v>1</v>
      </c>
      <c r="L52" s="108" t="n">
        <f aca="false">(Yield_Originals!$G52*Yield_Originals!L$1)/Yield_Originals!$K52</f>
        <v>0.272914200446484</v>
      </c>
      <c r="M52" s="108" t="n">
        <f aca="false">(Yield_Originals!$G52*Yield_Originals!M$1)/Yield_Originals!$K52</f>
        <v>0.281442769210437</v>
      </c>
      <c r="N52" s="108" t="n">
        <f aca="false">(Yield_Originals!$G52*Yield_Originals!N$1)/Yield_Originals!$K52</f>
        <v>0.289971337974389</v>
      </c>
      <c r="O52" s="108" t="n">
        <f aca="false">(Yield_Originals!$G52*Yield_Originals!O$1)/Yield_Originals!$K52</f>
        <v>0.298499906738342</v>
      </c>
      <c r="P52" s="109" t="n">
        <f aca="false">(Yield_Originals!$H52*Yield_Originals!P$1)/Yield_Originals!$K52</f>
        <v>0.326576201897349</v>
      </c>
      <c r="Q52" s="109" t="n">
        <f aca="false">(Yield_Originals!$H52*Yield_Originals!Q$1)/Yield_Originals!$K52</f>
        <v>0.335647763061164</v>
      </c>
      <c r="R52" s="109" t="n">
        <f aca="false">(Yield_Originals!$H52*Yield_Originals!R$1)/Yield_Originals!$K52</f>
        <v>0.34471932422498</v>
      </c>
      <c r="S52" s="109" t="n">
        <f aca="false">(Yield_Originals!$H52*Yield_Originals!S$1)/Yield_Originals!$K52</f>
        <v>0.353790885388795</v>
      </c>
      <c r="T52" s="111" t="n">
        <f aca="false">(Yield_Originals!$I52*Yield_Originals!T$1)/Yield_Originals!$K52</f>
        <v>0.384582142547117</v>
      </c>
      <c r="U52" s="111" t="n">
        <f aca="false">(Yield_Originals!$I52*Yield_Originals!U$1)/Yield_Originals!$K52</f>
        <v>0.394196696110794</v>
      </c>
      <c r="V52" s="111" t="n">
        <f aca="false">(Yield_Originals!$I52*Yield_Originals!V$1)/Yield_Originals!$K52</f>
        <v>0.403811249674472</v>
      </c>
      <c r="W52" s="111" t="n">
        <f aca="false">(Yield_Originals!$I52*Yield_Originals!W$1)/Yield_Originals!$K52</f>
        <v>0.41342580323815</v>
      </c>
      <c r="X52" s="112" t="n">
        <f aca="false">(Yield_Originals!$J52*Yield_Originals!X$1)/Yield_Originals!$K52</f>
        <v>0.379843402076345</v>
      </c>
      <c r="Y52" s="112" t="n">
        <f aca="false">(Yield_Originals!$J52*Yield_Originals!Y$1)/Yield_Originals!$K52</f>
        <v>0.388476206668989</v>
      </c>
      <c r="Z52" s="112" t="n">
        <f aca="false">(Yield_Originals!$J52*Yield_Originals!Z$1)/Yield_Originals!$K52</f>
        <v>0.397109011261633</v>
      </c>
      <c r="AA52" s="112" t="n">
        <f aca="false">(Yield_Originals!$J52*Yield_Originals!AA$1)/Yield_Originals!$K52</f>
        <v>0.405741815854277</v>
      </c>
      <c r="AB52" s="112" t="n">
        <f aca="false">(Yield_Originals!$J52*Yield_Originals!AB$1)/Yield_Originals!$K52</f>
        <v>0.414374620446921</v>
      </c>
    </row>
    <row r="53" customFormat="false" ht="15" hidden="false" customHeight="false" outlineLevel="0" collapsed="false">
      <c r="A53" s="68" t="s">
        <v>614</v>
      </c>
      <c r="B53" s="68" t="n">
        <v>2</v>
      </c>
      <c r="C53" s="103" t="s">
        <v>660</v>
      </c>
      <c r="D53" s="103" t="s">
        <v>643</v>
      </c>
      <c r="E53" s="104" t="n">
        <v>10</v>
      </c>
      <c r="F53" s="106" t="n">
        <v>0.22742850037207</v>
      </c>
      <c r="G53" s="106" t="n">
        <v>0.22742850037207</v>
      </c>
      <c r="H53" s="106" t="n">
        <v>0.24190829770174</v>
      </c>
      <c r="I53" s="106" t="n">
        <v>0.256388095031411</v>
      </c>
      <c r="J53" s="106" t="n">
        <v>0.230208122470512</v>
      </c>
      <c r="K53" s="107" t="n">
        <v>1</v>
      </c>
      <c r="L53" s="108" t="n">
        <f aca="false">(Yield_Originals!$G53*Yield_Originals!L$1)/Yield_Originals!$K53</f>
        <v>0.272914200446484</v>
      </c>
      <c r="M53" s="108" t="n">
        <f aca="false">(Yield_Originals!$G53*Yield_Originals!M$1)/Yield_Originals!$K53</f>
        <v>0.281442769210437</v>
      </c>
      <c r="N53" s="108" t="n">
        <f aca="false">(Yield_Originals!$G53*Yield_Originals!N$1)/Yield_Originals!$K53</f>
        <v>0.289971337974389</v>
      </c>
      <c r="O53" s="108" t="n">
        <f aca="false">(Yield_Originals!$G53*Yield_Originals!O$1)/Yield_Originals!$K53</f>
        <v>0.298499906738342</v>
      </c>
      <c r="P53" s="109" t="n">
        <f aca="false">(Yield_Originals!$H53*Yield_Originals!P$1)/Yield_Originals!$K53</f>
        <v>0.326576201897349</v>
      </c>
      <c r="Q53" s="109" t="n">
        <f aca="false">(Yield_Originals!$H53*Yield_Originals!Q$1)/Yield_Originals!$K53</f>
        <v>0.335647763061164</v>
      </c>
      <c r="R53" s="109" t="n">
        <f aca="false">(Yield_Originals!$H53*Yield_Originals!R$1)/Yield_Originals!$K53</f>
        <v>0.34471932422498</v>
      </c>
      <c r="S53" s="109" t="n">
        <f aca="false">(Yield_Originals!$H53*Yield_Originals!S$1)/Yield_Originals!$K53</f>
        <v>0.353790885388795</v>
      </c>
      <c r="T53" s="111" t="n">
        <f aca="false">(Yield_Originals!$I53*Yield_Originals!T$1)/Yield_Originals!$K53</f>
        <v>0.384582142547117</v>
      </c>
      <c r="U53" s="111" t="n">
        <f aca="false">(Yield_Originals!$I53*Yield_Originals!U$1)/Yield_Originals!$K53</f>
        <v>0.394196696110794</v>
      </c>
      <c r="V53" s="111" t="n">
        <f aca="false">(Yield_Originals!$I53*Yield_Originals!V$1)/Yield_Originals!$K53</f>
        <v>0.403811249674472</v>
      </c>
      <c r="W53" s="111" t="n">
        <f aca="false">(Yield_Originals!$I53*Yield_Originals!W$1)/Yield_Originals!$K53</f>
        <v>0.41342580323815</v>
      </c>
      <c r="X53" s="112" t="n">
        <f aca="false">(Yield_Originals!$J53*Yield_Originals!X$1)/Yield_Originals!$K53</f>
        <v>0.379843402076345</v>
      </c>
      <c r="Y53" s="112" t="n">
        <f aca="false">(Yield_Originals!$J53*Yield_Originals!Y$1)/Yield_Originals!$K53</f>
        <v>0.388476206668989</v>
      </c>
      <c r="Z53" s="112" t="n">
        <f aca="false">(Yield_Originals!$J53*Yield_Originals!Z$1)/Yield_Originals!$K53</f>
        <v>0.397109011261633</v>
      </c>
      <c r="AA53" s="112" t="n">
        <f aca="false">(Yield_Originals!$J53*Yield_Originals!AA$1)/Yield_Originals!$K53</f>
        <v>0.405741815854277</v>
      </c>
      <c r="AB53" s="112" t="n">
        <f aca="false">(Yield_Originals!$J53*Yield_Originals!AB$1)/Yield_Originals!$K53</f>
        <v>0.414374620446921</v>
      </c>
    </row>
    <row r="54" customFormat="false" ht="15" hidden="false" customHeight="false" outlineLevel="0" collapsed="false">
      <c r="A54" s="68" t="s">
        <v>614</v>
      </c>
      <c r="B54" s="68" t="n">
        <v>2</v>
      </c>
      <c r="C54" s="38" t="s">
        <v>660</v>
      </c>
      <c r="D54" s="38" t="s">
        <v>643</v>
      </c>
      <c r="E54" s="104" t="n">
        <v>17</v>
      </c>
      <c r="F54" s="106" t="n">
        <v>0.22742850037207</v>
      </c>
      <c r="G54" s="106" t="n">
        <v>0.22742850037207</v>
      </c>
      <c r="H54" s="106" t="n">
        <v>0.24190829770174</v>
      </c>
      <c r="I54" s="106" t="n">
        <v>0.256388095031411</v>
      </c>
      <c r="J54" s="106" t="n">
        <v>0.230208122470512</v>
      </c>
      <c r="K54" s="107" t="n">
        <v>1</v>
      </c>
      <c r="L54" s="108" t="n">
        <f aca="false">(Yield_Originals!$G54*Yield_Originals!L$1)/Yield_Originals!$K54</f>
        <v>0.272914200446484</v>
      </c>
      <c r="M54" s="108" t="n">
        <f aca="false">(Yield_Originals!$G54*Yield_Originals!M$1)/Yield_Originals!$K54</f>
        <v>0.281442769210437</v>
      </c>
      <c r="N54" s="108" t="n">
        <f aca="false">(Yield_Originals!$G54*Yield_Originals!N$1)/Yield_Originals!$K54</f>
        <v>0.289971337974389</v>
      </c>
      <c r="O54" s="108" t="n">
        <f aca="false">(Yield_Originals!$G54*Yield_Originals!O$1)/Yield_Originals!$K54</f>
        <v>0.298499906738342</v>
      </c>
      <c r="P54" s="109" t="n">
        <f aca="false">(Yield_Originals!$H54*Yield_Originals!P$1)/Yield_Originals!$K54</f>
        <v>0.326576201897349</v>
      </c>
      <c r="Q54" s="109" t="n">
        <f aca="false">(Yield_Originals!$H54*Yield_Originals!Q$1)/Yield_Originals!$K54</f>
        <v>0.335647763061164</v>
      </c>
      <c r="R54" s="109" t="n">
        <f aca="false">(Yield_Originals!$H54*Yield_Originals!R$1)/Yield_Originals!$K54</f>
        <v>0.34471932422498</v>
      </c>
      <c r="S54" s="109" t="n">
        <f aca="false">(Yield_Originals!$H54*Yield_Originals!S$1)/Yield_Originals!$K54</f>
        <v>0.353790885388795</v>
      </c>
      <c r="T54" s="111" t="n">
        <f aca="false">(Yield_Originals!$I54*Yield_Originals!T$1)/Yield_Originals!$K54</f>
        <v>0.384582142547117</v>
      </c>
      <c r="U54" s="111" t="n">
        <f aca="false">(Yield_Originals!$I54*Yield_Originals!U$1)/Yield_Originals!$K54</f>
        <v>0.394196696110794</v>
      </c>
      <c r="V54" s="111" t="n">
        <f aca="false">(Yield_Originals!$I54*Yield_Originals!V$1)/Yield_Originals!$K54</f>
        <v>0.403811249674472</v>
      </c>
      <c r="W54" s="111" t="n">
        <f aca="false">(Yield_Originals!$I54*Yield_Originals!W$1)/Yield_Originals!$K54</f>
        <v>0.41342580323815</v>
      </c>
      <c r="X54" s="112" t="n">
        <f aca="false">(Yield_Originals!$J54*Yield_Originals!X$1)/Yield_Originals!$K54</f>
        <v>0.379843402076345</v>
      </c>
      <c r="Y54" s="112" t="n">
        <f aca="false">(Yield_Originals!$J54*Yield_Originals!Y$1)/Yield_Originals!$K54</f>
        <v>0.388476206668989</v>
      </c>
      <c r="Z54" s="112" t="n">
        <f aca="false">(Yield_Originals!$J54*Yield_Originals!Z$1)/Yield_Originals!$K54</f>
        <v>0.397109011261633</v>
      </c>
      <c r="AA54" s="112" t="n">
        <f aca="false">(Yield_Originals!$J54*Yield_Originals!AA$1)/Yield_Originals!$K54</f>
        <v>0.405741815854277</v>
      </c>
      <c r="AB54" s="112" t="n">
        <f aca="false">(Yield_Originals!$J54*Yield_Originals!AB$1)/Yield_Originals!$K54</f>
        <v>0.414374620446921</v>
      </c>
    </row>
    <row r="55" customFormat="false" ht="15" hidden="false" customHeight="false" outlineLevel="0" collapsed="false">
      <c r="A55" s="68" t="s">
        <v>614</v>
      </c>
      <c r="B55" s="68" t="n">
        <v>2</v>
      </c>
      <c r="C55" s="38" t="s">
        <v>664</v>
      </c>
      <c r="D55" s="38" t="s">
        <v>1240</v>
      </c>
      <c r="E55" s="104" t="n">
        <v>10</v>
      </c>
      <c r="F55" s="106" t="n">
        <v>0.22742850037207</v>
      </c>
      <c r="G55" s="106" t="n">
        <v>0.22742850037207</v>
      </c>
      <c r="H55" s="106" t="n">
        <v>0.24190829770174</v>
      </c>
      <c r="I55" s="106" t="n">
        <v>0.256388095031411</v>
      </c>
      <c r="J55" s="106" t="n">
        <v>0.230208122470512</v>
      </c>
      <c r="K55" s="107" t="n">
        <v>1</v>
      </c>
      <c r="L55" s="108" t="n">
        <f aca="false">(Yield_Originals!$G55*Yield_Originals!L$1)/Yield_Originals!$K55</f>
        <v>0.272914200446484</v>
      </c>
      <c r="M55" s="108" t="n">
        <f aca="false">(Yield_Originals!$G55*Yield_Originals!M$1)/Yield_Originals!$K55</f>
        <v>0.281442769210437</v>
      </c>
      <c r="N55" s="108" t="n">
        <f aca="false">(Yield_Originals!$G55*Yield_Originals!N$1)/Yield_Originals!$K55</f>
        <v>0.289971337974389</v>
      </c>
      <c r="O55" s="108" t="n">
        <f aca="false">(Yield_Originals!$G55*Yield_Originals!O$1)/Yield_Originals!$K55</f>
        <v>0.298499906738342</v>
      </c>
      <c r="P55" s="109" t="n">
        <f aca="false">(Yield_Originals!$H55*Yield_Originals!P$1)/Yield_Originals!$K55</f>
        <v>0.326576201897349</v>
      </c>
      <c r="Q55" s="109" t="n">
        <f aca="false">(Yield_Originals!$H55*Yield_Originals!Q$1)/Yield_Originals!$K55</f>
        <v>0.335647763061164</v>
      </c>
      <c r="R55" s="109" t="n">
        <f aca="false">(Yield_Originals!$H55*Yield_Originals!R$1)/Yield_Originals!$K55</f>
        <v>0.34471932422498</v>
      </c>
      <c r="S55" s="109" t="n">
        <f aca="false">(Yield_Originals!$H55*Yield_Originals!S$1)/Yield_Originals!$K55</f>
        <v>0.353790885388795</v>
      </c>
      <c r="T55" s="111" t="n">
        <f aca="false">(Yield_Originals!$I55*Yield_Originals!T$1)/Yield_Originals!$K55</f>
        <v>0.384582142547117</v>
      </c>
      <c r="U55" s="111" t="n">
        <f aca="false">(Yield_Originals!$I55*Yield_Originals!U$1)/Yield_Originals!$K55</f>
        <v>0.394196696110794</v>
      </c>
      <c r="V55" s="111" t="n">
        <f aca="false">(Yield_Originals!$I55*Yield_Originals!V$1)/Yield_Originals!$K55</f>
        <v>0.403811249674472</v>
      </c>
      <c r="W55" s="111" t="n">
        <f aca="false">(Yield_Originals!$I55*Yield_Originals!W$1)/Yield_Originals!$K55</f>
        <v>0.41342580323815</v>
      </c>
      <c r="X55" s="112" t="n">
        <f aca="false">(Yield_Originals!$J55*Yield_Originals!X$1)/Yield_Originals!$K55</f>
        <v>0.379843402076345</v>
      </c>
      <c r="Y55" s="112" t="n">
        <f aca="false">(Yield_Originals!$J55*Yield_Originals!Y$1)/Yield_Originals!$K55</f>
        <v>0.388476206668989</v>
      </c>
      <c r="Z55" s="112" t="n">
        <f aca="false">(Yield_Originals!$J55*Yield_Originals!Z$1)/Yield_Originals!$K55</f>
        <v>0.397109011261633</v>
      </c>
      <c r="AA55" s="112" t="n">
        <f aca="false">(Yield_Originals!$J55*Yield_Originals!AA$1)/Yield_Originals!$K55</f>
        <v>0.405741815854277</v>
      </c>
      <c r="AB55" s="112" t="n">
        <f aca="false">(Yield_Originals!$J55*Yield_Originals!AB$1)/Yield_Originals!$K55</f>
        <v>0.414374620446921</v>
      </c>
    </row>
    <row r="56" customFormat="false" ht="15" hidden="false" customHeight="false" outlineLevel="0" collapsed="false">
      <c r="A56" s="68" t="s">
        <v>614</v>
      </c>
      <c r="B56" s="68" t="n">
        <v>2</v>
      </c>
      <c r="C56" s="38" t="s">
        <v>664</v>
      </c>
      <c r="D56" s="38" t="s">
        <v>1240</v>
      </c>
      <c r="E56" s="104" t="n">
        <v>17</v>
      </c>
      <c r="F56" s="106" t="n">
        <v>0.22742850037207</v>
      </c>
      <c r="G56" s="106" t="n">
        <v>0.22742850037207</v>
      </c>
      <c r="H56" s="106" t="n">
        <v>0.24190829770174</v>
      </c>
      <c r="I56" s="106" t="n">
        <v>0.256388095031411</v>
      </c>
      <c r="J56" s="106" t="n">
        <v>0.230208122470512</v>
      </c>
      <c r="K56" s="107" t="n">
        <v>1</v>
      </c>
      <c r="L56" s="108" t="n">
        <f aca="false">(Yield_Originals!$G56*Yield_Originals!L$1)/Yield_Originals!$K56</f>
        <v>0.272914200446484</v>
      </c>
      <c r="M56" s="108" t="n">
        <f aca="false">(Yield_Originals!$G56*Yield_Originals!M$1)/Yield_Originals!$K56</f>
        <v>0.281442769210437</v>
      </c>
      <c r="N56" s="108" t="n">
        <f aca="false">(Yield_Originals!$G56*Yield_Originals!N$1)/Yield_Originals!$K56</f>
        <v>0.289971337974389</v>
      </c>
      <c r="O56" s="108" t="n">
        <f aca="false">(Yield_Originals!$G56*Yield_Originals!O$1)/Yield_Originals!$K56</f>
        <v>0.298499906738342</v>
      </c>
      <c r="P56" s="109" t="n">
        <f aca="false">(Yield_Originals!$H56*Yield_Originals!P$1)/Yield_Originals!$K56</f>
        <v>0.326576201897349</v>
      </c>
      <c r="Q56" s="109" t="n">
        <f aca="false">(Yield_Originals!$H56*Yield_Originals!Q$1)/Yield_Originals!$K56</f>
        <v>0.335647763061164</v>
      </c>
      <c r="R56" s="109" t="n">
        <f aca="false">(Yield_Originals!$H56*Yield_Originals!R$1)/Yield_Originals!$K56</f>
        <v>0.34471932422498</v>
      </c>
      <c r="S56" s="109" t="n">
        <f aca="false">(Yield_Originals!$H56*Yield_Originals!S$1)/Yield_Originals!$K56</f>
        <v>0.353790885388795</v>
      </c>
      <c r="T56" s="111" t="n">
        <f aca="false">(Yield_Originals!$I56*Yield_Originals!T$1)/Yield_Originals!$K56</f>
        <v>0.384582142547117</v>
      </c>
      <c r="U56" s="111" t="n">
        <f aca="false">(Yield_Originals!$I56*Yield_Originals!U$1)/Yield_Originals!$K56</f>
        <v>0.394196696110794</v>
      </c>
      <c r="V56" s="111" t="n">
        <f aca="false">(Yield_Originals!$I56*Yield_Originals!V$1)/Yield_Originals!$K56</f>
        <v>0.403811249674472</v>
      </c>
      <c r="W56" s="111" t="n">
        <f aca="false">(Yield_Originals!$I56*Yield_Originals!W$1)/Yield_Originals!$K56</f>
        <v>0.41342580323815</v>
      </c>
      <c r="X56" s="112" t="n">
        <f aca="false">(Yield_Originals!$J56*Yield_Originals!X$1)/Yield_Originals!$K56</f>
        <v>0.379843402076345</v>
      </c>
      <c r="Y56" s="112" t="n">
        <f aca="false">(Yield_Originals!$J56*Yield_Originals!Y$1)/Yield_Originals!$K56</f>
        <v>0.388476206668989</v>
      </c>
      <c r="Z56" s="112" t="n">
        <f aca="false">(Yield_Originals!$J56*Yield_Originals!Z$1)/Yield_Originals!$K56</f>
        <v>0.397109011261633</v>
      </c>
      <c r="AA56" s="112" t="n">
        <f aca="false">(Yield_Originals!$J56*Yield_Originals!AA$1)/Yield_Originals!$K56</f>
        <v>0.405741815854277</v>
      </c>
      <c r="AB56" s="112" t="n">
        <f aca="false">(Yield_Originals!$J56*Yield_Originals!AB$1)/Yield_Originals!$K56</f>
        <v>0.414374620446921</v>
      </c>
    </row>
    <row r="57" customFormat="false" ht="15" hidden="false" customHeight="false" outlineLevel="0" collapsed="false">
      <c r="A57" s="70" t="s">
        <v>677</v>
      </c>
      <c r="B57" s="68" t="n">
        <v>2</v>
      </c>
      <c r="C57" s="103" t="s">
        <v>667</v>
      </c>
      <c r="D57" s="103" t="s">
        <v>683</v>
      </c>
      <c r="E57" s="104" t="n">
        <v>13</v>
      </c>
      <c r="F57" s="106" t="n">
        <v>0.22742850037207</v>
      </c>
      <c r="G57" s="106" t="n">
        <v>0.22742850037207</v>
      </c>
      <c r="H57" s="106" t="n">
        <f aca="false">+(Yield_Originals!I57+Yield_Originals!G57)/2</f>
        <v>0.24190829770174</v>
      </c>
      <c r="I57" s="106" t="n">
        <v>0.256388095031411</v>
      </c>
      <c r="J57" s="106" t="n">
        <v>0.230208122470512</v>
      </c>
      <c r="K57" s="107" t="n">
        <v>1</v>
      </c>
      <c r="L57" s="108" t="n">
        <f aca="false">(Yield_Originals!$G57*Yield_Originals!L$1)/Yield_Originals!$K57</f>
        <v>0.272914200446484</v>
      </c>
      <c r="M57" s="108" t="n">
        <f aca="false">(Yield_Originals!$G57*Yield_Originals!M$1)/Yield_Originals!$K57</f>
        <v>0.281442769210437</v>
      </c>
      <c r="N57" s="108" t="n">
        <f aca="false">(Yield_Originals!$G57*Yield_Originals!N$1)/Yield_Originals!$K57</f>
        <v>0.289971337974389</v>
      </c>
      <c r="O57" s="108" t="n">
        <f aca="false">(Yield_Originals!$G57*Yield_Originals!O$1)/Yield_Originals!$K57</f>
        <v>0.298499906738342</v>
      </c>
      <c r="P57" s="109"/>
      <c r="Q57" s="109"/>
      <c r="R57" s="109"/>
      <c r="S57" s="109"/>
      <c r="T57" s="111"/>
      <c r="U57" s="111"/>
      <c r="V57" s="111"/>
      <c r="W57" s="111"/>
      <c r="X57" s="112"/>
      <c r="Y57" s="112"/>
      <c r="Z57" s="112"/>
      <c r="AA57" s="112"/>
      <c r="AB57" s="112"/>
    </row>
    <row r="58" customFormat="false" ht="15" hidden="false" customHeight="false" outlineLevel="0" collapsed="false">
      <c r="A58" s="70" t="s">
        <v>677</v>
      </c>
      <c r="B58" s="68" t="n">
        <v>2</v>
      </c>
      <c r="C58" s="103" t="s">
        <v>667</v>
      </c>
      <c r="D58" s="103" t="s">
        <v>683</v>
      </c>
      <c r="E58" s="104" t="n">
        <v>20</v>
      </c>
      <c r="F58" s="106" t="n">
        <v>0.22742850037207</v>
      </c>
      <c r="G58" s="106" t="n">
        <v>0.22742850037207</v>
      </c>
      <c r="H58" s="106" t="n">
        <f aca="false">+(Yield_Originals!I58+Yield_Originals!G58)/2</f>
        <v>0.24190829770174</v>
      </c>
      <c r="I58" s="106" t="n">
        <v>0.256388095031411</v>
      </c>
      <c r="J58" s="106" t="n">
        <v>0.230208122470512</v>
      </c>
      <c r="K58" s="107" t="n">
        <v>1</v>
      </c>
      <c r="L58" s="108" t="n">
        <f aca="false">(Yield_Originals!$G58*Yield_Originals!L$1)/Yield_Originals!$K58</f>
        <v>0.272914200446484</v>
      </c>
      <c r="M58" s="108" t="n">
        <f aca="false">(Yield_Originals!$G58*Yield_Originals!M$1)/Yield_Originals!$K58</f>
        <v>0.281442769210437</v>
      </c>
      <c r="N58" s="108" t="n">
        <f aca="false">(Yield_Originals!$G58*Yield_Originals!N$1)/Yield_Originals!$K58</f>
        <v>0.289971337974389</v>
      </c>
      <c r="O58" s="108" t="n">
        <f aca="false">(Yield_Originals!$G58*Yield_Originals!O$1)/Yield_Originals!$K58</f>
        <v>0.298499906738342</v>
      </c>
      <c r="P58" s="109"/>
      <c r="Q58" s="109"/>
      <c r="R58" s="109"/>
      <c r="S58" s="109"/>
      <c r="T58" s="111"/>
      <c r="U58" s="111"/>
      <c r="V58" s="111"/>
      <c r="W58" s="111"/>
      <c r="X58" s="112"/>
      <c r="Y58" s="112"/>
      <c r="Z58" s="112"/>
      <c r="AA58" s="112"/>
      <c r="AB58" s="112"/>
    </row>
    <row r="59" customFormat="false" ht="15" hidden="false" customHeight="false" outlineLevel="0" collapsed="false">
      <c r="A59" s="70" t="s">
        <v>694</v>
      </c>
      <c r="B59" s="68" t="n">
        <v>2</v>
      </c>
      <c r="C59" s="103" t="s">
        <v>670</v>
      </c>
      <c r="D59" s="103" t="s">
        <v>697</v>
      </c>
      <c r="E59" s="104" t="n">
        <v>15</v>
      </c>
      <c r="F59" s="106" t="n">
        <v>0.22742850037207</v>
      </c>
      <c r="G59" s="106" t="n">
        <v>0.22742850037207</v>
      </c>
      <c r="H59" s="106" t="n">
        <f aca="false">+(Yield_Originals!I59+Yield_Originals!G59)/2</f>
        <v>0.24190829770174</v>
      </c>
      <c r="I59" s="106" t="n">
        <v>0.256388095031411</v>
      </c>
      <c r="J59" s="106" t="n">
        <v>0.230208122470512</v>
      </c>
      <c r="K59" s="107" t="n">
        <v>1</v>
      </c>
      <c r="L59" s="108" t="n">
        <f aca="false">(Yield_Originals!$G59*Yield_Originals!L$1)/Yield_Originals!$K59</f>
        <v>0.272914200446484</v>
      </c>
      <c r="M59" s="108" t="n">
        <f aca="false">(Yield_Originals!$G59*Yield_Originals!M$1)/Yield_Originals!$K59</f>
        <v>0.281442769210437</v>
      </c>
      <c r="N59" s="108" t="n">
        <f aca="false">(Yield_Originals!$G59*Yield_Originals!N$1)/Yield_Originals!$K59</f>
        <v>0.289971337974389</v>
      </c>
      <c r="O59" s="108" t="n">
        <f aca="false">(Yield_Originals!$G59*Yield_Originals!O$1)/Yield_Originals!$K59</f>
        <v>0.298499906738342</v>
      </c>
      <c r="P59" s="109" t="n">
        <f aca="false">(Yield_Originals!$H59*Yield_Originals!P$1)/Yield_Originals!$K59</f>
        <v>0.32657620189735</v>
      </c>
      <c r="Q59" s="109" t="n">
        <f aca="false">(Yield_Originals!$H59*Yield_Originals!Q$1)/Yield_Originals!$K59</f>
        <v>0.335647763061165</v>
      </c>
      <c r="R59" s="109" t="n">
        <f aca="false">(Yield_Originals!$H59*Yield_Originals!R$1)/Yield_Originals!$K59</f>
        <v>0.34471932422498</v>
      </c>
      <c r="S59" s="109" t="n">
        <f aca="false">(Yield_Originals!$H59*Yield_Originals!S$1)/Yield_Originals!$K59</f>
        <v>0.353790885388796</v>
      </c>
      <c r="T59" s="111" t="n">
        <f aca="false">(Yield_Originals!$I59*Yield_Originals!T$1)/Yield_Originals!$K59</f>
        <v>0.384582142547117</v>
      </c>
      <c r="U59" s="111" t="n">
        <f aca="false">(Yield_Originals!$I59*Yield_Originals!U$1)/Yield_Originals!$K59</f>
        <v>0.394196696110794</v>
      </c>
      <c r="V59" s="111" t="n">
        <f aca="false">(Yield_Originals!$I59*Yield_Originals!V$1)/Yield_Originals!$K59</f>
        <v>0.403811249674472</v>
      </c>
      <c r="W59" s="111" t="n">
        <f aca="false">(Yield_Originals!$I59*Yield_Originals!W$1)/Yield_Originals!$K59</f>
        <v>0.41342580323815</v>
      </c>
      <c r="X59" s="112" t="n">
        <f aca="false">(Yield_Originals!$J59*Yield_Originals!X$1)/Yield_Originals!$K59</f>
        <v>0.379843402076345</v>
      </c>
      <c r="Y59" s="112" t="n">
        <f aca="false">(Yield_Originals!$J59*Yield_Originals!Y$1)/Yield_Originals!$K59</f>
        <v>0.388476206668989</v>
      </c>
      <c r="Z59" s="112" t="n">
        <f aca="false">(Yield_Originals!$J59*Yield_Originals!Z$1)/Yield_Originals!$K59</f>
        <v>0.397109011261633</v>
      </c>
      <c r="AA59" s="112" t="n">
        <f aca="false">(Yield_Originals!$J59*Yield_Originals!AA$1)/Yield_Originals!$K59</f>
        <v>0.405741815854277</v>
      </c>
      <c r="AB59" s="112" t="n">
        <f aca="false">(Yield_Originals!$J59*Yield_Originals!AB$1)/Yield_Originals!$K59</f>
        <v>0.414374620446921</v>
      </c>
    </row>
    <row r="60" customFormat="false" ht="15" hidden="false" customHeight="false" outlineLevel="0" collapsed="false">
      <c r="A60" s="70" t="s">
        <v>694</v>
      </c>
      <c r="B60" s="68" t="n">
        <v>2</v>
      </c>
      <c r="C60" s="103" t="s">
        <v>670</v>
      </c>
      <c r="D60" s="103" t="s">
        <v>697</v>
      </c>
      <c r="E60" s="104" t="n">
        <v>22</v>
      </c>
      <c r="F60" s="106" t="n">
        <v>0.22742850037207</v>
      </c>
      <c r="G60" s="106" t="n">
        <v>0.22742850037207</v>
      </c>
      <c r="H60" s="106" t="n">
        <f aca="false">+(Yield_Originals!I60+Yield_Originals!G60)/2</f>
        <v>0.24190829770174</v>
      </c>
      <c r="I60" s="106" t="n">
        <v>0.256388095031411</v>
      </c>
      <c r="J60" s="106" t="n">
        <v>0.230208122470512</v>
      </c>
      <c r="K60" s="107" t="n">
        <v>1</v>
      </c>
      <c r="L60" s="108" t="n">
        <f aca="false">(Yield_Originals!$G60*Yield_Originals!L$1)/Yield_Originals!$K60</f>
        <v>0.272914200446484</v>
      </c>
      <c r="M60" s="108" t="n">
        <f aca="false">(Yield_Originals!$G60*Yield_Originals!M$1)/Yield_Originals!$K60</f>
        <v>0.281442769210437</v>
      </c>
      <c r="N60" s="108" t="n">
        <f aca="false">(Yield_Originals!$G60*Yield_Originals!N$1)/Yield_Originals!$K60</f>
        <v>0.289971337974389</v>
      </c>
      <c r="O60" s="108" t="n">
        <f aca="false">(Yield_Originals!$G60*Yield_Originals!O$1)/Yield_Originals!$K60</f>
        <v>0.298499906738342</v>
      </c>
      <c r="P60" s="109" t="n">
        <f aca="false">(Yield_Originals!$H60*Yield_Originals!P$1)/Yield_Originals!$K60</f>
        <v>0.32657620189735</v>
      </c>
      <c r="Q60" s="109" t="n">
        <f aca="false">(Yield_Originals!$H60*Yield_Originals!Q$1)/Yield_Originals!$K60</f>
        <v>0.335647763061165</v>
      </c>
      <c r="R60" s="109" t="n">
        <f aca="false">(Yield_Originals!$H60*Yield_Originals!R$1)/Yield_Originals!$K60</f>
        <v>0.34471932422498</v>
      </c>
      <c r="S60" s="109" t="n">
        <f aca="false">(Yield_Originals!$H60*Yield_Originals!S$1)/Yield_Originals!$K60</f>
        <v>0.353790885388796</v>
      </c>
      <c r="T60" s="111" t="n">
        <f aca="false">(Yield_Originals!$I60*Yield_Originals!T$1)/Yield_Originals!$K60</f>
        <v>0.384582142547117</v>
      </c>
      <c r="U60" s="111" t="n">
        <f aca="false">(Yield_Originals!$I60*Yield_Originals!U$1)/Yield_Originals!$K60</f>
        <v>0.394196696110794</v>
      </c>
      <c r="V60" s="111" t="n">
        <f aca="false">(Yield_Originals!$I60*Yield_Originals!V$1)/Yield_Originals!$K60</f>
        <v>0.403811249674472</v>
      </c>
      <c r="W60" s="111" t="n">
        <f aca="false">(Yield_Originals!$I60*Yield_Originals!W$1)/Yield_Originals!$K60</f>
        <v>0.41342580323815</v>
      </c>
      <c r="X60" s="112" t="n">
        <f aca="false">(Yield_Originals!$J60*Yield_Originals!X$1)/Yield_Originals!$K60</f>
        <v>0.379843402076345</v>
      </c>
      <c r="Y60" s="112" t="n">
        <f aca="false">(Yield_Originals!$J60*Yield_Originals!Y$1)/Yield_Originals!$K60</f>
        <v>0.388476206668989</v>
      </c>
      <c r="Z60" s="112" t="n">
        <f aca="false">(Yield_Originals!$J60*Yield_Originals!Z$1)/Yield_Originals!$K60</f>
        <v>0.397109011261633</v>
      </c>
      <c r="AA60" s="112" t="n">
        <f aca="false">(Yield_Originals!$J60*Yield_Originals!AA$1)/Yield_Originals!$K60</f>
        <v>0.405741815854277</v>
      </c>
      <c r="AB60" s="112" t="n">
        <f aca="false">(Yield_Originals!$J60*Yield_Originals!AB$1)/Yield_Originals!$K60</f>
        <v>0.414374620446921</v>
      </c>
    </row>
    <row r="61" customFormat="false" ht="15" hidden="false" customHeight="false" outlineLevel="0" collapsed="false">
      <c r="A61" s="68" t="s">
        <v>614</v>
      </c>
      <c r="B61" s="68" t="n">
        <v>2</v>
      </c>
      <c r="C61" s="38" t="s">
        <v>224</v>
      </c>
      <c r="D61" s="38" t="s">
        <v>1241</v>
      </c>
      <c r="E61" s="104" t="n">
        <v>10</v>
      </c>
      <c r="F61" s="106" t="n">
        <v>0.22742850037207</v>
      </c>
      <c r="G61" s="106" t="n">
        <v>0.22742850037207</v>
      </c>
      <c r="H61" s="106" t="n">
        <v>0.24190829770174</v>
      </c>
      <c r="I61" s="106" t="n">
        <v>0.256388095031411</v>
      </c>
      <c r="J61" s="106" t="n">
        <v>0.230208122470512</v>
      </c>
      <c r="K61" s="107" t="n">
        <v>1</v>
      </c>
      <c r="L61" s="108" t="n">
        <f aca="false">(Yield_Originals!$G61*Yield_Originals!L$1)/Yield_Originals!$K61</f>
        <v>0.272914200446484</v>
      </c>
      <c r="M61" s="108" t="n">
        <f aca="false">(Yield_Originals!$G61*Yield_Originals!M$1)/Yield_Originals!$K61</f>
        <v>0.281442769210437</v>
      </c>
      <c r="N61" s="108" t="n">
        <f aca="false">(Yield_Originals!$G61*Yield_Originals!N$1)/Yield_Originals!$K61</f>
        <v>0.289971337974389</v>
      </c>
      <c r="O61" s="108" t="n">
        <f aca="false">(Yield_Originals!$G61*Yield_Originals!O$1)/Yield_Originals!$K61</f>
        <v>0.298499906738342</v>
      </c>
      <c r="P61" s="109" t="n">
        <f aca="false">(Yield_Originals!$H61*Yield_Originals!P$1)/Yield_Originals!$K61</f>
        <v>0.326576201897349</v>
      </c>
      <c r="Q61" s="109" t="n">
        <f aca="false">(Yield_Originals!$H61*Yield_Originals!Q$1)/Yield_Originals!$K61</f>
        <v>0.335647763061164</v>
      </c>
      <c r="R61" s="109" t="n">
        <f aca="false">(Yield_Originals!$H61*Yield_Originals!R$1)/Yield_Originals!$K61</f>
        <v>0.34471932422498</v>
      </c>
      <c r="S61" s="109" t="n">
        <f aca="false">(Yield_Originals!$H61*Yield_Originals!S$1)/Yield_Originals!$K61</f>
        <v>0.353790885388795</v>
      </c>
      <c r="T61" s="111" t="n">
        <f aca="false">(Yield_Originals!$I61*Yield_Originals!T$1)/Yield_Originals!$K61</f>
        <v>0.384582142547117</v>
      </c>
      <c r="U61" s="111" t="n">
        <f aca="false">(Yield_Originals!$I61*Yield_Originals!U$1)/Yield_Originals!$K61</f>
        <v>0.394196696110794</v>
      </c>
      <c r="V61" s="111" t="n">
        <f aca="false">(Yield_Originals!$I61*Yield_Originals!V$1)/Yield_Originals!$K61</f>
        <v>0.403811249674472</v>
      </c>
      <c r="W61" s="111" t="n">
        <f aca="false">(Yield_Originals!$I61*Yield_Originals!W$1)/Yield_Originals!$K61</f>
        <v>0.41342580323815</v>
      </c>
      <c r="X61" s="112" t="n">
        <f aca="false">(Yield_Originals!$J61*Yield_Originals!X$1)/Yield_Originals!$K61</f>
        <v>0.379843402076345</v>
      </c>
      <c r="Y61" s="112" t="n">
        <f aca="false">(Yield_Originals!$J61*Yield_Originals!Y$1)/Yield_Originals!$K61</f>
        <v>0.388476206668989</v>
      </c>
      <c r="Z61" s="112" t="n">
        <f aca="false">(Yield_Originals!$J61*Yield_Originals!Z$1)/Yield_Originals!$K61</f>
        <v>0.397109011261633</v>
      </c>
      <c r="AA61" s="112" t="n">
        <f aca="false">(Yield_Originals!$J61*Yield_Originals!AA$1)/Yield_Originals!$K61</f>
        <v>0.405741815854277</v>
      </c>
      <c r="AB61" s="112" t="n">
        <f aca="false">(Yield_Originals!$J61*Yield_Originals!AB$1)/Yield_Originals!$K61</f>
        <v>0.414374620446921</v>
      </c>
    </row>
    <row r="62" customFormat="false" ht="15" hidden="false" customHeight="false" outlineLevel="0" collapsed="false">
      <c r="A62" s="68" t="s">
        <v>614</v>
      </c>
      <c r="B62" s="68" t="n">
        <v>2</v>
      </c>
      <c r="C62" s="38" t="s">
        <v>224</v>
      </c>
      <c r="D62" s="38" t="s">
        <v>1241</v>
      </c>
      <c r="E62" s="104" t="n">
        <v>17</v>
      </c>
      <c r="F62" s="106" t="n">
        <v>0.22742850037207</v>
      </c>
      <c r="G62" s="106" t="n">
        <v>0.22742850037207</v>
      </c>
      <c r="H62" s="106" t="n">
        <v>0.24190829770174</v>
      </c>
      <c r="I62" s="106" t="n">
        <v>0.256388095031411</v>
      </c>
      <c r="J62" s="106" t="n">
        <v>0.230208122470512</v>
      </c>
      <c r="K62" s="107" t="n">
        <v>1</v>
      </c>
      <c r="L62" s="108" t="n">
        <f aca="false">(Yield_Originals!$G62*Yield_Originals!L$1)/Yield_Originals!$K62</f>
        <v>0.272914200446484</v>
      </c>
      <c r="M62" s="108" t="n">
        <f aca="false">(Yield_Originals!$G62*Yield_Originals!M$1)/Yield_Originals!$K62</f>
        <v>0.281442769210437</v>
      </c>
      <c r="N62" s="108" t="n">
        <f aca="false">(Yield_Originals!$G62*Yield_Originals!N$1)/Yield_Originals!$K62</f>
        <v>0.289971337974389</v>
      </c>
      <c r="O62" s="108" t="n">
        <f aca="false">(Yield_Originals!$G62*Yield_Originals!O$1)/Yield_Originals!$K62</f>
        <v>0.298499906738342</v>
      </c>
      <c r="P62" s="109" t="n">
        <f aca="false">(Yield_Originals!$H62*Yield_Originals!P$1)/Yield_Originals!$K62</f>
        <v>0.326576201897349</v>
      </c>
      <c r="Q62" s="109" t="n">
        <f aca="false">(Yield_Originals!$H62*Yield_Originals!Q$1)/Yield_Originals!$K62</f>
        <v>0.335647763061164</v>
      </c>
      <c r="R62" s="109" t="n">
        <f aca="false">(Yield_Originals!$H62*Yield_Originals!R$1)/Yield_Originals!$K62</f>
        <v>0.34471932422498</v>
      </c>
      <c r="S62" s="109" t="n">
        <f aca="false">(Yield_Originals!$H62*Yield_Originals!S$1)/Yield_Originals!$K62</f>
        <v>0.353790885388795</v>
      </c>
      <c r="T62" s="111" t="n">
        <f aca="false">(Yield_Originals!$I62*Yield_Originals!T$1)/Yield_Originals!$K62</f>
        <v>0.384582142547117</v>
      </c>
      <c r="U62" s="111" t="n">
        <f aca="false">(Yield_Originals!$I62*Yield_Originals!U$1)/Yield_Originals!$K62</f>
        <v>0.394196696110794</v>
      </c>
      <c r="V62" s="111" t="n">
        <f aca="false">(Yield_Originals!$I62*Yield_Originals!V$1)/Yield_Originals!$K62</f>
        <v>0.403811249674472</v>
      </c>
      <c r="W62" s="111" t="n">
        <f aca="false">(Yield_Originals!$I62*Yield_Originals!W$1)/Yield_Originals!$K62</f>
        <v>0.41342580323815</v>
      </c>
      <c r="X62" s="112" t="n">
        <f aca="false">(Yield_Originals!$J62*Yield_Originals!X$1)/Yield_Originals!$K62</f>
        <v>0.379843402076345</v>
      </c>
      <c r="Y62" s="112" t="n">
        <f aca="false">(Yield_Originals!$J62*Yield_Originals!Y$1)/Yield_Originals!$K62</f>
        <v>0.388476206668989</v>
      </c>
      <c r="Z62" s="112" t="n">
        <f aca="false">(Yield_Originals!$J62*Yield_Originals!Z$1)/Yield_Originals!$K62</f>
        <v>0.397109011261633</v>
      </c>
      <c r="AA62" s="112" t="n">
        <f aca="false">(Yield_Originals!$J62*Yield_Originals!AA$1)/Yield_Originals!$K62</f>
        <v>0.405741815854277</v>
      </c>
      <c r="AB62" s="112" t="n">
        <f aca="false">(Yield_Originals!$J62*Yield_Originals!AB$1)/Yield_Originals!$K62</f>
        <v>0.414374620446921</v>
      </c>
    </row>
    <row r="63" customFormat="false" ht="15" hidden="false" customHeight="false" outlineLevel="0" collapsed="false">
      <c r="A63" s="70" t="s">
        <v>687</v>
      </c>
      <c r="B63" s="68" t="n">
        <v>2</v>
      </c>
      <c r="C63" s="103" t="s">
        <v>224</v>
      </c>
      <c r="D63" s="103" t="s">
        <v>686</v>
      </c>
      <c r="E63" s="104" t="n">
        <v>14</v>
      </c>
      <c r="F63" s="106" t="n">
        <f aca="false">+Yield_Originals!F67*0.9</f>
        <v>0.204685650334863</v>
      </c>
      <c r="G63" s="106" t="n">
        <f aca="false">+Yield_Originals!G67*0.9</f>
        <v>0.204685650334863</v>
      </c>
      <c r="H63" s="106" t="n">
        <f aca="false">+Yield_Originals!H67*0.9</f>
        <v>0.217717467931566</v>
      </c>
      <c r="I63" s="106" t="n">
        <f aca="false">+Yield_Originals!I67*0.9</f>
        <v>0.23074928552827</v>
      </c>
      <c r="J63" s="106" t="n">
        <f aca="false">+Yield_Originals!J67*0.9</f>
        <v>0.207187310223461</v>
      </c>
      <c r="K63" s="107" t="n">
        <v>1</v>
      </c>
      <c r="L63" s="108" t="n">
        <f aca="false">(Yield_Originals!$G63*Yield_Originals!L$1)/Yield_Originals!$K63</f>
        <v>0.245622780401836</v>
      </c>
      <c r="M63" s="108" t="n">
        <f aca="false">(Yield_Originals!$G63*Yield_Originals!M$1)/Yield_Originals!$K63</f>
        <v>0.253298492289393</v>
      </c>
      <c r="N63" s="108" t="n">
        <f aca="false">(Yield_Originals!$G63*Yield_Originals!N$1)/Yield_Originals!$K63</f>
        <v>0.26097420417695</v>
      </c>
      <c r="O63" s="108" t="n">
        <f aca="false">(Yield_Originals!$G63*Yield_Originals!O$1)/Yield_Originals!$K63</f>
        <v>0.268649916064508</v>
      </c>
      <c r="P63" s="109" t="n">
        <f aca="false">(Yield_Originals!$H63*Yield_Originals!P$1)/Yield_Originals!$K63</f>
        <v>0.293918581707615</v>
      </c>
      <c r="Q63" s="109" t="n">
        <f aca="false">(Yield_Originals!$H63*Yield_Originals!Q$1)/Yield_Originals!$K63</f>
        <v>0.302082986755049</v>
      </c>
      <c r="R63" s="109" t="n">
        <f aca="false">(Yield_Originals!$H63*Yield_Originals!R$1)/Yield_Originals!$K63</f>
        <v>0.310247391802482</v>
      </c>
      <c r="S63" s="109" t="n">
        <f aca="false">(Yield_Originals!$H63*Yield_Originals!S$1)/Yield_Originals!$K63</f>
        <v>0.318411796849916</v>
      </c>
      <c r="T63" s="111" t="n">
        <f aca="false">(Yield_Originals!$I63*Yield_Originals!T$1)/Yield_Originals!$K63</f>
        <v>0.346123928292405</v>
      </c>
      <c r="U63" s="111" t="n">
        <f aca="false">(Yield_Originals!$I63*Yield_Originals!U$1)/Yield_Originals!$K63</f>
        <v>0.354777026499715</v>
      </c>
      <c r="V63" s="111" t="n">
        <f aca="false">(Yield_Originals!$I63*Yield_Originals!V$1)/Yield_Originals!$K63</f>
        <v>0.363430124707025</v>
      </c>
      <c r="W63" s="111" t="n">
        <f aca="false">(Yield_Originals!$I63*Yield_Originals!W$1)/Yield_Originals!$K63</f>
        <v>0.372083222914335</v>
      </c>
      <c r="X63" s="112" t="n">
        <f aca="false">(Yield_Originals!$J63*Yield_Originals!X$1)/Yield_Originals!$K63</f>
        <v>0.34185906186871</v>
      </c>
      <c r="Y63" s="112" t="n">
        <f aca="false">(Yield_Originals!$J63*Yield_Originals!Y$1)/Yield_Originals!$K63</f>
        <v>0.34962858600209</v>
      </c>
      <c r="Z63" s="112" t="n">
        <f aca="false">(Yield_Originals!$J63*Yield_Originals!Z$1)/Yield_Originals!$K63</f>
        <v>0.35739811013547</v>
      </c>
      <c r="AA63" s="112" t="n">
        <f aca="false">(Yield_Originals!$J63*Yield_Originals!AA$1)/Yield_Originals!$K63</f>
        <v>0.36516763426885</v>
      </c>
      <c r="AB63" s="112" t="n">
        <f aca="false">(Yield_Originals!$J63*Yield_Originals!AB$1)/Yield_Originals!$K63</f>
        <v>0.372937158402229</v>
      </c>
    </row>
    <row r="64" customFormat="false" ht="15" hidden="false" customHeight="false" outlineLevel="0" collapsed="false">
      <c r="A64" s="70" t="s">
        <v>687</v>
      </c>
      <c r="B64" s="68" t="n">
        <v>2</v>
      </c>
      <c r="C64" s="103" t="s">
        <v>224</v>
      </c>
      <c r="D64" s="103" t="s">
        <v>686</v>
      </c>
      <c r="E64" s="104" t="n">
        <v>21</v>
      </c>
      <c r="F64" s="106" t="n">
        <f aca="false">+Yield_Originals!F68*0.9</f>
        <v>0.204685650334863</v>
      </c>
      <c r="G64" s="106" t="n">
        <f aca="false">+Yield_Originals!G68*0.9</f>
        <v>0.204685650334863</v>
      </c>
      <c r="H64" s="106" t="n">
        <f aca="false">+Yield_Originals!H68*0.9</f>
        <v>0.217717467931566</v>
      </c>
      <c r="I64" s="106" t="n">
        <f aca="false">+Yield_Originals!I68*0.9</f>
        <v>0.23074928552827</v>
      </c>
      <c r="J64" s="106" t="n">
        <f aca="false">+Yield_Originals!J68*0.9</f>
        <v>0.207187310223461</v>
      </c>
      <c r="K64" s="107" t="n">
        <v>1</v>
      </c>
      <c r="L64" s="108" t="n">
        <f aca="false">(Yield_Originals!$G64*Yield_Originals!L$1)/Yield_Originals!$K64</f>
        <v>0.245622780401836</v>
      </c>
      <c r="M64" s="108" t="n">
        <f aca="false">(Yield_Originals!$G64*Yield_Originals!M$1)/Yield_Originals!$K64</f>
        <v>0.253298492289393</v>
      </c>
      <c r="N64" s="108" t="n">
        <f aca="false">(Yield_Originals!$G64*Yield_Originals!N$1)/Yield_Originals!$K64</f>
        <v>0.26097420417695</v>
      </c>
      <c r="O64" s="108" t="n">
        <f aca="false">(Yield_Originals!$G64*Yield_Originals!O$1)/Yield_Originals!$K64</f>
        <v>0.268649916064508</v>
      </c>
      <c r="P64" s="109" t="n">
        <f aca="false">(Yield_Originals!$H64*Yield_Originals!P$1)/Yield_Originals!$K64</f>
        <v>0.293918581707615</v>
      </c>
      <c r="Q64" s="109" t="n">
        <f aca="false">(Yield_Originals!$H64*Yield_Originals!Q$1)/Yield_Originals!$K64</f>
        <v>0.302082986755049</v>
      </c>
      <c r="R64" s="109" t="n">
        <f aca="false">(Yield_Originals!$H64*Yield_Originals!R$1)/Yield_Originals!$K64</f>
        <v>0.310247391802482</v>
      </c>
      <c r="S64" s="109" t="n">
        <f aca="false">(Yield_Originals!$H64*Yield_Originals!S$1)/Yield_Originals!$K64</f>
        <v>0.318411796849916</v>
      </c>
      <c r="T64" s="111" t="n">
        <f aca="false">(Yield_Originals!$I64*Yield_Originals!T$1)/Yield_Originals!$K64</f>
        <v>0.346123928292405</v>
      </c>
      <c r="U64" s="111" t="n">
        <f aca="false">(Yield_Originals!$I64*Yield_Originals!U$1)/Yield_Originals!$K64</f>
        <v>0.354777026499715</v>
      </c>
      <c r="V64" s="111" t="n">
        <f aca="false">(Yield_Originals!$I64*Yield_Originals!V$1)/Yield_Originals!$K64</f>
        <v>0.363430124707025</v>
      </c>
      <c r="W64" s="111" t="n">
        <f aca="false">(Yield_Originals!$I64*Yield_Originals!W$1)/Yield_Originals!$K64</f>
        <v>0.372083222914335</v>
      </c>
      <c r="X64" s="112" t="n">
        <f aca="false">(Yield_Originals!$J64*Yield_Originals!X$1)/Yield_Originals!$K64</f>
        <v>0.34185906186871</v>
      </c>
      <c r="Y64" s="112" t="n">
        <f aca="false">(Yield_Originals!$J64*Yield_Originals!Y$1)/Yield_Originals!$K64</f>
        <v>0.34962858600209</v>
      </c>
      <c r="Z64" s="112" t="n">
        <f aca="false">(Yield_Originals!$J64*Yield_Originals!Z$1)/Yield_Originals!$K64</f>
        <v>0.35739811013547</v>
      </c>
      <c r="AA64" s="112" t="n">
        <f aca="false">(Yield_Originals!$J64*Yield_Originals!AA$1)/Yield_Originals!$K64</f>
        <v>0.36516763426885</v>
      </c>
      <c r="AB64" s="112" t="n">
        <f aca="false">(Yield_Originals!$J64*Yield_Originals!AB$1)/Yield_Originals!$K64</f>
        <v>0.372937158402229</v>
      </c>
    </row>
    <row r="65" customFormat="false" ht="15" hidden="false" customHeight="false" outlineLevel="0" collapsed="false">
      <c r="A65" s="70" t="s">
        <v>687</v>
      </c>
      <c r="B65" s="68" t="n">
        <v>2</v>
      </c>
      <c r="C65" s="103" t="s">
        <v>675</v>
      </c>
      <c r="D65" s="103" t="s">
        <v>690</v>
      </c>
      <c r="E65" s="104" t="n">
        <v>14</v>
      </c>
      <c r="F65" s="106" t="n">
        <f aca="false">+Yield_Originals!F69*0.9</f>
        <v>0.204685650334863</v>
      </c>
      <c r="G65" s="106" t="n">
        <f aca="false">+Yield_Originals!G69*0.9</f>
        <v>0.204685650334863</v>
      </c>
      <c r="H65" s="106" t="n">
        <f aca="false">+Yield_Originals!H69*0.9</f>
        <v>0.217717467931566</v>
      </c>
      <c r="I65" s="106" t="n">
        <f aca="false">+Yield_Originals!I69*0.9</f>
        <v>0.23074928552827</v>
      </c>
      <c r="J65" s="106" t="n">
        <f aca="false">+Yield_Originals!J69*0.9</f>
        <v>0.207187310223461</v>
      </c>
      <c r="K65" s="107" t="n">
        <v>1</v>
      </c>
      <c r="L65" s="108" t="n">
        <f aca="false">(Yield_Originals!$G65*Yield_Originals!L$1)/Yield_Originals!$K65</f>
        <v>0.245622780401836</v>
      </c>
      <c r="M65" s="108" t="n">
        <f aca="false">(Yield_Originals!$G65*Yield_Originals!M$1)/Yield_Originals!$K65</f>
        <v>0.253298492289393</v>
      </c>
      <c r="N65" s="108" t="n">
        <f aca="false">(Yield_Originals!$G65*Yield_Originals!N$1)/Yield_Originals!$K65</f>
        <v>0.26097420417695</v>
      </c>
      <c r="O65" s="108" t="n">
        <f aca="false">(Yield_Originals!$G65*Yield_Originals!O$1)/Yield_Originals!$K65</f>
        <v>0.268649916064508</v>
      </c>
      <c r="P65" s="109" t="n">
        <f aca="false">(Yield_Originals!$H65*Yield_Originals!P$1)/Yield_Originals!$K65</f>
        <v>0.293918581707614</v>
      </c>
      <c r="Q65" s="109" t="n">
        <f aca="false">(Yield_Originals!$H65*Yield_Originals!Q$1)/Yield_Originals!$K65</f>
        <v>0.302082986755048</v>
      </c>
      <c r="R65" s="109" t="n">
        <f aca="false">(Yield_Originals!$H65*Yield_Originals!R$1)/Yield_Originals!$K65</f>
        <v>0.310247391802482</v>
      </c>
      <c r="S65" s="109" t="n">
        <f aca="false">(Yield_Originals!$H65*Yield_Originals!S$1)/Yield_Originals!$K65</f>
        <v>0.318411796849915</v>
      </c>
      <c r="T65" s="111" t="n">
        <f aca="false">(Yield_Originals!$I65*Yield_Originals!T$1)/Yield_Originals!$K65</f>
        <v>0.346123928292405</v>
      </c>
      <c r="U65" s="111" t="n">
        <f aca="false">(Yield_Originals!$I65*Yield_Originals!U$1)/Yield_Originals!$K65</f>
        <v>0.354777026499715</v>
      </c>
      <c r="V65" s="111" t="n">
        <f aca="false">(Yield_Originals!$I65*Yield_Originals!V$1)/Yield_Originals!$K65</f>
        <v>0.363430124707025</v>
      </c>
      <c r="W65" s="111" t="n">
        <f aca="false">(Yield_Originals!$I65*Yield_Originals!W$1)/Yield_Originals!$K65</f>
        <v>0.372083222914335</v>
      </c>
      <c r="X65" s="112" t="n">
        <f aca="false">(Yield_Originals!$J65*Yield_Originals!X$1)/Yield_Originals!$K65</f>
        <v>0.34185906186871</v>
      </c>
      <c r="Y65" s="112" t="n">
        <f aca="false">(Yield_Originals!$J65*Yield_Originals!Y$1)/Yield_Originals!$K65</f>
        <v>0.34962858600209</v>
      </c>
      <c r="Z65" s="112" t="n">
        <f aca="false">(Yield_Originals!$J65*Yield_Originals!Z$1)/Yield_Originals!$K65</f>
        <v>0.35739811013547</v>
      </c>
      <c r="AA65" s="112" t="n">
        <f aca="false">(Yield_Originals!$J65*Yield_Originals!AA$1)/Yield_Originals!$K65</f>
        <v>0.36516763426885</v>
      </c>
      <c r="AB65" s="112" t="n">
        <f aca="false">(Yield_Originals!$J65*Yield_Originals!AB$1)/Yield_Originals!$K65</f>
        <v>0.372937158402229</v>
      </c>
    </row>
    <row r="66" customFormat="false" ht="15" hidden="false" customHeight="false" outlineLevel="0" collapsed="false">
      <c r="A66" s="70" t="s">
        <v>687</v>
      </c>
      <c r="B66" s="68" t="n">
        <v>2</v>
      </c>
      <c r="C66" s="103" t="s">
        <v>675</v>
      </c>
      <c r="D66" s="103" t="s">
        <v>690</v>
      </c>
      <c r="E66" s="104" t="n">
        <v>21</v>
      </c>
      <c r="F66" s="106" t="n">
        <f aca="false">+Yield_Originals!F70*0.9</f>
        <v>0.204685650334863</v>
      </c>
      <c r="G66" s="106" t="n">
        <f aca="false">+Yield_Originals!G70*0.9</f>
        <v>0.204685650334863</v>
      </c>
      <c r="H66" s="106" t="n">
        <f aca="false">+Yield_Originals!H70*0.9</f>
        <v>0.217717467931566</v>
      </c>
      <c r="I66" s="106" t="n">
        <f aca="false">+Yield_Originals!I70*0.9</f>
        <v>0.23074928552827</v>
      </c>
      <c r="J66" s="106" t="n">
        <f aca="false">+Yield_Originals!J70*0.9</f>
        <v>0.207187310223461</v>
      </c>
      <c r="K66" s="107" t="n">
        <v>1</v>
      </c>
      <c r="L66" s="108" t="n">
        <f aca="false">(Yield_Originals!$G66*Yield_Originals!L$1)/Yield_Originals!$K66</f>
        <v>0.245622780401836</v>
      </c>
      <c r="M66" s="108" t="n">
        <f aca="false">(Yield_Originals!$G66*Yield_Originals!M$1)/Yield_Originals!$K66</f>
        <v>0.253298492289393</v>
      </c>
      <c r="N66" s="108" t="n">
        <f aca="false">(Yield_Originals!$G66*Yield_Originals!N$1)/Yield_Originals!$K66</f>
        <v>0.26097420417695</v>
      </c>
      <c r="O66" s="108" t="n">
        <f aca="false">(Yield_Originals!$G66*Yield_Originals!O$1)/Yield_Originals!$K66</f>
        <v>0.268649916064508</v>
      </c>
      <c r="P66" s="109" t="n">
        <f aca="false">(Yield_Originals!$H66*Yield_Originals!P$1)/Yield_Originals!$K66</f>
        <v>0.293918581707614</v>
      </c>
      <c r="Q66" s="109" t="n">
        <f aca="false">(Yield_Originals!$H66*Yield_Originals!Q$1)/Yield_Originals!$K66</f>
        <v>0.302082986755048</v>
      </c>
      <c r="R66" s="109" t="n">
        <f aca="false">(Yield_Originals!$H66*Yield_Originals!R$1)/Yield_Originals!$K66</f>
        <v>0.310247391802482</v>
      </c>
      <c r="S66" s="109" t="n">
        <f aca="false">(Yield_Originals!$H66*Yield_Originals!S$1)/Yield_Originals!$K66</f>
        <v>0.318411796849915</v>
      </c>
      <c r="T66" s="111" t="n">
        <f aca="false">(Yield_Originals!$I66*Yield_Originals!T$1)/Yield_Originals!$K66</f>
        <v>0.346123928292405</v>
      </c>
      <c r="U66" s="111" t="n">
        <f aca="false">(Yield_Originals!$I66*Yield_Originals!U$1)/Yield_Originals!$K66</f>
        <v>0.354777026499715</v>
      </c>
      <c r="V66" s="111" t="n">
        <f aca="false">(Yield_Originals!$I66*Yield_Originals!V$1)/Yield_Originals!$K66</f>
        <v>0.363430124707025</v>
      </c>
      <c r="W66" s="111" t="n">
        <f aca="false">(Yield_Originals!$I66*Yield_Originals!W$1)/Yield_Originals!$K66</f>
        <v>0.372083222914335</v>
      </c>
      <c r="X66" s="112" t="n">
        <f aca="false">(Yield_Originals!$J66*Yield_Originals!X$1)/Yield_Originals!$K66</f>
        <v>0.34185906186871</v>
      </c>
      <c r="Y66" s="112" t="n">
        <f aca="false">(Yield_Originals!$J66*Yield_Originals!Y$1)/Yield_Originals!$K66</f>
        <v>0.34962858600209</v>
      </c>
      <c r="Z66" s="112" t="n">
        <f aca="false">(Yield_Originals!$J66*Yield_Originals!Z$1)/Yield_Originals!$K66</f>
        <v>0.35739811013547</v>
      </c>
      <c r="AA66" s="112" t="n">
        <f aca="false">(Yield_Originals!$J66*Yield_Originals!AA$1)/Yield_Originals!$K66</f>
        <v>0.36516763426885</v>
      </c>
      <c r="AB66" s="112" t="n">
        <f aca="false">(Yield_Originals!$J66*Yield_Originals!AB$1)/Yield_Originals!$K66</f>
        <v>0.372937158402229</v>
      </c>
    </row>
    <row r="67" customFormat="false" ht="15" hidden="false" customHeight="false" outlineLevel="0" collapsed="false">
      <c r="A67" s="70" t="s">
        <v>694</v>
      </c>
      <c r="B67" s="68" t="n">
        <v>2</v>
      </c>
      <c r="C67" s="103" t="s">
        <v>680</v>
      </c>
      <c r="D67" s="103" t="s">
        <v>693</v>
      </c>
      <c r="E67" s="104" t="n">
        <v>15</v>
      </c>
      <c r="F67" s="106" t="n">
        <v>0.22742850037207</v>
      </c>
      <c r="G67" s="106" t="n">
        <v>0.22742850037207</v>
      </c>
      <c r="H67" s="106" t="n">
        <f aca="false">+(Yield_Originals!I67+Yield_Originals!G67)/2</f>
        <v>0.24190829770174</v>
      </c>
      <c r="I67" s="106" t="n">
        <v>0.256388095031411</v>
      </c>
      <c r="J67" s="106" t="n">
        <v>0.230208122470512</v>
      </c>
      <c r="K67" s="107" t="n">
        <v>1</v>
      </c>
      <c r="L67" s="108" t="n">
        <f aca="false">(Yield_Originals!$G67*Yield_Originals!L$1)/Yield_Originals!$K67</f>
        <v>0.272914200446484</v>
      </c>
      <c r="M67" s="108" t="n">
        <f aca="false">(Yield_Originals!$G67*Yield_Originals!M$1)/Yield_Originals!$K67</f>
        <v>0.281442769210437</v>
      </c>
      <c r="N67" s="108" t="n">
        <f aca="false">(Yield_Originals!$G67*Yield_Originals!N$1)/Yield_Originals!$K67</f>
        <v>0.289971337974389</v>
      </c>
      <c r="O67" s="108" t="n">
        <f aca="false">(Yield_Originals!$G67*Yield_Originals!O$1)/Yield_Originals!$K67</f>
        <v>0.298499906738342</v>
      </c>
      <c r="P67" s="109" t="n">
        <f aca="false">(Yield_Originals!$H67*Yield_Originals!P$1)/Yield_Originals!$K67</f>
        <v>0.32657620189735</v>
      </c>
      <c r="Q67" s="109" t="n">
        <f aca="false">(Yield_Originals!$H67*Yield_Originals!Q$1)/Yield_Originals!$K67</f>
        <v>0.335647763061165</v>
      </c>
      <c r="R67" s="109" t="n">
        <f aca="false">(Yield_Originals!$H67*Yield_Originals!R$1)/Yield_Originals!$K67</f>
        <v>0.34471932422498</v>
      </c>
      <c r="S67" s="109" t="n">
        <f aca="false">(Yield_Originals!$H67*Yield_Originals!S$1)/Yield_Originals!$K67</f>
        <v>0.353790885388796</v>
      </c>
      <c r="T67" s="111" t="n">
        <f aca="false">(Yield_Originals!$I67*Yield_Originals!T$1)/Yield_Originals!$K67</f>
        <v>0.384582142547117</v>
      </c>
      <c r="U67" s="111" t="n">
        <f aca="false">(Yield_Originals!$I67*Yield_Originals!U$1)/Yield_Originals!$K67</f>
        <v>0.394196696110794</v>
      </c>
      <c r="V67" s="111" t="n">
        <f aca="false">(Yield_Originals!$I67*Yield_Originals!V$1)/Yield_Originals!$K67</f>
        <v>0.403811249674472</v>
      </c>
      <c r="W67" s="111" t="n">
        <f aca="false">(Yield_Originals!$I67*Yield_Originals!W$1)/Yield_Originals!$K67</f>
        <v>0.41342580323815</v>
      </c>
      <c r="X67" s="112" t="n">
        <f aca="false">(Yield_Originals!$J67*Yield_Originals!X$1)/Yield_Originals!$K67</f>
        <v>0.379843402076345</v>
      </c>
      <c r="Y67" s="112" t="n">
        <f aca="false">(Yield_Originals!$J67*Yield_Originals!Y$1)/Yield_Originals!$K67</f>
        <v>0.388476206668989</v>
      </c>
      <c r="Z67" s="112" t="n">
        <f aca="false">(Yield_Originals!$J67*Yield_Originals!Z$1)/Yield_Originals!$K67</f>
        <v>0.397109011261633</v>
      </c>
      <c r="AA67" s="112" t="n">
        <f aca="false">(Yield_Originals!$J67*Yield_Originals!AA$1)/Yield_Originals!$K67</f>
        <v>0.405741815854277</v>
      </c>
      <c r="AB67" s="112" t="n">
        <f aca="false">(Yield_Originals!$J67*Yield_Originals!AB$1)/Yield_Originals!$K67</f>
        <v>0.414374620446921</v>
      </c>
    </row>
    <row r="68" customFormat="false" ht="15" hidden="false" customHeight="false" outlineLevel="0" collapsed="false">
      <c r="A68" s="70" t="s">
        <v>694</v>
      </c>
      <c r="B68" s="68" t="n">
        <v>2</v>
      </c>
      <c r="C68" s="103" t="s">
        <v>680</v>
      </c>
      <c r="D68" s="103" t="s">
        <v>693</v>
      </c>
      <c r="E68" s="104" t="n">
        <v>22</v>
      </c>
      <c r="F68" s="106" t="n">
        <v>0.22742850037207</v>
      </c>
      <c r="G68" s="106" t="n">
        <v>0.22742850037207</v>
      </c>
      <c r="H68" s="106" t="n">
        <f aca="false">+(Yield_Originals!I68+Yield_Originals!G68)/2</f>
        <v>0.24190829770174</v>
      </c>
      <c r="I68" s="106" t="n">
        <v>0.256388095031411</v>
      </c>
      <c r="J68" s="106" t="n">
        <v>0.230208122470512</v>
      </c>
      <c r="K68" s="107" t="n">
        <v>1</v>
      </c>
      <c r="L68" s="108" t="n">
        <f aca="false">(Yield_Originals!$G68*Yield_Originals!L$1)/Yield_Originals!$K68</f>
        <v>0.272914200446484</v>
      </c>
      <c r="M68" s="108" t="n">
        <f aca="false">(Yield_Originals!$G68*Yield_Originals!M$1)/Yield_Originals!$K68</f>
        <v>0.281442769210437</v>
      </c>
      <c r="N68" s="108" t="n">
        <f aca="false">(Yield_Originals!$G68*Yield_Originals!N$1)/Yield_Originals!$K68</f>
        <v>0.289971337974389</v>
      </c>
      <c r="O68" s="108" t="n">
        <f aca="false">(Yield_Originals!$G68*Yield_Originals!O$1)/Yield_Originals!$K68</f>
        <v>0.298499906738342</v>
      </c>
      <c r="P68" s="109" t="n">
        <f aca="false">(Yield_Originals!$H68*Yield_Originals!P$1)/Yield_Originals!$K68</f>
        <v>0.32657620189735</v>
      </c>
      <c r="Q68" s="109" t="n">
        <f aca="false">(Yield_Originals!$H68*Yield_Originals!Q$1)/Yield_Originals!$K68</f>
        <v>0.335647763061165</v>
      </c>
      <c r="R68" s="109" t="n">
        <f aca="false">(Yield_Originals!$H68*Yield_Originals!R$1)/Yield_Originals!$K68</f>
        <v>0.34471932422498</v>
      </c>
      <c r="S68" s="109" t="n">
        <f aca="false">(Yield_Originals!$H68*Yield_Originals!S$1)/Yield_Originals!$K68</f>
        <v>0.353790885388796</v>
      </c>
      <c r="T68" s="111" t="n">
        <f aca="false">(Yield_Originals!$I68*Yield_Originals!T$1)/Yield_Originals!$K68</f>
        <v>0.384582142547117</v>
      </c>
      <c r="U68" s="111" t="n">
        <f aca="false">(Yield_Originals!$I68*Yield_Originals!U$1)/Yield_Originals!$K68</f>
        <v>0.394196696110794</v>
      </c>
      <c r="V68" s="111" t="n">
        <f aca="false">(Yield_Originals!$I68*Yield_Originals!V$1)/Yield_Originals!$K68</f>
        <v>0.403811249674472</v>
      </c>
      <c r="W68" s="111" t="n">
        <f aca="false">(Yield_Originals!$I68*Yield_Originals!W$1)/Yield_Originals!$K68</f>
        <v>0.41342580323815</v>
      </c>
      <c r="X68" s="112" t="n">
        <f aca="false">(Yield_Originals!$J68*Yield_Originals!X$1)/Yield_Originals!$K68</f>
        <v>0.379843402076345</v>
      </c>
      <c r="Y68" s="112" t="n">
        <f aca="false">(Yield_Originals!$J68*Yield_Originals!Y$1)/Yield_Originals!$K68</f>
        <v>0.388476206668989</v>
      </c>
      <c r="Z68" s="112" t="n">
        <f aca="false">(Yield_Originals!$J68*Yield_Originals!Z$1)/Yield_Originals!$K68</f>
        <v>0.397109011261633</v>
      </c>
      <c r="AA68" s="112" t="n">
        <f aca="false">(Yield_Originals!$J68*Yield_Originals!AA$1)/Yield_Originals!$K68</f>
        <v>0.405741815854277</v>
      </c>
      <c r="AB68" s="112" t="n">
        <f aca="false">(Yield_Originals!$J68*Yield_Originals!AB$1)/Yield_Originals!$K68</f>
        <v>0.414374620446921</v>
      </c>
    </row>
    <row r="69" customFormat="false" ht="15" hidden="false" customHeight="false" outlineLevel="0" collapsed="false">
      <c r="A69" s="68" t="s">
        <v>614</v>
      </c>
      <c r="B69" s="68" t="n">
        <v>2</v>
      </c>
      <c r="C69" s="38" t="s">
        <v>122</v>
      </c>
      <c r="D69" s="38" t="s">
        <v>1238</v>
      </c>
      <c r="E69" s="104" t="n">
        <v>10</v>
      </c>
      <c r="F69" s="106" t="n">
        <v>0.22742850037207</v>
      </c>
      <c r="G69" s="106" t="n">
        <v>0.22742850037207</v>
      </c>
      <c r="H69" s="106" t="n">
        <v>0.24190829770174</v>
      </c>
      <c r="I69" s="106" t="n">
        <v>0.256388095031411</v>
      </c>
      <c r="J69" s="106" t="n">
        <v>0.230208122470512</v>
      </c>
      <c r="K69" s="107" t="n">
        <v>1</v>
      </c>
      <c r="L69" s="108" t="n">
        <f aca="false">(Yield_Originals!$G69*Yield_Originals!L$1)/Yield_Originals!$K69</f>
        <v>0.272914200446484</v>
      </c>
      <c r="M69" s="108" t="n">
        <f aca="false">(Yield_Originals!$G69*Yield_Originals!M$1)/Yield_Originals!$K69</f>
        <v>0.281442769210437</v>
      </c>
      <c r="N69" s="108" t="n">
        <f aca="false">(Yield_Originals!$G69*Yield_Originals!N$1)/Yield_Originals!$K69</f>
        <v>0.289971337974389</v>
      </c>
      <c r="O69" s="108" t="n">
        <f aca="false">(Yield_Originals!$G69*Yield_Originals!O$1)/Yield_Originals!$K69</f>
        <v>0.298499906738342</v>
      </c>
      <c r="P69" s="109" t="n">
        <f aca="false">(Yield_Originals!$H69*Yield_Originals!P$1)/Yield_Originals!$K69</f>
        <v>0.326576201897349</v>
      </c>
      <c r="Q69" s="109" t="n">
        <f aca="false">(Yield_Originals!$H69*Yield_Originals!Q$1)/Yield_Originals!$K69</f>
        <v>0.335647763061164</v>
      </c>
      <c r="R69" s="109" t="n">
        <f aca="false">(Yield_Originals!$H69*Yield_Originals!R$1)/Yield_Originals!$K69</f>
        <v>0.34471932422498</v>
      </c>
      <c r="S69" s="109" t="n">
        <f aca="false">(Yield_Originals!$H69*Yield_Originals!S$1)/Yield_Originals!$K69</f>
        <v>0.353790885388795</v>
      </c>
      <c r="T69" s="111" t="n">
        <f aca="false">(Yield_Originals!$I69*Yield_Originals!T$1)/Yield_Originals!$K69</f>
        <v>0.384582142547117</v>
      </c>
      <c r="U69" s="111" t="n">
        <f aca="false">(Yield_Originals!$I69*Yield_Originals!U$1)/Yield_Originals!$K69</f>
        <v>0.394196696110794</v>
      </c>
      <c r="V69" s="111" t="n">
        <f aca="false">(Yield_Originals!$I69*Yield_Originals!V$1)/Yield_Originals!$K69</f>
        <v>0.403811249674472</v>
      </c>
      <c r="W69" s="111" t="n">
        <f aca="false">(Yield_Originals!$I69*Yield_Originals!W$1)/Yield_Originals!$K69</f>
        <v>0.41342580323815</v>
      </c>
      <c r="X69" s="112" t="n">
        <f aca="false">(Yield_Originals!$J69*Yield_Originals!X$1)/Yield_Originals!$K69</f>
        <v>0.379843402076345</v>
      </c>
      <c r="Y69" s="112" t="n">
        <f aca="false">(Yield_Originals!$J69*Yield_Originals!Y$1)/Yield_Originals!$K69</f>
        <v>0.388476206668989</v>
      </c>
      <c r="Z69" s="112" t="n">
        <f aca="false">(Yield_Originals!$J69*Yield_Originals!Z$1)/Yield_Originals!$K69</f>
        <v>0.397109011261633</v>
      </c>
      <c r="AA69" s="112" t="n">
        <f aca="false">(Yield_Originals!$J69*Yield_Originals!AA$1)/Yield_Originals!$K69</f>
        <v>0.405741815854277</v>
      </c>
      <c r="AB69" s="112" t="n">
        <f aca="false">(Yield_Originals!$J69*Yield_Originals!AB$1)/Yield_Originals!$K69</f>
        <v>0.414374620446921</v>
      </c>
    </row>
    <row r="70" customFormat="false" ht="15" hidden="false" customHeight="false" outlineLevel="0" collapsed="false">
      <c r="A70" s="68" t="s">
        <v>614</v>
      </c>
      <c r="B70" s="68" t="n">
        <v>2</v>
      </c>
      <c r="C70" s="38" t="s">
        <v>122</v>
      </c>
      <c r="D70" s="38" t="s">
        <v>1238</v>
      </c>
      <c r="E70" s="104" t="n">
        <v>17</v>
      </c>
      <c r="F70" s="106" t="n">
        <v>0.22742850037207</v>
      </c>
      <c r="G70" s="106" t="n">
        <v>0.22742850037207</v>
      </c>
      <c r="H70" s="106" t="n">
        <v>0.24190829770174</v>
      </c>
      <c r="I70" s="106" t="n">
        <v>0.256388095031411</v>
      </c>
      <c r="J70" s="106" t="n">
        <v>0.230208122470512</v>
      </c>
      <c r="K70" s="107" t="n">
        <v>1</v>
      </c>
      <c r="L70" s="108" t="n">
        <f aca="false">(Yield_Originals!$G70*Yield_Originals!L$1)/Yield_Originals!$K70</f>
        <v>0.272914200446484</v>
      </c>
      <c r="M70" s="108" t="n">
        <f aca="false">(Yield_Originals!$G70*Yield_Originals!M$1)/Yield_Originals!$K70</f>
        <v>0.281442769210437</v>
      </c>
      <c r="N70" s="108" t="n">
        <f aca="false">(Yield_Originals!$G70*Yield_Originals!N$1)/Yield_Originals!$K70</f>
        <v>0.289971337974389</v>
      </c>
      <c r="O70" s="108" t="n">
        <f aca="false">(Yield_Originals!$G70*Yield_Originals!O$1)/Yield_Originals!$K70</f>
        <v>0.298499906738342</v>
      </c>
      <c r="P70" s="109" t="n">
        <f aca="false">(Yield_Originals!$H70*Yield_Originals!P$1)/Yield_Originals!$K70</f>
        <v>0.326576201897349</v>
      </c>
      <c r="Q70" s="109" t="n">
        <f aca="false">(Yield_Originals!$H70*Yield_Originals!Q$1)/Yield_Originals!$K70</f>
        <v>0.335647763061164</v>
      </c>
      <c r="R70" s="109" t="n">
        <f aca="false">(Yield_Originals!$H70*Yield_Originals!R$1)/Yield_Originals!$K70</f>
        <v>0.34471932422498</v>
      </c>
      <c r="S70" s="109" t="n">
        <f aca="false">(Yield_Originals!$H70*Yield_Originals!S$1)/Yield_Originals!$K70</f>
        <v>0.353790885388795</v>
      </c>
      <c r="T70" s="111" t="n">
        <f aca="false">(Yield_Originals!$I70*Yield_Originals!T$1)/Yield_Originals!$K70</f>
        <v>0.384582142547117</v>
      </c>
      <c r="U70" s="111" t="n">
        <f aca="false">(Yield_Originals!$I70*Yield_Originals!U$1)/Yield_Originals!$K70</f>
        <v>0.394196696110794</v>
      </c>
      <c r="V70" s="111" t="n">
        <f aca="false">(Yield_Originals!$I70*Yield_Originals!V$1)/Yield_Originals!$K70</f>
        <v>0.403811249674472</v>
      </c>
      <c r="W70" s="111" t="n">
        <f aca="false">(Yield_Originals!$I70*Yield_Originals!W$1)/Yield_Originals!$K70</f>
        <v>0.41342580323815</v>
      </c>
      <c r="X70" s="112" t="n">
        <f aca="false">(Yield_Originals!$J70*Yield_Originals!X$1)/Yield_Originals!$K70</f>
        <v>0.379843402076345</v>
      </c>
      <c r="Y70" s="112" t="n">
        <f aca="false">(Yield_Originals!$J70*Yield_Originals!Y$1)/Yield_Originals!$K70</f>
        <v>0.388476206668989</v>
      </c>
      <c r="Z70" s="112" t="n">
        <f aca="false">(Yield_Originals!$J70*Yield_Originals!Z$1)/Yield_Originals!$K70</f>
        <v>0.397109011261633</v>
      </c>
      <c r="AA70" s="112" t="n">
        <f aca="false">(Yield_Originals!$J70*Yield_Originals!AA$1)/Yield_Originals!$K70</f>
        <v>0.405741815854277</v>
      </c>
      <c r="AB70" s="112" t="n">
        <f aca="false">(Yield_Originals!$J70*Yield_Originals!AB$1)/Yield_Originals!$K70</f>
        <v>0.414374620446921</v>
      </c>
    </row>
    <row r="71" customFormat="false" ht="15" hidden="false" customHeight="false" outlineLevel="0" collapsed="false">
      <c r="A71" s="68" t="s">
        <v>614</v>
      </c>
      <c r="B71" s="68" t="n">
        <v>2</v>
      </c>
      <c r="C71" s="38" t="s">
        <v>685</v>
      </c>
      <c r="D71" s="38" t="s">
        <v>1238</v>
      </c>
      <c r="E71" s="104" t="n">
        <v>10</v>
      </c>
      <c r="F71" s="106" t="n">
        <v>0.22742850037207</v>
      </c>
      <c r="G71" s="106" t="n">
        <v>0.22742850037207</v>
      </c>
      <c r="H71" s="106" t="n">
        <v>0.24190829770174</v>
      </c>
      <c r="I71" s="106" t="n">
        <v>0.256388095031411</v>
      </c>
      <c r="J71" s="106" t="n">
        <v>0.230208122470512</v>
      </c>
      <c r="K71" s="107" t="n">
        <v>1</v>
      </c>
      <c r="L71" s="108" t="n">
        <f aca="false">(Yield_Originals!$G71*Yield_Originals!L$1)/Yield_Originals!$K71</f>
        <v>0.272914200446484</v>
      </c>
      <c r="M71" s="108" t="n">
        <f aca="false">(Yield_Originals!$G71*Yield_Originals!M$1)/Yield_Originals!$K71</f>
        <v>0.281442769210437</v>
      </c>
      <c r="N71" s="108" t="n">
        <f aca="false">(Yield_Originals!$G71*Yield_Originals!N$1)/Yield_Originals!$K71</f>
        <v>0.289971337974389</v>
      </c>
      <c r="O71" s="108" t="n">
        <f aca="false">(Yield_Originals!$G71*Yield_Originals!O$1)/Yield_Originals!$K71</f>
        <v>0.298499906738342</v>
      </c>
      <c r="P71" s="109" t="n">
        <f aca="false">(Yield_Originals!$H71*Yield_Originals!P$1)/Yield_Originals!$K71</f>
        <v>0.326576201897349</v>
      </c>
      <c r="Q71" s="109" t="n">
        <f aca="false">(Yield_Originals!$H71*Yield_Originals!Q$1)/Yield_Originals!$K71</f>
        <v>0.335647763061164</v>
      </c>
      <c r="R71" s="109" t="n">
        <f aca="false">(Yield_Originals!$H71*Yield_Originals!R$1)/Yield_Originals!$K71</f>
        <v>0.34471932422498</v>
      </c>
      <c r="S71" s="109" t="n">
        <f aca="false">(Yield_Originals!$H71*Yield_Originals!S$1)/Yield_Originals!$K71</f>
        <v>0.353790885388795</v>
      </c>
      <c r="T71" s="111" t="n">
        <f aca="false">(Yield_Originals!$I71*Yield_Originals!T$1)/Yield_Originals!$K71</f>
        <v>0.384582142547117</v>
      </c>
      <c r="U71" s="111" t="n">
        <f aca="false">(Yield_Originals!$I71*Yield_Originals!U$1)/Yield_Originals!$K71</f>
        <v>0.394196696110794</v>
      </c>
      <c r="V71" s="111" t="n">
        <f aca="false">(Yield_Originals!$I71*Yield_Originals!V$1)/Yield_Originals!$K71</f>
        <v>0.403811249674472</v>
      </c>
      <c r="W71" s="111" t="n">
        <f aca="false">(Yield_Originals!$I71*Yield_Originals!W$1)/Yield_Originals!$K71</f>
        <v>0.41342580323815</v>
      </c>
      <c r="X71" s="112" t="n">
        <f aca="false">(Yield_Originals!$J71*Yield_Originals!X$1)/Yield_Originals!$K71</f>
        <v>0.379843402076345</v>
      </c>
      <c r="Y71" s="112" t="n">
        <f aca="false">(Yield_Originals!$J71*Yield_Originals!Y$1)/Yield_Originals!$K71</f>
        <v>0.388476206668989</v>
      </c>
      <c r="Z71" s="112" t="n">
        <f aca="false">(Yield_Originals!$J71*Yield_Originals!Z$1)/Yield_Originals!$K71</f>
        <v>0.397109011261633</v>
      </c>
      <c r="AA71" s="112" t="n">
        <f aca="false">(Yield_Originals!$J71*Yield_Originals!AA$1)/Yield_Originals!$K71</f>
        <v>0.405741815854277</v>
      </c>
      <c r="AB71" s="112" t="n">
        <f aca="false">(Yield_Originals!$J71*Yield_Originals!AB$1)/Yield_Originals!$K71</f>
        <v>0.414374620446921</v>
      </c>
    </row>
    <row r="72" customFormat="false" ht="15" hidden="false" customHeight="false" outlineLevel="0" collapsed="false">
      <c r="A72" s="68" t="s">
        <v>614</v>
      </c>
      <c r="B72" s="68" t="n">
        <v>2</v>
      </c>
      <c r="C72" s="38" t="s">
        <v>685</v>
      </c>
      <c r="D72" s="38" t="s">
        <v>1238</v>
      </c>
      <c r="E72" s="104" t="n">
        <v>17</v>
      </c>
      <c r="F72" s="106" t="n">
        <v>0.22742850037207</v>
      </c>
      <c r="G72" s="106" t="n">
        <v>0.22742850037207</v>
      </c>
      <c r="H72" s="106" t="n">
        <v>0.24190829770174</v>
      </c>
      <c r="I72" s="106" t="n">
        <v>0.256388095031411</v>
      </c>
      <c r="J72" s="106" t="n">
        <v>0.230208122470512</v>
      </c>
      <c r="K72" s="107" t="n">
        <v>1</v>
      </c>
      <c r="L72" s="108" t="n">
        <f aca="false">(Yield_Originals!$G72*Yield_Originals!L$1)/Yield_Originals!$K72</f>
        <v>0.272914200446484</v>
      </c>
      <c r="M72" s="108" t="n">
        <f aca="false">(Yield_Originals!$G72*Yield_Originals!M$1)/Yield_Originals!$K72</f>
        <v>0.281442769210437</v>
      </c>
      <c r="N72" s="108" t="n">
        <f aca="false">(Yield_Originals!$G72*Yield_Originals!N$1)/Yield_Originals!$K72</f>
        <v>0.289971337974389</v>
      </c>
      <c r="O72" s="108" t="n">
        <f aca="false">(Yield_Originals!$G72*Yield_Originals!O$1)/Yield_Originals!$K72</f>
        <v>0.298499906738342</v>
      </c>
      <c r="P72" s="109" t="n">
        <f aca="false">(Yield_Originals!$H72*Yield_Originals!P$1)/Yield_Originals!$K72</f>
        <v>0.326576201897349</v>
      </c>
      <c r="Q72" s="109" t="n">
        <f aca="false">(Yield_Originals!$H72*Yield_Originals!Q$1)/Yield_Originals!$K72</f>
        <v>0.335647763061164</v>
      </c>
      <c r="R72" s="109" t="n">
        <f aca="false">(Yield_Originals!$H72*Yield_Originals!R$1)/Yield_Originals!$K72</f>
        <v>0.34471932422498</v>
      </c>
      <c r="S72" s="109" t="n">
        <f aca="false">(Yield_Originals!$H72*Yield_Originals!S$1)/Yield_Originals!$K72</f>
        <v>0.353790885388795</v>
      </c>
      <c r="T72" s="111" t="n">
        <f aca="false">(Yield_Originals!$I72*Yield_Originals!T$1)/Yield_Originals!$K72</f>
        <v>0.384582142547117</v>
      </c>
      <c r="U72" s="111" t="n">
        <f aca="false">(Yield_Originals!$I72*Yield_Originals!U$1)/Yield_Originals!$K72</f>
        <v>0.394196696110794</v>
      </c>
      <c r="V72" s="111" t="n">
        <f aca="false">(Yield_Originals!$I72*Yield_Originals!V$1)/Yield_Originals!$K72</f>
        <v>0.403811249674472</v>
      </c>
      <c r="W72" s="111" t="n">
        <f aca="false">(Yield_Originals!$I72*Yield_Originals!W$1)/Yield_Originals!$K72</f>
        <v>0.41342580323815</v>
      </c>
      <c r="X72" s="112" t="n">
        <f aca="false">(Yield_Originals!$J72*Yield_Originals!X$1)/Yield_Originals!$K72</f>
        <v>0.379843402076345</v>
      </c>
      <c r="Y72" s="112" t="n">
        <f aca="false">(Yield_Originals!$J72*Yield_Originals!Y$1)/Yield_Originals!$K72</f>
        <v>0.388476206668989</v>
      </c>
      <c r="Z72" s="112" t="n">
        <f aca="false">(Yield_Originals!$J72*Yield_Originals!Z$1)/Yield_Originals!$K72</f>
        <v>0.397109011261633</v>
      </c>
      <c r="AA72" s="112" t="n">
        <f aca="false">(Yield_Originals!$J72*Yield_Originals!AA$1)/Yield_Originals!$K72</f>
        <v>0.405741815854277</v>
      </c>
      <c r="AB72" s="112" t="n">
        <f aca="false">(Yield_Originals!$J72*Yield_Originals!AB$1)/Yield_Originals!$K72</f>
        <v>0.414374620446921</v>
      </c>
    </row>
    <row r="73" customFormat="false" ht="15" hidden="false" customHeight="false" outlineLevel="0" collapsed="false">
      <c r="A73" s="68" t="s">
        <v>614</v>
      </c>
      <c r="B73" s="68" t="n">
        <v>2</v>
      </c>
      <c r="C73" s="38" t="s">
        <v>689</v>
      </c>
      <c r="D73" s="38" t="s">
        <v>1238</v>
      </c>
      <c r="E73" s="104" t="n">
        <v>10</v>
      </c>
      <c r="F73" s="106" t="n">
        <v>0.22742850037207</v>
      </c>
      <c r="G73" s="106" t="n">
        <v>0.22742850037207</v>
      </c>
      <c r="H73" s="106" t="n">
        <v>0.24190829770174</v>
      </c>
      <c r="I73" s="106" t="n">
        <v>0.256388095031411</v>
      </c>
      <c r="J73" s="106" t="n">
        <v>0.230208122470512</v>
      </c>
      <c r="K73" s="107" t="n">
        <v>1</v>
      </c>
      <c r="L73" s="108" t="n">
        <f aca="false">(Yield_Originals!$G73*Yield_Originals!L$1)/Yield_Originals!$K73</f>
        <v>0.272914200446484</v>
      </c>
      <c r="M73" s="108" t="n">
        <f aca="false">(Yield_Originals!$G73*Yield_Originals!M$1)/Yield_Originals!$K73</f>
        <v>0.281442769210437</v>
      </c>
      <c r="N73" s="108" t="n">
        <f aca="false">(Yield_Originals!$G73*Yield_Originals!N$1)/Yield_Originals!$K73</f>
        <v>0.289971337974389</v>
      </c>
      <c r="O73" s="108" t="n">
        <f aca="false">(Yield_Originals!$G73*Yield_Originals!O$1)/Yield_Originals!$K73</f>
        <v>0.298499906738342</v>
      </c>
      <c r="P73" s="109" t="n">
        <f aca="false">(Yield_Originals!$H73*Yield_Originals!P$1)/Yield_Originals!$K73</f>
        <v>0.326576201897349</v>
      </c>
      <c r="Q73" s="109" t="n">
        <f aca="false">(Yield_Originals!$H73*Yield_Originals!Q$1)/Yield_Originals!$K73</f>
        <v>0.335647763061164</v>
      </c>
      <c r="R73" s="109" t="n">
        <f aca="false">(Yield_Originals!$H73*Yield_Originals!R$1)/Yield_Originals!$K73</f>
        <v>0.34471932422498</v>
      </c>
      <c r="S73" s="109" t="n">
        <f aca="false">(Yield_Originals!$H73*Yield_Originals!S$1)/Yield_Originals!$K73</f>
        <v>0.353790885388795</v>
      </c>
      <c r="T73" s="111" t="n">
        <f aca="false">(Yield_Originals!$I73*Yield_Originals!T$1)/Yield_Originals!$K73</f>
        <v>0.384582142547117</v>
      </c>
      <c r="U73" s="111" t="n">
        <f aca="false">(Yield_Originals!$I73*Yield_Originals!U$1)/Yield_Originals!$K73</f>
        <v>0.394196696110794</v>
      </c>
      <c r="V73" s="111" t="n">
        <f aca="false">(Yield_Originals!$I73*Yield_Originals!V$1)/Yield_Originals!$K73</f>
        <v>0.403811249674472</v>
      </c>
      <c r="W73" s="111" t="n">
        <f aca="false">(Yield_Originals!$I73*Yield_Originals!W$1)/Yield_Originals!$K73</f>
        <v>0.41342580323815</v>
      </c>
      <c r="X73" s="112" t="n">
        <f aca="false">(Yield_Originals!$J73*Yield_Originals!X$1)/Yield_Originals!$K73</f>
        <v>0.379843402076345</v>
      </c>
      <c r="Y73" s="112" t="n">
        <f aca="false">(Yield_Originals!$J73*Yield_Originals!Y$1)/Yield_Originals!$K73</f>
        <v>0.388476206668989</v>
      </c>
      <c r="Z73" s="112" t="n">
        <f aca="false">(Yield_Originals!$J73*Yield_Originals!Z$1)/Yield_Originals!$K73</f>
        <v>0.397109011261633</v>
      </c>
      <c r="AA73" s="112" t="n">
        <f aca="false">(Yield_Originals!$J73*Yield_Originals!AA$1)/Yield_Originals!$K73</f>
        <v>0.405741815854277</v>
      </c>
      <c r="AB73" s="112" t="n">
        <f aca="false">(Yield_Originals!$J73*Yield_Originals!AB$1)/Yield_Originals!$K73</f>
        <v>0.414374620446921</v>
      </c>
    </row>
    <row r="74" customFormat="false" ht="15" hidden="false" customHeight="false" outlineLevel="0" collapsed="false">
      <c r="A74" s="68" t="s">
        <v>614</v>
      </c>
      <c r="B74" s="68" t="n">
        <v>2</v>
      </c>
      <c r="C74" s="38" t="s">
        <v>689</v>
      </c>
      <c r="D74" s="38" t="s">
        <v>1238</v>
      </c>
      <c r="E74" s="104" t="n">
        <v>17</v>
      </c>
      <c r="F74" s="106" t="n">
        <v>0.22742850037207</v>
      </c>
      <c r="G74" s="106" t="n">
        <v>0.22742850037207</v>
      </c>
      <c r="H74" s="106" t="n">
        <v>0.24190829770174</v>
      </c>
      <c r="I74" s="106" t="n">
        <v>0.256388095031411</v>
      </c>
      <c r="J74" s="106" t="n">
        <v>0.230208122470512</v>
      </c>
      <c r="K74" s="107" t="n">
        <v>1</v>
      </c>
      <c r="L74" s="108" t="n">
        <f aca="false">(Yield_Originals!$G74*Yield_Originals!L$1)/Yield_Originals!$K74</f>
        <v>0.272914200446484</v>
      </c>
      <c r="M74" s="108" t="n">
        <f aca="false">(Yield_Originals!$G74*Yield_Originals!M$1)/Yield_Originals!$K74</f>
        <v>0.281442769210437</v>
      </c>
      <c r="N74" s="108" t="n">
        <f aca="false">(Yield_Originals!$G74*Yield_Originals!N$1)/Yield_Originals!$K74</f>
        <v>0.289971337974389</v>
      </c>
      <c r="O74" s="108" t="n">
        <f aca="false">(Yield_Originals!$G74*Yield_Originals!O$1)/Yield_Originals!$K74</f>
        <v>0.298499906738342</v>
      </c>
      <c r="P74" s="109" t="n">
        <f aca="false">(Yield_Originals!$H74*Yield_Originals!P$1)/Yield_Originals!$K74</f>
        <v>0.326576201897349</v>
      </c>
      <c r="Q74" s="109" t="n">
        <f aca="false">(Yield_Originals!$H74*Yield_Originals!Q$1)/Yield_Originals!$K74</f>
        <v>0.335647763061164</v>
      </c>
      <c r="R74" s="109" t="n">
        <f aca="false">(Yield_Originals!$H74*Yield_Originals!R$1)/Yield_Originals!$K74</f>
        <v>0.34471932422498</v>
      </c>
      <c r="S74" s="109" t="n">
        <f aca="false">(Yield_Originals!$H74*Yield_Originals!S$1)/Yield_Originals!$K74</f>
        <v>0.353790885388795</v>
      </c>
      <c r="T74" s="111" t="n">
        <f aca="false">(Yield_Originals!$I74*Yield_Originals!T$1)/Yield_Originals!$K74</f>
        <v>0.384582142547117</v>
      </c>
      <c r="U74" s="111" t="n">
        <f aca="false">(Yield_Originals!$I74*Yield_Originals!U$1)/Yield_Originals!$K74</f>
        <v>0.394196696110794</v>
      </c>
      <c r="V74" s="111" t="n">
        <f aca="false">(Yield_Originals!$I74*Yield_Originals!V$1)/Yield_Originals!$K74</f>
        <v>0.403811249674472</v>
      </c>
      <c r="W74" s="111" t="n">
        <f aca="false">(Yield_Originals!$I74*Yield_Originals!W$1)/Yield_Originals!$K74</f>
        <v>0.41342580323815</v>
      </c>
      <c r="X74" s="112" t="n">
        <f aca="false">(Yield_Originals!$J74*Yield_Originals!X$1)/Yield_Originals!$K74</f>
        <v>0.379843402076345</v>
      </c>
      <c r="Y74" s="112" t="n">
        <f aca="false">(Yield_Originals!$J74*Yield_Originals!Y$1)/Yield_Originals!$K74</f>
        <v>0.388476206668989</v>
      </c>
      <c r="Z74" s="112" t="n">
        <f aca="false">(Yield_Originals!$J74*Yield_Originals!Z$1)/Yield_Originals!$K74</f>
        <v>0.397109011261633</v>
      </c>
      <c r="AA74" s="112" t="n">
        <f aca="false">(Yield_Originals!$J74*Yield_Originals!AA$1)/Yield_Originals!$K74</f>
        <v>0.405741815854277</v>
      </c>
      <c r="AB74" s="112" t="n">
        <f aca="false">(Yield_Originals!$J74*Yield_Originals!AB$1)/Yield_Originals!$K74</f>
        <v>0.414374620446921</v>
      </c>
    </row>
    <row r="75" customFormat="false" ht="15" hidden="false" customHeight="false" outlineLevel="0" collapsed="false">
      <c r="A75" s="68" t="s">
        <v>614</v>
      </c>
      <c r="B75" s="68" t="n">
        <v>2</v>
      </c>
      <c r="C75" s="38" t="s">
        <v>692</v>
      </c>
      <c r="D75" s="38" t="s">
        <v>1238</v>
      </c>
      <c r="E75" s="104" t="n">
        <v>10</v>
      </c>
      <c r="F75" s="106" t="n">
        <v>0.22742850037207</v>
      </c>
      <c r="G75" s="106" t="n">
        <v>0.22742850037207</v>
      </c>
      <c r="H75" s="106" t="n">
        <v>0.24190829770174</v>
      </c>
      <c r="I75" s="106" t="n">
        <v>0.256388095031411</v>
      </c>
      <c r="J75" s="106" t="n">
        <v>0.230208122470512</v>
      </c>
      <c r="K75" s="107" t="n">
        <v>1</v>
      </c>
      <c r="L75" s="108" t="n">
        <f aca="false">(Yield_Originals!$G75*Yield_Originals!L$1)/Yield_Originals!$K75</f>
        <v>0.272914200446484</v>
      </c>
      <c r="M75" s="108" t="n">
        <f aca="false">(Yield_Originals!$G75*Yield_Originals!M$1)/Yield_Originals!$K75</f>
        <v>0.281442769210437</v>
      </c>
      <c r="N75" s="108" t="n">
        <f aca="false">(Yield_Originals!$G75*Yield_Originals!N$1)/Yield_Originals!$K75</f>
        <v>0.289971337974389</v>
      </c>
      <c r="O75" s="108" t="n">
        <f aca="false">(Yield_Originals!$G75*Yield_Originals!O$1)/Yield_Originals!$K75</f>
        <v>0.298499906738342</v>
      </c>
      <c r="P75" s="109" t="n">
        <f aca="false">(Yield_Originals!$H75*Yield_Originals!P$1)/Yield_Originals!$K75</f>
        <v>0.326576201897349</v>
      </c>
      <c r="Q75" s="109" t="n">
        <f aca="false">(Yield_Originals!$H75*Yield_Originals!Q$1)/Yield_Originals!$K75</f>
        <v>0.335647763061164</v>
      </c>
      <c r="R75" s="109" t="n">
        <f aca="false">(Yield_Originals!$H75*Yield_Originals!R$1)/Yield_Originals!$K75</f>
        <v>0.34471932422498</v>
      </c>
      <c r="S75" s="109" t="n">
        <f aca="false">(Yield_Originals!$H75*Yield_Originals!S$1)/Yield_Originals!$K75</f>
        <v>0.353790885388795</v>
      </c>
      <c r="T75" s="111" t="n">
        <f aca="false">(Yield_Originals!$I75*Yield_Originals!T$1)/Yield_Originals!$K75</f>
        <v>0.384582142547117</v>
      </c>
      <c r="U75" s="111" t="n">
        <f aca="false">(Yield_Originals!$I75*Yield_Originals!U$1)/Yield_Originals!$K75</f>
        <v>0.394196696110794</v>
      </c>
      <c r="V75" s="111" t="n">
        <f aca="false">(Yield_Originals!$I75*Yield_Originals!V$1)/Yield_Originals!$K75</f>
        <v>0.403811249674472</v>
      </c>
      <c r="W75" s="111" t="n">
        <f aca="false">(Yield_Originals!$I75*Yield_Originals!W$1)/Yield_Originals!$K75</f>
        <v>0.41342580323815</v>
      </c>
      <c r="X75" s="112" t="n">
        <f aca="false">(Yield_Originals!$J75*Yield_Originals!X$1)/Yield_Originals!$K75</f>
        <v>0.379843402076345</v>
      </c>
      <c r="Y75" s="112" t="n">
        <f aca="false">(Yield_Originals!$J75*Yield_Originals!Y$1)/Yield_Originals!$K75</f>
        <v>0.388476206668989</v>
      </c>
      <c r="Z75" s="112" t="n">
        <f aca="false">(Yield_Originals!$J75*Yield_Originals!Z$1)/Yield_Originals!$K75</f>
        <v>0.397109011261633</v>
      </c>
      <c r="AA75" s="112" t="n">
        <f aca="false">(Yield_Originals!$J75*Yield_Originals!AA$1)/Yield_Originals!$K75</f>
        <v>0.405741815854277</v>
      </c>
      <c r="AB75" s="112" t="n">
        <f aca="false">(Yield_Originals!$J75*Yield_Originals!AB$1)/Yield_Originals!$K75</f>
        <v>0.414374620446921</v>
      </c>
    </row>
    <row r="76" customFormat="false" ht="15" hidden="false" customHeight="false" outlineLevel="0" collapsed="false">
      <c r="A76" s="68" t="s">
        <v>614</v>
      </c>
      <c r="B76" s="68" t="n">
        <v>2</v>
      </c>
      <c r="C76" s="38" t="s">
        <v>692</v>
      </c>
      <c r="D76" s="38" t="s">
        <v>1238</v>
      </c>
      <c r="E76" s="104" t="n">
        <v>17</v>
      </c>
      <c r="F76" s="106" t="n">
        <v>0.22742850037207</v>
      </c>
      <c r="G76" s="106" t="n">
        <v>0.22742850037207</v>
      </c>
      <c r="H76" s="106" t="n">
        <v>0.24190829770174</v>
      </c>
      <c r="I76" s="106" t="n">
        <v>0.256388095031411</v>
      </c>
      <c r="J76" s="106" t="n">
        <v>0.230208122470512</v>
      </c>
      <c r="K76" s="107" t="n">
        <v>1</v>
      </c>
      <c r="L76" s="108" t="n">
        <f aca="false">(Yield_Originals!$G76*Yield_Originals!L$1)/Yield_Originals!$K76</f>
        <v>0.272914200446484</v>
      </c>
      <c r="M76" s="108" t="n">
        <f aca="false">(Yield_Originals!$G76*Yield_Originals!M$1)/Yield_Originals!$K76</f>
        <v>0.281442769210437</v>
      </c>
      <c r="N76" s="108" t="n">
        <f aca="false">(Yield_Originals!$G76*Yield_Originals!N$1)/Yield_Originals!$K76</f>
        <v>0.289971337974389</v>
      </c>
      <c r="O76" s="108" t="n">
        <f aca="false">(Yield_Originals!$G76*Yield_Originals!O$1)/Yield_Originals!$K76</f>
        <v>0.298499906738342</v>
      </c>
      <c r="P76" s="109" t="n">
        <f aca="false">(Yield_Originals!$H76*Yield_Originals!P$1)/Yield_Originals!$K76</f>
        <v>0.326576201897349</v>
      </c>
      <c r="Q76" s="109" t="n">
        <f aca="false">(Yield_Originals!$H76*Yield_Originals!Q$1)/Yield_Originals!$K76</f>
        <v>0.335647763061164</v>
      </c>
      <c r="R76" s="109" t="n">
        <f aca="false">(Yield_Originals!$H76*Yield_Originals!R$1)/Yield_Originals!$K76</f>
        <v>0.34471932422498</v>
      </c>
      <c r="S76" s="109" t="n">
        <f aca="false">(Yield_Originals!$H76*Yield_Originals!S$1)/Yield_Originals!$K76</f>
        <v>0.353790885388795</v>
      </c>
      <c r="T76" s="111" t="n">
        <f aca="false">(Yield_Originals!$I76*Yield_Originals!T$1)/Yield_Originals!$K76</f>
        <v>0.384582142547117</v>
      </c>
      <c r="U76" s="111" t="n">
        <f aca="false">(Yield_Originals!$I76*Yield_Originals!U$1)/Yield_Originals!$K76</f>
        <v>0.394196696110794</v>
      </c>
      <c r="V76" s="111" t="n">
        <f aca="false">(Yield_Originals!$I76*Yield_Originals!V$1)/Yield_Originals!$K76</f>
        <v>0.403811249674472</v>
      </c>
      <c r="W76" s="111" t="n">
        <f aca="false">(Yield_Originals!$I76*Yield_Originals!W$1)/Yield_Originals!$K76</f>
        <v>0.41342580323815</v>
      </c>
      <c r="X76" s="112" t="n">
        <f aca="false">(Yield_Originals!$J76*Yield_Originals!X$1)/Yield_Originals!$K76</f>
        <v>0.379843402076345</v>
      </c>
      <c r="Y76" s="112" t="n">
        <f aca="false">(Yield_Originals!$J76*Yield_Originals!Y$1)/Yield_Originals!$K76</f>
        <v>0.388476206668989</v>
      </c>
      <c r="Z76" s="112" t="n">
        <f aca="false">(Yield_Originals!$J76*Yield_Originals!Z$1)/Yield_Originals!$K76</f>
        <v>0.397109011261633</v>
      </c>
      <c r="AA76" s="112" t="n">
        <f aca="false">(Yield_Originals!$J76*Yield_Originals!AA$1)/Yield_Originals!$K76</f>
        <v>0.405741815854277</v>
      </c>
      <c r="AB76" s="112" t="n">
        <f aca="false">(Yield_Originals!$J76*Yield_Originals!AB$1)/Yield_Originals!$K76</f>
        <v>0.414374620446921</v>
      </c>
    </row>
    <row r="77" customFormat="false" ht="15" hidden="false" customHeight="false" outlineLevel="0" collapsed="false">
      <c r="A77" s="68" t="s">
        <v>614</v>
      </c>
      <c r="B77" s="68" t="n">
        <v>2</v>
      </c>
      <c r="C77" s="38" t="s">
        <v>696</v>
      </c>
      <c r="D77" s="38" t="s">
        <v>1242</v>
      </c>
      <c r="E77" s="104" t="n">
        <v>10</v>
      </c>
      <c r="F77" s="106" t="n">
        <v>0.22742850037207</v>
      </c>
      <c r="G77" s="106" t="n">
        <v>0.22742850037207</v>
      </c>
      <c r="H77" s="106" t="n">
        <v>0.24190829770174</v>
      </c>
      <c r="I77" s="106" t="n">
        <v>0.256388095031411</v>
      </c>
      <c r="J77" s="106" t="n">
        <v>0.230208122470512</v>
      </c>
      <c r="K77" s="107" t="n">
        <v>1</v>
      </c>
      <c r="L77" s="108" t="n">
        <f aca="false">(Yield_Originals!$G77*Yield_Originals!L$1)/Yield_Originals!$K77</f>
        <v>0.272914200446484</v>
      </c>
      <c r="M77" s="108" t="n">
        <f aca="false">(Yield_Originals!$G77*Yield_Originals!M$1)/Yield_Originals!$K77</f>
        <v>0.281442769210437</v>
      </c>
      <c r="N77" s="108" t="n">
        <f aca="false">(Yield_Originals!$G77*Yield_Originals!N$1)/Yield_Originals!$K77</f>
        <v>0.289971337974389</v>
      </c>
      <c r="O77" s="108" t="n">
        <f aca="false">(Yield_Originals!$G77*Yield_Originals!O$1)/Yield_Originals!$K77</f>
        <v>0.298499906738342</v>
      </c>
      <c r="P77" s="109" t="n">
        <f aca="false">(Yield_Originals!$H77*Yield_Originals!P$1)/Yield_Originals!$K77</f>
        <v>0.326576201897349</v>
      </c>
      <c r="Q77" s="109" t="n">
        <f aca="false">(Yield_Originals!$H77*Yield_Originals!Q$1)/Yield_Originals!$K77</f>
        <v>0.335647763061164</v>
      </c>
      <c r="R77" s="109" t="n">
        <f aca="false">(Yield_Originals!$H77*Yield_Originals!R$1)/Yield_Originals!$K77</f>
        <v>0.34471932422498</v>
      </c>
      <c r="S77" s="109" t="n">
        <f aca="false">(Yield_Originals!$H77*Yield_Originals!S$1)/Yield_Originals!$K77</f>
        <v>0.353790885388795</v>
      </c>
      <c r="T77" s="111" t="n">
        <f aca="false">(Yield_Originals!$I77*Yield_Originals!T$1)/Yield_Originals!$K77</f>
        <v>0.384582142547117</v>
      </c>
      <c r="U77" s="111" t="n">
        <f aca="false">(Yield_Originals!$I77*Yield_Originals!U$1)/Yield_Originals!$K77</f>
        <v>0.394196696110794</v>
      </c>
      <c r="V77" s="111" t="n">
        <f aca="false">(Yield_Originals!$I77*Yield_Originals!V$1)/Yield_Originals!$K77</f>
        <v>0.403811249674472</v>
      </c>
      <c r="W77" s="111" t="n">
        <f aca="false">(Yield_Originals!$I77*Yield_Originals!W$1)/Yield_Originals!$K77</f>
        <v>0.41342580323815</v>
      </c>
      <c r="X77" s="112" t="n">
        <f aca="false">(Yield_Originals!$J77*Yield_Originals!X$1)/Yield_Originals!$K77</f>
        <v>0.379843402076345</v>
      </c>
      <c r="Y77" s="112" t="n">
        <f aca="false">(Yield_Originals!$J77*Yield_Originals!Y$1)/Yield_Originals!$K77</f>
        <v>0.388476206668989</v>
      </c>
      <c r="Z77" s="112" t="n">
        <f aca="false">(Yield_Originals!$J77*Yield_Originals!Z$1)/Yield_Originals!$K77</f>
        <v>0.397109011261633</v>
      </c>
      <c r="AA77" s="112" t="n">
        <f aca="false">(Yield_Originals!$J77*Yield_Originals!AA$1)/Yield_Originals!$K77</f>
        <v>0.405741815854277</v>
      </c>
      <c r="AB77" s="112" t="n">
        <f aca="false">(Yield_Originals!$J77*Yield_Originals!AB$1)/Yield_Originals!$K77</f>
        <v>0.414374620446921</v>
      </c>
    </row>
    <row r="78" customFormat="false" ht="15" hidden="false" customHeight="false" outlineLevel="0" collapsed="false">
      <c r="A78" s="68" t="s">
        <v>614</v>
      </c>
      <c r="B78" s="68" t="n">
        <v>2</v>
      </c>
      <c r="C78" s="38" t="s">
        <v>696</v>
      </c>
      <c r="D78" s="38" t="s">
        <v>1242</v>
      </c>
      <c r="E78" s="104" t="n">
        <v>17</v>
      </c>
      <c r="F78" s="106" t="n">
        <v>0.22742850037207</v>
      </c>
      <c r="G78" s="106" t="n">
        <v>0.22742850037207</v>
      </c>
      <c r="H78" s="106" t="n">
        <v>0.24190829770174</v>
      </c>
      <c r="I78" s="106" t="n">
        <v>0.256388095031411</v>
      </c>
      <c r="J78" s="106" t="n">
        <v>0.230208122470512</v>
      </c>
      <c r="K78" s="107" t="n">
        <v>1</v>
      </c>
      <c r="L78" s="108" t="n">
        <f aca="false">(Yield_Originals!$G78*Yield_Originals!L$1)/Yield_Originals!$K78</f>
        <v>0.272914200446484</v>
      </c>
      <c r="M78" s="108" t="n">
        <f aca="false">(Yield_Originals!$G78*Yield_Originals!M$1)/Yield_Originals!$K78</f>
        <v>0.281442769210437</v>
      </c>
      <c r="N78" s="108" t="n">
        <f aca="false">(Yield_Originals!$G78*Yield_Originals!N$1)/Yield_Originals!$K78</f>
        <v>0.289971337974389</v>
      </c>
      <c r="O78" s="108" t="n">
        <f aca="false">(Yield_Originals!$G78*Yield_Originals!O$1)/Yield_Originals!$K78</f>
        <v>0.298499906738342</v>
      </c>
      <c r="P78" s="109" t="n">
        <f aca="false">(Yield_Originals!$H78*Yield_Originals!P$1)/Yield_Originals!$K78</f>
        <v>0.326576201897349</v>
      </c>
      <c r="Q78" s="109" t="n">
        <f aca="false">(Yield_Originals!$H78*Yield_Originals!Q$1)/Yield_Originals!$K78</f>
        <v>0.335647763061164</v>
      </c>
      <c r="R78" s="109" t="n">
        <f aca="false">(Yield_Originals!$H78*Yield_Originals!R$1)/Yield_Originals!$K78</f>
        <v>0.34471932422498</v>
      </c>
      <c r="S78" s="109" t="n">
        <f aca="false">(Yield_Originals!$H78*Yield_Originals!S$1)/Yield_Originals!$K78</f>
        <v>0.353790885388795</v>
      </c>
      <c r="T78" s="111" t="n">
        <f aca="false">(Yield_Originals!$I78*Yield_Originals!T$1)/Yield_Originals!$K78</f>
        <v>0.384582142547117</v>
      </c>
      <c r="U78" s="111" t="n">
        <f aca="false">(Yield_Originals!$I78*Yield_Originals!U$1)/Yield_Originals!$K78</f>
        <v>0.394196696110794</v>
      </c>
      <c r="V78" s="111" t="n">
        <f aca="false">(Yield_Originals!$I78*Yield_Originals!V$1)/Yield_Originals!$K78</f>
        <v>0.403811249674472</v>
      </c>
      <c r="W78" s="111" t="n">
        <f aca="false">(Yield_Originals!$I78*Yield_Originals!W$1)/Yield_Originals!$K78</f>
        <v>0.41342580323815</v>
      </c>
      <c r="X78" s="112" t="n">
        <f aca="false">(Yield_Originals!$J78*Yield_Originals!X$1)/Yield_Originals!$K78</f>
        <v>0.379843402076345</v>
      </c>
      <c r="Y78" s="112" t="n">
        <f aca="false">(Yield_Originals!$J78*Yield_Originals!Y$1)/Yield_Originals!$K78</f>
        <v>0.388476206668989</v>
      </c>
      <c r="Z78" s="112" t="n">
        <f aca="false">(Yield_Originals!$J78*Yield_Originals!Z$1)/Yield_Originals!$K78</f>
        <v>0.397109011261633</v>
      </c>
      <c r="AA78" s="112" t="n">
        <f aca="false">(Yield_Originals!$J78*Yield_Originals!AA$1)/Yield_Originals!$K78</f>
        <v>0.405741815854277</v>
      </c>
      <c r="AB78" s="112" t="n">
        <f aca="false">(Yield_Originals!$J78*Yield_Originals!AB$1)/Yield_Originals!$K78</f>
        <v>0.414374620446921</v>
      </c>
    </row>
    <row r="79" customFormat="false" ht="15" hidden="false" customHeight="false" outlineLevel="0" collapsed="false">
      <c r="A79" s="113" t="s">
        <v>833</v>
      </c>
      <c r="B79" s="68" t="n">
        <v>3</v>
      </c>
      <c r="C79" s="114" t="s">
        <v>225</v>
      </c>
      <c r="D79" s="114" t="s">
        <v>832</v>
      </c>
      <c r="E79" s="104" t="n">
        <v>29</v>
      </c>
      <c r="F79" s="106" t="n">
        <v>0.281818181818182</v>
      </c>
      <c r="G79" s="106" t="n">
        <v>0.281818181818182</v>
      </c>
      <c r="H79" s="106" t="n">
        <f aca="false">+(Yield_Originals!I79+Yield_Originals!G79)/2</f>
        <v>0.274856783378582</v>
      </c>
      <c r="I79" s="106" t="n">
        <v>0.267895384938981</v>
      </c>
      <c r="J79" s="106" t="n">
        <v>0.283899657656849</v>
      </c>
      <c r="K79" s="107" t="n">
        <v>1</v>
      </c>
      <c r="L79" s="108"/>
      <c r="M79" s="108"/>
      <c r="N79" s="108"/>
      <c r="O79" s="108"/>
      <c r="P79" s="109"/>
      <c r="Q79" s="109" t="n">
        <f aca="false">(Yield_Originals!$H79*Yield_Originals!Q$1)/Yield_Originals!$K79</f>
        <v>0.381363786937782</v>
      </c>
      <c r="R79" s="109" t="n">
        <f aca="false">(Yield_Originals!$H79*Yield_Originals!R$1)/Yield_Originals!$K79</f>
        <v>0.391670916314479</v>
      </c>
      <c r="S79" s="109" t="n">
        <f aca="false">(Yield_Originals!$H79*Yield_Originals!S$1)/Yield_Originals!$K79</f>
        <v>0.401978045691176</v>
      </c>
      <c r="T79" s="111" t="n">
        <f aca="false">(Yield_Originals!$I79*Yield_Originals!T$1)/Yield_Originals!$K79</f>
        <v>0.401843077408472</v>
      </c>
      <c r="U79" s="111" t="n">
        <f aca="false">(Yield_Originals!$I79*Yield_Originals!U$1)/Yield_Originals!$K79</f>
        <v>0.411889154343683</v>
      </c>
      <c r="V79" s="111" t="n">
        <f aca="false">(Yield_Originals!$I79*Yield_Originals!V$1)/Yield_Originals!$K79</f>
        <v>0.421935231278895</v>
      </c>
      <c r="W79" s="111" t="n">
        <f aca="false">(Yield_Originals!$I79*Yield_Originals!W$1)/Yield_Originals!$K79</f>
        <v>0.431981308214107</v>
      </c>
      <c r="X79" s="112" t="n">
        <f aca="false">(Yield_Originals!$J79*Yield_Originals!X$1)/Yield_Originals!$K79</f>
        <v>0.468434435133801</v>
      </c>
      <c r="Y79" s="112" t="n">
        <f aca="false">(Yield_Originals!$J79*Yield_Originals!Y$1)/Yield_Originals!$K79</f>
        <v>0.479080672295933</v>
      </c>
      <c r="Z79" s="112" t="n">
        <f aca="false">(Yield_Originals!$J79*Yield_Originals!Z$1)/Yield_Originals!$K79</f>
        <v>0.489726909458065</v>
      </c>
      <c r="AA79" s="112" t="n">
        <f aca="false">(Yield_Originals!$J79*Yield_Originals!AA$1)/Yield_Originals!$K79</f>
        <v>0.500373146620196</v>
      </c>
      <c r="AB79" s="112" t="n">
        <f aca="false">(Yield_Originals!$J79*Yield_Originals!AB$1)/Yield_Originals!$K79</f>
        <v>0.511019383782328</v>
      </c>
    </row>
    <row r="80" customFormat="false" ht="15" hidden="false" customHeight="false" outlineLevel="0" collapsed="false">
      <c r="A80" s="113" t="s">
        <v>833</v>
      </c>
      <c r="B80" s="68" t="n">
        <v>3</v>
      </c>
      <c r="C80" s="114" t="s">
        <v>702</v>
      </c>
      <c r="D80" s="114" t="s">
        <v>837</v>
      </c>
      <c r="E80" s="104" t="n">
        <v>29</v>
      </c>
      <c r="F80" s="106" t="n">
        <v>0.281818181818182</v>
      </c>
      <c r="G80" s="106" t="n">
        <v>0.281818181818182</v>
      </c>
      <c r="H80" s="106" t="n">
        <f aca="false">+(Yield_Originals!I80+Yield_Originals!G80)/2</f>
        <v>0.274856783378582</v>
      </c>
      <c r="I80" s="106" t="n">
        <v>0.267895384938981</v>
      </c>
      <c r="J80" s="106" t="n">
        <v>0.283899657656849</v>
      </c>
      <c r="K80" s="107" t="n">
        <v>1</v>
      </c>
      <c r="L80" s="108"/>
      <c r="M80" s="108"/>
      <c r="N80" s="108"/>
      <c r="O80" s="108"/>
      <c r="P80" s="109"/>
      <c r="Q80" s="109" t="n">
        <f aca="false">(Yield_Originals!$H80*Yield_Originals!Q$1)/Yield_Originals!$K80</f>
        <v>0.381363786937782</v>
      </c>
      <c r="R80" s="109" t="n">
        <f aca="false">(Yield_Originals!$H80*Yield_Originals!R$1)/Yield_Originals!$K80</f>
        <v>0.391670916314479</v>
      </c>
      <c r="S80" s="109" t="n">
        <f aca="false">(Yield_Originals!$H80*Yield_Originals!S$1)/Yield_Originals!$K80</f>
        <v>0.401978045691176</v>
      </c>
      <c r="T80" s="111" t="n">
        <f aca="false">(Yield_Originals!$I80*Yield_Originals!T$1)/Yield_Originals!$K80</f>
        <v>0.401843077408472</v>
      </c>
      <c r="U80" s="111" t="n">
        <f aca="false">(Yield_Originals!$I80*Yield_Originals!U$1)/Yield_Originals!$K80</f>
        <v>0.411889154343683</v>
      </c>
      <c r="V80" s="111" t="n">
        <f aca="false">(Yield_Originals!$I80*Yield_Originals!V$1)/Yield_Originals!$K80</f>
        <v>0.421935231278895</v>
      </c>
      <c r="W80" s="111" t="n">
        <f aca="false">(Yield_Originals!$I80*Yield_Originals!W$1)/Yield_Originals!$K80</f>
        <v>0.431981308214107</v>
      </c>
      <c r="X80" s="112" t="n">
        <f aca="false">(Yield_Originals!$J80*Yield_Originals!X$1)/Yield_Originals!$K80</f>
        <v>0.468434435133801</v>
      </c>
      <c r="Y80" s="112" t="n">
        <f aca="false">(Yield_Originals!$J80*Yield_Originals!Y$1)/Yield_Originals!$K80</f>
        <v>0.479080672295933</v>
      </c>
      <c r="Z80" s="112" t="n">
        <f aca="false">(Yield_Originals!$J80*Yield_Originals!Z$1)/Yield_Originals!$K80</f>
        <v>0.489726909458065</v>
      </c>
      <c r="AA80" s="112" t="n">
        <f aca="false">(Yield_Originals!$J80*Yield_Originals!AA$1)/Yield_Originals!$K80</f>
        <v>0.500373146620196</v>
      </c>
      <c r="AB80" s="112" t="n">
        <f aca="false">(Yield_Originals!$J80*Yield_Originals!AB$1)/Yield_Originals!$K80</f>
        <v>0.511019383782328</v>
      </c>
    </row>
    <row r="81" customFormat="false" ht="15" hidden="false" customHeight="false" outlineLevel="0" collapsed="false">
      <c r="A81" s="113" t="s">
        <v>833</v>
      </c>
      <c r="B81" s="68" t="n">
        <v>3</v>
      </c>
      <c r="C81" s="114" t="s">
        <v>705</v>
      </c>
      <c r="D81" s="114" t="s">
        <v>835</v>
      </c>
      <c r="E81" s="104" t="n">
        <v>29</v>
      </c>
      <c r="F81" s="106" t="n">
        <v>0.281818181818182</v>
      </c>
      <c r="G81" s="106" t="n">
        <v>0.281818181818182</v>
      </c>
      <c r="H81" s="106" t="n">
        <f aca="false">+(Yield_Originals!I81+Yield_Originals!G81)/2</f>
        <v>0.274856783378582</v>
      </c>
      <c r="I81" s="106" t="n">
        <v>0.267895384938981</v>
      </c>
      <c r="J81" s="106" t="n">
        <v>0.283899657656849</v>
      </c>
      <c r="K81" s="107" t="n">
        <v>1</v>
      </c>
      <c r="L81" s="108" t="n">
        <f aca="false">(Yield_Originals!$G81*Yield_Originals!L$1)/Yield_Originals!$K81</f>
        <v>0.338181818181818</v>
      </c>
      <c r="M81" s="108" t="n">
        <f aca="false">(Yield_Originals!$G81*Yield_Originals!M$1)/Yield_Originals!$K81</f>
        <v>0.34875</v>
      </c>
      <c r="N81" s="108" t="n">
        <f aca="false">(Yield_Originals!$G81*Yield_Originals!N$1)/Yield_Originals!$K81</f>
        <v>0.359318181818182</v>
      </c>
      <c r="O81" s="108" t="n">
        <f aca="false">(Yield_Originals!$G81*Yield_Originals!O$1)/Yield_Originals!$K81</f>
        <v>0.369886363636364</v>
      </c>
      <c r="P81" s="109"/>
      <c r="Q81" s="109"/>
      <c r="R81" s="109"/>
      <c r="S81" s="109"/>
      <c r="T81" s="111"/>
      <c r="U81" s="111"/>
      <c r="V81" s="111"/>
      <c r="W81" s="111"/>
      <c r="X81" s="112"/>
      <c r="Y81" s="112"/>
      <c r="Z81" s="112"/>
      <c r="AA81" s="112"/>
      <c r="AB81" s="112"/>
    </row>
    <row r="82" customFormat="false" ht="15" hidden="false" customHeight="false" outlineLevel="0" collapsed="false">
      <c r="A82" s="113" t="s">
        <v>833</v>
      </c>
      <c r="B82" s="68" t="n">
        <v>3</v>
      </c>
      <c r="C82" s="114" t="s">
        <v>708</v>
      </c>
      <c r="D82" s="114" t="s">
        <v>839</v>
      </c>
      <c r="E82" s="104" t="n">
        <v>29</v>
      </c>
      <c r="F82" s="106" t="n">
        <v>0.281818181818182</v>
      </c>
      <c r="G82" s="106" t="n">
        <v>0.281818181818182</v>
      </c>
      <c r="H82" s="106" t="n">
        <f aca="false">+(Yield_Originals!I82+Yield_Originals!G82)/2</f>
        <v>0.274856783378582</v>
      </c>
      <c r="I82" s="106" t="n">
        <v>0.267895384938981</v>
      </c>
      <c r="J82" s="106" t="n">
        <v>0.283899657656849</v>
      </c>
      <c r="K82" s="107" t="n">
        <v>1</v>
      </c>
      <c r="L82" s="108"/>
      <c r="M82" s="108"/>
      <c r="N82" s="108"/>
      <c r="O82" s="108"/>
      <c r="P82" s="109"/>
      <c r="Q82" s="109"/>
      <c r="R82" s="109"/>
      <c r="S82" s="109"/>
      <c r="T82" s="111"/>
      <c r="U82" s="111"/>
      <c r="V82" s="111" t="n">
        <f aca="false">(Yield_Originals!$I82*Yield_Originals!V$1)/Yield_Originals!$K82</f>
        <v>0.421935231278895</v>
      </c>
      <c r="W82" s="111" t="n">
        <f aca="false">(Yield_Originals!$I82*Yield_Originals!W$1)/Yield_Originals!$K82</f>
        <v>0.431981308214107</v>
      </c>
      <c r="X82" s="112" t="n">
        <f aca="false">(Yield_Originals!$J82*Yield_Originals!X$1)/Yield_Originals!$K82</f>
        <v>0.468434435133801</v>
      </c>
      <c r="Y82" s="112" t="n">
        <f aca="false">(Yield_Originals!$J82*Yield_Originals!Y$1)/Yield_Originals!$K82</f>
        <v>0.479080672295933</v>
      </c>
      <c r="Z82" s="112"/>
      <c r="AA82" s="112"/>
      <c r="AB82" s="112"/>
    </row>
    <row r="83" customFormat="false" ht="15" hidden="false" customHeight="false" outlineLevel="0" collapsed="false">
      <c r="A83" s="70" t="s">
        <v>813</v>
      </c>
      <c r="B83" s="68" t="n">
        <v>2</v>
      </c>
      <c r="C83" s="114" t="s">
        <v>226</v>
      </c>
      <c r="D83" s="114" t="s">
        <v>819</v>
      </c>
      <c r="E83" s="104" t="n">
        <v>16</v>
      </c>
      <c r="F83" s="106" t="n">
        <v>0.047920198716335</v>
      </c>
      <c r="G83" s="106" t="n">
        <v>0.047920198716335</v>
      </c>
      <c r="H83" s="106" t="n">
        <f aca="false">+(Yield_Originals!I83+Yield_Originals!G83)/2</f>
        <v>0.0497878218045477</v>
      </c>
      <c r="I83" s="106" t="n">
        <v>0.0516554448927604</v>
      </c>
      <c r="J83" s="106" t="n">
        <v>0.0483315161361219</v>
      </c>
      <c r="K83" s="107" t="n">
        <v>1</v>
      </c>
      <c r="L83" s="108"/>
      <c r="M83" s="108"/>
      <c r="N83" s="108"/>
      <c r="O83" s="108"/>
      <c r="P83" s="109"/>
      <c r="Q83" s="109" t="n">
        <f aca="false">(Yield_Originals!$H83*Yield_Originals!Q$1)/Yield_Originals!$K83</f>
        <v>0.06908060275381</v>
      </c>
      <c r="R83" s="109" t="n">
        <f aca="false">(Yield_Originals!$H83*Yield_Originals!R$1)/Yield_Originals!$K83</f>
        <v>0.0709476460714805</v>
      </c>
      <c r="S83" s="109" t="n">
        <f aca="false">(Yield_Originals!$H83*Yield_Originals!S$1)/Yield_Originals!$K83</f>
        <v>0.072814689389151</v>
      </c>
      <c r="T83" s="111" t="n">
        <f aca="false">(Yield_Originals!$I83*Yield_Originals!T$1)/Yield_Originals!$K83</f>
        <v>0.0774831673391406</v>
      </c>
      <c r="U83" s="111" t="n">
        <f aca="false">(Yield_Originals!$I83*Yield_Originals!U$1)/Yield_Originals!$K83</f>
        <v>0.0794202465226191</v>
      </c>
      <c r="V83" s="111" t="n">
        <f aca="false">(Yield_Originals!$I83*Yield_Originals!V$1)/Yield_Originals!$K83</f>
        <v>0.0813573257060977</v>
      </c>
      <c r="W83" s="111" t="n">
        <f aca="false">(Yield_Originals!$I83*Yield_Originals!W$1)/Yield_Originals!$K83</f>
        <v>0.0832944048895761</v>
      </c>
      <c r="X83" s="112" t="n">
        <f aca="false">(Yield_Originals!$J83*Yield_Originals!X$1)/Yield_Originals!$K83</f>
        <v>0.0797470016246011</v>
      </c>
      <c r="Y83" s="112" t="n">
        <f aca="false">(Yield_Originals!$J83*Yield_Originals!Y$1)/Yield_Originals!$K83</f>
        <v>0.0815594334797057</v>
      </c>
      <c r="Z83" s="112" t="n">
        <f aca="false">(Yield_Originals!$J83*Yield_Originals!Z$1)/Yield_Originals!$K83</f>
        <v>0.0833718653348103</v>
      </c>
      <c r="AA83" s="112"/>
      <c r="AB83" s="112"/>
    </row>
    <row r="84" customFormat="false" ht="15" hidden="false" customHeight="false" outlineLevel="0" collapsed="false">
      <c r="A84" s="70" t="s">
        <v>813</v>
      </c>
      <c r="B84" s="68" t="n">
        <v>2</v>
      </c>
      <c r="C84" s="114" t="s">
        <v>226</v>
      </c>
      <c r="D84" s="114" t="s">
        <v>819</v>
      </c>
      <c r="E84" s="104" t="n">
        <v>17</v>
      </c>
      <c r="F84" s="106" t="n">
        <v>0.047920198716335</v>
      </c>
      <c r="G84" s="106" t="n">
        <v>0.047920198716335</v>
      </c>
      <c r="H84" s="106" t="n">
        <f aca="false">+(Yield_Originals!I84+Yield_Originals!G84)/2</f>
        <v>0.0497878218045477</v>
      </c>
      <c r="I84" s="106" t="n">
        <v>0.0516554448927604</v>
      </c>
      <c r="J84" s="106" t="n">
        <v>0.0483315161361219</v>
      </c>
      <c r="K84" s="107" t="n">
        <v>1</v>
      </c>
      <c r="L84" s="108"/>
      <c r="M84" s="108"/>
      <c r="N84" s="108"/>
      <c r="O84" s="108"/>
      <c r="P84" s="109"/>
      <c r="Q84" s="109" t="n">
        <f aca="false">(Yield_Originals!$H84*Yield_Originals!Q$1)/Yield_Originals!$K84</f>
        <v>0.06908060275381</v>
      </c>
      <c r="R84" s="109" t="n">
        <f aca="false">(Yield_Originals!$H84*Yield_Originals!R$1)/Yield_Originals!$K84</f>
        <v>0.0709476460714805</v>
      </c>
      <c r="S84" s="109" t="n">
        <f aca="false">(Yield_Originals!$H84*Yield_Originals!S$1)/Yield_Originals!$K84</f>
        <v>0.072814689389151</v>
      </c>
      <c r="T84" s="111" t="n">
        <f aca="false">(Yield_Originals!$I84*Yield_Originals!T$1)/Yield_Originals!$K84</f>
        <v>0.0774831673391406</v>
      </c>
      <c r="U84" s="111" t="n">
        <f aca="false">(Yield_Originals!$I84*Yield_Originals!U$1)/Yield_Originals!$K84</f>
        <v>0.0794202465226191</v>
      </c>
      <c r="V84" s="111" t="n">
        <f aca="false">(Yield_Originals!$I84*Yield_Originals!V$1)/Yield_Originals!$K84</f>
        <v>0.0813573257060977</v>
      </c>
      <c r="W84" s="111" t="n">
        <f aca="false">(Yield_Originals!$I84*Yield_Originals!W$1)/Yield_Originals!$K84</f>
        <v>0.0832944048895761</v>
      </c>
      <c r="X84" s="112" t="n">
        <f aca="false">(Yield_Originals!$J84*Yield_Originals!X$1)/Yield_Originals!$K84</f>
        <v>0.0797470016246011</v>
      </c>
      <c r="Y84" s="112" t="n">
        <f aca="false">(Yield_Originals!$J84*Yield_Originals!Y$1)/Yield_Originals!$K84</f>
        <v>0.0815594334797057</v>
      </c>
      <c r="Z84" s="112" t="n">
        <f aca="false">(Yield_Originals!$J84*Yield_Originals!Z$1)/Yield_Originals!$K84</f>
        <v>0.0833718653348103</v>
      </c>
      <c r="AA84" s="112"/>
      <c r="AB84" s="112"/>
    </row>
    <row r="85" customFormat="false" ht="15" hidden="false" customHeight="false" outlineLevel="0" collapsed="false">
      <c r="A85" s="70" t="s">
        <v>813</v>
      </c>
      <c r="B85" s="68" t="n">
        <v>2</v>
      </c>
      <c r="C85" s="114" t="s">
        <v>226</v>
      </c>
      <c r="D85" s="114" t="s">
        <v>819</v>
      </c>
      <c r="E85" s="104" t="n">
        <v>18</v>
      </c>
      <c r="F85" s="106" t="n">
        <v>0.047920198716335</v>
      </c>
      <c r="G85" s="106" t="n">
        <v>0.047920198716335</v>
      </c>
      <c r="H85" s="106" t="n">
        <f aca="false">+(Yield_Originals!I85+Yield_Originals!G85)/2</f>
        <v>0.0497878218045477</v>
      </c>
      <c r="I85" s="106" t="n">
        <v>0.0516554448927604</v>
      </c>
      <c r="J85" s="106" t="n">
        <v>0.0483315161361219</v>
      </c>
      <c r="K85" s="107" t="n">
        <v>1</v>
      </c>
      <c r="L85" s="108"/>
      <c r="M85" s="108"/>
      <c r="N85" s="108"/>
      <c r="O85" s="108"/>
      <c r="P85" s="109"/>
      <c r="Q85" s="109" t="n">
        <f aca="false">(Yield_Originals!$H85*Yield_Originals!Q$1)/Yield_Originals!$K85</f>
        <v>0.06908060275381</v>
      </c>
      <c r="R85" s="109" t="n">
        <f aca="false">(Yield_Originals!$H85*Yield_Originals!R$1)/Yield_Originals!$K85</f>
        <v>0.0709476460714805</v>
      </c>
      <c r="S85" s="109" t="n">
        <f aca="false">(Yield_Originals!$H85*Yield_Originals!S$1)/Yield_Originals!$K85</f>
        <v>0.072814689389151</v>
      </c>
      <c r="T85" s="111" t="n">
        <f aca="false">(Yield_Originals!$I85*Yield_Originals!T$1)/Yield_Originals!$K85</f>
        <v>0.0774831673391406</v>
      </c>
      <c r="U85" s="111" t="n">
        <f aca="false">(Yield_Originals!$I85*Yield_Originals!U$1)/Yield_Originals!$K85</f>
        <v>0.0794202465226191</v>
      </c>
      <c r="V85" s="111" t="n">
        <f aca="false">(Yield_Originals!$I85*Yield_Originals!V$1)/Yield_Originals!$K85</f>
        <v>0.0813573257060977</v>
      </c>
      <c r="W85" s="111" t="n">
        <f aca="false">(Yield_Originals!$I85*Yield_Originals!W$1)/Yield_Originals!$K85</f>
        <v>0.0832944048895761</v>
      </c>
      <c r="X85" s="112" t="n">
        <f aca="false">(Yield_Originals!$J85*Yield_Originals!X$1)/Yield_Originals!$K85</f>
        <v>0.0797470016246011</v>
      </c>
      <c r="Y85" s="112" t="n">
        <f aca="false">(Yield_Originals!$J85*Yield_Originals!Y$1)/Yield_Originals!$K85</f>
        <v>0.0815594334797057</v>
      </c>
      <c r="Z85" s="112" t="n">
        <f aca="false">(Yield_Originals!$J85*Yield_Originals!Z$1)/Yield_Originals!$K85</f>
        <v>0.0833718653348103</v>
      </c>
      <c r="AA85" s="112"/>
      <c r="AB85" s="112"/>
    </row>
    <row r="86" customFormat="false" ht="15" hidden="false" customHeight="false" outlineLevel="0" collapsed="false">
      <c r="A86" s="70" t="s">
        <v>813</v>
      </c>
      <c r="B86" s="68" t="n">
        <v>2</v>
      </c>
      <c r="C86" s="114" t="s">
        <v>226</v>
      </c>
      <c r="D86" s="114" t="s">
        <v>819</v>
      </c>
      <c r="E86" s="104" t="n">
        <v>19</v>
      </c>
      <c r="F86" s="106" t="n">
        <v>0.047920198716335</v>
      </c>
      <c r="G86" s="106" t="n">
        <v>0.047920198716335</v>
      </c>
      <c r="H86" s="106" t="n">
        <f aca="false">+(Yield_Originals!I86+Yield_Originals!G86)/2</f>
        <v>0.0497878218045477</v>
      </c>
      <c r="I86" s="106" t="n">
        <v>0.0516554448927604</v>
      </c>
      <c r="J86" s="106" t="n">
        <v>0.0483315161361219</v>
      </c>
      <c r="K86" s="107" t="n">
        <v>1</v>
      </c>
      <c r="L86" s="108"/>
      <c r="M86" s="108"/>
      <c r="N86" s="108"/>
      <c r="O86" s="108"/>
      <c r="P86" s="109"/>
      <c r="Q86" s="109" t="n">
        <f aca="false">(Yield_Originals!$H86*Yield_Originals!Q$1)/Yield_Originals!$K86</f>
        <v>0.06908060275381</v>
      </c>
      <c r="R86" s="109" t="n">
        <f aca="false">(Yield_Originals!$H86*Yield_Originals!R$1)/Yield_Originals!$K86</f>
        <v>0.0709476460714805</v>
      </c>
      <c r="S86" s="109" t="n">
        <f aca="false">(Yield_Originals!$H86*Yield_Originals!S$1)/Yield_Originals!$K86</f>
        <v>0.072814689389151</v>
      </c>
      <c r="T86" s="111" t="n">
        <f aca="false">(Yield_Originals!$I86*Yield_Originals!T$1)/Yield_Originals!$K86</f>
        <v>0.0774831673391406</v>
      </c>
      <c r="U86" s="111" t="n">
        <f aca="false">(Yield_Originals!$I86*Yield_Originals!U$1)/Yield_Originals!$K86</f>
        <v>0.0794202465226191</v>
      </c>
      <c r="V86" s="111" t="n">
        <f aca="false">(Yield_Originals!$I86*Yield_Originals!V$1)/Yield_Originals!$K86</f>
        <v>0.0813573257060977</v>
      </c>
      <c r="W86" s="111" t="n">
        <f aca="false">(Yield_Originals!$I86*Yield_Originals!W$1)/Yield_Originals!$K86</f>
        <v>0.0832944048895761</v>
      </c>
      <c r="X86" s="112" t="n">
        <f aca="false">(Yield_Originals!$J86*Yield_Originals!X$1)/Yield_Originals!$K86</f>
        <v>0.0797470016246011</v>
      </c>
      <c r="Y86" s="112" t="n">
        <f aca="false">(Yield_Originals!$J86*Yield_Originals!Y$1)/Yield_Originals!$K86</f>
        <v>0.0815594334797057</v>
      </c>
      <c r="Z86" s="112" t="n">
        <f aca="false">(Yield_Originals!$J86*Yield_Originals!Z$1)/Yield_Originals!$K86</f>
        <v>0.0833718653348103</v>
      </c>
      <c r="AA86" s="112"/>
      <c r="AB86" s="112"/>
    </row>
    <row r="87" customFormat="false" ht="15" hidden="false" customHeight="false" outlineLevel="0" collapsed="false">
      <c r="A87" s="70" t="s">
        <v>813</v>
      </c>
      <c r="B87" s="68" t="n">
        <v>2</v>
      </c>
      <c r="C87" s="114" t="s">
        <v>226</v>
      </c>
      <c r="D87" s="114" t="s">
        <v>819</v>
      </c>
      <c r="E87" s="104" t="n">
        <v>20</v>
      </c>
      <c r="F87" s="106" t="n">
        <v>0.047920198716335</v>
      </c>
      <c r="G87" s="106" t="n">
        <v>0.047920198716335</v>
      </c>
      <c r="H87" s="106" t="n">
        <f aca="false">+(Yield_Originals!I87+Yield_Originals!G87)/2</f>
        <v>0.0497878218045477</v>
      </c>
      <c r="I87" s="106" t="n">
        <v>0.0516554448927604</v>
      </c>
      <c r="J87" s="106" t="n">
        <v>0.0483315161361219</v>
      </c>
      <c r="K87" s="107" t="n">
        <v>1</v>
      </c>
      <c r="L87" s="108"/>
      <c r="M87" s="108"/>
      <c r="N87" s="108"/>
      <c r="O87" s="108"/>
      <c r="P87" s="109"/>
      <c r="Q87" s="109" t="n">
        <f aca="false">(Yield_Originals!$H87*Yield_Originals!Q$1)/Yield_Originals!$K87</f>
        <v>0.06908060275381</v>
      </c>
      <c r="R87" s="109" t="n">
        <f aca="false">(Yield_Originals!$H87*Yield_Originals!R$1)/Yield_Originals!$K87</f>
        <v>0.0709476460714805</v>
      </c>
      <c r="S87" s="109" t="n">
        <f aca="false">(Yield_Originals!$H87*Yield_Originals!S$1)/Yield_Originals!$K87</f>
        <v>0.072814689389151</v>
      </c>
      <c r="T87" s="111" t="n">
        <f aca="false">(Yield_Originals!$I87*Yield_Originals!T$1)/Yield_Originals!$K87</f>
        <v>0.0774831673391406</v>
      </c>
      <c r="U87" s="111" t="n">
        <f aca="false">(Yield_Originals!$I87*Yield_Originals!U$1)/Yield_Originals!$K87</f>
        <v>0.0794202465226191</v>
      </c>
      <c r="V87" s="111" t="n">
        <f aca="false">(Yield_Originals!$I87*Yield_Originals!V$1)/Yield_Originals!$K87</f>
        <v>0.0813573257060977</v>
      </c>
      <c r="W87" s="111" t="n">
        <f aca="false">(Yield_Originals!$I87*Yield_Originals!W$1)/Yield_Originals!$K87</f>
        <v>0.0832944048895761</v>
      </c>
      <c r="X87" s="112" t="n">
        <f aca="false">(Yield_Originals!$J87*Yield_Originals!X$1)/Yield_Originals!$K87</f>
        <v>0.0797470016246011</v>
      </c>
      <c r="Y87" s="112" t="n">
        <f aca="false">(Yield_Originals!$J87*Yield_Originals!Y$1)/Yield_Originals!$K87</f>
        <v>0.0815594334797057</v>
      </c>
      <c r="Z87" s="112" t="n">
        <f aca="false">(Yield_Originals!$J87*Yield_Originals!Z$1)/Yield_Originals!$K87</f>
        <v>0.0833718653348103</v>
      </c>
      <c r="AA87" s="112"/>
      <c r="AB87" s="112"/>
    </row>
    <row r="88" customFormat="false" ht="15" hidden="false" customHeight="false" outlineLevel="0" collapsed="false">
      <c r="A88" s="70" t="s">
        <v>813</v>
      </c>
      <c r="B88" s="68" t="n">
        <v>2</v>
      </c>
      <c r="C88" s="114" t="s">
        <v>226</v>
      </c>
      <c r="D88" s="114" t="s">
        <v>819</v>
      </c>
      <c r="E88" s="104" t="n">
        <v>21</v>
      </c>
      <c r="F88" s="106" t="n">
        <v>0.047920198716335</v>
      </c>
      <c r="G88" s="106" t="n">
        <v>0.047920198716335</v>
      </c>
      <c r="H88" s="106" t="n">
        <f aca="false">+(Yield_Originals!I88+Yield_Originals!G88)/2</f>
        <v>0.0497878218045477</v>
      </c>
      <c r="I88" s="106" t="n">
        <v>0.0516554448927604</v>
      </c>
      <c r="J88" s="106" t="n">
        <v>0.0483315161361219</v>
      </c>
      <c r="K88" s="107" t="n">
        <v>1</v>
      </c>
      <c r="L88" s="108"/>
      <c r="M88" s="108"/>
      <c r="N88" s="108"/>
      <c r="O88" s="108"/>
      <c r="P88" s="109"/>
      <c r="Q88" s="109" t="n">
        <f aca="false">(Yield_Originals!$H88*Yield_Originals!Q$1)/Yield_Originals!$K88</f>
        <v>0.06908060275381</v>
      </c>
      <c r="R88" s="109" t="n">
        <f aca="false">(Yield_Originals!$H88*Yield_Originals!R$1)/Yield_Originals!$K88</f>
        <v>0.0709476460714805</v>
      </c>
      <c r="S88" s="109" t="n">
        <f aca="false">(Yield_Originals!$H88*Yield_Originals!S$1)/Yield_Originals!$K88</f>
        <v>0.072814689389151</v>
      </c>
      <c r="T88" s="111" t="n">
        <f aca="false">(Yield_Originals!$I88*Yield_Originals!T$1)/Yield_Originals!$K88</f>
        <v>0.0774831673391406</v>
      </c>
      <c r="U88" s="111" t="n">
        <f aca="false">(Yield_Originals!$I88*Yield_Originals!U$1)/Yield_Originals!$K88</f>
        <v>0.0794202465226191</v>
      </c>
      <c r="V88" s="111" t="n">
        <f aca="false">(Yield_Originals!$I88*Yield_Originals!V$1)/Yield_Originals!$K88</f>
        <v>0.0813573257060977</v>
      </c>
      <c r="W88" s="111" t="n">
        <f aca="false">(Yield_Originals!$I88*Yield_Originals!W$1)/Yield_Originals!$K88</f>
        <v>0.0832944048895761</v>
      </c>
      <c r="X88" s="112" t="n">
        <f aca="false">(Yield_Originals!$J88*Yield_Originals!X$1)/Yield_Originals!$K88</f>
        <v>0.0797470016246011</v>
      </c>
      <c r="Y88" s="112" t="n">
        <f aca="false">(Yield_Originals!$J88*Yield_Originals!Y$1)/Yield_Originals!$K88</f>
        <v>0.0815594334797057</v>
      </c>
      <c r="Z88" s="112" t="n">
        <f aca="false">(Yield_Originals!$J88*Yield_Originals!Z$1)/Yield_Originals!$K88</f>
        <v>0.0833718653348103</v>
      </c>
      <c r="AA88" s="112"/>
      <c r="AB88" s="112"/>
    </row>
    <row r="89" customFormat="false" ht="15" hidden="false" customHeight="false" outlineLevel="0" collapsed="false">
      <c r="A89" s="70" t="s">
        <v>813</v>
      </c>
      <c r="B89" s="68" t="n">
        <v>2</v>
      </c>
      <c r="C89" s="114" t="s">
        <v>713</v>
      </c>
      <c r="D89" s="114" t="s">
        <v>816</v>
      </c>
      <c r="E89" s="104" t="n">
        <v>16</v>
      </c>
      <c r="F89" s="106" t="n">
        <v>0.047920198716335</v>
      </c>
      <c r="G89" s="106" t="n">
        <v>0.047920198716335</v>
      </c>
      <c r="H89" s="106" t="n">
        <f aca="false">+(Yield_Originals!I89+Yield_Originals!G89)/2</f>
        <v>0.0497878218045477</v>
      </c>
      <c r="I89" s="106" t="n">
        <v>0.0516554448927604</v>
      </c>
      <c r="J89" s="106" t="n">
        <v>0.0483315161361219</v>
      </c>
      <c r="K89" s="107" t="n">
        <v>1</v>
      </c>
      <c r="L89" s="108" t="n">
        <f aca="false">(Yield_Originals!$G89*Yield_Originals!L$1)/Yield_Originals!$K89</f>
        <v>0.057504238459602</v>
      </c>
      <c r="M89" s="108" t="n">
        <f aca="false">(Yield_Originals!$G89*Yield_Originals!M$1)/Yield_Originals!$K89</f>
        <v>0.0593012459114646</v>
      </c>
      <c r="N89" s="108" t="n">
        <f aca="false">(Yield_Originals!$G89*Yield_Originals!N$1)/Yield_Originals!$K89</f>
        <v>0.0610982533633271</v>
      </c>
      <c r="O89" s="108" t="n">
        <f aca="false">(Yield_Originals!$G89*Yield_Originals!O$1)/Yield_Originals!$K89</f>
        <v>0.0628952608151897</v>
      </c>
      <c r="P89" s="109" t="n">
        <f aca="false">(Yield_Originals!$H89*Yield_Originals!P$1)/Yield_Originals!$K89</f>
        <v>0.0672135594361394</v>
      </c>
      <c r="Q89" s="109" t="n">
        <f aca="false">(Yield_Originals!$H89*Yield_Originals!Q$1)/Yield_Originals!$K89</f>
        <v>0.06908060275381</v>
      </c>
      <c r="R89" s="109" t="n">
        <f aca="false">(Yield_Originals!$H89*Yield_Originals!R$1)/Yield_Originals!$K89</f>
        <v>0.0709476460714805</v>
      </c>
      <c r="S89" s="109" t="n">
        <f aca="false">(Yield_Originals!$H89*Yield_Originals!S$1)/Yield_Originals!$K89</f>
        <v>0.072814689389151</v>
      </c>
      <c r="T89" s="111" t="n">
        <f aca="false">(Yield_Originals!$I89*Yield_Originals!T$1)/Yield_Originals!$K89</f>
        <v>0.0774831673391406</v>
      </c>
      <c r="U89" s="111" t="n">
        <f aca="false">(Yield_Originals!$I89*Yield_Originals!U$1)/Yield_Originals!$K89</f>
        <v>0.0794202465226191</v>
      </c>
      <c r="V89" s="111" t="n">
        <f aca="false">(Yield_Originals!$I89*Yield_Originals!V$1)/Yield_Originals!$K89</f>
        <v>0.0813573257060977</v>
      </c>
      <c r="W89" s="111" t="n">
        <f aca="false">(Yield_Originals!$I89*Yield_Originals!W$1)/Yield_Originals!$K89</f>
        <v>0.0832944048895761</v>
      </c>
      <c r="X89" s="112" t="n">
        <f aca="false">(Yield_Originals!$J89*Yield_Originals!X$1)/Yield_Originals!$K89</f>
        <v>0.0797470016246011</v>
      </c>
      <c r="Y89" s="112" t="n">
        <f aca="false">(Yield_Originals!$J89*Yield_Originals!Y$1)/Yield_Originals!$K89</f>
        <v>0.0815594334797057</v>
      </c>
      <c r="Z89" s="112" t="n">
        <f aca="false">(Yield_Originals!$J89*Yield_Originals!Z$1)/Yield_Originals!$K89</f>
        <v>0.0833718653348103</v>
      </c>
      <c r="AA89" s="112" t="n">
        <f aca="false">(Yield_Originals!$J89*Yield_Originals!AA$1)/Yield_Originals!$K89</f>
        <v>0.0851842971899148</v>
      </c>
      <c r="AB89" s="112" t="n">
        <f aca="false">(Yield_Originals!$J89*Yield_Originals!AB$1)/Yield_Originals!$K89</f>
        <v>0.0869967290450194</v>
      </c>
    </row>
    <row r="90" customFormat="false" ht="15" hidden="false" customHeight="false" outlineLevel="0" collapsed="false">
      <c r="A90" s="70" t="s">
        <v>813</v>
      </c>
      <c r="B90" s="68" t="n">
        <v>2</v>
      </c>
      <c r="C90" s="114" t="s">
        <v>713</v>
      </c>
      <c r="D90" s="114" t="s">
        <v>816</v>
      </c>
      <c r="E90" s="104" t="n">
        <v>17</v>
      </c>
      <c r="F90" s="106" t="n">
        <v>0.047920198716335</v>
      </c>
      <c r="G90" s="106" t="n">
        <v>0.047920198716335</v>
      </c>
      <c r="H90" s="106" t="n">
        <f aca="false">+(Yield_Originals!I90+Yield_Originals!G90)/2</f>
        <v>0.0497878218045477</v>
      </c>
      <c r="I90" s="106" t="n">
        <v>0.0516554448927604</v>
      </c>
      <c r="J90" s="106" t="n">
        <v>0.0483315161361219</v>
      </c>
      <c r="K90" s="107" t="n">
        <v>1</v>
      </c>
      <c r="L90" s="108" t="n">
        <f aca="false">(Yield_Originals!$G90*Yield_Originals!L$1)/Yield_Originals!$K90</f>
        <v>0.057504238459602</v>
      </c>
      <c r="M90" s="108" t="n">
        <f aca="false">(Yield_Originals!$G90*Yield_Originals!M$1)/Yield_Originals!$K90</f>
        <v>0.0593012459114646</v>
      </c>
      <c r="N90" s="108" t="n">
        <f aca="false">(Yield_Originals!$G90*Yield_Originals!N$1)/Yield_Originals!$K90</f>
        <v>0.0610982533633271</v>
      </c>
      <c r="O90" s="108" t="n">
        <f aca="false">(Yield_Originals!$G90*Yield_Originals!O$1)/Yield_Originals!$K90</f>
        <v>0.0628952608151897</v>
      </c>
      <c r="P90" s="109" t="n">
        <f aca="false">(Yield_Originals!$H90*Yield_Originals!P$1)/Yield_Originals!$K90</f>
        <v>0.0672135594361394</v>
      </c>
      <c r="Q90" s="109" t="n">
        <f aca="false">(Yield_Originals!$H90*Yield_Originals!Q$1)/Yield_Originals!$K90</f>
        <v>0.06908060275381</v>
      </c>
      <c r="R90" s="109" t="n">
        <f aca="false">(Yield_Originals!$H90*Yield_Originals!R$1)/Yield_Originals!$K90</f>
        <v>0.0709476460714805</v>
      </c>
      <c r="S90" s="109" t="n">
        <f aca="false">(Yield_Originals!$H90*Yield_Originals!S$1)/Yield_Originals!$K90</f>
        <v>0.072814689389151</v>
      </c>
      <c r="T90" s="111" t="n">
        <f aca="false">(Yield_Originals!$I90*Yield_Originals!T$1)/Yield_Originals!$K90</f>
        <v>0.0774831673391406</v>
      </c>
      <c r="U90" s="111" t="n">
        <f aca="false">(Yield_Originals!$I90*Yield_Originals!U$1)/Yield_Originals!$K90</f>
        <v>0.0794202465226191</v>
      </c>
      <c r="V90" s="111" t="n">
        <f aca="false">(Yield_Originals!$I90*Yield_Originals!V$1)/Yield_Originals!$K90</f>
        <v>0.0813573257060977</v>
      </c>
      <c r="W90" s="111" t="n">
        <f aca="false">(Yield_Originals!$I90*Yield_Originals!W$1)/Yield_Originals!$K90</f>
        <v>0.0832944048895761</v>
      </c>
      <c r="X90" s="112" t="n">
        <f aca="false">(Yield_Originals!$J90*Yield_Originals!X$1)/Yield_Originals!$K90</f>
        <v>0.0797470016246011</v>
      </c>
      <c r="Y90" s="112" t="n">
        <f aca="false">(Yield_Originals!$J90*Yield_Originals!Y$1)/Yield_Originals!$K90</f>
        <v>0.0815594334797057</v>
      </c>
      <c r="Z90" s="112" t="n">
        <f aca="false">(Yield_Originals!$J90*Yield_Originals!Z$1)/Yield_Originals!$K90</f>
        <v>0.0833718653348103</v>
      </c>
      <c r="AA90" s="112" t="n">
        <f aca="false">(Yield_Originals!$J90*Yield_Originals!AA$1)/Yield_Originals!$K90</f>
        <v>0.0851842971899148</v>
      </c>
      <c r="AB90" s="112" t="n">
        <f aca="false">(Yield_Originals!$J90*Yield_Originals!AB$1)/Yield_Originals!$K90</f>
        <v>0.0869967290450194</v>
      </c>
    </row>
    <row r="91" customFormat="false" ht="15" hidden="false" customHeight="false" outlineLevel="0" collapsed="false">
      <c r="A91" s="70" t="s">
        <v>813</v>
      </c>
      <c r="B91" s="68" t="n">
        <v>2</v>
      </c>
      <c r="C91" s="114" t="s">
        <v>713</v>
      </c>
      <c r="D91" s="114" t="s">
        <v>816</v>
      </c>
      <c r="E91" s="104" t="n">
        <v>18</v>
      </c>
      <c r="F91" s="106" t="n">
        <v>0.047920198716335</v>
      </c>
      <c r="G91" s="106" t="n">
        <v>0.047920198716335</v>
      </c>
      <c r="H91" s="106" t="n">
        <f aca="false">+(Yield_Originals!I91+Yield_Originals!G91)/2</f>
        <v>0.0497878218045477</v>
      </c>
      <c r="I91" s="106" t="n">
        <v>0.0516554448927604</v>
      </c>
      <c r="J91" s="106" t="n">
        <v>0.0483315161361219</v>
      </c>
      <c r="K91" s="107" t="n">
        <v>1</v>
      </c>
      <c r="L91" s="108" t="n">
        <f aca="false">(Yield_Originals!$G91*Yield_Originals!L$1)/Yield_Originals!$K91</f>
        <v>0.057504238459602</v>
      </c>
      <c r="M91" s="108" t="n">
        <f aca="false">(Yield_Originals!$G91*Yield_Originals!M$1)/Yield_Originals!$K91</f>
        <v>0.0593012459114646</v>
      </c>
      <c r="N91" s="108" t="n">
        <f aca="false">(Yield_Originals!$G91*Yield_Originals!N$1)/Yield_Originals!$K91</f>
        <v>0.0610982533633271</v>
      </c>
      <c r="O91" s="108" t="n">
        <f aca="false">(Yield_Originals!$G91*Yield_Originals!O$1)/Yield_Originals!$K91</f>
        <v>0.0628952608151897</v>
      </c>
      <c r="P91" s="109" t="n">
        <f aca="false">(Yield_Originals!$H91*Yield_Originals!P$1)/Yield_Originals!$K91</f>
        <v>0.0672135594361394</v>
      </c>
      <c r="Q91" s="109" t="n">
        <f aca="false">(Yield_Originals!$H91*Yield_Originals!Q$1)/Yield_Originals!$K91</f>
        <v>0.06908060275381</v>
      </c>
      <c r="R91" s="109" t="n">
        <f aca="false">(Yield_Originals!$H91*Yield_Originals!R$1)/Yield_Originals!$K91</f>
        <v>0.0709476460714805</v>
      </c>
      <c r="S91" s="109" t="n">
        <f aca="false">(Yield_Originals!$H91*Yield_Originals!S$1)/Yield_Originals!$K91</f>
        <v>0.072814689389151</v>
      </c>
      <c r="T91" s="111" t="n">
        <f aca="false">(Yield_Originals!$I91*Yield_Originals!T$1)/Yield_Originals!$K91</f>
        <v>0.0774831673391406</v>
      </c>
      <c r="U91" s="111" t="n">
        <f aca="false">(Yield_Originals!$I91*Yield_Originals!U$1)/Yield_Originals!$K91</f>
        <v>0.0794202465226191</v>
      </c>
      <c r="V91" s="111" t="n">
        <f aca="false">(Yield_Originals!$I91*Yield_Originals!V$1)/Yield_Originals!$K91</f>
        <v>0.0813573257060977</v>
      </c>
      <c r="W91" s="111" t="n">
        <f aca="false">(Yield_Originals!$I91*Yield_Originals!W$1)/Yield_Originals!$K91</f>
        <v>0.0832944048895761</v>
      </c>
      <c r="X91" s="112" t="n">
        <f aca="false">(Yield_Originals!$J91*Yield_Originals!X$1)/Yield_Originals!$K91</f>
        <v>0.0797470016246011</v>
      </c>
      <c r="Y91" s="112" t="n">
        <f aca="false">(Yield_Originals!$J91*Yield_Originals!Y$1)/Yield_Originals!$K91</f>
        <v>0.0815594334797057</v>
      </c>
      <c r="Z91" s="112" t="n">
        <f aca="false">(Yield_Originals!$J91*Yield_Originals!Z$1)/Yield_Originals!$K91</f>
        <v>0.0833718653348103</v>
      </c>
      <c r="AA91" s="112" t="n">
        <f aca="false">(Yield_Originals!$J91*Yield_Originals!AA$1)/Yield_Originals!$K91</f>
        <v>0.0851842971899148</v>
      </c>
      <c r="AB91" s="112" t="n">
        <f aca="false">(Yield_Originals!$J91*Yield_Originals!AB$1)/Yield_Originals!$K91</f>
        <v>0.0869967290450194</v>
      </c>
    </row>
    <row r="92" customFormat="false" ht="15" hidden="false" customHeight="false" outlineLevel="0" collapsed="false">
      <c r="A92" s="70" t="s">
        <v>813</v>
      </c>
      <c r="B92" s="68" t="n">
        <v>2</v>
      </c>
      <c r="C92" s="114" t="s">
        <v>713</v>
      </c>
      <c r="D92" s="114" t="s">
        <v>816</v>
      </c>
      <c r="E92" s="104" t="n">
        <v>19</v>
      </c>
      <c r="F92" s="106" t="n">
        <v>0.047920198716335</v>
      </c>
      <c r="G92" s="106" t="n">
        <v>0.047920198716335</v>
      </c>
      <c r="H92" s="106" t="n">
        <f aca="false">+(Yield_Originals!I92+Yield_Originals!G92)/2</f>
        <v>0.0497878218045477</v>
      </c>
      <c r="I92" s="106" t="n">
        <v>0.0516554448927604</v>
      </c>
      <c r="J92" s="106" t="n">
        <v>0.0483315161361219</v>
      </c>
      <c r="K92" s="107" t="n">
        <v>1</v>
      </c>
      <c r="L92" s="108" t="n">
        <f aca="false">(Yield_Originals!$G92*Yield_Originals!L$1)/Yield_Originals!$K92</f>
        <v>0.057504238459602</v>
      </c>
      <c r="M92" s="108" t="n">
        <f aca="false">(Yield_Originals!$G92*Yield_Originals!M$1)/Yield_Originals!$K92</f>
        <v>0.0593012459114646</v>
      </c>
      <c r="N92" s="108" t="n">
        <f aca="false">(Yield_Originals!$G92*Yield_Originals!N$1)/Yield_Originals!$K92</f>
        <v>0.0610982533633271</v>
      </c>
      <c r="O92" s="108" t="n">
        <f aca="false">(Yield_Originals!$G92*Yield_Originals!O$1)/Yield_Originals!$K92</f>
        <v>0.0628952608151897</v>
      </c>
      <c r="P92" s="109" t="n">
        <f aca="false">(Yield_Originals!$H92*Yield_Originals!P$1)/Yield_Originals!$K92</f>
        <v>0.0672135594361394</v>
      </c>
      <c r="Q92" s="109" t="n">
        <f aca="false">(Yield_Originals!$H92*Yield_Originals!Q$1)/Yield_Originals!$K92</f>
        <v>0.06908060275381</v>
      </c>
      <c r="R92" s="109" t="n">
        <f aca="false">(Yield_Originals!$H92*Yield_Originals!R$1)/Yield_Originals!$K92</f>
        <v>0.0709476460714805</v>
      </c>
      <c r="S92" s="109" t="n">
        <f aca="false">(Yield_Originals!$H92*Yield_Originals!S$1)/Yield_Originals!$K92</f>
        <v>0.072814689389151</v>
      </c>
      <c r="T92" s="111" t="n">
        <f aca="false">(Yield_Originals!$I92*Yield_Originals!T$1)/Yield_Originals!$K92</f>
        <v>0.0774831673391406</v>
      </c>
      <c r="U92" s="111" t="n">
        <f aca="false">(Yield_Originals!$I92*Yield_Originals!U$1)/Yield_Originals!$K92</f>
        <v>0.0794202465226191</v>
      </c>
      <c r="V92" s="111" t="n">
        <f aca="false">(Yield_Originals!$I92*Yield_Originals!V$1)/Yield_Originals!$K92</f>
        <v>0.0813573257060977</v>
      </c>
      <c r="W92" s="111" t="n">
        <f aca="false">(Yield_Originals!$I92*Yield_Originals!W$1)/Yield_Originals!$K92</f>
        <v>0.0832944048895761</v>
      </c>
      <c r="X92" s="112" t="n">
        <f aca="false">(Yield_Originals!$J92*Yield_Originals!X$1)/Yield_Originals!$K92</f>
        <v>0.0797470016246011</v>
      </c>
      <c r="Y92" s="112" t="n">
        <f aca="false">(Yield_Originals!$J92*Yield_Originals!Y$1)/Yield_Originals!$K92</f>
        <v>0.0815594334797057</v>
      </c>
      <c r="Z92" s="112" t="n">
        <f aca="false">(Yield_Originals!$J92*Yield_Originals!Z$1)/Yield_Originals!$K92</f>
        <v>0.0833718653348103</v>
      </c>
      <c r="AA92" s="112" t="n">
        <f aca="false">(Yield_Originals!$J92*Yield_Originals!AA$1)/Yield_Originals!$K92</f>
        <v>0.0851842971899148</v>
      </c>
      <c r="AB92" s="112" t="n">
        <f aca="false">(Yield_Originals!$J92*Yield_Originals!AB$1)/Yield_Originals!$K92</f>
        <v>0.0869967290450194</v>
      </c>
    </row>
    <row r="93" customFormat="false" ht="15" hidden="false" customHeight="false" outlineLevel="0" collapsed="false">
      <c r="A93" s="70" t="s">
        <v>813</v>
      </c>
      <c r="B93" s="68" t="n">
        <v>2</v>
      </c>
      <c r="C93" s="114" t="s">
        <v>713</v>
      </c>
      <c r="D93" s="114" t="s">
        <v>816</v>
      </c>
      <c r="E93" s="104" t="n">
        <v>20</v>
      </c>
      <c r="F93" s="106" t="n">
        <v>0.047920198716335</v>
      </c>
      <c r="G93" s="106" t="n">
        <v>0.047920198716335</v>
      </c>
      <c r="H93" s="106" t="n">
        <f aca="false">+(Yield_Originals!I93+Yield_Originals!G93)/2</f>
        <v>0.0497878218045477</v>
      </c>
      <c r="I93" s="106" t="n">
        <v>0.0516554448927604</v>
      </c>
      <c r="J93" s="106" t="n">
        <v>0.0483315161361219</v>
      </c>
      <c r="K93" s="107" t="n">
        <v>1</v>
      </c>
      <c r="L93" s="108" t="n">
        <f aca="false">(Yield_Originals!$G93*Yield_Originals!L$1)/Yield_Originals!$K93</f>
        <v>0.057504238459602</v>
      </c>
      <c r="M93" s="108" t="n">
        <f aca="false">(Yield_Originals!$G93*Yield_Originals!M$1)/Yield_Originals!$K93</f>
        <v>0.0593012459114646</v>
      </c>
      <c r="N93" s="108" t="n">
        <f aca="false">(Yield_Originals!$G93*Yield_Originals!N$1)/Yield_Originals!$K93</f>
        <v>0.0610982533633271</v>
      </c>
      <c r="O93" s="108" t="n">
        <f aca="false">(Yield_Originals!$G93*Yield_Originals!O$1)/Yield_Originals!$K93</f>
        <v>0.0628952608151897</v>
      </c>
      <c r="P93" s="109" t="n">
        <f aca="false">(Yield_Originals!$H93*Yield_Originals!P$1)/Yield_Originals!$K93</f>
        <v>0.0672135594361394</v>
      </c>
      <c r="Q93" s="109" t="n">
        <f aca="false">(Yield_Originals!$H93*Yield_Originals!Q$1)/Yield_Originals!$K93</f>
        <v>0.06908060275381</v>
      </c>
      <c r="R93" s="109" t="n">
        <f aca="false">(Yield_Originals!$H93*Yield_Originals!R$1)/Yield_Originals!$K93</f>
        <v>0.0709476460714805</v>
      </c>
      <c r="S93" s="109" t="n">
        <f aca="false">(Yield_Originals!$H93*Yield_Originals!S$1)/Yield_Originals!$K93</f>
        <v>0.072814689389151</v>
      </c>
      <c r="T93" s="111" t="n">
        <f aca="false">(Yield_Originals!$I93*Yield_Originals!T$1)/Yield_Originals!$K93</f>
        <v>0.0774831673391406</v>
      </c>
      <c r="U93" s="111" t="n">
        <f aca="false">(Yield_Originals!$I93*Yield_Originals!U$1)/Yield_Originals!$K93</f>
        <v>0.0794202465226191</v>
      </c>
      <c r="V93" s="111" t="n">
        <f aca="false">(Yield_Originals!$I93*Yield_Originals!V$1)/Yield_Originals!$K93</f>
        <v>0.0813573257060977</v>
      </c>
      <c r="W93" s="111" t="n">
        <f aca="false">(Yield_Originals!$I93*Yield_Originals!W$1)/Yield_Originals!$K93</f>
        <v>0.0832944048895761</v>
      </c>
      <c r="X93" s="112" t="n">
        <f aca="false">(Yield_Originals!$J93*Yield_Originals!X$1)/Yield_Originals!$K93</f>
        <v>0.0797470016246011</v>
      </c>
      <c r="Y93" s="112" t="n">
        <f aca="false">(Yield_Originals!$J93*Yield_Originals!Y$1)/Yield_Originals!$K93</f>
        <v>0.0815594334797057</v>
      </c>
      <c r="Z93" s="112" t="n">
        <f aca="false">(Yield_Originals!$J93*Yield_Originals!Z$1)/Yield_Originals!$K93</f>
        <v>0.0833718653348103</v>
      </c>
      <c r="AA93" s="112" t="n">
        <f aca="false">(Yield_Originals!$J93*Yield_Originals!AA$1)/Yield_Originals!$K93</f>
        <v>0.0851842971899148</v>
      </c>
      <c r="AB93" s="112" t="n">
        <f aca="false">(Yield_Originals!$J93*Yield_Originals!AB$1)/Yield_Originals!$K93</f>
        <v>0.0869967290450194</v>
      </c>
    </row>
    <row r="94" customFormat="false" ht="15" hidden="false" customHeight="false" outlineLevel="0" collapsed="false">
      <c r="A94" s="70" t="s">
        <v>813</v>
      </c>
      <c r="B94" s="68" t="n">
        <v>2</v>
      </c>
      <c r="C94" s="114" t="s">
        <v>713</v>
      </c>
      <c r="D94" s="114" t="s">
        <v>816</v>
      </c>
      <c r="E94" s="104" t="n">
        <v>21</v>
      </c>
      <c r="F94" s="106" t="n">
        <v>0.047920198716335</v>
      </c>
      <c r="G94" s="106" t="n">
        <v>0.047920198716335</v>
      </c>
      <c r="H94" s="106" t="n">
        <f aca="false">+(Yield_Originals!I94+Yield_Originals!G94)/2</f>
        <v>0.0497878218045477</v>
      </c>
      <c r="I94" s="106" t="n">
        <v>0.0516554448927604</v>
      </c>
      <c r="J94" s="106" t="n">
        <v>0.0483315161361219</v>
      </c>
      <c r="K94" s="107" t="n">
        <v>1</v>
      </c>
      <c r="L94" s="108" t="n">
        <f aca="false">(Yield_Originals!$G94*Yield_Originals!L$1)/Yield_Originals!$K94</f>
        <v>0.057504238459602</v>
      </c>
      <c r="M94" s="108" t="n">
        <f aca="false">(Yield_Originals!$G94*Yield_Originals!M$1)/Yield_Originals!$K94</f>
        <v>0.0593012459114646</v>
      </c>
      <c r="N94" s="108" t="n">
        <f aca="false">(Yield_Originals!$G94*Yield_Originals!N$1)/Yield_Originals!$K94</f>
        <v>0.0610982533633271</v>
      </c>
      <c r="O94" s="108" t="n">
        <f aca="false">(Yield_Originals!$G94*Yield_Originals!O$1)/Yield_Originals!$K94</f>
        <v>0.0628952608151897</v>
      </c>
      <c r="P94" s="109" t="n">
        <f aca="false">(Yield_Originals!$H94*Yield_Originals!P$1)/Yield_Originals!$K94</f>
        <v>0.0672135594361394</v>
      </c>
      <c r="Q94" s="109" t="n">
        <f aca="false">(Yield_Originals!$H94*Yield_Originals!Q$1)/Yield_Originals!$K94</f>
        <v>0.06908060275381</v>
      </c>
      <c r="R94" s="109" t="n">
        <f aca="false">(Yield_Originals!$H94*Yield_Originals!R$1)/Yield_Originals!$K94</f>
        <v>0.0709476460714805</v>
      </c>
      <c r="S94" s="109" t="n">
        <f aca="false">(Yield_Originals!$H94*Yield_Originals!S$1)/Yield_Originals!$K94</f>
        <v>0.072814689389151</v>
      </c>
      <c r="T94" s="111" t="n">
        <f aca="false">(Yield_Originals!$I94*Yield_Originals!T$1)/Yield_Originals!$K94</f>
        <v>0.0774831673391406</v>
      </c>
      <c r="U94" s="111" t="n">
        <f aca="false">(Yield_Originals!$I94*Yield_Originals!U$1)/Yield_Originals!$K94</f>
        <v>0.0794202465226191</v>
      </c>
      <c r="V94" s="111" t="n">
        <f aca="false">(Yield_Originals!$I94*Yield_Originals!V$1)/Yield_Originals!$K94</f>
        <v>0.0813573257060977</v>
      </c>
      <c r="W94" s="111" t="n">
        <f aca="false">(Yield_Originals!$I94*Yield_Originals!W$1)/Yield_Originals!$K94</f>
        <v>0.0832944048895761</v>
      </c>
      <c r="X94" s="112" t="n">
        <f aca="false">(Yield_Originals!$J94*Yield_Originals!X$1)/Yield_Originals!$K94</f>
        <v>0.0797470016246011</v>
      </c>
      <c r="Y94" s="112" t="n">
        <f aca="false">(Yield_Originals!$J94*Yield_Originals!Y$1)/Yield_Originals!$K94</f>
        <v>0.0815594334797057</v>
      </c>
      <c r="Z94" s="112" t="n">
        <f aca="false">(Yield_Originals!$J94*Yield_Originals!Z$1)/Yield_Originals!$K94</f>
        <v>0.0833718653348103</v>
      </c>
      <c r="AA94" s="112" t="n">
        <f aca="false">(Yield_Originals!$J94*Yield_Originals!AA$1)/Yield_Originals!$K94</f>
        <v>0.0851842971899148</v>
      </c>
      <c r="AB94" s="112" t="n">
        <f aca="false">(Yield_Originals!$J94*Yield_Originals!AB$1)/Yield_Originals!$K94</f>
        <v>0.0869967290450194</v>
      </c>
    </row>
    <row r="95" customFormat="false" ht="15" hidden="false" customHeight="false" outlineLevel="0" collapsed="false">
      <c r="A95" s="70" t="s">
        <v>813</v>
      </c>
      <c r="B95" s="68" t="n">
        <v>2</v>
      </c>
      <c r="C95" s="114" t="s">
        <v>716</v>
      </c>
      <c r="D95" s="114" t="s">
        <v>821</v>
      </c>
      <c r="E95" s="104" t="n">
        <v>16</v>
      </c>
      <c r="F95" s="106" t="n">
        <v>0.047920198716335</v>
      </c>
      <c r="G95" s="106" t="n">
        <v>0.047920198716335</v>
      </c>
      <c r="H95" s="106" t="n">
        <f aca="false">+(Yield_Originals!I95+Yield_Originals!G95)/2</f>
        <v>0.0497878218045477</v>
      </c>
      <c r="I95" s="106" t="n">
        <v>0.0516554448927604</v>
      </c>
      <c r="J95" s="106" t="n">
        <v>0.0483315161361219</v>
      </c>
      <c r="K95" s="107" t="n">
        <v>1</v>
      </c>
      <c r="L95" s="108" t="n">
        <f aca="false">(Yield_Originals!$G95*Yield_Originals!L$1)/Yield_Originals!$K95</f>
        <v>0.057504238459602</v>
      </c>
      <c r="M95" s="108" t="n">
        <f aca="false">(Yield_Originals!$G95*Yield_Originals!M$1)/Yield_Originals!$K95</f>
        <v>0.0593012459114646</v>
      </c>
      <c r="N95" s="108" t="n">
        <f aca="false">(Yield_Originals!$G95*Yield_Originals!N$1)/Yield_Originals!$K95</f>
        <v>0.0610982533633271</v>
      </c>
      <c r="O95" s="108" t="n">
        <f aca="false">(Yield_Originals!$G95*Yield_Originals!O$1)/Yield_Originals!$K95</f>
        <v>0.0628952608151897</v>
      </c>
      <c r="P95" s="109" t="n">
        <f aca="false">(Yield_Originals!$H95*Yield_Originals!P$1)/Yield_Originals!$K95</f>
        <v>0.0672135594361394</v>
      </c>
      <c r="Q95" s="109" t="n">
        <f aca="false">(Yield_Originals!$H95*Yield_Originals!Q$1)/Yield_Originals!$K95</f>
        <v>0.06908060275381</v>
      </c>
      <c r="R95" s="109" t="n">
        <f aca="false">(Yield_Originals!$H95*Yield_Originals!R$1)/Yield_Originals!$K95</f>
        <v>0.0709476460714805</v>
      </c>
      <c r="S95" s="109"/>
      <c r="T95" s="111"/>
      <c r="U95" s="111"/>
      <c r="V95" s="111"/>
      <c r="W95" s="111"/>
      <c r="X95" s="112"/>
      <c r="Y95" s="112"/>
      <c r="Z95" s="112"/>
      <c r="AA95" s="112"/>
      <c r="AB95" s="112"/>
    </row>
    <row r="96" customFormat="false" ht="15" hidden="false" customHeight="false" outlineLevel="0" collapsed="false">
      <c r="A96" s="70" t="s">
        <v>813</v>
      </c>
      <c r="B96" s="68" t="n">
        <v>2</v>
      </c>
      <c r="C96" s="114" t="s">
        <v>716</v>
      </c>
      <c r="D96" s="114" t="s">
        <v>821</v>
      </c>
      <c r="E96" s="104" t="n">
        <v>17</v>
      </c>
      <c r="F96" s="106" t="n">
        <v>0.047920198716335</v>
      </c>
      <c r="G96" s="106" t="n">
        <v>0.047920198716335</v>
      </c>
      <c r="H96" s="106" t="n">
        <f aca="false">+(Yield_Originals!I96+Yield_Originals!G96)/2</f>
        <v>0.0497878218045477</v>
      </c>
      <c r="I96" s="106" t="n">
        <v>0.0516554448927604</v>
      </c>
      <c r="J96" s="106" t="n">
        <v>0.0483315161361219</v>
      </c>
      <c r="K96" s="107" t="n">
        <v>1</v>
      </c>
      <c r="L96" s="108" t="n">
        <f aca="false">(Yield_Originals!$G96*Yield_Originals!L$1)/Yield_Originals!$K96</f>
        <v>0.057504238459602</v>
      </c>
      <c r="M96" s="108" t="n">
        <f aca="false">(Yield_Originals!$G96*Yield_Originals!M$1)/Yield_Originals!$K96</f>
        <v>0.0593012459114646</v>
      </c>
      <c r="N96" s="108" t="n">
        <f aca="false">(Yield_Originals!$G96*Yield_Originals!N$1)/Yield_Originals!$K96</f>
        <v>0.0610982533633271</v>
      </c>
      <c r="O96" s="108" t="n">
        <f aca="false">(Yield_Originals!$G96*Yield_Originals!O$1)/Yield_Originals!$K96</f>
        <v>0.0628952608151897</v>
      </c>
      <c r="P96" s="109" t="n">
        <f aca="false">(Yield_Originals!$H96*Yield_Originals!P$1)/Yield_Originals!$K96</f>
        <v>0.0672135594361394</v>
      </c>
      <c r="Q96" s="109" t="n">
        <f aca="false">(Yield_Originals!$H96*Yield_Originals!Q$1)/Yield_Originals!$K96</f>
        <v>0.06908060275381</v>
      </c>
      <c r="R96" s="109" t="n">
        <f aca="false">(Yield_Originals!$H96*Yield_Originals!R$1)/Yield_Originals!$K96</f>
        <v>0.0709476460714805</v>
      </c>
      <c r="S96" s="109"/>
      <c r="T96" s="111"/>
      <c r="U96" s="111"/>
      <c r="V96" s="111"/>
      <c r="W96" s="111"/>
      <c r="X96" s="112"/>
      <c r="Y96" s="112"/>
      <c r="Z96" s="112"/>
      <c r="AA96" s="112"/>
      <c r="AB96" s="112"/>
    </row>
    <row r="97" customFormat="false" ht="15" hidden="false" customHeight="false" outlineLevel="0" collapsed="false">
      <c r="A97" s="70" t="s">
        <v>813</v>
      </c>
      <c r="B97" s="68" t="n">
        <v>2</v>
      </c>
      <c r="C97" s="114" t="s">
        <v>716</v>
      </c>
      <c r="D97" s="114" t="s">
        <v>821</v>
      </c>
      <c r="E97" s="104" t="n">
        <v>18</v>
      </c>
      <c r="F97" s="106" t="n">
        <v>0.047920198716335</v>
      </c>
      <c r="G97" s="106" t="n">
        <v>0.047920198716335</v>
      </c>
      <c r="H97" s="106" t="n">
        <f aca="false">+(Yield_Originals!I97+Yield_Originals!G97)/2</f>
        <v>0.0497878218045477</v>
      </c>
      <c r="I97" s="106" t="n">
        <v>0.0516554448927604</v>
      </c>
      <c r="J97" s="106" t="n">
        <v>0.0483315161361219</v>
      </c>
      <c r="K97" s="107" t="n">
        <v>1</v>
      </c>
      <c r="L97" s="108" t="n">
        <f aca="false">(Yield_Originals!$G97*Yield_Originals!L$1)/Yield_Originals!$K97</f>
        <v>0.057504238459602</v>
      </c>
      <c r="M97" s="108" t="n">
        <f aca="false">(Yield_Originals!$G97*Yield_Originals!M$1)/Yield_Originals!$K97</f>
        <v>0.0593012459114646</v>
      </c>
      <c r="N97" s="108" t="n">
        <f aca="false">(Yield_Originals!$G97*Yield_Originals!N$1)/Yield_Originals!$K97</f>
        <v>0.0610982533633271</v>
      </c>
      <c r="O97" s="108" t="n">
        <f aca="false">(Yield_Originals!$G97*Yield_Originals!O$1)/Yield_Originals!$K97</f>
        <v>0.0628952608151897</v>
      </c>
      <c r="P97" s="109" t="n">
        <f aca="false">(Yield_Originals!$H97*Yield_Originals!P$1)/Yield_Originals!$K97</f>
        <v>0.0672135594361394</v>
      </c>
      <c r="Q97" s="109" t="n">
        <f aca="false">(Yield_Originals!$H97*Yield_Originals!Q$1)/Yield_Originals!$K97</f>
        <v>0.06908060275381</v>
      </c>
      <c r="R97" s="109" t="n">
        <f aca="false">(Yield_Originals!$H97*Yield_Originals!R$1)/Yield_Originals!$K97</f>
        <v>0.0709476460714805</v>
      </c>
      <c r="S97" s="109"/>
      <c r="T97" s="111"/>
      <c r="U97" s="111"/>
      <c r="V97" s="111"/>
      <c r="W97" s="111"/>
      <c r="X97" s="112"/>
      <c r="Y97" s="112"/>
      <c r="Z97" s="112"/>
      <c r="AA97" s="112"/>
      <c r="AB97" s="112"/>
    </row>
    <row r="98" customFormat="false" ht="15" hidden="false" customHeight="false" outlineLevel="0" collapsed="false">
      <c r="A98" s="70" t="s">
        <v>813</v>
      </c>
      <c r="B98" s="68" t="n">
        <v>2</v>
      </c>
      <c r="C98" s="114" t="s">
        <v>716</v>
      </c>
      <c r="D98" s="114" t="s">
        <v>821</v>
      </c>
      <c r="E98" s="104" t="n">
        <v>19</v>
      </c>
      <c r="F98" s="106" t="n">
        <v>0.047920198716335</v>
      </c>
      <c r="G98" s="106" t="n">
        <v>0.047920198716335</v>
      </c>
      <c r="H98" s="106" t="n">
        <f aca="false">+(Yield_Originals!I98+Yield_Originals!G98)/2</f>
        <v>0.0497878218045477</v>
      </c>
      <c r="I98" s="106" t="n">
        <v>0.0516554448927604</v>
      </c>
      <c r="J98" s="106" t="n">
        <v>0.0483315161361219</v>
      </c>
      <c r="K98" s="107" t="n">
        <v>1</v>
      </c>
      <c r="L98" s="108" t="n">
        <f aca="false">(Yield_Originals!$G98*Yield_Originals!L$1)/Yield_Originals!$K98</f>
        <v>0.057504238459602</v>
      </c>
      <c r="M98" s="108" t="n">
        <f aca="false">(Yield_Originals!$G98*Yield_Originals!M$1)/Yield_Originals!$K98</f>
        <v>0.0593012459114646</v>
      </c>
      <c r="N98" s="108" t="n">
        <f aca="false">(Yield_Originals!$G98*Yield_Originals!N$1)/Yield_Originals!$K98</f>
        <v>0.0610982533633271</v>
      </c>
      <c r="O98" s="108" t="n">
        <f aca="false">(Yield_Originals!$G98*Yield_Originals!O$1)/Yield_Originals!$K98</f>
        <v>0.0628952608151897</v>
      </c>
      <c r="P98" s="109" t="n">
        <f aca="false">(Yield_Originals!$H98*Yield_Originals!P$1)/Yield_Originals!$K98</f>
        <v>0.0672135594361394</v>
      </c>
      <c r="Q98" s="109" t="n">
        <f aca="false">(Yield_Originals!$H98*Yield_Originals!Q$1)/Yield_Originals!$K98</f>
        <v>0.06908060275381</v>
      </c>
      <c r="R98" s="109" t="n">
        <f aca="false">(Yield_Originals!$H98*Yield_Originals!R$1)/Yield_Originals!$K98</f>
        <v>0.0709476460714805</v>
      </c>
      <c r="S98" s="109"/>
      <c r="T98" s="111"/>
      <c r="U98" s="111"/>
      <c r="V98" s="111"/>
      <c r="W98" s="111"/>
      <c r="X98" s="112"/>
      <c r="Y98" s="112"/>
      <c r="Z98" s="112"/>
      <c r="AA98" s="112"/>
      <c r="AB98" s="112"/>
    </row>
    <row r="99" customFormat="false" ht="15" hidden="false" customHeight="false" outlineLevel="0" collapsed="false">
      <c r="A99" s="70" t="s">
        <v>813</v>
      </c>
      <c r="B99" s="68" t="n">
        <v>2</v>
      </c>
      <c r="C99" s="114" t="s">
        <v>716</v>
      </c>
      <c r="D99" s="114" t="s">
        <v>821</v>
      </c>
      <c r="E99" s="104" t="n">
        <v>20</v>
      </c>
      <c r="F99" s="106" t="n">
        <v>0.047920198716335</v>
      </c>
      <c r="G99" s="106" t="n">
        <v>0.047920198716335</v>
      </c>
      <c r="H99" s="106" t="n">
        <f aca="false">+(Yield_Originals!I99+Yield_Originals!G99)/2</f>
        <v>0.0497878218045477</v>
      </c>
      <c r="I99" s="106" t="n">
        <v>0.0516554448927604</v>
      </c>
      <c r="J99" s="106" t="n">
        <v>0.0483315161361219</v>
      </c>
      <c r="K99" s="107" t="n">
        <v>1</v>
      </c>
      <c r="L99" s="108" t="n">
        <f aca="false">(Yield_Originals!$G99*Yield_Originals!L$1)/Yield_Originals!$K99</f>
        <v>0.057504238459602</v>
      </c>
      <c r="M99" s="108" t="n">
        <f aca="false">(Yield_Originals!$G99*Yield_Originals!M$1)/Yield_Originals!$K99</f>
        <v>0.0593012459114646</v>
      </c>
      <c r="N99" s="108" t="n">
        <f aca="false">(Yield_Originals!$G99*Yield_Originals!N$1)/Yield_Originals!$K99</f>
        <v>0.0610982533633271</v>
      </c>
      <c r="O99" s="108" t="n">
        <f aca="false">(Yield_Originals!$G99*Yield_Originals!O$1)/Yield_Originals!$K99</f>
        <v>0.0628952608151897</v>
      </c>
      <c r="P99" s="109" t="n">
        <f aca="false">(Yield_Originals!$H99*Yield_Originals!P$1)/Yield_Originals!$K99</f>
        <v>0.0672135594361394</v>
      </c>
      <c r="Q99" s="109" t="n">
        <f aca="false">(Yield_Originals!$H99*Yield_Originals!Q$1)/Yield_Originals!$K99</f>
        <v>0.06908060275381</v>
      </c>
      <c r="R99" s="109" t="n">
        <f aca="false">(Yield_Originals!$H99*Yield_Originals!R$1)/Yield_Originals!$K99</f>
        <v>0.0709476460714805</v>
      </c>
      <c r="S99" s="109"/>
      <c r="T99" s="111"/>
      <c r="U99" s="111"/>
      <c r="V99" s="111"/>
      <c r="W99" s="111"/>
      <c r="X99" s="112"/>
      <c r="Y99" s="112"/>
      <c r="Z99" s="112"/>
      <c r="AA99" s="112"/>
      <c r="AB99" s="112"/>
    </row>
    <row r="100" customFormat="false" ht="15" hidden="false" customHeight="false" outlineLevel="0" collapsed="false">
      <c r="A100" s="70" t="s">
        <v>813</v>
      </c>
      <c r="B100" s="68" t="n">
        <v>2</v>
      </c>
      <c r="C100" s="114" t="s">
        <v>716</v>
      </c>
      <c r="D100" s="114" t="s">
        <v>821</v>
      </c>
      <c r="E100" s="104" t="n">
        <v>21</v>
      </c>
      <c r="F100" s="106" t="n">
        <v>0.047920198716335</v>
      </c>
      <c r="G100" s="106" t="n">
        <v>0.047920198716335</v>
      </c>
      <c r="H100" s="106" t="n">
        <f aca="false">+(Yield_Originals!I100+Yield_Originals!G100)/2</f>
        <v>0.0497878218045477</v>
      </c>
      <c r="I100" s="106" t="n">
        <v>0.0516554448927604</v>
      </c>
      <c r="J100" s="106" t="n">
        <v>0.0483315161361219</v>
      </c>
      <c r="K100" s="107" t="n">
        <v>1</v>
      </c>
      <c r="L100" s="108" t="n">
        <f aca="false">(Yield_Originals!$G100*Yield_Originals!L$1)/Yield_Originals!$K100</f>
        <v>0.057504238459602</v>
      </c>
      <c r="M100" s="108" t="n">
        <f aca="false">(Yield_Originals!$G100*Yield_Originals!M$1)/Yield_Originals!$K100</f>
        <v>0.0593012459114646</v>
      </c>
      <c r="N100" s="108" t="n">
        <f aca="false">(Yield_Originals!$G100*Yield_Originals!N$1)/Yield_Originals!$K100</f>
        <v>0.0610982533633271</v>
      </c>
      <c r="O100" s="108" t="n">
        <f aca="false">(Yield_Originals!$G100*Yield_Originals!O$1)/Yield_Originals!$K100</f>
        <v>0.0628952608151897</v>
      </c>
      <c r="P100" s="109" t="n">
        <f aca="false">(Yield_Originals!$H100*Yield_Originals!P$1)/Yield_Originals!$K100</f>
        <v>0.0672135594361394</v>
      </c>
      <c r="Q100" s="109" t="n">
        <f aca="false">(Yield_Originals!$H100*Yield_Originals!Q$1)/Yield_Originals!$K100</f>
        <v>0.06908060275381</v>
      </c>
      <c r="R100" s="109" t="n">
        <f aca="false">(Yield_Originals!$H100*Yield_Originals!R$1)/Yield_Originals!$K100</f>
        <v>0.0709476460714805</v>
      </c>
      <c r="S100" s="109"/>
      <c r="T100" s="111"/>
      <c r="U100" s="111"/>
      <c r="V100" s="111"/>
      <c r="W100" s="111"/>
      <c r="X100" s="112"/>
      <c r="Y100" s="112"/>
      <c r="Z100" s="112"/>
      <c r="AA100" s="112"/>
      <c r="AB100" s="112"/>
    </row>
    <row r="101" customFormat="false" ht="15" hidden="false" customHeight="false" outlineLevel="0" collapsed="false">
      <c r="A101" s="70" t="s">
        <v>813</v>
      </c>
      <c r="B101" s="68" t="n">
        <v>2</v>
      </c>
      <c r="C101" s="114" t="s">
        <v>719</v>
      </c>
      <c r="D101" s="114" t="s">
        <v>823</v>
      </c>
      <c r="E101" s="104" t="n">
        <v>16</v>
      </c>
      <c r="F101" s="106" t="n">
        <v>0.047920198716335</v>
      </c>
      <c r="G101" s="106" t="n">
        <v>0.047920198716335</v>
      </c>
      <c r="H101" s="106" t="n">
        <f aca="false">+(Yield_Originals!I101+Yield_Originals!G101)/2</f>
        <v>0.0497878218045477</v>
      </c>
      <c r="I101" s="106" t="n">
        <v>0.0516554448927604</v>
      </c>
      <c r="J101" s="106" t="n">
        <v>0.0483315161361219</v>
      </c>
      <c r="K101" s="107" t="n">
        <v>1</v>
      </c>
      <c r="L101" s="108"/>
      <c r="M101" s="108"/>
      <c r="N101" s="108"/>
      <c r="O101" s="108"/>
      <c r="P101" s="109"/>
      <c r="Q101" s="109" t="n">
        <f aca="false">(Yield_Originals!$H101*Yield_Originals!Q$1)/Yield_Originals!$K101</f>
        <v>0.06908060275381</v>
      </c>
      <c r="R101" s="109" t="n">
        <f aca="false">(Yield_Originals!$H101*Yield_Originals!R$1)/Yield_Originals!$K101</f>
        <v>0.0709476460714805</v>
      </c>
      <c r="S101" s="109" t="n">
        <f aca="false">(Yield_Originals!$H101*Yield_Originals!S$1)/Yield_Originals!$K101</f>
        <v>0.072814689389151</v>
      </c>
      <c r="T101" s="111" t="n">
        <f aca="false">(Yield_Originals!$I101*Yield_Originals!T$1)/Yield_Originals!$K101</f>
        <v>0.0774831673391406</v>
      </c>
      <c r="U101" s="111" t="n">
        <f aca="false">(Yield_Originals!$I101*Yield_Originals!U$1)/Yield_Originals!$K101</f>
        <v>0.0794202465226191</v>
      </c>
      <c r="V101" s="111" t="n">
        <f aca="false">(Yield_Originals!$I101*Yield_Originals!V$1)/Yield_Originals!$K101</f>
        <v>0.0813573257060977</v>
      </c>
      <c r="W101" s="111" t="n">
        <f aca="false">(Yield_Originals!$I101*Yield_Originals!W$1)/Yield_Originals!$K101</f>
        <v>0.0832944048895761</v>
      </c>
      <c r="X101" s="112" t="n">
        <f aca="false">(Yield_Originals!$J101*Yield_Originals!X$1)/Yield_Originals!$K101</f>
        <v>0.0797470016246011</v>
      </c>
      <c r="Y101" s="112" t="n">
        <f aca="false">(Yield_Originals!$J101*Yield_Originals!Y$1)/Yield_Originals!$K101</f>
        <v>0.0815594334797057</v>
      </c>
      <c r="Z101" s="112" t="n">
        <f aca="false">(Yield_Originals!$J101*Yield_Originals!Z$1)/Yield_Originals!$K101</f>
        <v>0.0833718653348103</v>
      </c>
      <c r="AA101" s="112" t="n">
        <f aca="false">(Yield_Originals!$J101*Yield_Originals!AA$1)/Yield_Originals!$K101</f>
        <v>0.0851842971899148</v>
      </c>
      <c r="AB101" s="112" t="n">
        <f aca="false">(Yield_Originals!$J101*Yield_Originals!AB$1)/Yield_Originals!$K101</f>
        <v>0.0869967290450194</v>
      </c>
    </row>
    <row r="102" customFormat="false" ht="15" hidden="false" customHeight="false" outlineLevel="0" collapsed="false">
      <c r="A102" s="70" t="s">
        <v>813</v>
      </c>
      <c r="B102" s="68" t="n">
        <v>2</v>
      </c>
      <c r="C102" s="114" t="s">
        <v>719</v>
      </c>
      <c r="D102" s="114" t="s">
        <v>823</v>
      </c>
      <c r="E102" s="104" t="n">
        <v>17</v>
      </c>
      <c r="F102" s="106" t="n">
        <v>0.047920198716335</v>
      </c>
      <c r="G102" s="106" t="n">
        <v>0.047920198716335</v>
      </c>
      <c r="H102" s="106" t="n">
        <f aca="false">+(Yield_Originals!I102+Yield_Originals!G102)/2</f>
        <v>0.0497878218045477</v>
      </c>
      <c r="I102" s="106" t="n">
        <v>0.0516554448927604</v>
      </c>
      <c r="J102" s="106" t="n">
        <v>0.0483315161361219</v>
      </c>
      <c r="K102" s="107" t="n">
        <v>1</v>
      </c>
      <c r="L102" s="108"/>
      <c r="M102" s="108"/>
      <c r="N102" s="108"/>
      <c r="O102" s="108"/>
      <c r="P102" s="109"/>
      <c r="Q102" s="109" t="n">
        <f aca="false">(Yield_Originals!$H102*Yield_Originals!Q$1)/Yield_Originals!$K102</f>
        <v>0.06908060275381</v>
      </c>
      <c r="R102" s="109" t="n">
        <f aca="false">(Yield_Originals!$H102*Yield_Originals!R$1)/Yield_Originals!$K102</f>
        <v>0.0709476460714805</v>
      </c>
      <c r="S102" s="109" t="n">
        <f aca="false">(Yield_Originals!$H102*Yield_Originals!S$1)/Yield_Originals!$K102</f>
        <v>0.072814689389151</v>
      </c>
      <c r="T102" s="111" t="n">
        <f aca="false">(Yield_Originals!$I102*Yield_Originals!T$1)/Yield_Originals!$K102</f>
        <v>0.0774831673391406</v>
      </c>
      <c r="U102" s="111" t="n">
        <f aca="false">(Yield_Originals!$I102*Yield_Originals!U$1)/Yield_Originals!$K102</f>
        <v>0.0794202465226191</v>
      </c>
      <c r="V102" s="111" t="n">
        <f aca="false">(Yield_Originals!$I102*Yield_Originals!V$1)/Yield_Originals!$K102</f>
        <v>0.0813573257060977</v>
      </c>
      <c r="W102" s="111" t="n">
        <f aca="false">(Yield_Originals!$I102*Yield_Originals!W$1)/Yield_Originals!$K102</f>
        <v>0.0832944048895761</v>
      </c>
      <c r="X102" s="112" t="n">
        <f aca="false">(Yield_Originals!$J102*Yield_Originals!X$1)/Yield_Originals!$K102</f>
        <v>0.0797470016246011</v>
      </c>
      <c r="Y102" s="112" t="n">
        <f aca="false">(Yield_Originals!$J102*Yield_Originals!Y$1)/Yield_Originals!$K102</f>
        <v>0.0815594334797057</v>
      </c>
      <c r="Z102" s="112" t="n">
        <f aca="false">(Yield_Originals!$J102*Yield_Originals!Z$1)/Yield_Originals!$K102</f>
        <v>0.0833718653348103</v>
      </c>
      <c r="AA102" s="112" t="n">
        <f aca="false">(Yield_Originals!$J102*Yield_Originals!AA$1)/Yield_Originals!$K102</f>
        <v>0.0851842971899148</v>
      </c>
      <c r="AB102" s="112" t="n">
        <f aca="false">(Yield_Originals!$J102*Yield_Originals!AB$1)/Yield_Originals!$K102</f>
        <v>0.0869967290450194</v>
      </c>
    </row>
    <row r="103" customFormat="false" ht="15" hidden="false" customHeight="false" outlineLevel="0" collapsed="false">
      <c r="A103" s="70" t="s">
        <v>813</v>
      </c>
      <c r="B103" s="68" t="n">
        <v>2</v>
      </c>
      <c r="C103" s="114" t="s">
        <v>719</v>
      </c>
      <c r="D103" s="114" t="s">
        <v>823</v>
      </c>
      <c r="E103" s="104" t="n">
        <v>18</v>
      </c>
      <c r="F103" s="106" t="n">
        <v>0.047920198716335</v>
      </c>
      <c r="G103" s="106" t="n">
        <v>0.047920198716335</v>
      </c>
      <c r="H103" s="106" t="n">
        <f aca="false">+(Yield_Originals!I103+Yield_Originals!G103)/2</f>
        <v>0.0497878218045477</v>
      </c>
      <c r="I103" s="106" t="n">
        <v>0.0516554448927604</v>
      </c>
      <c r="J103" s="106" t="n">
        <v>0.0483315161361219</v>
      </c>
      <c r="K103" s="107" t="n">
        <v>1</v>
      </c>
      <c r="L103" s="108"/>
      <c r="M103" s="108"/>
      <c r="N103" s="108"/>
      <c r="O103" s="108"/>
      <c r="P103" s="109"/>
      <c r="Q103" s="109" t="n">
        <f aca="false">(Yield_Originals!$H103*Yield_Originals!Q$1)/Yield_Originals!$K103</f>
        <v>0.06908060275381</v>
      </c>
      <c r="R103" s="109" t="n">
        <f aca="false">(Yield_Originals!$H103*Yield_Originals!R$1)/Yield_Originals!$K103</f>
        <v>0.0709476460714805</v>
      </c>
      <c r="S103" s="109" t="n">
        <f aca="false">(Yield_Originals!$H103*Yield_Originals!S$1)/Yield_Originals!$K103</f>
        <v>0.072814689389151</v>
      </c>
      <c r="T103" s="111" t="n">
        <f aca="false">(Yield_Originals!$I103*Yield_Originals!T$1)/Yield_Originals!$K103</f>
        <v>0.0774831673391406</v>
      </c>
      <c r="U103" s="111" t="n">
        <f aca="false">(Yield_Originals!$I103*Yield_Originals!U$1)/Yield_Originals!$K103</f>
        <v>0.0794202465226191</v>
      </c>
      <c r="V103" s="111" t="n">
        <f aca="false">(Yield_Originals!$I103*Yield_Originals!V$1)/Yield_Originals!$K103</f>
        <v>0.0813573257060977</v>
      </c>
      <c r="W103" s="111" t="n">
        <f aca="false">(Yield_Originals!$I103*Yield_Originals!W$1)/Yield_Originals!$K103</f>
        <v>0.0832944048895761</v>
      </c>
      <c r="X103" s="112" t="n">
        <f aca="false">(Yield_Originals!$J103*Yield_Originals!X$1)/Yield_Originals!$K103</f>
        <v>0.0797470016246011</v>
      </c>
      <c r="Y103" s="112" t="n">
        <f aca="false">(Yield_Originals!$J103*Yield_Originals!Y$1)/Yield_Originals!$K103</f>
        <v>0.0815594334797057</v>
      </c>
      <c r="Z103" s="112" t="n">
        <f aca="false">(Yield_Originals!$J103*Yield_Originals!Z$1)/Yield_Originals!$K103</f>
        <v>0.0833718653348103</v>
      </c>
      <c r="AA103" s="112" t="n">
        <f aca="false">(Yield_Originals!$J103*Yield_Originals!AA$1)/Yield_Originals!$K103</f>
        <v>0.0851842971899148</v>
      </c>
      <c r="AB103" s="112" t="n">
        <f aca="false">(Yield_Originals!$J103*Yield_Originals!AB$1)/Yield_Originals!$K103</f>
        <v>0.0869967290450194</v>
      </c>
    </row>
    <row r="104" customFormat="false" ht="15" hidden="false" customHeight="false" outlineLevel="0" collapsed="false">
      <c r="A104" s="70" t="s">
        <v>813</v>
      </c>
      <c r="B104" s="68" t="n">
        <v>2</v>
      </c>
      <c r="C104" s="114" t="s">
        <v>719</v>
      </c>
      <c r="D104" s="114" t="s">
        <v>823</v>
      </c>
      <c r="E104" s="104" t="n">
        <v>19</v>
      </c>
      <c r="F104" s="106" t="n">
        <v>0.047920198716335</v>
      </c>
      <c r="G104" s="106" t="n">
        <v>0.047920198716335</v>
      </c>
      <c r="H104" s="106" t="n">
        <f aca="false">+(Yield_Originals!I104+Yield_Originals!G104)/2</f>
        <v>0.0497878218045477</v>
      </c>
      <c r="I104" s="106" t="n">
        <v>0.0516554448927604</v>
      </c>
      <c r="J104" s="106" t="n">
        <v>0.0483315161361219</v>
      </c>
      <c r="K104" s="107" t="n">
        <v>1</v>
      </c>
      <c r="L104" s="108"/>
      <c r="M104" s="108"/>
      <c r="N104" s="108"/>
      <c r="O104" s="108"/>
      <c r="P104" s="109"/>
      <c r="Q104" s="109" t="n">
        <f aca="false">(Yield_Originals!$H104*Yield_Originals!Q$1)/Yield_Originals!$K104</f>
        <v>0.06908060275381</v>
      </c>
      <c r="R104" s="109" t="n">
        <f aca="false">(Yield_Originals!$H104*Yield_Originals!R$1)/Yield_Originals!$K104</f>
        <v>0.0709476460714805</v>
      </c>
      <c r="S104" s="109" t="n">
        <f aca="false">(Yield_Originals!$H104*Yield_Originals!S$1)/Yield_Originals!$K104</f>
        <v>0.072814689389151</v>
      </c>
      <c r="T104" s="111" t="n">
        <f aca="false">(Yield_Originals!$I104*Yield_Originals!T$1)/Yield_Originals!$K104</f>
        <v>0.0774831673391406</v>
      </c>
      <c r="U104" s="111" t="n">
        <f aca="false">(Yield_Originals!$I104*Yield_Originals!U$1)/Yield_Originals!$K104</f>
        <v>0.0794202465226191</v>
      </c>
      <c r="V104" s="111" t="n">
        <f aca="false">(Yield_Originals!$I104*Yield_Originals!V$1)/Yield_Originals!$K104</f>
        <v>0.0813573257060977</v>
      </c>
      <c r="W104" s="111" t="n">
        <f aca="false">(Yield_Originals!$I104*Yield_Originals!W$1)/Yield_Originals!$K104</f>
        <v>0.0832944048895761</v>
      </c>
      <c r="X104" s="112" t="n">
        <f aca="false">(Yield_Originals!$J104*Yield_Originals!X$1)/Yield_Originals!$K104</f>
        <v>0.0797470016246011</v>
      </c>
      <c r="Y104" s="112" t="n">
        <f aca="false">(Yield_Originals!$J104*Yield_Originals!Y$1)/Yield_Originals!$K104</f>
        <v>0.0815594334797057</v>
      </c>
      <c r="Z104" s="112" t="n">
        <f aca="false">(Yield_Originals!$J104*Yield_Originals!Z$1)/Yield_Originals!$K104</f>
        <v>0.0833718653348103</v>
      </c>
      <c r="AA104" s="112" t="n">
        <f aca="false">(Yield_Originals!$J104*Yield_Originals!AA$1)/Yield_Originals!$K104</f>
        <v>0.0851842971899148</v>
      </c>
      <c r="AB104" s="112" t="n">
        <f aca="false">(Yield_Originals!$J104*Yield_Originals!AB$1)/Yield_Originals!$K104</f>
        <v>0.0869967290450194</v>
      </c>
    </row>
    <row r="105" customFormat="false" ht="15" hidden="false" customHeight="false" outlineLevel="0" collapsed="false">
      <c r="A105" s="70" t="s">
        <v>813</v>
      </c>
      <c r="B105" s="68" t="n">
        <v>2</v>
      </c>
      <c r="C105" s="114" t="s">
        <v>719</v>
      </c>
      <c r="D105" s="114" t="s">
        <v>823</v>
      </c>
      <c r="E105" s="104" t="n">
        <v>20</v>
      </c>
      <c r="F105" s="106" t="n">
        <v>0.047920198716335</v>
      </c>
      <c r="G105" s="106" t="n">
        <v>0.047920198716335</v>
      </c>
      <c r="H105" s="106" t="n">
        <f aca="false">+(Yield_Originals!I105+Yield_Originals!G105)/2</f>
        <v>0.0497878218045477</v>
      </c>
      <c r="I105" s="106" t="n">
        <v>0.0516554448927604</v>
      </c>
      <c r="J105" s="106" t="n">
        <v>0.0483315161361219</v>
      </c>
      <c r="K105" s="107" t="n">
        <v>1</v>
      </c>
      <c r="L105" s="108"/>
      <c r="M105" s="108"/>
      <c r="N105" s="108"/>
      <c r="O105" s="108"/>
      <c r="P105" s="109"/>
      <c r="Q105" s="109" t="n">
        <f aca="false">(Yield_Originals!$H105*Yield_Originals!Q$1)/Yield_Originals!$K105</f>
        <v>0.06908060275381</v>
      </c>
      <c r="R105" s="109" t="n">
        <f aca="false">(Yield_Originals!$H105*Yield_Originals!R$1)/Yield_Originals!$K105</f>
        <v>0.0709476460714805</v>
      </c>
      <c r="S105" s="109" t="n">
        <f aca="false">(Yield_Originals!$H105*Yield_Originals!S$1)/Yield_Originals!$K105</f>
        <v>0.072814689389151</v>
      </c>
      <c r="T105" s="111" t="n">
        <f aca="false">(Yield_Originals!$I105*Yield_Originals!T$1)/Yield_Originals!$K105</f>
        <v>0.0774831673391406</v>
      </c>
      <c r="U105" s="111" t="n">
        <f aca="false">(Yield_Originals!$I105*Yield_Originals!U$1)/Yield_Originals!$K105</f>
        <v>0.0794202465226191</v>
      </c>
      <c r="V105" s="111" t="n">
        <f aca="false">(Yield_Originals!$I105*Yield_Originals!V$1)/Yield_Originals!$K105</f>
        <v>0.0813573257060977</v>
      </c>
      <c r="W105" s="111" t="n">
        <f aca="false">(Yield_Originals!$I105*Yield_Originals!W$1)/Yield_Originals!$K105</f>
        <v>0.0832944048895761</v>
      </c>
      <c r="X105" s="112" t="n">
        <f aca="false">(Yield_Originals!$J105*Yield_Originals!X$1)/Yield_Originals!$K105</f>
        <v>0.0797470016246011</v>
      </c>
      <c r="Y105" s="112" t="n">
        <f aca="false">(Yield_Originals!$J105*Yield_Originals!Y$1)/Yield_Originals!$K105</f>
        <v>0.0815594334797057</v>
      </c>
      <c r="Z105" s="112" t="n">
        <f aca="false">(Yield_Originals!$J105*Yield_Originals!Z$1)/Yield_Originals!$K105</f>
        <v>0.0833718653348103</v>
      </c>
      <c r="AA105" s="112" t="n">
        <f aca="false">(Yield_Originals!$J105*Yield_Originals!AA$1)/Yield_Originals!$K105</f>
        <v>0.0851842971899148</v>
      </c>
      <c r="AB105" s="112" t="n">
        <f aca="false">(Yield_Originals!$J105*Yield_Originals!AB$1)/Yield_Originals!$K105</f>
        <v>0.0869967290450194</v>
      </c>
    </row>
    <row r="106" customFormat="false" ht="15" hidden="false" customHeight="false" outlineLevel="0" collapsed="false">
      <c r="A106" s="70" t="s">
        <v>813</v>
      </c>
      <c r="B106" s="68" t="n">
        <v>2</v>
      </c>
      <c r="C106" s="114" t="s">
        <v>719</v>
      </c>
      <c r="D106" s="114" t="s">
        <v>823</v>
      </c>
      <c r="E106" s="104" t="n">
        <v>21</v>
      </c>
      <c r="F106" s="106" t="n">
        <v>0.047920198716335</v>
      </c>
      <c r="G106" s="106" t="n">
        <v>0.047920198716335</v>
      </c>
      <c r="H106" s="106" t="n">
        <f aca="false">+(Yield_Originals!I106+Yield_Originals!G106)/2</f>
        <v>0.0497878218045477</v>
      </c>
      <c r="I106" s="106" t="n">
        <v>0.0516554448927604</v>
      </c>
      <c r="J106" s="106" t="n">
        <v>0.0483315161361219</v>
      </c>
      <c r="K106" s="107" t="n">
        <v>1</v>
      </c>
      <c r="L106" s="108"/>
      <c r="M106" s="108"/>
      <c r="N106" s="108"/>
      <c r="O106" s="108"/>
      <c r="P106" s="109"/>
      <c r="Q106" s="109" t="n">
        <f aca="false">(Yield_Originals!$H106*Yield_Originals!Q$1)/Yield_Originals!$K106</f>
        <v>0.06908060275381</v>
      </c>
      <c r="R106" s="109" t="n">
        <f aca="false">(Yield_Originals!$H106*Yield_Originals!R$1)/Yield_Originals!$K106</f>
        <v>0.0709476460714805</v>
      </c>
      <c r="S106" s="109" t="n">
        <f aca="false">(Yield_Originals!$H106*Yield_Originals!S$1)/Yield_Originals!$K106</f>
        <v>0.072814689389151</v>
      </c>
      <c r="T106" s="111" t="n">
        <f aca="false">(Yield_Originals!$I106*Yield_Originals!T$1)/Yield_Originals!$K106</f>
        <v>0.0774831673391406</v>
      </c>
      <c r="U106" s="111" t="n">
        <f aca="false">(Yield_Originals!$I106*Yield_Originals!U$1)/Yield_Originals!$K106</f>
        <v>0.0794202465226191</v>
      </c>
      <c r="V106" s="111" t="n">
        <f aca="false">(Yield_Originals!$I106*Yield_Originals!V$1)/Yield_Originals!$K106</f>
        <v>0.0813573257060977</v>
      </c>
      <c r="W106" s="111" t="n">
        <f aca="false">(Yield_Originals!$I106*Yield_Originals!W$1)/Yield_Originals!$K106</f>
        <v>0.0832944048895761</v>
      </c>
      <c r="X106" s="112" t="n">
        <f aca="false">(Yield_Originals!$J106*Yield_Originals!X$1)/Yield_Originals!$K106</f>
        <v>0.0797470016246011</v>
      </c>
      <c r="Y106" s="112" t="n">
        <f aca="false">(Yield_Originals!$J106*Yield_Originals!Y$1)/Yield_Originals!$K106</f>
        <v>0.0815594334797057</v>
      </c>
      <c r="Z106" s="112" t="n">
        <f aca="false">(Yield_Originals!$J106*Yield_Originals!Z$1)/Yield_Originals!$K106</f>
        <v>0.0833718653348103</v>
      </c>
      <c r="AA106" s="112" t="n">
        <f aca="false">(Yield_Originals!$J106*Yield_Originals!AA$1)/Yield_Originals!$K106</f>
        <v>0.0851842971899148</v>
      </c>
      <c r="AB106" s="112" t="n">
        <f aca="false">(Yield_Originals!$J106*Yield_Originals!AB$1)/Yield_Originals!$K106</f>
        <v>0.0869967290450194</v>
      </c>
    </row>
    <row r="107" customFormat="false" ht="15" hidden="false" customHeight="false" outlineLevel="0" collapsed="false">
      <c r="A107" s="70" t="s">
        <v>798</v>
      </c>
      <c r="B107" s="68" t="n">
        <v>2</v>
      </c>
      <c r="C107" s="103" t="s">
        <v>123</v>
      </c>
      <c r="D107" s="103" t="s">
        <v>801</v>
      </c>
      <c r="E107" s="104" t="n">
        <v>9</v>
      </c>
      <c r="F107" s="106" t="n">
        <v>0.0470666077564446</v>
      </c>
      <c r="G107" s="106" t="n">
        <v>0.0470666077564446</v>
      </c>
      <c r="H107" s="106" t="n">
        <f aca="false">+(Yield_Originals!I107+Yield_Originals!G107)/2</f>
        <v>0.0499110033670852</v>
      </c>
      <c r="I107" s="106" t="n">
        <v>0.0527553989777259</v>
      </c>
      <c r="J107" s="106" t="n">
        <v>0.0501600633427114</v>
      </c>
      <c r="K107" s="107" t="n">
        <v>1</v>
      </c>
      <c r="L107" s="108" t="n">
        <f aca="false">(Yield_Originals!$G107*Yield_Originals!L$1)/Yield_Originals!$K107</f>
        <v>0.0564799293077335</v>
      </c>
      <c r="M107" s="108" t="n">
        <f aca="false">(Yield_Originals!$G107*Yield_Originals!M$1)/Yield_Originals!$K107</f>
        <v>0.0582449270986002</v>
      </c>
      <c r="N107" s="108" t="n">
        <f aca="false">(Yield_Originals!$G107*Yield_Originals!N$1)/Yield_Originals!$K107</f>
        <v>0.0600099248894669</v>
      </c>
      <c r="O107" s="108" t="n">
        <f aca="false">(Yield_Originals!$G107*Yield_Originals!O$1)/Yield_Originals!$K107</f>
        <v>0.0617749226803335</v>
      </c>
      <c r="P107" s="109" t="n">
        <f aca="false">(Yield_Originals!$H107*Yield_Originals!P$1)/Yield_Originals!$K107</f>
        <v>0.0673798545455651</v>
      </c>
      <c r="Q107" s="109" t="n">
        <f aca="false">(Yield_Originals!$H107*Yield_Originals!Q$1)/Yield_Originals!$K107</f>
        <v>0.0692515171718308</v>
      </c>
      <c r="R107" s="109" t="n">
        <f aca="false">(Yield_Originals!$H107*Yield_Originals!R$1)/Yield_Originals!$K107</f>
        <v>0.0711231797980965</v>
      </c>
      <c r="S107" s="109" t="n">
        <f aca="false">(Yield_Originals!$H107*Yield_Originals!S$1)/Yield_Originals!$K107</f>
        <v>0.0729948424243622</v>
      </c>
      <c r="T107" s="111" t="n">
        <f aca="false">(Yield_Originals!$I107*Yield_Originals!T$1)/Yield_Originals!$K107</f>
        <v>0.0791330984665889</v>
      </c>
      <c r="U107" s="111" t="n">
        <f aca="false">(Yield_Originals!$I107*Yield_Originals!U$1)/Yield_Originals!$K107</f>
        <v>0.0811114259282536</v>
      </c>
      <c r="V107" s="111" t="n">
        <f aca="false">(Yield_Originals!$I107*Yield_Originals!V$1)/Yield_Originals!$K107</f>
        <v>0.0830897533899183</v>
      </c>
      <c r="W107" s="111" t="n">
        <f aca="false">(Yield_Originals!$I107*Yield_Originals!W$1)/Yield_Originals!$K107</f>
        <v>0.085068080851583</v>
      </c>
      <c r="X107" s="112" t="n">
        <f aca="false">(Yield_Originals!$J107*Yield_Originals!X$1)/Yield_Originals!$K107</f>
        <v>0.0827641045154738</v>
      </c>
      <c r="Y107" s="112" t="n">
        <f aca="false">(Yield_Originals!$J107*Yield_Originals!Y$1)/Yield_Originals!$K107</f>
        <v>0.0846451068908255</v>
      </c>
      <c r="Z107" s="112" t="n">
        <f aca="false">(Yield_Originals!$J107*Yield_Originals!Z$1)/Yield_Originals!$K107</f>
        <v>0.0865261092661771</v>
      </c>
      <c r="AA107" s="112" t="n">
        <f aca="false">(Yield_Originals!$J107*Yield_Originals!AA$1)/Yield_Originals!$K107</f>
        <v>0.0884071116415288</v>
      </c>
      <c r="AB107" s="112" t="n">
        <f aca="false">(Yield_Originals!$J107*Yield_Originals!AB$1)/Yield_Originals!$K107</f>
        <v>0.0902881140168805</v>
      </c>
    </row>
    <row r="108" customFormat="false" ht="15" hidden="false" customHeight="false" outlineLevel="0" collapsed="false">
      <c r="A108" s="70" t="s">
        <v>798</v>
      </c>
      <c r="B108" s="68" t="n">
        <v>2</v>
      </c>
      <c r="C108" s="103" t="s">
        <v>123</v>
      </c>
      <c r="D108" s="103" t="s">
        <v>801</v>
      </c>
      <c r="E108" s="104" t="n">
        <v>10</v>
      </c>
      <c r="F108" s="106" t="n">
        <v>0.0470666077564446</v>
      </c>
      <c r="G108" s="106" t="n">
        <v>0.0470666077564446</v>
      </c>
      <c r="H108" s="106" t="n">
        <f aca="false">+(Yield_Originals!I108+Yield_Originals!G108)/2</f>
        <v>0.0499110033670852</v>
      </c>
      <c r="I108" s="106" t="n">
        <v>0.0527553989777259</v>
      </c>
      <c r="J108" s="106" t="n">
        <v>0.0501600633427114</v>
      </c>
      <c r="K108" s="107" t="n">
        <v>1</v>
      </c>
      <c r="L108" s="108" t="n">
        <f aca="false">(Yield_Originals!$G108*Yield_Originals!L$1)/Yield_Originals!$K108</f>
        <v>0.0564799293077335</v>
      </c>
      <c r="M108" s="108" t="n">
        <f aca="false">(Yield_Originals!$G108*Yield_Originals!M$1)/Yield_Originals!$K108</f>
        <v>0.0582449270986002</v>
      </c>
      <c r="N108" s="108" t="n">
        <f aca="false">(Yield_Originals!$G108*Yield_Originals!N$1)/Yield_Originals!$K108</f>
        <v>0.0600099248894669</v>
      </c>
      <c r="O108" s="108" t="n">
        <f aca="false">(Yield_Originals!$G108*Yield_Originals!O$1)/Yield_Originals!$K108</f>
        <v>0.0617749226803335</v>
      </c>
      <c r="P108" s="109" t="n">
        <f aca="false">(Yield_Originals!$H108*Yield_Originals!P$1)/Yield_Originals!$K108</f>
        <v>0.0673798545455651</v>
      </c>
      <c r="Q108" s="109" t="n">
        <f aca="false">(Yield_Originals!$H108*Yield_Originals!Q$1)/Yield_Originals!$K108</f>
        <v>0.0692515171718308</v>
      </c>
      <c r="R108" s="109" t="n">
        <f aca="false">(Yield_Originals!$H108*Yield_Originals!R$1)/Yield_Originals!$K108</f>
        <v>0.0711231797980965</v>
      </c>
      <c r="S108" s="109" t="n">
        <f aca="false">(Yield_Originals!$H108*Yield_Originals!S$1)/Yield_Originals!$K108</f>
        <v>0.0729948424243622</v>
      </c>
      <c r="T108" s="111" t="n">
        <f aca="false">(Yield_Originals!$I108*Yield_Originals!T$1)/Yield_Originals!$K108</f>
        <v>0.0791330984665889</v>
      </c>
      <c r="U108" s="111" t="n">
        <f aca="false">(Yield_Originals!$I108*Yield_Originals!U$1)/Yield_Originals!$K108</f>
        <v>0.0811114259282536</v>
      </c>
      <c r="V108" s="111" t="n">
        <f aca="false">(Yield_Originals!$I108*Yield_Originals!V$1)/Yield_Originals!$K108</f>
        <v>0.0830897533899183</v>
      </c>
      <c r="W108" s="111" t="n">
        <f aca="false">(Yield_Originals!$I108*Yield_Originals!W$1)/Yield_Originals!$K108</f>
        <v>0.085068080851583</v>
      </c>
      <c r="X108" s="112" t="n">
        <f aca="false">(Yield_Originals!$J108*Yield_Originals!X$1)/Yield_Originals!$K108</f>
        <v>0.0827641045154738</v>
      </c>
      <c r="Y108" s="112" t="n">
        <f aca="false">(Yield_Originals!$J108*Yield_Originals!Y$1)/Yield_Originals!$K108</f>
        <v>0.0846451068908255</v>
      </c>
      <c r="Z108" s="112" t="n">
        <f aca="false">(Yield_Originals!$J108*Yield_Originals!Z$1)/Yield_Originals!$K108</f>
        <v>0.0865261092661771</v>
      </c>
      <c r="AA108" s="112" t="n">
        <f aca="false">(Yield_Originals!$J108*Yield_Originals!AA$1)/Yield_Originals!$K108</f>
        <v>0.0884071116415288</v>
      </c>
      <c r="AB108" s="112" t="n">
        <f aca="false">(Yield_Originals!$J108*Yield_Originals!AB$1)/Yield_Originals!$K108</f>
        <v>0.0902881140168805</v>
      </c>
    </row>
    <row r="109" customFormat="false" ht="15" hidden="false" customHeight="false" outlineLevel="0" collapsed="false">
      <c r="A109" s="70" t="s">
        <v>798</v>
      </c>
      <c r="B109" s="68" t="n">
        <v>2</v>
      </c>
      <c r="C109" s="103" t="s">
        <v>123</v>
      </c>
      <c r="D109" s="103" t="s">
        <v>801</v>
      </c>
      <c r="E109" s="104" t="n">
        <v>11</v>
      </c>
      <c r="F109" s="106" t="n">
        <v>0.0470666077564446</v>
      </c>
      <c r="G109" s="106" t="n">
        <v>0.0470666077564446</v>
      </c>
      <c r="H109" s="106" t="n">
        <f aca="false">+(Yield_Originals!I109+Yield_Originals!G109)/2</f>
        <v>0.0499110033670852</v>
      </c>
      <c r="I109" s="106" t="n">
        <v>0.0527553989777259</v>
      </c>
      <c r="J109" s="106" t="n">
        <v>0.0501600633427114</v>
      </c>
      <c r="K109" s="107" t="n">
        <v>1</v>
      </c>
      <c r="L109" s="108" t="n">
        <f aca="false">(Yield_Originals!$G109*Yield_Originals!L$1)/Yield_Originals!$K109</f>
        <v>0.0564799293077335</v>
      </c>
      <c r="M109" s="108" t="n">
        <f aca="false">(Yield_Originals!$G109*Yield_Originals!M$1)/Yield_Originals!$K109</f>
        <v>0.0582449270986002</v>
      </c>
      <c r="N109" s="108" t="n">
        <f aca="false">(Yield_Originals!$G109*Yield_Originals!N$1)/Yield_Originals!$K109</f>
        <v>0.0600099248894669</v>
      </c>
      <c r="O109" s="108" t="n">
        <f aca="false">(Yield_Originals!$G109*Yield_Originals!O$1)/Yield_Originals!$K109</f>
        <v>0.0617749226803335</v>
      </c>
      <c r="P109" s="109" t="n">
        <f aca="false">(Yield_Originals!$H109*Yield_Originals!P$1)/Yield_Originals!$K109</f>
        <v>0.0673798545455651</v>
      </c>
      <c r="Q109" s="109" t="n">
        <f aca="false">(Yield_Originals!$H109*Yield_Originals!Q$1)/Yield_Originals!$K109</f>
        <v>0.0692515171718308</v>
      </c>
      <c r="R109" s="109" t="n">
        <f aca="false">(Yield_Originals!$H109*Yield_Originals!R$1)/Yield_Originals!$K109</f>
        <v>0.0711231797980965</v>
      </c>
      <c r="S109" s="109" t="n">
        <f aca="false">(Yield_Originals!$H109*Yield_Originals!S$1)/Yield_Originals!$K109</f>
        <v>0.0729948424243622</v>
      </c>
      <c r="T109" s="111" t="n">
        <f aca="false">(Yield_Originals!$I109*Yield_Originals!T$1)/Yield_Originals!$K109</f>
        <v>0.0791330984665889</v>
      </c>
      <c r="U109" s="111" t="n">
        <f aca="false">(Yield_Originals!$I109*Yield_Originals!U$1)/Yield_Originals!$K109</f>
        <v>0.0811114259282536</v>
      </c>
      <c r="V109" s="111" t="n">
        <f aca="false">(Yield_Originals!$I109*Yield_Originals!V$1)/Yield_Originals!$K109</f>
        <v>0.0830897533899183</v>
      </c>
      <c r="W109" s="111" t="n">
        <f aca="false">(Yield_Originals!$I109*Yield_Originals!W$1)/Yield_Originals!$K109</f>
        <v>0.085068080851583</v>
      </c>
      <c r="X109" s="112" t="n">
        <f aca="false">(Yield_Originals!$J109*Yield_Originals!X$1)/Yield_Originals!$K109</f>
        <v>0.0827641045154738</v>
      </c>
      <c r="Y109" s="112" t="n">
        <f aca="false">(Yield_Originals!$J109*Yield_Originals!Y$1)/Yield_Originals!$K109</f>
        <v>0.0846451068908255</v>
      </c>
      <c r="Z109" s="112" t="n">
        <f aca="false">(Yield_Originals!$J109*Yield_Originals!Z$1)/Yield_Originals!$K109</f>
        <v>0.0865261092661771</v>
      </c>
      <c r="AA109" s="112" t="n">
        <f aca="false">(Yield_Originals!$J109*Yield_Originals!AA$1)/Yield_Originals!$K109</f>
        <v>0.0884071116415288</v>
      </c>
      <c r="AB109" s="112" t="n">
        <f aca="false">(Yield_Originals!$J109*Yield_Originals!AB$1)/Yield_Originals!$K109</f>
        <v>0.0902881140168805</v>
      </c>
    </row>
    <row r="110" customFormat="false" ht="15" hidden="false" customHeight="false" outlineLevel="0" collapsed="false">
      <c r="A110" s="70" t="s">
        <v>798</v>
      </c>
      <c r="B110" s="68" t="n">
        <v>2</v>
      </c>
      <c r="C110" s="103" t="s">
        <v>123</v>
      </c>
      <c r="D110" s="103" t="s">
        <v>801</v>
      </c>
      <c r="E110" s="104" t="n">
        <v>12</v>
      </c>
      <c r="F110" s="106" t="n">
        <v>0.0470666077564446</v>
      </c>
      <c r="G110" s="106" t="n">
        <v>0.0470666077564446</v>
      </c>
      <c r="H110" s="106" t="n">
        <f aca="false">+(Yield_Originals!I110+Yield_Originals!G110)/2</f>
        <v>0.0499110033670852</v>
      </c>
      <c r="I110" s="106" t="n">
        <v>0.0527553989777259</v>
      </c>
      <c r="J110" s="106" t="n">
        <v>0.0501600633427114</v>
      </c>
      <c r="K110" s="107" t="n">
        <v>1</v>
      </c>
      <c r="L110" s="108" t="n">
        <f aca="false">(Yield_Originals!$G110*Yield_Originals!L$1)/Yield_Originals!$K110</f>
        <v>0.0564799293077335</v>
      </c>
      <c r="M110" s="108" t="n">
        <f aca="false">(Yield_Originals!$G110*Yield_Originals!M$1)/Yield_Originals!$K110</f>
        <v>0.0582449270986002</v>
      </c>
      <c r="N110" s="108" t="n">
        <f aca="false">(Yield_Originals!$G110*Yield_Originals!N$1)/Yield_Originals!$K110</f>
        <v>0.0600099248894669</v>
      </c>
      <c r="O110" s="108" t="n">
        <f aca="false">(Yield_Originals!$G110*Yield_Originals!O$1)/Yield_Originals!$K110</f>
        <v>0.0617749226803335</v>
      </c>
      <c r="P110" s="109" t="n">
        <f aca="false">(Yield_Originals!$H110*Yield_Originals!P$1)/Yield_Originals!$K110</f>
        <v>0.0673798545455651</v>
      </c>
      <c r="Q110" s="109" t="n">
        <f aca="false">(Yield_Originals!$H110*Yield_Originals!Q$1)/Yield_Originals!$K110</f>
        <v>0.0692515171718308</v>
      </c>
      <c r="R110" s="109" t="n">
        <f aca="false">(Yield_Originals!$H110*Yield_Originals!R$1)/Yield_Originals!$K110</f>
        <v>0.0711231797980965</v>
      </c>
      <c r="S110" s="109" t="n">
        <f aca="false">(Yield_Originals!$H110*Yield_Originals!S$1)/Yield_Originals!$K110</f>
        <v>0.0729948424243622</v>
      </c>
      <c r="T110" s="111" t="n">
        <f aca="false">(Yield_Originals!$I110*Yield_Originals!T$1)/Yield_Originals!$K110</f>
        <v>0.0791330984665889</v>
      </c>
      <c r="U110" s="111" t="n">
        <f aca="false">(Yield_Originals!$I110*Yield_Originals!U$1)/Yield_Originals!$K110</f>
        <v>0.0811114259282536</v>
      </c>
      <c r="V110" s="111" t="n">
        <f aca="false">(Yield_Originals!$I110*Yield_Originals!V$1)/Yield_Originals!$K110</f>
        <v>0.0830897533899183</v>
      </c>
      <c r="W110" s="111" t="n">
        <f aca="false">(Yield_Originals!$I110*Yield_Originals!W$1)/Yield_Originals!$K110</f>
        <v>0.085068080851583</v>
      </c>
      <c r="X110" s="112" t="n">
        <f aca="false">(Yield_Originals!$J110*Yield_Originals!X$1)/Yield_Originals!$K110</f>
        <v>0.0827641045154738</v>
      </c>
      <c r="Y110" s="112" t="n">
        <f aca="false">(Yield_Originals!$J110*Yield_Originals!Y$1)/Yield_Originals!$K110</f>
        <v>0.0846451068908255</v>
      </c>
      <c r="Z110" s="112" t="n">
        <f aca="false">(Yield_Originals!$J110*Yield_Originals!Z$1)/Yield_Originals!$K110</f>
        <v>0.0865261092661771</v>
      </c>
      <c r="AA110" s="112" t="n">
        <f aca="false">(Yield_Originals!$J110*Yield_Originals!AA$1)/Yield_Originals!$K110</f>
        <v>0.0884071116415288</v>
      </c>
      <c r="AB110" s="112" t="n">
        <f aca="false">(Yield_Originals!$J110*Yield_Originals!AB$1)/Yield_Originals!$K110</f>
        <v>0.0902881140168805</v>
      </c>
    </row>
    <row r="111" customFormat="false" ht="15" hidden="false" customHeight="false" outlineLevel="0" collapsed="false">
      <c r="A111" s="70" t="s">
        <v>798</v>
      </c>
      <c r="B111" s="68" t="n">
        <v>2</v>
      </c>
      <c r="C111" s="103" t="s">
        <v>123</v>
      </c>
      <c r="D111" s="103" t="s">
        <v>801</v>
      </c>
      <c r="E111" s="104" t="n">
        <v>13</v>
      </c>
      <c r="F111" s="106" t="n">
        <v>0.0470666077564446</v>
      </c>
      <c r="G111" s="106" t="n">
        <v>0.0470666077564446</v>
      </c>
      <c r="H111" s="106" t="n">
        <f aca="false">+(Yield_Originals!I111+Yield_Originals!G111)/2</f>
        <v>0.0499110033670852</v>
      </c>
      <c r="I111" s="106" t="n">
        <v>0.0527553989777259</v>
      </c>
      <c r="J111" s="106" t="n">
        <v>0.0501600633427114</v>
      </c>
      <c r="K111" s="107" t="n">
        <v>1</v>
      </c>
      <c r="L111" s="108" t="n">
        <f aca="false">(Yield_Originals!$G111*Yield_Originals!L$1)/Yield_Originals!$K111</f>
        <v>0.0564799293077335</v>
      </c>
      <c r="M111" s="108" t="n">
        <f aca="false">(Yield_Originals!$G111*Yield_Originals!M$1)/Yield_Originals!$K111</f>
        <v>0.0582449270986002</v>
      </c>
      <c r="N111" s="108" t="n">
        <f aca="false">(Yield_Originals!$G111*Yield_Originals!N$1)/Yield_Originals!$K111</f>
        <v>0.0600099248894669</v>
      </c>
      <c r="O111" s="108" t="n">
        <f aca="false">(Yield_Originals!$G111*Yield_Originals!O$1)/Yield_Originals!$K111</f>
        <v>0.0617749226803335</v>
      </c>
      <c r="P111" s="109" t="n">
        <f aca="false">(Yield_Originals!$H111*Yield_Originals!P$1)/Yield_Originals!$K111</f>
        <v>0.0673798545455651</v>
      </c>
      <c r="Q111" s="109" t="n">
        <f aca="false">(Yield_Originals!$H111*Yield_Originals!Q$1)/Yield_Originals!$K111</f>
        <v>0.0692515171718308</v>
      </c>
      <c r="R111" s="109" t="n">
        <f aca="false">(Yield_Originals!$H111*Yield_Originals!R$1)/Yield_Originals!$K111</f>
        <v>0.0711231797980965</v>
      </c>
      <c r="S111" s="109" t="n">
        <f aca="false">(Yield_Originals!$H111*Yield_Originals!S$1)/Yield_Originals!$K111</f>
        <v>0.0729948424243622</v>
      </c>
      <c r="T111" s="111" t="n">
        <f aca="false">(Yield_Originals!$I111*Yield_Originals!T$1)/Yield_Originals!$K111</f>
        <v>0.0791330984665889</v>
      </c>
      <c r="U111" s="111" t="n">
        <f aca="false">(Yield_Originals!$I111*Yield_Originals!U$1)/Yield_Originals!$K111</f>
        <v>0.0811114259282536</v>
      </c>
      <c r="V111" s="111" t="n">
        <f aca="false">(Yield_Originals!$I111*Yield_Originals!V$1)/Yield_Originals!$K111</f>
        <v>0.0830897533899183</v>
      </c>
      <c r="W111" s="111" t="n">
        <f aca="false">(Yield_Originals!$I111*Yield_Originals!W$1)/Yield_Originals!$K111</f>
        <v>0.085068080851583</v>
      </c>
      <c r="X111" s="112" t="n">
        <f aca="false">(Yield_Originals!$J111*Yield_Originals!X$1)/Yield_Originals!$K111</f>
        <v>0.0827641045154738</v>
      </c>
      <c r="Y111" s="112" t="n">
        <f aca="false">(Yield_Originals!$J111*Yield_Originals!Y$1)/Yield_Originals!$K111</f>
        <v>0.0846451068908255</v>
      </c>
      <c r="Z111" s="112" t="n">
        <f aca="false">(Yield_Originals!$J111*Yield_Originals!Z$1)/Yield_Originals!$K111</f>
        <v>0.0865261092661771</v>
      </c>
      <c r="AA111" s="112" t="n">
        <f aca="false">(Yield_Originals!$J111*Yield_Originals!AA$1)/Yield_Originals!$K111</f>
        <v>0.0884071116415288</v>
      </c>
      <c r="AB111" s="112" t="n">
        <f aca="false">(Yield_Originals!$J111*Yield_Originals!AB$1)/Yield_Originals!$K111</f>
        <v>0.0902881140168805</v>
      </c>
    </row>
    <row r="112" customFormat="false" ht="15" hidden="false" customHeight="false" outlineLevel="0" collapsed="false">
      <c r="A112" s="70" t="s">
        <v>798</v>
      </c>
      <c r="B112" s="68" t="n">
        <v>2</v>
      </c>
      <c r="C112" s="103" t="s">
        <v>123</v>
      </c>
      <c r="D112" s="103" t="s">
        <v>801</v>
      </c>
      <c r="E112" s="104" t="n">
        <v>14</v>
      </c>
      <c r="F112" s="106" t="n">
        <v>0.0470666077564446</v>
      </c>
      <c r="G112" s="106" t="n">
        <v>0.0470666077564446</v>
      </c>
      <c r="H112" s="106" t="n">
        <f aca="false">+(Yield_Originals!I112+Yield_Originals!G112)/2</f>
        <v>0.0499110033670852</v>
      </c>
      <c r="I112" s="106" t="n">
        <v>0.0527553989777259</v>
      </c>
      <c r="J112" s="106" t="n">
        <v>0.0501600633427114</v>
      </c>
      <c r="K112" s="107" t="n">
        <v>1</v>
      </c>
      <c r="L112" s="108" t="n">
        <f aca="false">(Yield_Originals!$G112*Yield_Originals!L$1)/Yield_Originals!$K112</f>
        <v>0.0564799293077335</v>
      </c>
      <c r="M112" s="108" t="n">
        <f aca="false">(Yield_Originals!$G112*Yield_Originals!M$1)/Yield_Originals!$K112</f>
        <v>0.0582449270986002</v>
      </c>
      <c r="N112" s="108" t="n">
        <f aca="false">(Yield_Originals!$G112*Yield_Originals!N$1)/Yield_Originals!$K112</f>
        <v>0.0600099248894669</v>
      </c>
      <c r="O112" s="108" t="n">
        <f aca="false">(Yield_Originals!$G112*Yield_Originals!O$1)/Yield_Originals!$K112</f>
        <v>0.0617749226803335</v>
      </c>
      <c r="P112" s="109" t="n">
        <f aca="false">(Yield_Originals!$H112*Yield_Originals!P$1)/Yield_Originals!$K112</f>
        <v>0.0673798545455651</v>
      </c>
      <c r="Q112" s="109" t="n">
        <f aca="false">(Yield_Originals!$H112*Yield_Originals!Q$1)/Yield_Originals!$K112</f>
        <v>0.0692515171718308</v>
      </c>
      <c r="R112" s="109" t="n">
        <f aca="false">(Yield_Originals!$H112*Yield_Originals!R$1)/Yield_Originals!$K112</f>
        <v>0.0711231797980965</v>
      </c>
      <c r="S112" s="109" t="n">
        <f aca="false">(Yield_Originals!$H112*Yield_Originals!S$1)/Yield_Originals!$K112</f>
        <v>0.0729948424243622</v>
      </c>
      <c r="T112" s="111" t="n">
        <f aca="false">(Yield_Originals!$I112*Yield_Originals!T$1)/Yield_Originals!$K112</f>
        <v>0.0791330984665889</v>
      </c>
      <c r="U112" s="111" t="n">
        <f aca="false">(Yield_Originals!$I112*Yield_Originals!U$1)/Yield_Originals!$K112</f>
        <v>0.0811114259282536</v>
      </c>
      <c r="V112" s="111" t="n">
        <f aca="false">(Yield_Originals!$I112*Yield_Originals!V$1)/Yield_Originals!$K112</f>
        <v>0.0830897533899183</v>
      </c>
      <c r="W112" s="111" t="n">
        <f aca="false">(Yield_Originals!$I112*Yield_Originals!W$1)/Yield_Originals!$K112</f>
        <v>0.085068080851583</v>
      </c>
      <c r="X112" s="112" t="n">
        <f aca="false">(Yield_Originals!$J112*Yield_Originals!X$1)/Yield_Originals!$K112</f>
        <v>0.0827641045154738</v>
      </c>
      <c r="Y112" s="112" t="n">
        <f aca="false">(Yield_Originals!$J112*Yield_Originals!Y$1)/Yield_Originals!$K112</f>
        <v>0.0846451068908255</v>
      </c>
      <c r="Z112" s="112" t="n">
        <f aca="false">(Yield_Originals!$J112*Yield_Originals!Z$1)/Yield_Originals!$K112</f>
        <v>0.0865261092661771</v>
      </c>
      <c r="AA112" s="112" t="n">
        <f aca="false">(Yield_Originals!$J112*Yield_Originals!AA$1)/Yield_Originals!$K112</f>
        <v>0.0884071116415288</v>
      </c>
      <c r="AB112" s="112" t="n">
        <f aca="false">(Yield_Originals!$J112*Yield_Originals!AB$1)/Yield_Originals!$K112</f>
        <v>0.0902881140168805</v>
      </c>
    </row>
    <row r="113" customFormat="false" ht="15" hidden="false" customHeight="false" outlineLevel="0" collapsed="false">
      <c r="A113" s="70" t="s">
        <v>798</v>
      </c>
      <c r="B113" s="68" t="n">
        <v>2</v>
      </c>
      <c r="C113" s="103" t="s">
        <v>123</v>
      </c>
      <c r="D113" s="103" t="s">
        <v>801</v>
      </c>
      <c r="E113" s="104" t="n">
        <v>15</v>
      </c>
      <c r="F113" s="106" t="n">
        <v>0.0470666077564446</v>
      </c>
      <c r="G113" s="106" t="n">
        <v>0.0470666077564446</v>
      </c>
      <c r="H113" s="106" t="n">
        <f aca="false">+(Yield_Originals!I113+Yield_Originals!G113)/2</f>
        <v>0.0499110033670852</v>
      </c>
      <c r="I113" s="106" t="n">
        <v>0.0527553989777259</v>
      </c>
      <c r="J113" s="106" t="n">
        <v>0.0501600633427114</v>
      </c>
      <c r="K113" s="107" t="n">
        <v>1</v>
      </c>
      <c r="L113" s="108" t="n">
        <f aca="false">(Yield_Originals!$G113*Yield_Originals!L$1)/Yield_Originals!$K113</f>
        <v>0.0564799293077335</v>
      </c>
      <c r="M113" s="108" t="n">
        <f aca="false">(Yield_Originals!$G113*Yield_Originals!M$1)/Yield_Originals!$K113</f>
        <v>0.0582449270986002</v>
      </c>
      <c r="N113" s="108" t="n">
        <f aca="false">(Yield_Originals!$G113*Yield_Originals!N$1)/Yield_Originals!$K113</f>
        <v>0.0600099248894669</v>
      </c>
      <c r="O113" s="108" t="n">
        <f aca="false">(Yield_Originals!$G113*Yield_Originals!O$1)/Yield_Originals!$K113</f>
        <v>0.0617749226803335</v>
      </c>
      <c r="P113" s="109" t="n">
        <f aca="false">(Yield_Originals!$H113*Yield_Originals!P$1)/Yield_Originals!$K113</f>
        <v>0.0673798545455651</v>
      </c>
      <c r="Q113" s="109" t="n">
        <f aca="false">(Yield_Originals!$H113*Yield_Originals!Q$1)/Yield_Originals!$K113</f>
        <v>0.0692515171718308</v>
      </c>
      <c r="R113" s="109" t="n">
        <f aca="false">(Yield_Originals!$H113*Yield_Originals!R$1)/Yield_Originals!$K113</f>
        <v>0.0711231797980965</v>
      </c>
      <c r="S113" s="109" t="n">
        <f aca="false">(Yield_Originals!$H113*Yield_Originals!S$1)/Yield_Originals!$K113</f>
        <v>0.0729948424243622</v>
      </c>
      <c r="T113" s="111" t="n">
        <f aca="false">(Yield_Originals!$I113*Yield_Originals!T$1)/Yield_Originals!$K113</f>
        <v>0.0791330984665889</v>
      </c>
      <c r="U113" s="111" t="n">
        <f aca="false">(Yield_Originals!$I113*Yield_Originals!U$1)/Yield_Originals!$K113</f>
        <v>0.0811114259282536</v>
      </c>
      <c r="V113" s="111" t="n">
        <f aca="false">(Yield_Originals!$I113*Yield_Originals!V$1)/Yield_Originals!$K113</f>
        <v>0.0830897533899183</v>
      </c>
      <c r="W113" s="111" t="n">
        <f aca="false">(Yield_Originals!$I113*Yield_Originals!W$1)/Yield_Originals!$K113</f>
        <v>0.085068080851583</v>
      </c>
      <c r="X113" s="112" t="n">
        <f aca="false">(Yield_Originals!$J113*Yield_Originals!X$1)/Yield_Originals!$K113</f>
        <v>0.0827641045154738</v>
      </c>
      <c r="Y113" s="112" t="n">
        <f aca="false">(Yield_Originals!$J113*Yield_Originals!Y$1)/Yield_Originals!$K113</f>
        <v>0.0846451068908255</v>
      </c>
      <c r="Z113" s="112" t="n">
        <f aca="false">(Yield_Originals!$J113*Yield_Originals!Z$1)/Yield_Originals!$K113</f>
        <v>0.0865261092661771</v>
      </c>
      <c r="AA113" s="112" t="n">
        <f aca="false">(Yield_Originals!$J113*Yield_Originals!AA$1)/Yield_Originals!$K113</f>
        <v>0.0884071116415288</v>
      </c>
      <c r="AB113" s="112" t="n">
        <f aca="false">(Yield_Originals!$J113*Yield_Originals!AB$1)/Yield_Originals!$K113</f>
        <v>0.0902881140168805</v>
      </c>
    </row>
    <row r="114" customFormat="false" ht="15" hidden="false" customHeight="false" outlineLevel="0" collapsed="false">
      <c r="A114" s="70" t="s">
        <v>798</v>
      </c>
      <c r="B114" s="68" t="n">
        <v>2</v>
      </c>
      <c r="C114" s="103" t="s">
        <v>227</v>
      </c>
      <c r="D114" s="103" t="s">
        <v>804</v>
      </c>
      <c r="E114" s="104" t="n">
        <v>9</v>
      </c>
      <c r="F114" s="106" t="n">
        <v>0.0470666077564446</v>
      </c>
      <c r="G114" s="106" t="n">
        <v>0.0470666077564446</v>
      </c>
      <c r="H114" s="106" t="n">
        <f aca="false">+(Yield_Originals!I114+Yield_Originals!G114)/2</f>
        <v>0.0499110033670852</v>
      </c>
      <c r="I114" s="106" t="n">
        <v>0.0527553989777259</v>
      </c>
      <c r="J114" s="106" t="n">
        <v>0.0501600633427114</v>
      </c>
      <c r="K114" s="107" t="n">
        <v>1</v>
      </c>
      <c r="L114" s="108" t="n">
        <f aca="false">(Yield_Originals!$G114*Yield_Originals!L$1)/Yield_Originals!$K114</f>
        <v>0.0564799293077335</v>
      </c>
      <c r="M114" s="108" t="n">
        <f aca="false">(Yield_Originals!$G114*Yield_Originals!M$1)/Yield_Originals!$K114</f>
        <v>0.0582449270986002</v>
      </c>
      <c r="N114" s="108" t="n">
        <f aca="false">(Yield_Originals!$G114*Yield_Originals!N$1)/Yield_Originals!$K114</f>
        <v>0.0600099248894669</v>
      </c>
      <c r="O114" s="108" t="n">
        <f aca="false">(Yield_Originals!$G114*Yield_Originals!O$1)/Yield_Originals!$K114</f>
        <v>0.0617749226803335</v>
      </c>
      <c r="P114" s="109" t="n">
        <f aca="false">(Yield_Originals!$H114*Yield_Originals!P$1)/Yield_Originals!$K114</f>
        <v>0.0673798545455651</v>
      </c>
      <c r="Q114" s="109" t="n">
        <f aca="false">(Yield_Originals!$H114*Yield_Originals!Q$1)/Yield_Originals!$K114</f>
        <v>0.0692515171718308</v>
      </c>
      <c r="R114" s="109" t="n">
        <f aca="false">(Yield_Originals!$H114*Yield_Originals!R$1)/Yield_Originals!$K114</f>
        <v>0.0711231797980965</v>
      </c>
      <c r="S114" s="109" t="n">
        <f aca="false">(Yield_Originals!$H114*Yield_Originals!S$1)/Yield_Originals!$K114</f>
        <v>0.0729948424243622</v>
      </c>
      <c r="T114" s="111" t="n">
        <f aca="false">(Yield_Originals!$I114*Yield_Originals!T$1)/Yield_Originals!$K114</f>
        <v>0.0791330984665889</v>
      </c>
      <c r="U114" s="111" t="n">
        <f aca="false">(Yield_Originals!$I114*Yield_Originals!U$1)/Yield_Originals!$K114</f>
        <v>0.0811114259282536</v>
      </c>
      <c r="V114" s="111" t="n">
        <f aca="false">(Yield_Originals!$I114*Yield_Originals!V$1)/Yield_Originals!$K114</f>
        <v>0.0830897533899183</v>
      </c>
      <c r="W114" s="111" t="n">
        <f aca="false">(Yield_Originals!$I114*Yield_Originals!W$1)/Yield_Originals!$K114</f>
        <v>0.085068080851583</v>
      </c>
      <c r="X114" s="112" t="n">
        <f aca="false">(Yield_Originals!$J114*Yield_Originals!X$1)/Yield_Originals!$K114</f>
        <v>0.0827641045154738</v>
      </c>
      <c r="Y114" s="112" t="n">
        <f aca="false">(Yield_Originals!$J114*Yield_Originals!Y$1)/Yield_Originals!$K114</f>
        <v>0.0846451068908255</v>
      </c>
      <c r="Z114" s="112" t="n">
        <f aca="false">(Yield_Originals!$J114*Yield_Originals!Z$1)/Yield_Originals!$K114</f>
        <v>0.0865261092661771</v>
      </c>
      <c r="AA114" s="112" t="n">
        <f aca="false">(Yield_Originals!$J114*Yield_Originals!AA$1)/Yield_Originals!$K114</f>
        <v>0.0884071116415288</v>
      </c>
      <c r="AB114" s="112" t="n">
        <f aca="false">(Yield_Originals!$J114*Yield_Originals!AB$1)/Yield_Originals!$K114</f>
        <v>0.0902881140168805</v>
      </c>
    </row>
    <row r="115" customFormat="false" ht="15" hidden="false" customHeight="false" outlineLevel="0" collapsed="false">
      <c r="A115" s="70" t="s">
        <v>798</v>
      </c>
      <c r="B115" s="68" t="n">
        <v>2</v>
      </c>
      <c r="C115" s="103" t="s">
        <v>227</v>
      </c>
      <c r="D115" s="103" t="s">
        <v>804</v>
      </c>
      <c r="E115" s="104" t="n">
        <v>10</v>
      </c>
      <c r="F115" s="106" t="n">
        <v>0.0470666077564446</v>
      </c>
      <c r="G115" s="106" t="n">
        <v>0.0470666077564446</v>
      </c>
      <c r="H115" s="106" t="n">
        <f aca="false">+(Yield_Originals!I115+Yield_Originals!G115)/2</f>
        <v>0.0499110033670852</v>
      </c>
      <c r="I115" s="106" t="n">
        <v>0.0527553989777259</v>
      </c>
      <c r="J115" s="106" t="n">
        <v>0.0501600633427114</v>
      </c>
      <c r="K115" s="107" t="n">
        <v>1</v>
      </c>
      <c r="L115" s="108" t="n">
        <f aca="false">(Yield_Originals!$G115*Yield_Originals!L$1)/Yield_Originals!$K115</f>
        <v>0.0564799293077335</v>
      </c>
      <c r="M115" s="108" t="n">
        <f aca="false">(Yield_Originals!$G115*Yield_Originals!M$1)/Yield_Originals!$K115</f>
        <v>0.0582449270986002</v>
      </c>
      <c r="N115" s="108" t="n">
        <f aca="false">(Yield_Originals!$G115*Yield_Originals!N$1)/Yield_Originals!$K115</f>
        <v>0.0600099248894669</v>
      </c>
      <c r="O115" s="108" t="n">
        <f aca="false">(Yield_Originals!$G115*Yield_Originals!O$1)/Yield_Originals!$K115</f>
        <v>0.0617749226803335</v>
      </c>
      <c r="P115" s="109" t="n">
        <f aca="false">(Yield_Originals!$H115*Yield_Originals!P$1)/Yield_Originals!$K115</f>
        <v>0.0673798545455651</v>
      </c>
      <c r="Q115" s="109" t="n">
        <f aca="false">(Yield_Originals!$H115*Yield_Originals!Q$1)/Yield_Originals!$K115</f>
        <v>0.0692515171718308</v>
      </c>
      <c r="R115" s="109" t="n">
        <f aca="false">(Yield_Originals!$H115*Yield_Originals!R$1)/Yield_Originals!$K115</f>
        <v>0.0711231797980965</v>
      </c>
      <c r="S115" s="109" t="n">
        <f aca="false">(Yield_Originals!$H115*Yield_Originals!S$1)/Yield_Originals!$K115</f>
        <v>0.0729948424243622</v>
      </c>
      <c r="T115" s="111" t="n">
        <f aca="false">(Yield_Originals!$I115*Yield_Originals!T$1)/Yield_Originals!$K115</f>
        <v>0.0791330984665889</v>
      </c>
      <c r="U115" s="111" t="n">
        <f aca="false">(Yield_Originals!$I115*Yield_Originals!U$1)/Yield_Originals!$K115</f>
        <v>0.0811114259282536</v>
      </c>
      <c r="V115" s="111" t="n">
        <f aca="false">(Yield_Originals!$I115*Yield_Originals!V$1)/Yield_Originals!$K115</f>
        <v>0.0830897533899183</v>
      </c>
      <c r="W115" s="111" t="n">
        <f aca="false">(Yield_Originals!$I115*Yield_Originals!W$1)/Yield_Originals!$K115</f>
        <v>0.085068080851583</v>
      </c>
      <c r="X115" s="112" t="n">
        <f aca="false">(Yield_Originals!$J115*Yield_Originals!X$1)/Yield_Originals!$K115</f>
        <v>0.0827641045154738</v>
      </c>
      <c r="Y115" s="112" t="n">
        <f aca="false">(Yield_Originals!$J115*Yield_Originals!Y$1)/Yield_Originals!$K115</f>
        <v>0.0846451068908255</v>
      </c>
      <c r="Z115" s="112" t="n">
        <f aca="false">(Yield_Originals!$J115*Yield_Originals!Z$1)/Yield_Originals!$K115</f>
        <v>0.0865261092661771</v>
      </c>
      <c r="AA115" s="112" t="n">
        <f aca="false">(Yield_Originals!$J115*Yield_Originals!AA$1)/Yield_Originals!$K115</f>
        <v>0.0884071116415288</v>
      </c>
      <c r="AB115" s="112" t="n">
        <f aca="false">(Yield_Originals!$J115*Yield_Originals!AB$1)/Yield_Originals!$K115</f>
        <v>0.0902881140168805</v>
      </c>
    </row>
    <row r="116" customFormat="false" ht="15" hidden="false" customHeight="false" outlineLevel="0" collapsed="false">
      <c r="A116" s="70" t="s">
        <v>798</v>
      </c>
      <c r="B116" s="68" t="n">
        <v>2</v>
      </c>
      <c r="C116" s="103" t="s">
        <v>227</v>
      </c>
      <c r="D116" s="103" t="s">
        <v>804</v>
      </c>
      <c r="E116" s="104" t="n">
        <v>11</v>
      </c>
      <c r="F116" s="106" t="n">
        <v>0.0470666077564446</v>
      </c>
      <c r="G116" s="106" t="n">
        <v>0.0470666077564446</v>
      </c>
      <c r="H116" s="106" t="n">
        <f aca="false">+(Yield_Originals!I116+Yield_Originals!G116)/2</f>
        <v>0.0499110033670852</v>
      </c>
      <c r="I116" s="106" t="n">
        <v>0.0527553989777259</v>
      </c>
      <c r="J116" s="106" t="n">
        <v>0.0501600633427114</v>
      </c>
      <c r="K116" s="107" t="n">
        <v>1</v>
      </c>
      <c r="L116" s="108" t="n">
        <f aca="false">(Yield_Originals!$G116*Yield_Originals!L$1)/Yield_Originals!$K116</f>
        <v>0.0564799293077335</v>
      </c>
      <c r="M116" s="108" t="n">
        <f aca="false">(Yield_Originals!$G116*Yield_Originals!M$1)/Yield_Originals!$K116</f>
        <v>0.0582449270986002</v>
      </c>
      <c r="N116" s="108" t="n">
        <f aca="false">(Yield_Originals!$G116*Yield_Originals!N$1)/Yield_Originals!$K116</f>
        <v>0.0600099248894669</v>
      </c>
      <c r="O116" s="108" t="n">
        <f aca="false">(Yield_Originals!$G116*Yield_Originals!O$1)/Yield_Originals!$K116</f>
        <v>0.0617749226803335</v>
      </c>
      <c r="P116" s="109" t="n">
        <f aca="false">(Yield_Originals!$H116*Yield_Originals!P$1)/Yield_Originals!$K116</f>
        <v>0.0673798545455651</v>
      </c>
      <c r="Q116" s="109" t="n">
        <f aca="false">(Yield_Originals!$H116*Yield_Originals!Q$1)/Yield_Originals!$K116</f>
        <v>0.0692515171718308</v>
      </c>
      <c r="R116" s="109" t="n">
        <f aca="false">(Yield_Originals!$H116*Yield_Originals!R$1)/Yield_Originals!$K116</f>
        <v>0.0711231797980965</v>
      </c>
      <c r="S116" s="109" t="n">
        <f aca="false">(Yield_Originals!$H116*Yield_Originals!S$1)/Yield_Originals!$K116</f>
        <v>0.0729948424243622</v>
      </c>
      <c r="T116" s="111" t="n">
        <f aca="false">(Yield_Originals!$I116*Yield_Originals!T$1)/Yield_Originals!$K116</f>
        <v>0.0791330984665889</v>
      </c>
      <c r="U116" s="111" t="n">
        <f aca="false">(Yield_Originals!$I116*Yield_Originals!U$1)/Yield_Originals!$K116</f>
        <v>0.0811114259282536</v>
      </c>
      <c r="V116" s="111" t="n">
        <f aca="false">(Yield_Originals!$I116*Yield_Originals!V$1)/Yield_Originals!$K116</f>
        <v>0.0830897533899183</v>
      </c>
      <c r="W116" s="111" t="n">
        <f aca="false">(Yield_Originals!$I116*Yield_Originals!W$1)/Yield_Originals!$K116</f>
        <v>0.085068080851583</v>
      </c>
      <c r="X116" s="112" t="n">
        <f aca="false">(Yield_Originals!$J116*Yield_Originals!X$1)/Yield_Originals!$K116</f>
        <v>0.0827641045154738</v>
      </c>
      <c r="Y116" s="112" t="n">
        <f aca="false">(Yield_Originals!$J116*Yield_Originals!Y$1)/Yield_Originals!$K116</f>
        <v>0.0846451068908255</v>
      </c>
      <c r="Z116" s="112" t="n">
        <f aca="false">(Yield_Originals!$J116*Yield_Originals!Z$1)/Yield_Originals!$K116</f>
        <v>0.0865261092661771</v>
      </c>
      <c r="AA116" s="112" t="n">
        <f aca="false">(Yield_Originals!$J116*Yield_Originals!AA$1)/Yield_Originals!$K116</f>
        <v>0.0884071116415288</v>
      </c>
      <c r="AB116" s="112" t="n">
        <f aca="false">(Yield_Originals!$J116*Yield_Originals!AB$1)/Yield_Originals!$K116</f>
        <v>0.0902881140168805</v>
      </c>
    </row>
    <row r="117" customFormat="false" ht="15" hidden="false" customHeight="false" outlineLevel="0" collapsed="false">
      <c r="A117" s="70" t="s">
        <v>798</v>
      </c>
      <c r="B117" s="68" t="n">
        <v>2</v>
      </c>
      <c r="C117" s="103" t="s">
        <v>227</v>
      </c>
      <c r="D117" s="103" t="s">
        <v>804</v>
      </c>
      <c r="E117" s="104" t="n">
        <v>12</v>
      </c>
      <c r="F117" s="106" t="n">
        <v>0.0470666077564446</v>
      </c>
      <c r="G117" s="106" t="n">
        <v>0.0470666077564446</v>
      </c>
      <c r="H117" s="106" t="n">
        <f aca="false">+(Yield_Originals!I117+Yield_Originals!G117)/2</f>
        <v>0.0499110033670852</v>
      </c>
      <c r="I117" s="106" t="n">
        <v>0.0527553989777259</v>
      </c>
      <c r="J117" s="106" t="n">
        <v>0.0501600633427114</v>
      </c>
      <c r="K117" s="107" t="n">
        <v>1</v>
      </c>
      <c r="L117" s="108" t="n">
        <f aca="false">(Yield_Originals!$G117*Yield_Originals!L$1)/Yield_Originals!$K117</f>
        <v>0.0564799293077335</v>
      </c>
      <c r="M117" s="108" t="n">
        <f aca="false">(Yield_Originals!$G117*Yield_Originals!M$1)/Yield_Originals!$K117</f>
        <v>0.0582449270986002</v>
      </c>
      <c r="N117" s="108" t="n">
        <f aca="false">(Yield_Originals!$G117*Yield_Originals!N$1)/Yield_Originals!$K117</f>
        <v>0.0600099248894669</v>
      </c>
      <c r="O117" s="108" t="n">
        <f aca="false">(Yield_Originals!$G117*Yield_Originals!O$1)/Yield_Originals!$K117</f>
        <v>0.0617749226803335</v>
      </c>
      <c r="P117" s="109" t="n">
        <f aca="false">(Yield_Originals!$H117*Yield_Originals!P$1)/Yield_Originals!$K117</f>
        <v>0.0673798545455651</v>
      </c>
      <c r="Q117" s="109" t="n">
        <f aca="false">(Yield_Originals!$H117*Yield_Originals!Q$1)/Yield_Originals!$K117</f>
        <v>0.0692515171718308</v>
      </c>
      <c r="R117" s="109" t="n">
        <f aca="false">(Yield_Originals!$H117*Yield_Originals!R$1)/Yield_Originals!$K117</f>
        <v>0.0711231797980965</v>
      </c>
      <c r="S117" s="109" t="n">
        <f aca="false">(Yield_Originals!$H117*Yield_Originals!S$1)/Yield_Originals!$K117</f>
        <v>0.0729948424243622</v>
      </c>
      <c r="T117" s="111" t="n">
        <f aca="false">(Yield_Originals!$I117*Yield_Originals!T$1)/Yield_Originals!$K117</f>
        <v>0.0791330984665889</v>
      </c>
      <c r="U117" s="111" t="n">
        <f aca="false">(Yield_Originals!$I117*Yield_Originals!U$1)/Yield_Originals!$K117</f>
        <v>0.0811114259282536</v>
      </c>
      <c r="V117" s="111" t="n">
        <f aca="false">(Yield_Originals!$I117*Yield_Originals!V$1)/Yield_Originals!$K117</f>
        <v>0.0830897533899183</v>
      </c>
      <c r="W117" s="111" t="n">
        <f aca="false">(Yield_Originals!$I117*Yield_Originals!W$1)/Yield_Originals!$K117</f>
        <v>0.085068080851583</v>
      </c>
      <c r="X117" s="112" t="n">
        <f aca="false">(Yield_Originals!$J117*Yield_Originals!X$1)/Yield_Originals!$K117</f>
        <v>0.0827641045154738</v>
      </c>
      <c r="Y117" s="112" t="n">
        <f aca="false">(Yield_Originals!$J117*Yield_Originals!Y$1)/Yield_Originals!$K117</f>
        <v>0.0846451068908255</v>
      </c>
      <c r="Z117" s="112" t="n">
        <f aca="false">(Yield_Originals!$J117*Yield_Originals!Z$1)/Yield_Originals!$K117</f>
        <v>0.0865261092661771</v>
      </c>
      <c r="AA117" s="112" t="n">
        <f aca="false">(Yield_Originals!$J117*Yield_Originals!AA$1)/Yield_Originals!$K117</f>
        <v>0.0884071116415288</v>
      </c>
      <c r="AB117" s="112" t="n">
        <f aca="false">(Yield_Originals!$J117*Yield_Originals!AB$1)/Yield_Originals!$K117</f>
        <v>0.0902881140168805</v>
      </c>
    </row>
    <row r="118" customFormat="false" ht="15" hidden="false" customHeight="false" outlineLevel="0" collapsed="false">
      <c r="A118" s="70" t="s">
        <v>798</v>
      </c>
      <c r="B118" s="68" t="n">
        <v>2</v>
      </c>
      <c r="C118" s="103" t="s">
        <v>227</v>
      </c>
      <c r="D118" s="103" t="s">
        <v>804</v>
      </c>
      <c r="E118" s="104" t="n">
        <v>13</v>
      </c>
      <c r="F118" s="106" t="n">
        <v>0.0470666077564446</v>
      </c>
      <c r="G118" s="106" t="n">
        <v>0.0470666077564446</v>
      </c>
      <c r="H118" s="106" t="n">
        <f aca="false">+(Yield_Originals!I118+Yield_Originals!G118)/2</f>
        <v>0.0499110033670852</v>
      </c>
      <c r="I118" s="106" t="n">
        <v>0.0527553989777259</v>
      </c>
      <c r="J118" s="106" t="n">
        <v>0.0501600633427114</v>
      </c>
      <c r="K118" s="107" t="n">
        <v>1</v>
      </c>
      <c r="L118" s="108" t="n">
        <f aca="false">(Yield_Originals!$G118*Yield_Originals!L$1)/Yield_Originals!$K118</f>
        <v>0.0564799293077335</v>
      </c>
      <c r="M118" s="108" t="n">
        <f aca="false">(Yield_Originals!$G118*Yield_Originals!M$1)/Yield_Originals!$K118</f>
        <v>0.0582449270986002</v>
      </c>
      <c r="N118" s="108" t="n">
        <f aca="false">(Yield_Originals!$G118*Yield_Originals!N$1)/Yield_Originals!$K118</f>
        <v>0.0600099248894669</v>
      </c>
      <c r="O118" s="108" t="n">
        <f aca="false">(Yield_Originals!$G118*Yield_Originals!O$1)/Yield_Originals!$K118</f>
        <v>0.0617749226803335</v>
      </c>
      <c r="P118" s="109" t="n">
        <f aca="false">(Yield_Originals!$H118*Yield_Originals!P$1)/Yield_Originals!$K118</f>
        <v>0.0673798545455651</v>
      </c>
      <c r="Q118" s="109" t="n">
        <f aca="false">(Yield_Originals!$H118*Yield_Originals!Q$1)/Yield_Originals!$K118</f>
        <v>0.0692515171718308</v>
      </c>
      <c r="R118" s="109" t="n">
        <f aca="false">(Yield_Originals!$H118*Yield_Originals!R$1)/Yield_Originals!$K118</f>
        <v>0.0711231797980965</v>
      </c>
      <c r="S118" s="109" t="n">
        <f aca="false">(Yield_Originals!$H118*Yield_Originals!S$1)/Yield_Originals!$K118</f>
        <v>0.0729948424243622</v>
      </c>
      <c r="T118" s="111" t="n">
        <f aca="false">(Yield_Originals!$I118*Yield_Originals!T$1)/Yield_Originals!$K118</f>
        <v>0.0791330984665889</v>
      </c>
      <c r="U118" s="111" t="n">
        <f aca="false">(Yield_Originals!$I118*Yield_Originals!U$1)/Yield_Originals!$K118</f>
        <v>0.0811114259282536</v>
      </c>
      <c r="V118" s="111" t="n">
        <f aca="false">(Yield_Originals!$I118*Yield_Originals!V$1)/Yield_Originals!$K118</f>
        <v>0.0830897533899183</v>
      </c>
      <c r="W118" s="111" t="n">
        <f aca="false">(Yield_Originals!$I118*Yield_Originals!W$1)/Yield_Originals!$K118</f>
        <v>0.085068080851583</v>
      </c>
      <c r="X118" s="112" t="n">
        <f aca="false">(Yield_Originals!$J118*Yield_Originals!X$1)/Yield_Originals!$K118</f>
        <v>0.0827641045154738</v>
      </c>
      <c r="Y118" s="112" t="n">
        <f aca="false">(Yield_Originals!$J118*Yield_Originals!Y$1)/Yield_Originals!$K118</f>
        <v>0.0846451068908255</v>
      </c>
      <c r="Z118" s="112" t="n">
        <f aca="false">(Yield_Originals!$J118*Yield_Originals!Z$1)/Yield_Originals!$K118</f>
        <v>0.0865261092661771</v>
      </c>
      <c r="AA118" s="112" t="n">
        <f aca="false">(Yield_Originals!$J118*Yield_Originals!AA$1)/Yield_Originals!$K118</f>
        <v>0.0884071116415288</v>
      </c>
      <c r="AB118" s="112" t="n">
        <f aca="false">(Yield_Originals!$J118*Yield_Originals!AB$1)/Yield_Originals!$K118</f>
        <v>0.0902881140168805</v>
      </c>
    </row>
    <row r="119" customFormat="false" ht="15" hidden="false" customHeight="false" outlineLevel="0" collapsed="false">
      <c r="A119" s="70" t="s">
        <v>798</v>
      </c>
      <c r="B119" s="68" t="n">
        <v>2</v>
      </c>
      <c r="C119" s="103" t="s">
        <v>227</v>
      </c>
      <c r="D119" s="103" t="s">
        <v>804</v>
      </c>
      <c r="E119" s="104" t="n">
        <v>14</v>
      </c>
      <c r="F119" s="106" t="n">
        <v>0.0470666077564446</v>
      </c>
      <c r="G119" s="106" t="n">
        <v>0.0470666077564446</v>
      </c>
      <c r="H119" s="106" t="n">
        <f aca="false">+(Yield_Originals!I119+Yield_Originals!G119)/2</f>
        <v>0.0499110033670852</v>
      </c>
      <c r="I119" s="106" t="n">
        <v>0.0527553989777259</v>
      </c>
      <c r="J119" s="106" t="n">
        <v>0.0501600633427114</v>
      </c>
      <c r="K119" s="107" t="n">
        <v>1</v>
      </c>
      <c r="L119" s="108" t="n">
        <f aca="false">(Yield_Originals!$G119*Yield_Originals!L$1)/Yield_Originals!$K119</f>
        <v>0.0564799293077335</v>
      </c>
      <c r="M119" s="108" t="n">
        <f aca="false">(Yield_Originals!$G119*Yield_Originals!M$1)/Yield_Originals!$K119</f>
        <v>0.0582449270986002</v>
      </c>
      <c r="N119" s="108" t="n">
        <f aca="false">(Yield_Originals!$G119*Yield_Originals!N$1)/Yield_Originals!$K119</f>
        <v>0.0600099248894669</v>
      </c>
      <c r="O119" s="108" t="n">
        <f aca="false">(Yield_Originals!$G119*Yield_Originals!O$1)/Yield_Originals!$K119</f>
        <v>0.0617749226803335</v>
      </c>
      <c r="P119" s="109" t="n">
        <f aca="false">(Yield_Originals!$H119*Yield_Originals!P$1)/Yield_Originals!$K119</f>
        <v>0.0673798545455651</v>
      </c>
      <c r="Q119" s="109" t="n">
        <f aca="false">(Yield_Originals!$H119*Yield_Originals!Q$1)/Yield_Originals!$K119</f>
        <v>0.0692515171718308</v>
      </c>
      <c r="R119" s="109" t="n">
        <f aca="false">(Yield_Originals!$H119*Yield_Originals!R$1)/Yield_Originals!$K119</f>
        <v>0.0711231797980965</v>
      </c>
      <c r="S119" s="109" t="n">
        <f aca="false">(Yield_Originals!$H119*Yield_Originals!S$1)/Yield_Originals!$K119</f>
        <v>0.0729948424243622</v>
      </c>
      <c r="T119" s="111" t="n">
        <f aca="false">(Yield_Originals!$I119*Yield_Originals!T$1)/Yield_Originals!$K119</f>
        <v>0.0791330984665889</v>
      </c>
      <c r="U119" s="111" t="n">
        <f aca="false">(Yield_Originals!$I119*Yield_Originals!U$1)/Yield_Originals!$K119</f>
        <v>0.0811114259282536</v>
      </c>
      <c r="V119" s="111" t="n">
        <f aca="false">(Yield_Originals!$I119*Yield_Originals!V$1)/Yield_Originals!$K119</f>
        <v>0.0830897533899183</v>
      </c>
      <c r="W119" s="111" t="n">
        <f aca="false">(Yield_Originals!$I119*Yield_Originals!W$1)/Yield_Originals!$K119</f>
        <v>0.085068080851583</v>
      </c>
      <c r="X119" s="112" t="n">
        <f aca="false">(Yield_Originals!$J119*Yield_Originals!X$1)/Yield_Originals!$K119</f>
        <v>0.0827641045154738</v>
      </c>
      <c r="Y119" s="112" t="n">
        <f aca="false">(Yield_Originals!$J119*Yield_Originals!Y$1)/Yield_Originals!$K119</f>
        <v>0.0846451068908255</v>
      </c>
      <c r="Z119" s="112" t="n">
        <f aca="false">(Yield_Originals!$J119*Yield_Originals!Z$1)/Yield_Originals!$K119</f>
        <v>0.0865261092661771</v>
      </c>
      <c r="AA119" s="112" t="n">
        <f aca="false">(Yield_Originals!$J119*Yield_Originals!AA$1)/Yield_Originals!$K119</f>
        <v>0.0884071116415288</v>
      </c>
      <c r="AB119" s="112" t="n">
        <f aca="false">(Yield_Originals!$J119*Yield_Originals!AB$1)/Yield_Originals!$K119</f>
        <v>0.0902881140168805</v>
      </c>
    </row>
    <row r="120" customFormat="false" ht="15" hidden="false" customHeight="false" outlineLevel="0" collapsed="false">
      <c r="A120" s="70" t="s">
        <v>798</v>
      </c>
      <c r="B120" s="68" t="n">
        <v>2</v>
      </c>
      <c r="C120" s="103" t="s">
        <v>227</v>
      </c>
      <c r="D120" s="103" t="s">
        <v>804</v>
      </c>
      <c r="E120" s="104" t="n">
        <v>15</v>
      </c>
      <c r="F120" s="106" t="n">
        <v>0.0470666077564446</v>
      </c>
      <c r="G120" s="106" t="n">
        <v>0.0470666077564446</v>
      </c>
      <c r="H120" s="106" t="n">
        <f aca="false">+(Yield_Originals!I120+Yield_Originals!G120)/2</f>
        <v>0.0499110033670852</v>
      </c>
      <c r="I120" s="106" t="n">
        <v>0.0527553989777259</v>
      </c>
      <c r="J120" s="106" t="n">
        <v>0.0501600633427114</v>
      </c>
      <c r="K120" s="107" t="n">
        <v>1</v>
      </c>
      <c r="L120" s="108" t="n">
        <f aca="false">(Yield_Originals!$G120*Yield_Originals!L$1)/Yield_Originals!$K120</f>
        <v>0.0564799293077335</v>
      </c>
      <c r="M120" s="108" t="n">
        <f aca="false">(Yield_Originals!$G120*Yield_Originals!M$1)/Yield_Originals!$K120</f>
        <v>0.0582449270986002</v>
      </c>
      <c r="N120" s="108" t="n">
        <f aca="false">(Yield_Originals!$G120*Yield_Originals!N$1)/Yield_Originals!$K120</f>
        <v>0.0600099248894669</v>
      </c>
      <c r="O120" s="108" t="n">
        <f aca="false">(Yield_Originals!$G120*Yield_Originals!O$1)/Yield_Originals!$K120</f>
        <v>0.0617749226803335</v>
      </c>
      <c r="P120" s="109" t="n">
        <f aca="false">(Yield_Originals!$H120*Yield_Originals!P$1)/Yield_Originals!$K120</f>
        <v>0.0673798545455651</v>
      </c>
      <c r="Q120" s="109" t="n">
        <f aca="false">(Yield_Originals!$H120*Yield_Originals!Q$1)/Yield_Originals!$K120</f>
        <v>0.0692515171718308</v>
      </c>
      <c r="R120" s="109" t="n">
        <f aca="false">(Yield_Originals!$H120*Yield_Originals!R$1)/Yield_Originals!$K120</f>
        <v>0.0711231797980965</v>
      </c>
      <c r="S120" s="109" t="n">
        <f aca="false">(Yield_Originals!$H120*Yield_Originals!S$1)/Yield_Originals!$K120</f>
        <v>0.0729948424243622</v>
      </c>
      <c r="T120" s="111" t="n">
        <f aca="false">(Yield_Originals!$I120*Yield_Originals!T$1)/Yield_Originals!$K120</f>
        <v>0.0791330984665889</v>
      </c>
      <c r="U120" s="111" t="n">
        <f aca="false">(Yield_Originals!$I120*Yield_Originals!U$1)/Yield_Originals!$K120</f>
        <v>0.0811114259282536</v>
      </c>
      <c r="V120" s="111" t="n">
        <f aca="false">(Yield_Originals!$I120*Yield_Originals!V$1)/Yield_Originals!$K120</f>
        <v>0.0830897533899183</v>
      </c>
      <c r="W120" s="111" t="n">
        <f aca="false">(Yield_Originals!$I120*Yield_Originals!W$1)/Yield_Originals!$K120</f>
        <v>0.085068080851583</v>
      </c>
      <c r="X120" s="112" t="n">
        <f aca="false">(Yield_Originals!$J120*Yield_Originals!X$1)/Yield_Originals!$K120</f>
        <v>0.0827641045154738</v>
      </c>
      <c r="Y120" s="112" t="n">
        <f aca="false">(Yield_Originals!$J120*Yield_Originals!Y$1)/Yield_Originals!$K120</f>
        <v>0.0846451068908255</v>
      </c>
      <c r="Z120" s="112" t="n">
        <f aca="false">(Yield_Originals!$J120*Yield_Originals!Z$1)/Yield_Originals!$K120</f>
        <v>0.0865261092661771</v>
      </c>
      <c r="AA120" s="112" t="n">
        <f aca="false">(Yield_Originals!$J120*Yield_Originals!AA$1)/Yield_Originals!$K120</f>
        <v>0.0884071116415288</v>
      </c>
      <c r="AB120" s="112" t="n">
        <f aca="false">(Yield_Originals!$J120*Yield_Originals!AB$1)/Yield_Originals!$K120</f>
        <v>0.0902881140168805</v>
      </c>
    </row>
    <row r="121" customFormat="false" ht="15" hidden="false" customHeight="false" outlineLevel="0" collapsed="false">
      <c r="A121" s="70" t="s">
        <v>798</v>
      </c>
      <c r="B121" s="68" t="n">
        <v>2</v>
      </c>
      <c r="C121" s="103" t="s">
        <v>726</v>
      </c>
      <c r="D121" s="103" t="s">
        <v>797</v>
      </c>
      <c r="E121" s="104" t="n">
        <v>9</v>
      </c>
      <c r="F121" s="106" t="n">
        <v>0.0470666077564446</v>
      </c>
      <c r="G121" s="106" t="n">
        <v>0.0470666077564446</v>
      </c>
      <c r="H121" s="106" t="n">
        <f aca="false">+(Yield_Originals!I121+Yield_Originals!G121)/2</f>
        <v>0.0499110033670852</v>
      </c>
      <c r="I121" s="106" t="n">
        <v>0.0527553989777259</v>
      </c>
      <c r="J121" s="106" t="n">
        <v>0.0501600633427114</v>
      </c>
      <c r="K121" s="107" t="n">
        <v>1</v>
      </c>
      <c r="L121" s="108" t="n">
        <f aca="false">(Yield_Originals!$G121*Yield_Originals!L$1)/Yield_Originals!$K121</f>
        <v>0.0564799293077335</v>
      </c>
      <c r="M121" s="108" t="n">
        <f aca="false">(Yield_Originals!$G121*Yield_Originals!M$1)/Yield_Originals!$K121</f>
        <v>0.0582449270986002</v>
      </c>
      <c r="N121" s="108" t="n">
        <f aca="false">(Yield_Originals!$G121*Yield_Originals!N$1)/Yield_Originals!$K121</f>
        <v>0.0600099248894669</v>
      </c>
      <c r="O121" s="108" t="n">
        <f aca="false">(Yield_Originals!$G121*Yield_Originals!O$1)/Yield_Originals!$K121</f>
        <v>0.0617749226803335</v>
      </c>
      <c r="P121" s="109" t="n">
        <f aca="false">(Yield_Originals!$H121*Yield_Originals!P$1)/Yield_Originals!$K121</f>
        <v>0.0673798545455651</v>
      </c>
      <c r="Q121" s="109" t="n">
        <f aca="false">(Yield_Originals!$H121*Yield_Originals!Q$1)/Yield_Originals!$K121</f>
        <v>0.0692515171718308</v>
      </c>
      <c r="R121" s="109" t="n">
        <f aca="false">(Yield_Originals!$H121*Yield_Originals!R$1)/Yield_Originals!$K121</f>
        <v>0.0711231797980965</v>
      </c>
      <c r="S121" s="109" t="n">
        <f aca="false">(Yield_Originals!$H121*Yield_Originals!S$1)/Yield_Originals!$K121</f>
        <v>0.0729948424243622</v>
      </c>
      <c r="T121" s="111" t="n">
        <f aca="false">(Yield_Originals!$I121*Yield_Originals!T$1)/Yield_Originals!$K121</f>
        <v>0.0791330984665889</v>
      </c>
      <c r="U121" s="111" t="n">
        <f aca="false">(Yield_Originals!$I121*Yield_Originals!U$1)/Yield_Originals!$K121</f>
        <v>0.0811114259282536</v>
      </c>
      <c r="V121" s="111" t="n">
        <f aca="false">(Yield_Originals!$I121*Yield_Originals!V$1)/Yield_Originals!$K121</f>
        <v>0.0830897533899183</v>
      </c>
      <c r="W121" s="111" t="n">
        <f aca="false">(Yield_Originals!$I121*Yield_Originals!W$1)/Yield_Originals!$K121</f>
        <v>0.085068080851583</v>
      </c>
      <c r="X121" s="112" t="n">
        <f aca="false">(Yield_Originals!$J121*Yield_Originals!X$1)/Yield_Originals!$K121</f>
        <v>0.0827641045154738</v>
      </c>
      <c r="Y121" s="112" t="n">
        <f aca="false">(Yield_Originals!$J121*Yield_Originals!Y$1)/Yield_Originals!$K121</f>
        <v>0.0846451068908255</v>
      </c>
      <c r="Z121" s="112" t="n">
        <f aca="false">(Yield_Originals!$J121*Yield_Originals!Z$1)/Yield_Originals!$K121</f>
        <v>0.0865261092661771</v>
      </c>
      <c r="AA121" s="112" t="n">
        <f aca="false">(Yield_Originals!$J121*Yield_Originals!AA$1)/Yield_Originals!$K121</f>
        <v>0.0884071116415288</v>
      </c>
      <c r="AB121" s="112" t="n">
        <f aca="false">(Yield_Originals!$J121*Yield_Originals!AB$1)/Yield_Originals!$K121</f>
        <v>0.0902881140168805</v>
      </c>
    </row>
    <row r="122" customFormat="false" ht="15" hidden="false" customHeight="false" outlineLevel="0" collapsed="false">
      <c r="A122" s="70" t="s">
        <v>798</v>
      </c>
      <c r="B122" s="68" t="n">
        <v>2</v>
      </c>
      <c r="C122" s="103" t="s">
        <v>726</v>
      </c>
      <c r="D122" s="103" t="s">
        <v>797</v>
      </c>
      <c r="E122" s="104" t="n">
        <v>10</v>
      </c>
      <c r="F122" s="106" t="n">
        <v>0.0470666077564446</v>
      </c>
      <c r="G122" s="106" t="n">
        <v>0.0470666077564446</v>
      </c>
      <c r="H122" s="106" t="n">
        <f aca="false">+(Yield_Originals!I122+Yield_Originals!G122)/2</f>
        <v>0.0499110033670852</v>
      </c>
      <c r="I122" s="106" t="n">
        <v>0.0527553989777259</v>
      </c>
      <c r="J122" s="106" t="n">
        <v>0.0501600633427114</v>
      </c>
      <c r="K122" s="107" t="n">
        <v>1</v>
      </c>
      <c r="L122" s="108" t="n">
        <f aca="false">(Yield_Originals!$G122*Yield_Originals!L$1)/Yield_Originals!$K122</f>
        <v>0.0564799293077335</v>
      </c>
      <c r="M122" s="108" t="n">
        <f aca="false">(Yield_Originals!$G122*Yield_Originals!M$1)/Yield_Originals!$K122</f>
        <v>0.0582449270986002</v>
      </c>
      <c r="N122" s="108" t="n">
        <f aca="false">(Yield_Originals!$G122*Yield_Originals!N$1)/Yield_Originals!$K122</f>
        <v>0.0600099248894669</v>
      </c>
      <c r="O122" s="108" t="n">
        <f aca="false">(Yield_Originals!$G122*Yield_Originals!O$1)/Yield_Originals!$K122</f>
        <v>0.0617749226803335</v>
      </c>
      <c r="P122" s="109" t="n">
        <f aca="false">(Yield_Originals!$H122*Yield_Originals!P$1)/Yield_Originals!$K122</f>
        <v>0.0673798545455651</v>
      </c>
      <c r="Q122" s="109" t="n">
        <f aca="false">(Yield_Originals!$H122*Yield_Originals!Q$1)/Yield_Originals!$K122</f>
        <v>0.0692515171718308</v>
      </c>
      <c r="R122" s="109" t="n">
        <f aca="false">(Yield_Originals!$H122*Yield_Originals!R$1)/Yield_Originals!$K122</f>
        <v>0.0711231797980965</v>
      </c>
      <c r="S122" s="109" t="n">
        <f aca="false">(Yield_Originals!$H122*Yield_Originals!S$1)/Yield_Originals!$K122</f>
        <v>0.0729948424243622</v>
      </c>
      <c r="T122" s="111" t="n">
        <f aca="false">(Yield_Originals!$I122*Yield_Originals!T$1)/Yield_Originals!$K122</f>
        <v>0.0791330984665889</v>
      </c>
      <c r="U122" s="111" t="n">
        <f aca="false">(Yield_Originals!$I122*Yield_Originals!U$1)/Yield_Originals!$K122</f>
        <v>0.0811114259282536</v>
      </c>
      <c r="V122" s="111" t="n">
        <f aca="false">(Yield_Originals!$I122*Yield_Originals!V$1)/Yield_Originals!$K122</f>
        <v>0.0830897533899183</v>
      </c>
      <c r="W122" s="111" t="n">
        <f aca="false">(Yield_Originals!$I122*Yield_Originals!W$1)/Yield_Originals!$K122</f>
        <v>0.085068080851583</v>
      </c>
      <c r="X122" s="112" t="n">
        <f aca="false">(Yield_Originals!$J122*Yield_Originals!X$1)/Yield_Originals!$K122</f>
        <v>0.0827641045154738</v>
      </c>
      <c r="Y122" s="112" t="n">
        <f aca="false">(Yield_Originals!$J122*Yield_Originals!Y$1)/Yield_Originals!$K122</f>
        <v>0.0846451068908255</v>
      </c>
      <c r="Z122" s="112" t="n">
        <f aca="false">(Yield_Originals!$J122*Yield_Originals!Z$1)/Yield_Originals!$K122</f>
        <v>0.0865261092661771</v>
      </c>
      <c r="AA122" s="112" t="n">
        <f aca="false">(Yield_Originals!$J122*Yield_Originals!AA$1)/Yield_Originals!$K122</f>
        <v>0.0884071116415288</v>
      </c>
      <c r="AB122" s="112" t="n">
        <f aca="false">(Yield_Originals!$J122*Yield_Originals!AB$1)/Yield_Originals!$K122</f>
        <v>0.0902881140168805</v>
      </c>
    </row>
    <row r="123" customFormat="false" ht="15" hidden="false" customHeight="false" outlineLevel="0" collapsed="false">
      <c r="A123" s="70" t="s">
        <v>798</v>
      </c>
      <c r="B123" s="68" t="n">
        <v>2</v>
      </c>
      <c r="C123" s="103" t="s">
        <v>726</v>
      </c>
      <c r="D123" s="103" t="s">
        <v>797</v>
      </c>
      <c r="E123" s="104" t="n">
        <v>11</v>
      </c>
      <c r="F123" s="106" t="n">
        <v>0.0470666077564446</v>
      </c>
      <c r="G123" s="106" t="n">
        <v>0.0470666077564446</v>
      </c>
      <c r="H123" s="106" t="n">
        <f aca="false">+(Yield_Originals!I123+Yield_Originals!G123)/2</f>
        <v>0.0499110033670852</v>
      </c>
      <c r="I123" s="106" t="n">
        <v>0.0527553989777259</v>
      </c>
      <c r="J123" s="106" t="n">
        <v>0.0501600633427114</v>
      </c>
      <c r="K123" s="107" t="n">
        <v>1</v>
      </c>
      <c r="L123" s="108" t="n">
        <f aca="false">(Yield_Originals!$G123*Yield_Originals!L$1)/Yield_Originals!$K123</f>
        <v>0.0564799293077335</v>
      </c>
      <c r="M123" s="108" t="n">
        <f aca="false">(Yield_Originals!$G123*Yield_Originals!M$1)/Yield_Originals!$K123</f>
        <v>0.0582449270986002</v>
      </c>
      <c r="N123" s="108" t="n">
        <f aca="false">(Yield_Originals!$G123*Yield_Originals!N$1)/Yield_Originals!$K123</f>
        <v>0.0600099248894669</v>
      </c>
      <c r="O123" s="108" t="n">
        <f aca="false">(Yield_Originals!$G123*Yield_Originals!O$1)/Yield_Originals!$K123</f>
        <v>0.0617749226803335</v>
      </c>
      <c r="P123" s="109" t="n">
        <f aca="false">(Yield_Originals!$H123*Yield_Originals!P$1)/Yield_Originals!$K123</f>
        <v>0.0673798545455651</v>
      </c>
      <c r="Q123" s="109" t="n">
        <f aca="false">(Yield_Originals!$H123*Yield_Originals!Q$1)/Yield_Originals!$K123</f>
        <v>0.0692515171718308</v>
      </c>
      <c r="R123" s="109" t="n">
        <f aca="false">(Yield_Originals!$H123*Yield_Originals!R$1)/Yield_Originals!$K123</f>
        <v>0.0711231797980965</v>
      </c>
      <c r="S123" s="109" t="n">
        <f aca="false">(Yield_Originals!$H123*Yield_Originals!S$1)/Yield_Originals!$K123</f>
        <v>0.0729948424243622</v>
      </c>
      <c r="T123" s="111" t="n">
        <f aca="false">(Yield_Originals!$I123*Yield_Originals!T$1)/Yield_Originals!$K123</f>
        <v>0.0791330984665889</v>
      </c>
      <c r="U123" s="111" t="n">
        <f aca="false">(Yield_Originals!$I123*Yield_Originals!U$1)/Yield_Originals!$K123</f>
        <v>0.0811114259282536</v>
      </c>
      <c r="V123" s="111" t="n">
        <f aca="false">(Yield_Originals!$I123*Yield_Originals!V$1)/Yield_Originals!$K123</f>
        <v>0.0830897533899183</v>
      </c>
      <c r="W123" s="111" t="n">
        <f aca="false">(Yield_Originals!$I123*Yield_Originals!W$1)/Yield_Originals!$K123</f>
        <v>0.085068080851583</v>
      </c>
      <c r="X123" s="112" t="n">
        <f aca="false">(Yield_Originals!$J123*Yield_Originals!X$1)/Yield_Originals!$K123</f>
        <v>0.0827641045154738</v>
      </c>
      <c r="Y123" s="112" t="n">
        <f aca="false">(Yield_Originals!$J123*Yield_Originals!Y$1)/Yield_Originals!$K123</f>
        <v>0.0846451068908255</v>
      </c>
      <c r="Z123" s="112" t="n">
        <f aca="false">(Yield_Originals!$J123*Yield_Originals!Z$1)/Yield_Originals!$K123</f>
        <v>0.0865261092661771</v>
      </c>
      <c r="AA123" s="112" t="n">
        <f aca="false">(Yield_Originals!$J123*Yield_Originals!AA$1)/Yield_Originals!$K123</f>
        <v>0.0884071116415288</v>
      </c>
      <c r="AB123" s="112" t="n">
        <f aca="false">(Yield_Originals!$J123*Yield_Originals!AB$1)/Yield_Originals!$K123</f>
        <v>0.0902881140168805</v>
      </c>
    </row>
    <row r="124" customFormat="false" ht="15" hidden="false" customHeight="false" outlineLevel="0" collapsed="false">
      <c r="A124" s="70" t="s">
        <v>798</v>
      </c>
      <c r="B124" s="68" t="n">
        <v>2</v>
      </c>
      <c r="C124" s="103" t="s">
        <v>726</v>
      </c>
      <c r="D124" s="103" t="s">
        <v>797</v>
      </c>
      <c r="E124" s="104" t="n">
        <v>12</v>
      </c>
      <c r="F124" s="106" t="n">
        <v>0.0470666077564446</v>
      </c>
      <c r="G124" s="106" t="n">
        <v>0.0470666077564446</v>
      </c>
      <c r="H124" s="106" t="n">
        <f aca="false">+(Yield_Originals!I124+Yield_Originals!G124)/2</f>
        <v>0.0499110033670852</v>
      </c>
      <c r="I124" s="106" t="n">
        <v>0.0527553989777259</v>
      </c>
      <c r="J124" s="106" t="n">
        <v>0.0501600633427114</v>
      </c>
      <c r="K124" s="107" t="n">
        <v>1</v>
      </c>
      <c r="L124" s="108" t="n">
        <f aca="false">(Yield_Originals!$G124*Yield_Originals!L$1)/Yield_Originals!$K124</f>
        <v>0.0564799293077335</v>
      </c>
      <c r="M124" s="108" t="n">
        <f aca="false">(Yield_Originals!$G124*Yield_Originals!M$1)/Yield_Originals!$K124</f>
        <v>0.0582449270986002</v>
      </c>
      <c r="N124" s="108" t="n">
        <f aca="false">(Yield_Originals!$G124*Yield_Originals!N$1)/Yield_Originals!$K124</f>
        <v>0.0600099248894669</v>
      </c>
      <c r="O124" s="108" t="n">
        <f aca="false">(Yield_Originals!$G124*Yield_Originals!O$1)/Yield_Originals!$K124</f>
        <v>0.0617749226803335</v>
      </c>
      <c r="P124" s="109" t="n">
        <f aca="false">(Yield_Originals!$H124*Yield_Originals!P$1)/Yield_Originals!$K124</f>
        <v>0.0673798545455651</v>
      </c>
      <c r="Q124" s="109" t="n">
        <f aca="false">(Yield_Originals!$H124*Yield_Originals!Q$1)/Yield_Originals!$K124</f>
        <v>0.0692515171718308</v>
      </c>
      <c r="R124" s="109" t="n">
        <f aca="false">(Yield_Originals!$H124*Yield_Originals!R$1)/Yield_Originals!$K124</f>
        <v>0.0711231797980965</v>
      </c>
      <c r="S124" s="109" t="n">
        <f aca="false">(Yield_Originals!$H124*Yield_Originals!S$1)/Yield_Originals!$K124</f>
        <v>0.0729948424243622</v>
      </c>
      <c r="T124" s="111" t="n">
        <f aca="false">(Yield_Originals!$I124*Yield_Originals!T$1)/Yield_Originals!$K124</f>
        <v>0.0791330984665889</v>
      </c>
      <c r="U124" s="111" t="n">
        <f aca="false">(Yield_Originals!$I124*Yield_Originals!U$1)/Yield_Originals!$K124</f>
        <v>0.0811114259282536</v>
      </c>
      <c r="V124" s="111" t="n">
        <f aca="false">(Yield_Originals!$I124*Yield_Originals!V$1)/Yield_Originals!$K124</f>
        <v>0.0830897533899183</v>
      </c>
      <c r="W124" s="111" t="n">
        <f aca="false">(Yield_Originals!$I124*Yield_Originals!W$1)/Yield_Originals!$K124</f>
        <v>0.085068080851583</v>
      </c>
      <c r="X124" s="112" t="n">
        <f aca="false">(Yield_Originals!$J124*Yield_Originals!X$1)/Yield_Originals!$K124</f>
        <v>0.0827641045154738</v>
      </c>
      <c r="Y124" s="112" t="n">
        <f aca="false">(Yield_Originals!$J124*Yield_Originals!Y$1)/Yield_Originals!$K124</f>
        <v>0.0846451068908255</v>
      </c>
      <c r="Z124" s="112" t="n">
        <f aca="false">(Yield_Originals!$J124*Yield_Originals!Z$1)/Yield_Originals!$K124</f>
        <v>0.0865261092661771</v>
      </c>
      <c r="AA124" s="112" t="n">
        <f aca="false">(Yield_Originals!$J124*Yield_Originals!AA$1)/Yield_Originals!$K124</f>
        <v>0.0884071116415288</v>
      </c>
      <c r="AB124" s="112" t="n">
        <f aca="false">(Yield_Originals!$J124*Yield_Originals!AB$1)/Yield_Originals!$K124</f>
        <v>0.0902881140168805</v>
      </c>
    </row>
    <row r="125" customFormat="false" ht="15" hidden="false" customHeight="false" outlineLevel="0" collapsed="false">
      <c r="A125" s="70" t="s">
        <v>798</v>
      </c>
      <c r="B125" s="68" t="n">
        <v>2</v>
      </c>
      <c r="C125" s="103" t="s">
        <v>726</v>
      </c>
      <c r="D125" s="103" t="s">
        <v>797</v>
      </c>
      <c r="E125" s="104" t="n">
        <v>13</v>
      </c>
      <c r="F125" s="106" t="n">
        <v>0.0470666077564446</v>
      </c>
      <c r="G125" s="106" t="n">
        <v>0.0470666077564446</v>
      </c>
      <c r="H125" s="106" t="n">
        <f aca="false">+(Yield_Originals!I125+Yield_Originals!G125)/2</f>
        <v>0.0499110033670852</v>
      </c>
      <c r="I125" s="106" t="n">
        <v>0.0527553989777259</v>
      </c>
      <c r="J125" s="106" t="n">
        <v>0.0501600633427114</v>
      </c>
      <c r="K125" s="107" t="n">
        <v>1</v>
      </c>
      <c r="L125" s="108" t="n">
        <f aca="false">(Yield_Originals!$G125*Yield_Originals!L$1)/Yield_Originals!$K125</f>
        <v>0.0564799293077335</v>
      </c>
      <c r="M125" s="108" t="n">
        <f aca="false">(Yield_Originals!$G125*Yield_Originals!M$1)/Yield_Originals!$K125</f>
        <v>0.0582449270986002</v>
      </c>
      <c r="N125" s="108" t="n">
        <f aca="false">(Yield_Originals!$G125*Yield_Originals!N$1)/Yield_Originals!$K125</f>
        <v>0.0600099248894669</v>
      </c>
      <c r="O125" s="108" t="n">
        <f aca="false">(Yield_Originals!$G125*Yield_Originals!O$1)/Yield_Originals!$K125</f>
        <v>0.0617749226803335</v>
      </c>
      <c r="P125" s="109" t="n">
        <f aca="false">(Yield_Originals!$H125*Yield_Originals!P$1)/Yield_Originals!$K125</f>
        <v>0.0673798545455651</v>
      </c>
      <c r="Q125" s="109" t="n">
        <f aca="false">(Yield_Originals!$H125*Yield_Originals!Q$1)/Yield_Originals!$K125</f>
        <v>0.0692515171718308</v>
      </c>
      <c r="R125" s="109" t="n">
        <f aca="false">(Yield_Originals!$H125*Yield_Originals!R$1)/Yield_Originals!$K125</f>
        <v>0.0711231797980965</v>
      </c>
      <c r="S125" s="109" t="n">
        <f aca="false">(Yield_Originals!$H125*Yield_Originals!S$1)/Yield_Originals!$K125</f>
        <v>0.0729948424243622</v>
      </c>
      <c r="T125" s="111" t="n">
        <f aca="false">(Yield_Originals!$I125*Yield_Originals!T$1)/Yield_Originals!$K125</f>
        <v>0.0791330984665889</v>
      </c>
      <c r="U125" s="111" t="n">
        <f aca="false">(Yield_Originals!$I125*Yield_Originals!U$1)/Yield_Originals!$K125</f>
        <v>0.0811114259282536</v>
      </c>
      <c r="V125" s="111" t="n">
        <f aca="false">(Yield_Originals!$I125*Yield_Originals!V$1)/Yield_Originals!$K125</f>
        <v>0.0830897533899183</v>
      </c>
      <c r="W125" s="111" t="n">
        <f aca="false">(Yield_Originals!$I125*Yield_Originals!W$1)/Yield_Originals!$K125</f>
        <v>0.085068080851583</v>
      </c>
      <c r="X125" s="112" t="n">
        <f aca="false">(Yield_Originals!$J125*Yield_Originals!X$1)/Yield_Originals!$K125</f>
        <v>0.0827641045154738</v>
      </c>
      <c r="Y125" s="112" t="n">
        <f aca="false">(Yield_Originals!$J125*Yield_Originals!Y$1)/Yield_Originals!$K125</f>
        <v>0.0846451068908255</v>
      </c>
      <c r="Z125" s="112" t="n">
        <f aca="false">(Yield_Originals!$J125*Yield_Originals!Z$1)/Yield_Originals!$K125</f>
        <v>0.0865261092661771</v>
      </c>
      <c r="AA125" s="112" t="n">
        <f aca="false">(Yield_Originals!$J125*Yield_Originals!AA$1)/Yield_Originals!$K125</f>
        <v>0.0884071116415288</v>
      </c>
      <c r="AB125" s="112" t="n">
        <f aca="false">(Yield_Originals!$J125*Yield_Originals!AB$1)/Yield_Originals!$K125</f>
        <v>0.0902881140168805</v>
      </c>
    </row>
    <row r="126" customFormat="false" ht="15" hidden="false" customHeight="false" outlineLevel="0" collapsed="false">
      <c r="A126" s="70" t="s">
        <v>798</v>
      </c>
      <c r="B126" s="68" t="n">
        <v>2</v>
      </c>
      <c r="C126" s="103" t="s">
        <v>726</v>
      </c>
      <c r="D126" s="103" t="s">
        <v>797</v>
      </c>
      <c r="E126" s="104" t="n">
        <v>14</v>
      </c>
      <c r="F126" s="106" t="n">
        <v>0.0470666077564446</v>
      </c>
      <c r="G126" s="106" t="n">
        <v>0.0470666077564446</v>
      </c>
      <c r="H126" s="106" t="n">
        <f aca="false">+(Yield_Originals!I126+Yield_Originals!G126)/2</f>
        <v>0.0499110033670852</v>
      </c>
      <c r="I126" s="106" t="n">
        <v>0.0527553989777259</v>
      </c>
      <c r="J126" s="106" t="n">
        <v>0.0501600633427114</v>
      </c>
      <c r="K126" s="107" t="n">
        <v>1</v>
      </c>
      <c r="L126" s="108" t="n">
        <f aca="false">(Yield_Originals!$G126*Yield_Originals!L$1)/Yield_Originals!$K126</f>
        <v>0.0564799293077335</v>
      </c>
      <c r="M126" s="108" t="n">
        <f aca="false">(Yield_Originals!$G126*Yield_Originals!M$1)/Yield_Originals!$K126</f>
        <v>0.0582449270986002</v>
      </c>
      <c r="N126" s="108" t="n">
        <f aca="false">(Yield_Originals!$G126*Yield_Originals!N$1)/Yield_Originals!$K126</f>
        <v>0.0600099248894669</v>
      </c>
      <c r="O126" s="108" t="n">
        <f aca="false">(Yield_Originals!$G126*Yield_Originals!O$1)/Yield_Originals!$K126</f>
        <v>0.0617749226803335</v>
      </c>
      <c r="P126" s="109" t="n">
        <f aca="false">(Yield_Originals!$H126*Yield_Originals!P$1)/Yield_Originals!$K126</f>
        <v>0.0673798545455651</v>
      </c>
      <c r="Q126" s="109" t="n">
        <f aca="false">(Yield_Originals!$H126*Yield_Originals!Q$1)/Yield_Originals!$K126</f>
        <v>0.0692515171718308</v>
      </c>
      <c r="R126" s="109" t="n">
        <f aca="false">(Yield_Originals!$H126*Yield_Originals!R$1)/Yield_Originals!$K126</f>
        <v>0.0711231797980965</v>
      </c>
      <c r="S126" s="109" t="n">
        <f aca="false">(Yield_Originals!$H126*Yield_Originals!S$1)/Yield_Originals!$K126</f>
        <v>0.0729948424243622</v>
      </c>
      <c r="T126" s="111" t="n">
        <f aca="false">(Yield_Originals!$I126*Yield_Originals!T$1)/Yield_Originals!$K126</f>
        <v>0.0791330984665889</v>
      </c>
      <c r="U126" s="111" t="n">
        <f aca="false">(Yield_Originals!$I126*Yield_Originals!U$1)/Yield_Originals!$K126</f>
        <v>0.0811114259282536</v>
      </c>
      <c r="V126" s="111" t="n">
        <f aca="false">(Yield_Originals!$I126*Yield_Originals!V$1)/Yield_Originals!$K126</f>
        <v>0.0830897533899183</v>
      </c>
      <c r="W126" s="111" t="n">
        <f aca="false">(Yield_Originals!$I126*Yield_Originals!W$1)/Yield_Originals!$K126</f>
        <v>0.085068080851583</v>
      </c>
      <c r="X126" s="112" t="n">
        <f aca="false">(Yield_Originals!$J126*Yield_Originals!X$1)/Yield_Originals!$K126</f>
        <v>0.0827641045154738</v>
      </c>
      <c r="Y126" s="112" t="n">
        <f aca="false">(Yield_Originals!$J126*Yield_Originals!Y$1)/Yield_Originals!$K126</f>
        <v>0.0846451068908255</v>
      </c>
      <c r="Z126" s="112" t="n">
        <f aca="false">(Yield_Originals!$J126*Yield_Originals!Z$1)/Yield_Originals!$K126</f>
        <v>0.0865261092661771</v>
      </c>
      <c r="AA126" s="112" t="n">
        <f aca="false">(Yield_Originals!$J126*Yield_Originals!AA$1)/Yield_Originals!$K126</f>
        <v>0.0884071116415288</v>
      </c>
      <c r="AB126" s="112" t="n">
        <f aca="false">(Yield_Originals!$J126*Yield_Originals!AB$1)/Yield_Originals!$K126</f>
        <v>0.0902881140168805</v>
      </c>
    </row>
    <row r="127" customFormat="false" ht="15" hidden="false" customHeight="false" outlineLevel="0" collapsed="false">
      <c r="A127" s="70" t="s">
        <v>798</v>
      </c>
      <c r="B127" s="68" t="n">
        <v>2</v>
      </c>
      <c r="C127" s="103" t="s">
        <v>726</v>
      </c>
      <c r="D127" s="103" t="s">
        <v>797</v>
      </c>
      <c r="E127" s="104" t="n">
        <v>15</v>
      </c>
      <c r="F127" s="106" t="n">
        <v>0.0470666077564446</v>
      </c>
      <c r="G127" s="106" t="n">
        <v>0.0470666077564446</v>
      </c>
      <c r="H127" s="106" t="n">
        <f aca="false">+(Yield_Originals!I127+Yield_Originals!G127)/2</f>
        <v>0.0499110033670852</v>
      </c>
      <c r="I127" s="106" t="n">
        <v>0.0527553989777259</v>
      </c>
      <c r="J127" s="106" t="n">
        <v>0.0501600633427114</v>
      </c>
      <c r="K127" s="107" t="n">
        <v>1</v>
      </c>
      <c r="L127" s="108" t="n">
        <f aca="false">(Yield_Originals!$G127*Yield_Originals!L$1)/Yield_Originals!$K127</f>
        <v>0.0564799293077335</v>
      </c>
      <c r="M127" s="108" t="n">
        <f aca="false">(Yield_Originals!$G127*Yield_Originals!M$1)/Yield_Originals!$K127</f>
        <v>0.0582449270986002</v>
      </c>
      <c r="N127" s="108" t="n">
        <f aca="false">(Yield_Originals!$G127*Yield_Originals!N$1)/Yield_Originals!$K127</f>
        <v>0.0600099248894669</v>
      </c>
      <c r="O127" s="108" t="n">
        <f aca="false">(Yield_Originals!$G127*Yield_Originals!O$1)/Yield_Originals!$K127</f>
        <v>0.0617749226803335</v>
      </c>
      <c r="P127" s="109" t="n">
        <f aca="false">(Yield_Originals!$H127*Yield_Originals!P$1)/Yield_Originals!$K127</f>
        <v>0.0673798545455651</v>
      </c>
      <c r="Q127" s="109" t="n">
        <f aca="false">(Yield_Originals!$H127*Yield_Originals!Q$1)/Yield_Originals!$K127</f>
        <v>0.0692515171718308</v>
      </c>
      <c r="R127" s="109" t="n">
        <f aca="false">(Yield_Originals!$H127*Yield_Originals!R$1)/Yield_Originals!$K127</f>
        <v>0.0711231797980965</v>
      </c>
      <c r="S127" s="109" t="n">
        <f aca="false">(Yield_Originals!$H127*Yield_Originals!S$1)/Yield_Originals!$K127</f>
        <v>0.0729948424243622</v>
      </c>
      <c r="T127" s="111" t="n">
        <f aca="false">(Yield_Originals!$I127*Yield_Originals!T$1)/Yield_Originals!$K127</f>
        <v>0.0791330984665889</v>
      </c>
      <c r="U127" s="111" t="n">
        <f aca="false">(Yield_Originals!$I127*Yield_Originals!U$1)/Yield_Originals!$K127</f>
        <v>0.0811114259282536</v>
      </c>
      <c r="V127" s="111" t="n">
        <f aca="false">(Yield_Originals!$I127*Yield_Originals!V$1)/Yield_Originals!$K127</f>
        <v>0.0830897533899183</v>
      </c>
      <c r="W127" s="111" t="n">
        <f aca="false">(Yield_Originals!$I127*Yield_Originals!W$1)/Yield_Originals!$K127</f>
        <v>0.085068080851583</v>
      </c>
      <c r="X127" s="112" t="n">
        <f aca="false">(Yield_Originals!$J127*Yield_Originals!X$1)/Yield_Originals!$K127</f>
        <v>0.0827641045154738</v>
      </c>
      <c r="Y127" s="112" t="n">
        <f aca="false">(Yield_Originals!$J127*Yield_Originals!Y$1)/Yield_Originals!$K127</f>
        <v>0.0846451068908255</v>
      </c>
      <c r="Z127" s="112" t="n">
        <f aca="false">(Yield_Originals!$J127*Yield_Originals!Z$1)/Yield_Originals!$K127</f>
        <v>0.0865261092661771</v>
      </c>
      <c r="AA127" s="112" t="n">
        <f aca="false">(Yield_Originals!$J127*Yield_Originals!AA$1)/Yield_Originals!$K127</f>
        <v>0.0884071116415288</v>
      </c>
      <c r="AB127" s="112" t="n">
        <f aca="false">(Yield_Originals!$J127*Yield_Originals!AB$1)/Yield_Originals!$K127</f>
        <v>0.0902881140168805</v>
      </c>
    </row>
    <row r="128" customFormat="false" ht="15" hidden="false" customHeight="false" outlineLevel="0" collapsed="false">
      <c r="A128" s="70" t="s">
        <v>798</v>
      </c>
      <c r="B128" s="68" t="n">
        <v>2</v>
      </c>
      <c r="C128" s="103" t="s">
        <v>729</v>
      </c>
      <c r="D128" s="103" t="s">
        <v>809</v>
      </c>
      <c r="E128" s="104" t="n">
        <v>9</v>
      </c>
      <c r="F128" s="106" t="n">
        <v>0.0470666077564446</v>
      </c>
      <c r="G128" s="106" t="n">
        <v>0.0470666077564446</v>
      </c>
      <c r="H128" s="106" t="n">
        <f aca="false">+(Yield_Originals!I128+Yield_Originals!G128)/2</f>
        <v>0.0499110033670852</v>
      </c>
      <c r="I128" s="106" t="n">
        <v>0.0527553989777259</v>
      </c>
      <c r="J128" s="106" t="n">
        <v>0.0501600633427114</v>
      </c>
      <c r="K128" s="107" t="n">
        <v>1</v>
      </c>
      <c r="L128" s="108" t="n">
        <f aca="false">(Yield_Originals!$G128*Yield_Originals!L$1)/Yield_Originals!$K128</f>
        <v>0.0564799293077335</v>
      </c>
      <c r="M128" s="108" t="n">
        <f aca="false">(Yield_Originals!$G128*Yield_Originals!M$1)/Yield_Originals!$K128</f>
        <v>0.0582449270986002</v>
      </c>
      <c r="N128" s="108" t="n">
        <f aca="false">(Yield_Originals!$G128*Yield_Originals!N$1)/Yield_Originals!$K128</f>
        <v>0.0600099248894669</v>
      </c>
      <c r="O128" s="108" t="n">
        <f aca="false">(Yield_Originals!$G128*Yield_Originals!O$1)/Yield_Originals!$K128</f>
        <v>0.0617749226803335</v>
      </c>
      <c r="P128" s="109" t="n">
        <f aca="false">(Yield_Originals!$H128*Yield_Originals!P$1)/Yield_Originals!$K128</f>
        <v>0.0673798545455651</v>
      </c>
      <c r="Q128" s="109" t="n">
        <f aca="false">(Yield_Originals!$H128*Yield_Originals!Q$1)/Yield_Originals!$K128</f>
        <v>0.0692515171718308</v>
      </c>
      <c r="R128" s="109" t="n">
        <f aca="false">(Yield_Originals!$H128*Yield_Originals!R$1)/Yield_Originals!$K128</f>
        <v>0.0711231797980965</v>
      </c>
      <c r="S128" s="109" t="n">
        <f aca="false">(Yield_Originals!$H128*Yield_Originals!S$1)/Yield_Originals!$K128</f>
        <v>0.0729948424243622</v>
      </c>
      <c r="T128" s="111" t="n">
        <f aca="false">(Yield_Originals!$I128*Yield_Originals!T$1)/Yield_Originals!$K128</f>
        <v>0.0791330984665889</v>
      </c>
      <c r="U128" s="111" t="n">
        <f aca="false">(Yield_Originals!$I128*Yield_Originals!U$1)/Yield_Originals!$K128</f>
        <v>0.0811114259282536</v>
      </c>
      <c r="V128" s="111" t="n">
        <f aca="false">(Yield_Originals!$I128*Yield_Originals!V$1)/Yield_Originals!$K128</f>
        <v>0.0830897533899183</v>
      </c>
      <c r="W128" s="111" t="n">
        <f aca="false">(Yield_Originals!$I128*Yield_Originals!W$1)/Yield_Originals!$K128</f>
        <v>0.085068080851583</v>
      </c>
      <c r="X128" s="112" t="n">
        <f aca="false">(Yield_Originals!$J128*Yield_Originals!X$1)/Yield_Originals!$K128</f>
        <v>0.0827641045154738</v>
      </c>
      <c r="Y128" s="112" t="n">
        <f aca="false">(Yield_Originals!$J128*Yield_Originals!Y$1)/Yield_Originals!$K128</f>
        <v>0.0846451068908255</v>
      </c>
      <c r="Z128" s="112" t="n">
        <f aca="false">(Yield_Originals!$J128*Yield_Originals!Z$1)/Yield_Originals!$K128</f>
        <v>0.0865261092661771</v>
      </c>
      <c r="AA128" s="112" t="n">
        <f aca="false">(Yield_Originals!$J128*Yield_Originals!AA$1)/Yield_Originals!$K128</f>
        <v>0.0884071116415288</v>
      </c>
      <c r="AB128" s="112" t="n">
        <f aca="false">(Yield_Originals!$J128*Yield_Originals!AB$1)/Yield_Originals!$K128</f>
        <v>0.0902881140168805</v>
      </c>
    </row>
    <row r="129" customFormat="false" ht="15" hidden="false" customHeight="false" outlineLevel="0" collapsed="false">
      <c r="A129" s="70" t="s">
        <v>798</v>
      </c>
      <c r="B129" s="68" t="n">
        <v>2</v>
      </c>
      <c r="C129" s="103" t="s">
        <v>729</v>
      </c>
      <c r="D129" s="103" t="s">
        <v>809</v>
      </c>
      <c r="E129" s="104" t="n">
        <v>10</v>
      </c>
      <c r="F129" s="106" t="n">
        <v>0.0470666077564446</v>
      </c>
      <c r="G129" s="106" t="n">
        <v>0.0470666077564446</v>
      </c>
      <c r="H129" s="106" t="n">
        <f aca="false">+(Yield_Originals!I129+Yield_Originals!G129)/2</f>
        <v>0.0499110033670852</v>
      </c>
      <c r="I129" s="106" t="n">
        <v>0.0527553989777259</v>
      </c>
      <c r="J129" s="106" t="n">
        <v>0.0501600633427114</v>
      </c>
      <c r="K129" s="107" t="n">
        <v>1</v>
      </c>
      <c r="L129" s="108" t="n">
        <f aca="false">(Yield_Originals!$G129*Yield_Originals!L$1)/Yield_Originals!$K129</f>
        <v>0.0564799293077335</v>
      </c>
      <c r="M129" s="108" t="n">
        <f aca="false">(Yield_Originals!$G129*Yield_Originals!M$1)/Yield_Originals!$K129</f>
        <v>0.0582449270986002</v>
      </c>
      <c r="N129" s="108" t="n">
        <f aca="false">(Yield_Originals!$G129*Yield_Originals!N$1)/Yield_Originals!$K129</f>
        <v>0.0600099248894669</v>
      </c>
      <c r="O129" s="108" t="n">
        <f aca="false">(Yield_Originals!$G129*Yield_Originals!O$1)/Yield_Originals!$K129</f>
        <v>0.0617749226803335</v>
      </c>
      <c r="P129" s="109" t="n">
        <f aca="false">(Yield_Originals!$H129*Yield_Originals!P$1)/Yield_Originals!$K129</f>
        <v>0.0673798545455651</v>
      </c>
      <c r="Q129" s="109" t="n">
        <f aca="false">(Yield_Originals!$H129*Yield_Originals!Q$1)/Yield_Originals!$K129</f>
        <v>0.0692515171718308</v>
      </c>
      <c r="R129" s="109" t="n">
        <f aca="false">(Yield_Originals!$H129*Yield_Originals!R$1)/Yield_Originals!$K129</f>
        <v>0.0711231797980965</v>
      </c>
      <c r="S129" s="109" t="n">
        <f aca="false">(Yield_Originals!$H129*Yield_Originals!S$1)/Yield_Originals!$K129</f>
        <v>0.0729948424243622</v>
      </c>
      <c r="T129" s="111" t="n">
        <f aca="false">(Yield_Originals!$I129*Yield_Originals!T$1)/Yield_Originals!$K129</f>
        <v>0.0791330984665889</v>
      </c>
      <c r="U129" s="111" t="n">
        <f aca="false">(Yield_Originals!$I129*Yield_Originals!U$1)/Yield_Originals!$K129</f>
        <v>0.0811114259282536</v>
      </c>
      <c r="V129" s="111" t="n">
        <f aca="false">(Yield_Originals!$I129*Yield_Originals!V$1)/Yield_Originals!$K129</f>
        <v>0.0830897533899183</v>
      </c>
      <c r="W129" s="111" t="n">
        <f aca="false">(Yield_Originals!$I129*Yield_Originals!W$1)/Yield_Originals!$K129</f>
        <v>0.085068080851583</v>
      </c>
      <c r="X129" s="112" t="n">
        <f aca="false">(Yield_Originals!$J129*Yield_Originals!X$1)/Yield_Originals!$K129</f>
        <v>0.0827641045154738</v>
      </c>
      <c r="Y129" s="112" t="n">
        <f aca="false">(Yield_Originals!$J129*Yield_Originals!Y$1)/Yield_Originals!$K129</f>
        <v>0.0846451068908255</v>
      </c>
      <c r="Z129" s="112" t="n">
        <f aca="false">(Yield_Originals!$J129*Yield_Originals!Z$1)/Yield_Originals!$K129</f>
        <v>0.0865261092661771</v>
      </c>
      <c r="AA129" s="112" t="n">
        <f aca="false">(Yield_Originals!$J129*Yield_Originals!AA$1)/Yield_Originals!$K129</f>
        <v>0.0884071116415288</v>
      </c>
      <c r="AB129" s="112" t="n">
        <f aca="false">(Yield_Originals!$J129*Yield_Originals!AB$1)/Yield_Originals!$K129</f>
        <v>0.0902881140168805</v>
      </c>
    </row>
    <row r="130" customFormat="false" ht="15" hidden="false" customHeight="false" outlineLevel="0" collapsed="false">
      <c r="A130" s="70" t="s">
        <v>798</v>
      </c>
      <c r="B130" s="68" t="n">
        <v>2</v>
      </c>
      <c r="C130" s="103" t="s">
        <v>729</v>
      </c>
      <c r="D130" s="103" t="s">
        <v>809</v>
      </c>
      <c r="E130" s="104" t="n">
        <v>11</v>
      </c>
      <c r="F130" s="106" t="n">
        <v>0.0470666077564446</v>
      </c>
      <c r="G130" s="106" t="n">
        <v>0.0470666077564446</v>
      </c>
      <c r="H130" s="106" t="n">
        <f aca="false">+(Yield_Originals!I130+Yield_Originals!G130)/2</f>
        <v>0.0499110033670852</v>
      </c>
      <c r="I130" s="106" t="n">
        <v>0.0527553989777259</v>
      </c>
      <c r="J130" s="106" t="n">
        <v>0.0501600633427114</v>
      </c>
      <c r="K130" s="107" t="n">
        <v>1</v>
      </c>
      <c r="L130" s="108" t="n">
        <f aca="false">(Yield_Originals!$G130*Yield_Originals!L$1)/Yield_Originals!$K130</f>
        <v>0.0564799293077335</v>
      </c>
      <c r="M130" s="108" t="n">
        <f aca="false">(Yield_Originals!$G130*Yield_Originals!M$1)/Yield_Originals!$K130</f>
        <v>0.0582449270986002</v>
      </c>
      <c r="N130" s="108" t="n">
        <f aca="false">(Yield_Originals!$G130*Yield_Originals!N$1)/Yield_Originals!$K130</f>
        <v>0.0600099248894669</v>
      </c>
      <c r="O130" s="108" t="n">
        <f aca="false">(Yield_Originals!$G130*Yield_Originals!O$1)/Yield_Originals!$K130</f>
        <v>0.0617749226803335</v>
      </c>
      <c r="P130" s="109" t="n">
        <f aca="false">(Yield_Originals!$H130*Yield_Originals!P$1)/Yield_Originals!$K130</f>
        <v>0.0673798545455651</v>
      </c>
      <c r="Q130" s="109" t="n">
        <f aca="false">(Yield_Originals!$H130*Yield_Originals!Q$1)/Yield_Originals!$K130</f>
        <v>0.0692515171718308</v>
      </c>
      <c r="R130" s="109" t="n">
        <f aca="false">(Yield_Originals!$H130*Yield_Originals!R$1)/Yield_Originals!$K130</f>
        <v>0.0711231797980965</v>
      </c>
      <c r="S130" s="109" t="n">
        <f aca="false">(Yield_Originals!$H130*Yield_Originals!S$1)/Yield_Originals!$K130</f>
        <v>0.0729948424243622</v>
      </c>
      <c r="T130" s="111" t="n">
        <f aca="false">(Yield_Originals!$I130*Yield_Originals!T$1)/Yield_Originals!$K130</f>
        <v>0.0791330984665889</v>
      </c>
      <c r="U130" s="111" t="n">
        <f aca="false">(Yield_Originals!$I130*Yield_Originals!U$1)/Yield_Originals!$K130</f>
        <v>0.0811114259282536</v>
      </c>
      <c r="V130" s="111" t="n">
        <f aca="false">(Yield_Originals!$I130*Yield_Originals!V$1)/Yield_Originals!$K130</f>
        <v>0.0830897533899183</v>
      </c>
      <c r="W130" s="111" t="n">
        <f aca="false">(Yield_Originals!$I130*Yield_Originals!W$1)/Yield_Originals!$K130</f>
        <v>0.085068080851583</v>
      </c>
      <c r="X130" s="112" t="n">
        <f aca="false">(Yield_Originals!$J130*Yield_Originals!X$1)/Yield_Originals!$K130</f>
        <v>0.0827641045154738</v>
      </c>
      <c r="Y130" s="112" t="n">
        <f aca="false">(Yield_Originals!$J130*Yield_Originals!Y$1)/Yield_Originals!$K130</f>
        <v>0.0846451068908255</v>
      </c>
      <c r="Z130" s="112" t="n">
        <f aca="false">(Yield_Originals!$J130*Yield_Originals!Z$1)/Yield_Originals!$K130</f>
        <v>0.0865261092661771</v>
      </c>
      <c r="AA130" s="112" t="n">
        <f aca="false">(Yield_Originals!$J130*Yield_Originals!AA$1)/Yield_Originals!$K130</f>
        <v>0.0884071116415288</v>
      </c>
      <c r="AB130" s="112" t="n">
        <f aca="false">(Yield_Originals!$J130*Yield_Originals!AB$1)/Yield_Originals!$K130</f>
        <v>0.0902881140168805</v>
      </c>
    </row>
    <row r="131" customFormat="false" ht="15" hidden="false" customHeight="false" outlineLevel="0" collapsed="false">
      <c r="A131" s="70" t="s">
        <v>798</v>
      </c>
      <c r="B131" s="68" t="n">
        <v>2</v>
      </c>
      <c r="C131" s="103" t="s">
        <v>729</v>
      </c>
      <c r="D131" s="103" t="s">
        <v>809</v>
      </c>
      <c r="E131" s="104" t="n">
        <v>12</v>
      </c>
      <c r="F131" s="106" t="n">
        <v>0.0470666077564446</v>
      </c>
      <c r="G131" s="106" t="n">
        <v>0.0470666077564446</v>
      </c>
      <c r="H131" s="106" t="n">
        <f aca="false">+(Yield_Originals!I131+Yield_Originals!G131)/2</f>
        <v>0.0499110033670852</v>
      </c>
      <c r="I131" s="106" t="n">
        <v>0.0527553989777259</v>
      </c>
      <c r="J131" s="106" t="n">
        <v>0.0501600633427114</v>
      </c>
      <c r="K131" s="107" t="n">
        <v>1</v>
      </c>
      <c r="L131" s="108" t="n">
        <f aca="false">(Yield_Originals!$G131*Yield_Originals!L$1)/Yield_Originals!$K131</f>
        <v>0.0564799293077335</v>
      </c>
      <c r="M131" s="108" t="n">
        <f aca="false">(Yield_Originals!$G131*Yield_Originals!M$1)/Yield_Originals!$K131</f>
        <v>0.0582449270986002</v>
      </c>
      <c r="N131" s="108" t="n">
        <f aca="false">(Yield_Originals!$G131*Yield_Originals!N$1)/Yield_Originals!$K131</f>
        <v>0.0600099248894669</v>
      </c>
      <c r="O131" s="108" t="n">
        <f aca="false">(Yield_Originals!$G131*Yield_Originals!O$1)/Yield_Originals!$K131</f>
        <v>0.0617749226803335</v>
      </c>
      <c r="P131" s="109" t="n">
        <f aca="false">(Yield_Originals!$H131*Yield_Originals!P$1)/Yield_Originals!$K131</f>
        <v>0.0673798545455651</v>
      </c>
      <c r="Q131" s="109" t="n">
        <f aca="false">(Yield_Originals!$H131*Yield_Originals!Q$1)/Yield_Originals!$K131</f>
        <v>0.0692515171718308</v>
      </c>
      <c r="R131" s="109" t="n">
        <f aca="false">(Yield_Originals!$H131*Yield_Originals!R$1)/Yield_Originals!$K131</f>
        <v>0.0711231797980965</v>
      </c>
      <c r="S131" s="109" t="n">
        <f aca="false">(Yield_Originals!$H131*Yield_Originals!S$1)/Yield_Originals!$K131</f>
        <v>0.0729948424243622</v>
      </c>
      <c r="T131" s="111" t="n">
        <f aca="false">(Yield_Originals!$I131*Yield_Originals!T$1)/Yield_Originals!$K131</f>
        <v>0.0791330984665889</v>
      </c>
      <c r="U131" s="111" t="n">
        <f aca="false">(Yield_Originals!$I131*Yield_Originals!U$1)/Yield_Originals!$K131</f>
        <v>0.0811114259282536</v>
      </c>
      <c r="V131" s="111" t="n">
        <f aca="false">(Yield_Originals!$I131*Yield_Originals!V$1)/Yield_Originals!$K131</f>
        <v>0.0830897533899183</v>
      </c>
      <c r="W131" s="111" t="n">
        <f aca="false">(Yield_Originals!$I131*Yield_Originals!W$1)/Yield_Originals!$K131</f>
        <v>0.085068080851583</v>
      </c>
      <c r="X131" s="112" t="n">
        <f aca="false">(Yield_Originals!$J131*Yield_Originals!X$1)/Yield_Originals!$K131</f>
        <v>0.0827641045154738</v>
      </c>
      <c r="Y131" s="112" t="n">
        <f aca="false">(Yield_Originals!$J131*Yield_Originals!Y$1)/Yield_Originals!$K131</f>
        <v>0.0846451068908255</v>
      </c>
      <c r="Z131" s="112" t="n">
        <f aca="false">(Yield_Originals!$J131*Yield_Originals!Z$1)/Yield_Originals!$K131</f>
        <v>0.0865261092661771</v>
      </c>
      <c r="AA131" s="112" t="n">
        <f aca="false">(Yield_Originals!$J131*Yield_Originals!AA$1)/Yield_Originals!$K131</f>
        <v>0.0884071116415288</v>
      </c>
      <c r="AB131" s="112" t="n">
        <f aca="false">(Yield_Originals!$J131*Yield_Originals!AB$1)/Yield_Originals!$K131</f>
        <v>0.0902881140168805</v>
      </c>
    </row>
    <row r="132" customFormat="false" ht="15" hidden="false" customHeight="false" outlineLevel="0" collapsed="false">
      <c r="A132" s="70" t="s">
        <v>798</v>
      </c>
      <c r="B132" s="68" t="n">
        <v>2</v>
      </c>
      <c r="C132" s="103" t="s">
        <v>729</v>
      </c>
      <c r="D132" s="103" t="s">
        <v>809</v>
      </c>
      <c r="E132" s="104" t="n">
        <v>13</v>
      </c>
      <c r="F132" s="106" t="n">
        <v>0.0470666077564446</v>
      </c>
      <c r="G132" s="106" t="n">
        <v>0.0470666077564446</v>
      </c>
      <c r="H132" s="106" t="n">
        <f aca="false">+(Yield_Originals!I132+Yield_Originals!G132)/2</f>
        <v>0.0499110033670852</v>
      </c>
      <c r="I132" s="106" t="n">
        <v>0.0527553989777259</v>
      </c>
      <c r="J132" s="106" t="n">
        <v>0.0501600633427114</v>
      </c>
      <c r="K132" s="107" t="n">
        <v>1</v>
      </c>
      <c r="L132" s="108" t="n">
        <f aca="false">(Yield_Originals!$G132*Yield_Originals!L$1)/Yield_Originals!$K132</f>
        <v>0.0564799293077335</v>
      </c>
      <c r="M132" s="108" t="n">
        <f aca="false">(Yield_Originals!$G132*Yield_Originals!M$1)/Yield_Originals!$K132</f>
        <v>0.0582449270986002</v>
      </c>
      <c r="N132" s="108" t="n">
        <f aca="false">(Yield_Originals!$G132*Yield_Originals!N$1)/Yield_Originals!$K132</f>
        <v>0.0600099248894669</v>
      </c>
      <c r="O132" s="108" t="n">
        <f aca="false">(Yield_Originals!$G132*Yield_Originals!O$1)/Yield_Originals!$K132</f>
        <v>0.0617749226803335</v>
      </c>
      <c r="P132" s="109" t="n">
        <f aca="false">(Yield_Originals!$H132*Yield_Originals!P$1)/Yield_Originals!$K132</f>
        <v>0.0673798545455651</v>
      </c>
      <c r="Q132" s="109" t="n">
        <f aca="false">(Yield_Originals!$H132*Yield_Originals!Q$1)/Yield_Originals!$K132</f>
        <v>0.0692515171718308</v>
      </c>
      <c r="R132" s="109" t="n">
        <f aca="false">(Yield_Originals!$H132*Yield_Originals!R$1)/Yield_Originals!$K132</f>
        <v>0.0711231797980965</v>
      </c>
      <c r="S132" s="109" t="n">
        <f aca="false">(Yield_Originals!$H132*Yield_Originals!S$1)/Yield_Originals!$K132</f>
        <v>0.0729948424243622</v>
      </c>
      <c r="T132" s="111" t="n">
        <f aca="false">(Yield_Originals!$I132*Yield_Originals!T$1)/Yield_Originals!$K132</f>
        <v>0.0791330984665889</v>
      </c>
      <c r="U132" s="111" t="n">
        <f aca="false">(Yield_Originals!$I132*Yield_Originals!U$1)/Yield_Originals!$K132</f>
        <v>0.0811114259282536</v>
      </c>
      <c r="V132" s="111" t="n">
        <f aca="false">(Yield_Originals!$I132*Yield_Originals!V$1)/Yield_Originals!$K132</f>
        <v>0.0830897533899183</v>
      </c>
      <c r="W132" s="111" t="n">
        <f aca="false">(Yield_Originals!$I132*Yield_Originals!W$1)/Yield_Originals!$K132</f>
        <v>0.085068080851583</v>
      </c>
      <c r="X132" s="112" t="n">
        <f aca="false">(Yield_Originals!$J132*Yield_Originals!X$1)/Yield_Originals!$K132</f>
        <v>0.0827641045154738</v>
      </c>
      <c r="Y132" s="112" t="n">
        <f aca="false">(Yield_Originals!$J132*Yield_Originals!Y$1)/Yield_Originals!$K132</f>
        <v>0.0846451068908255</v>
      </c>
      <c r="Z132" s="112" t="n">
        <f aca="false">(Yield_Originals!$J132*Yield_Originals!Z$1)/Yield_Originals!$K132</f>
        <v>0.0865261092661771</v>
      </c>
      <c r="AA132" s="112" t="n">
        <f aca="false">(Yield_Originals!$J132*Yield_Originals!AA$1)/Yield_Originals!$K132</f>
        <v>0.0884071116415288</v>
      </c>
      <c r="AB132" s="112" t="n">
        <f aca="false">(Yield_Originals!$J132*Yield_Originals!AB$1)/Yield_Originals!$K132</f>
        <v>0.0902881140168805</v>
      </c>
    </row>
    <row r="133" customFormat="false" ht="15" hidden="false" customHeight="false" outlineLevel="0" collapsed="false">
      <c r="A133" s="70" t="s">
        <v>798</v>
      </c>
      <c r="B133" s="68" t="n">
        <v>2</v>
      </c>
      <c r="C133" s="103" t="s">
        <v>729</v>
      </c>
      <c r="D133" s="103" t="s">
        <v>809</v>
      </c>
      <c r="E133" s="104" t="n">
        <v>14</v>
      </c>
      <c r="F133" s="106" t="n">
        <v>0.0470666077564446</v>
      </c>
      <c r="G133" s="106" t="n">
        <v>0.0470666077564446</v>
      </c>
      <c r="H133" s="106" t="n">
        <f aca="false">+(Yield_Originals!I133+Yield_Originals!G133)/2</f>
        <v>0.0499110033670852</v>
      </c>
      <c r="I133" s="106" t="n">
        <v>0.0527553989777259</v>
      </c>
      <c r="J133" s="106" t="n">
        <v>0.0501600633427114</v>
      </c>
      <c r="K133" s="107" t="n">
        <v>1</v>
      </c>
      <c r="L133" s="108" t="n">
        <f aca="false">(Yield_Originals!$G133*Yield_Originals!L$1)/Yield_Originals!$K133</f>
        <v>0.0564799293077335</v>
      </c>
      <c r="M133" s="108" t="n">
        <f aca="false">(Yield_Originals!$G133*Yield_Originals!M$1)/Yield_Originals!$K133</f>
        <v>0.0582449270986002</v>
      </c>
      <c r="N133" s="108" t="n">
        <f aca="false">(Yield_Originals!$G133*Yield_Originals!N$1)/Yield_Originals!$K133</f>
        <v>0.0600099248894669</v>
      </c>
      <c r="O133" s="108" t="n">
        <f aca="false">(Yield_Originals!$G133*Yield_Originals!O$1)/Yield_Originals!$K133</f>
        <v>0.0617749226803335</v>
      </c>
      <c r="P133" s="109" t="n">
        <f aca="false">(Yield_Originals!$H133*Yield_Originals!P$1)/Yield_Originals!$K133</f>
        <v>0.0673798545455651</v>
      </c>
      <c r="Q133" s="109" t="n">
        <f aca="false">(Yield_Originals!$H133*Yield_Originals!Q$1)/Yield_Originals!$K133</f>
        <v>0.0692515171718308</v>
      </c>
      <c r="R133" s="109" t="n">
        <f aca="false">(Yield_Originals!$H133*Yield_Originals!R$1)/Yield_Originals!$K133</f>
        <v>0.0711231797980965</v>
      </c>
      <c r="S133" s="109" t="n">
        <f aca="false">(Yield_Originals!$H133*Yield_Originals!S$1)/Yield_Originals!$K133</f>
        <v>0.0729948424243622</v>
      </c>
      <c r="T133" s="111" t="n">
        <f aca="false">(Yield_Originals!$I133*Yield_Originals!T$1)/Yield_Originals!$K133</f>
        <v>0.0791330984665889</v>
      </c>
      <c r="U133" s="111" t="n">
        <f aca="false">(Yield_Originals!$I133*Yield_Originals!U$1)/Yield_Originals!$K133</f>
        <v>0.0811114259282536</v>
      </c>
      <c r="V133" s="111" t="n">
        <f aca="false">(Yield_Originals!$I133*Yield_Originals!V$1)/Yield_Originals!$K133</f>
        <v>0.0830897533899183</v>
      </c>
      <c r="W133" s="111" t="n">
        <f aca="false">(Yield_Originals!$I133*Yield_Originals!W$1)/Yield_Originals!$K133</f>
        <v>0.085068080851583</v>
      </c>
      <c r="X133" s="112" t="n">
        <f aca="false">(Yield_Originals!$J133*Yield_Originals!X$1)/Yield_Originals!$K133</f>
        <v>0.0827641045154738</v>
      </c>
      <c r="Y133" s="112" t="n">
        <f aca="false">(Yield_Originals!$J133*Yield_Originals!Y$1)/Yield_Originals!$K133</f>
        <v>0.0846451068908255</v>
      </c>
      <c r="Z133" s="112" t="n">
        <f aca="false">(Yield_Originals!$J133*Yield_Originals!Z$1)/Yield_Originals!$K133</f>
        <v>0.0865261092661771</v>
      </c>
      <c r="AA133" s="112" t="n">
        <f aca="false">(Yield_Originals!$J133*Yield_Originals!AA$1)/Yield_Originals!$K133</f>
        <v>0.0884071116415288</v>
      </c>
      <c r="AB133" s="112" t="n">
        <f aca="false">(Yield_Originals!$J133*Yield_Originals!AB$1)/Yield_Originals!$K133</f>
        <v>0.0902881140168805</v>
      </c>
    </row>
    <row r="134" customFormat="false" ht="15" hidden="false" customHeight="false" outlineLevel="0" collapsed="false">
      <c r="A134" s="70" t="s">
        <v>798</v>
      </c>
      <c r="B134" s="68" t="n">
        <v>2</v>
      </c>
      <c r="C134" s="103" t="s">
        <v>729</v>
      </c>
      <c r="D134" s="103" t="s">
        <v>809</v>
      </c>
      <c r="E134" s="104" t="n">
        <v>15</v>
      </c>
      <c r="F134" s="106" t="n">
        <v>0.0470666077564446</v>
      </c>
      <c r="G134" s="106" t="n">
        <v>0.0470666077564446</v>
      </c>
      <c r="H134" s="106" t="n">
        <f aca="false">+(Yield_Originals!I134+Yield_Originals!G134)/2</f>
        <v>0.0499110033670852</v>
      </c>
      <c r="I134" s="106" t="n">
        <v>0.0527553989777259</v>
      </c>
      <c r="J134" s="106" t="n">
        <v>0.0501600633427114</v>
      </c>
      <c r="K134" s="107" t="n">
        <v>1</v>
      </c>
      <c r="L134" s="108" t="n">
        <f aca="false">(Yield_Originals!$G134*Yield_Originals!L$1)/Yield_Originals!$K134</f>
        <v>0.0564799293077335</v>
      </c>
      <c r="M134" s="108" t="n">
        <f aca="false">(Yield_Originals!$G134*Yield_Originals!M$1)/Yield_Originals!$K134</f>
        <v>0.0582449270986002</v>
      </c>
      <c r="N134" s="108" t="n">
        <f aca="false">(Yield_Originals!$G134*Yield_Originals!N$1)/Yield_Originals!$K134</f>
        <v>0.0600099248894669</v>
      </c>
      <c r="O134" s="108" t="n">
        <f aca="false">(Yield_Originals!$G134*Yield_Originals!O$1)/Yield_Originals!$K134</f>
        <v>0.0617749226803335</v>
      </c>
      <c r="P134" s="109" t="n">
        <f aca="false">(Yield_Originals!$H134*Yield_Originals!P$1)/Yield_Originals!$K134</f>
        <v>0.0673798545455651</v>
      </c>
      <c r="Q134" s="109" t="n">
        <f aca="false">(Yield_Originals!$H134*Yield_Originals!Q$1)/Yield_Originals!$K134</f>
        <v>0.0692515171718308</v>
      </c>
      <c r="R134" s="109" t="n">
        <f aca="false">(Yield_Originals!$H134*Yield_Originals!R$1)/Yield_Originals!$K134</f>
        <v>0.0711231797980965</v>
      </c>
      <c r="S134" s="109" t="n">
        <f aca="false">(Yield_Originals!$H134*Yield_Originals!S$1)/Yield_Originals!$K134</f>
        <v>0.0729948424243622</v>
      </c>
      <c r="T134" s="111" t="n">
        <f aca="false">(Yield_Originals!$I134*Yield_Originals!T$1)/Yield_Originals!$K134</f>
        <v>0.0791330984665889</v>
      </c>
      <c r="U134" s="111" t="n">
        <f aca="false">(Yield_Originals!$I134*Yield_Originals!U$1)/Yield_Originals!$K134</f>
        <v>0.0811114259282536</v>
      </c>
      <c r="V134" s="111" t="n">
        <f aca="false">(Yield_Originals!$I134*Yield_Originals!V$1)/Yield_Originals!$K134</f>
        <v>0.0830897533899183</v>
      </c>
      <c r="W134" s="111" t="n">
        <f aca="false">(Yield_Originals!$I134*Yield_Originals!W$1)/Yield_Originals!$K134</f>
        <v>0.085068080851583</v>
      </c>
      <c r="X134" s="112" t="n">
        <f aca="false">(Yield_Originals!$J134*Yield_Originals!X$1)/Yield_Originals!$K134</f>
        <v>0.0827641045154738</v>
      </c>
      <c r="Y134" s="112" t="n">
        <f aca="false">(Yield_Originals!$J134*Yield_Originals!Y$1)/Yield_Originals!$K134</f>
        <v>0.0846451068908255</v>
      </c>
      <c r="Z134" s="112" t="n">
        <f aca="false">(Yield_Originals!$J134*Yield_Originals!Z$1)/Yield_Originals!$K134</f>
        <v>0.0865261092661771</v>
      </c>
      <c r="AA134" s="112" t="n">
        <f aca="false">(Yield_Originals!$J134*Yield_Originals!AA$1)/Yield_Originals!$K134</f>
        <v>0.0884071116415288</v>
      </c>
      <c r="AB134" s="112" t="n">
        <f aca="false">(Yield_Originals!$J134*Yield_Originals!AB$1)/Yield_Originals!$K134</f>
        <v>0.0902881140168805</v>
      </c>
    </row>
    <row r="135" customFormat="false" ht="15" hidden="false" customHeight="false" outlineLevel="0" collapsed="false">
      <c r="A135" s="70" t="s">
        <v>798</v>
      </c>
      <c r="B135" s="68" t="n">
        <v>2</v>
      </c>
      <c r="C135" s="103" t="s">
        <v>732</v>
      </c>
      <c r="D135" s="103" t="s">
        <v>806</v>
      </c>
      <c r="E135" s="104" t="n">
        <v>9</v>
      </c>
      <c r="F135" s="106" t="n">
        <v>0.0470666077564446</v>
      </c>
      <c r="G135" s="106" t="n">
        <v>0.0470666077564446</v>
      </c>
      <c r="H135" s="106" t="n">
        <f aca="false">+(Yield_Originals!I135+Yield_Originals!G135)/2</f>
        <v>0.0499110033670852</v>
      </c>
      <c r="I135" s="106" t="n">
        <v>0.0527553989777259</v>
      </c>
      <c r="J135" s="106" t="n">
        <v>0.0501600633427114</v>
      </c>
      <c r="K135" s="107" t="n">
        <v>1</v>
      </c>
      <c r="L135" s="108" t="n">
        <f aca="false">(Yield_Originals!$G135*Yield_Originals!L$1)/Yield_Originals!$K135</f>
        <v>0.0564799293077335</v>
      </c>
      <c r="M135" s="108" t="n">
        <f aca="false">(Yield_Originals!$G135*Yield_Originals!M$1)/Yield_Originals!$K135</f>
        <v>0.0582449270986002</v>
      </c>
      <c r="N135" s="108" t="n">
        <f aca="false">(Yield_Originals!$G135*Yield_Originals!N$1)/Yield_Originals!$K135</f>
        <v>0.0600099248894669</v>
      </c>
      <c r="O135" s="108" t="n">
        <f aca="false">(Yield_Originals!$G135*Yield_Originals!O$1)/Yield_Originals!$K135</f>
        <v>0.0617749226803335</v>
      </c>
      <c r="P135" s="109" t="n">
        <f aca="false">(Yield_Originals!$H135*Yield_Originals!P$1)/Yield_Originals!$K135</f>
        <v>0.0673798545455651</v>
      </c>
      <c r="Q135" s="109"/>
      <c r="R135" s="109"/>
      <c r="S135" s="109"/>
      <c r="T135" s="111"/>
      <c r="U135" s="111"/>
      <c r="V135" s="111"/>
      <c r="W135" s="111"/>
      <c r="X135" s="112"/>
      <c r="Y135" s="112"/>
      <c r="Z135" s="112"/>
      <c r="AA135" s="112"/>
      <c r="AB135" s="112"/>
    </row>
    <row r="136" customFormat="false" ht="15" hidden="false" customHeight="false" outlineLevel="0" collapsed="false">
      <c r="A136" s="70" t="s">
        <v>798</v>
      </c>
      <c r="B136" s="68" t="n">
        <v>2</v>
      </c>
      <c r="C136" s="103" t="s">
        <v>732</v>
      </c>
      <c r="D136" s="103" t="s">
        <v>806</v>
      </c>
      <c r="E136" s="104" t="n">
        <v>10</v>
      </c>
      <c r="F136" s="106" t="n">
        <v>0.0470666077564446</v>
      </c>
      <c r="G136" s="106" t="n">
        <v>0.0470666077564446</v>
      </c>
      <c r="H136" s="106" t="n">
        <f aca="false">+(Yield_Originals!I136+Yield_Originals!G136)/2</f>
        <v>0.0499110033670852</v>
      </c>
      <c r="I136" s="106" t="n">
        <v>0.0527553989777259</v>
      </c>
      <c r="J136" s="106" t="n">
        <v>0.0501600633427114</v>
      </c>
      <c r="K136" s="107" t="n">
        <v>1</v>
      </c>
      <c r="L136" s="108" t="n">
        <f aca="false">(Yield_Originals!$G136*Yield_Originals!L$1)/Yield_Originals!$K136</f>
        <v>0.0564799293077335</v>
      </c>
      <c r="M136" s="108" t="n">
        <f aca="false">(Yield_Originals!$G136*Yield_Originals!M$1)/Yield_Originals!$K136</f>
        <v>0.0582449270986002</v>
      </c>
      <c r="N136" s="108" t="n">
        <f aca="false">(Yield_Originals!$G136*Yield_Originals!N$1)/Yield_Originals!$K136</f>
        <v>0.0600099248894669</v>
      </c>
      <c r="O136" s="108" t="n">
        <f aca="false">(Yield_Originals!$G136*Yield_Originals!O$1)/Yield_Originals!$K136</f>
        <v>0.0617749226803335</v>
      </c>
      <c r="P136" s="109" t="n">
        <f aca="false">(Yield_Originals!$H136*Yield_Originals!P$1)/Yield_Originals!$K136</f>
        <v>0.0673798545455651</v>
      </c>
      <c r="Q136" s="109"/>
      <c r="R136" s="109"/>
      <c r="S136" s="109"/>
      <c r="T136" s="111"/>
      <c r="U136" s="111"/>
      <c r="V136" s="111"/>
      <c r="W136" s="111"/>
      <c r="X136" s="112"/>
      <c r="Y136" s="112"/>
      <c r="Z136" s="112"/>
      <c r="AA136" s="112"/>
      <c r="AB136" s="112"/>
    </row>
    <row r="137" customFormat="false" ht="15" hidden="false" customHeight="false" outlineLevel="0" collapsed="false">
      <c r="A137" s="70" t="s">
        <v>798</v>
      </c>
      <c r="B137" s="68" t="n">
        <v>2</v>
      </c>
      <c r="C137" s="103" t="s">
        <v>732</v>
      </c>
      <c r="D137" s="103" t="s">
        <v>806</v>
      </c>
      <c r="E137" s="104" t="n">
        <v>11</v>
      </c>
      <c r="F137" s="106" t="n">
        <v>0.0470666077564446</v>
      </c>
      <c r="G137" s="106" t="n">
        <v>0.0470666077564446</v>
      </c>
      <c r="H137" s="106" t="n">
        <f aca="false">+(Yield_Originals!I137+Yield_Originals!G137)/2</f>
        <v>0.0499110033670852</v>
      </c>
      <c r="I137" s="106" t="n">
        <v>0.0527553989777259</v>
      </c>
      <c r="J137" s="106" t="n">
        <v>0.0501600633427114</v>
      </c>
      <c r="K137" s="107" t="n">
        <v>1</v>
      </c>
      <c r="L137" s="108" t="n">
        <f aca="false">(Yield_Originals!$G137*Yield_Originals!L$1)/Yield_Originals!$K137</f>
        <v>0.0564799293077335</v>
      </c>
      <c r="M137" s="108" t="n">
        <f aca="false">(Yield_Originals!$G137*Yield_Originals!M$1)/Yield_Originals!$K137</f>
        <v>0.0582449270986002</v>
      </c>
      <c r="N137" s="108" t="n">
        <f aca="false">(Yield_Originals!$G137*Yield_Originals!N$1)/Yield_Originals!$K137</f>
        <v>0.0600099248894669</v>
      </c>
      <c r="O137" s="108" t="n">
        <f aca="false">(Yield_Originals!$G137*Yield_Originals!O$1)/Yield_Originals!$K137</f>
        <v>0.0617749226803335</v>
      </c>
      <c r="P137" s="109" t="n">
        <f aca="false">(Yield_Originals!$H137*Yield_Originals!P$1)/Yield_Originals!$K137</f>
        <v>0.0673798545455651</v>
      </c>
      <c r="Q137" s="109"/>
      <c r="R137" s="109"/>
      <c r="S137" s="109"/>
      <c r="T137" s="111"/>
      <c r="U137" s="111"/>
      <c r="V137" s="111"/>
      <c r="W137" s="111"/>
      <c r="X137" s="112"/>
      <c r="Y137" s="112"/>
      <c r="Z137" s="112"/>
      <c r="AA137" s="112"/>
      <c r="AB137" s="112"/>
    </row>
    <row r="138" customFormat="false" ht="15" hidden="false" customHeight="false" outlineLevel="0" collapsed="false">
      <c r="A138" s="70" t="s">
        <v>798</v>
      </c>
      <c r="B138" s="68" t="n">
        <v>2</v>
      </c>
      <c r="C138" s="103" t="s">
        <v>732</v>
      </c>
      <c r="D138" s="103" t="s">
        <v>806</v>
      </c>
      <c r="E138" s="104" t="n">
        <v>12</v>
      </c>
      <c r="F138" s="106" t="n">
        <v>0.0470666077564446</v>
      </c>
      <c r="G138" s="106" t="n">
        <v>0.0470666077564446</v>
      </c>
      <c r="H138" s="106" t="n">
        <f aca="false">+(Yield_Originals!I138+Yield_Originals!G138)/2</f>
        <v>0.0499110033670852</v>
      </c>
      <c r="I138" s="106" t="n">
        <v>0.0527553989777259</v>
      </c>
      <c r="J138" s="106" t="n">
        <v>0.0501600633427114</v>
      </c>
      <c r="K138" s="107" t="n">
        <v>1</v>
      </c>
      <c r="L138" s="108" t="n">
        <f aca="false">(Yield_Originals!$G138*Yield_Originals!L$1)/Yield_Originals!$K138</f>
        <v>0.0564799293077335</v>
      </c>
      <c r="M138" s="108" t="n">
        <f aca="false">(Yield_Originals!$G138*Yield_Originals!M$1)/Yield_Originals!$K138</f>
        <v>0.0582449270986002</v>
      </c>
      <c r="N138" s="108" t="n">
        <f aca="false">(Yield_Originals!$G138*Yield_Originals!N$1)/Yield_Originals!$K138</f>
        <v>0.0600099248894669</v>
      </c>
      <c r="O138" s="108" t="n">
        <f aca="false">(Yield_Originals!$G138*Yield_Originals!O$1)/Yield_Originals!$K138</f>
        <v>0.0617749226803335</v>
      </c>
      <c r="P138" s="109" t="n">
        <f aca="false">(Yield_Originals!$H138*Yield_Originals!P$1)/Yield_Originals!$K138</f>
        <v>0.0673798545455651</v>
      </c>
      <c r="Q138" s="109"/>
      <c r="R138" s="109"/>
      <c r="S138" s="109"/>
      <c r="T138" s="111"/>
      <c r="U138" s="111"/>
      <c r="V138" s="111"/>
      <c r="W138" s="111"/>
      <c r="X138" s="112"/>
      <c r="Y138" s="112"/>
      <c r="Z138" s="112"/>
      <c r="AA138" s="112"/>
      <c r="AB138" s="112"/>
    </row>
    <row r="139" customFormat="false" ht="15" hidden="false" customHeight="false" outlineLevel="0" collapsed="false">
      <c r="A139" s="70" t="s">
        <v>798</v>
      </c>
      <c r="B139" s="68" t="n">
        <v>2</v>
      </c>
      <c r="C139" s="103" t="s">
        <v>732</v>
      </c>
      <c r="D139" s="103" t="s">
        <v>806</v>
      </c>
      <c r="E139" s="104" t="n">
        <v>13</v>
      </c>
      <c r="F139" s="106" t="n">
        <v>0.0470666077564446</v>
      </c>
      <c r="G139" s="106" t="n">
        <v>0.0470666077564446</v>
      </c>
      <c r="H139" s="106" t="n">
        <f aca="false">+(Yield_Originals!I139+Yield_Originals!G139)/2</f>
        <v>0.0499110033670852</v>
      </c>
      <c r="I139" s="106" t="n">
        <v>0.0527553989777259</v>
      </c>
      <c r="J139" s="106" t="n">
        <v>0.0501600633427114</v>
      </c>
      <c r="K139" s="107" t="n">
        <v>1</v>
      </c>
      <c r="L139" s="108" t="n">
        <f aca="false">(Yield_Originals!$G139*Yield_Originals!L$1)/Yield_Originals!$K139</f>
        <v>0.0564799293077335</v>
      </c>
      <c r="M139" s="108" t="n">
        <f aca="false">(Yield_Originals!$G139*Yield_Originals!M$1)/Yield_Originals!$K139</f>
        <v>0.0582449270986002</v>
      </c>
      <c r="N139" s="108" t="n">
        <f aca="false">(Yield_Originals!$G139*Yield_Originals!N$1)/Yield_Originals!$K139</f>
        <v>0.0600099248894669</v>
      </c>
      <c r="O139" s="108" t="n">
        <f aca="false">(Yield_Originals!$G139*Yield_Originals!O$1)/Yield_Originals!$K139</f>
        <v>0.0617749226803335</v>
      </c>
      <c r="P139" s="109" t="n">
        <f aca="false">(Yield_Originals!$H139*Yield_Originals!P$1)/Yield_Originals!$K139</f>
        <v>0.0673798545455651</v>
      </c>
      <c r="Q139" s="109"/>
      <c r="R139" s="109"/>
      <c r="S139" s="109"/>
      <c r="T139" s="111"/>
      <c r="U139" s="111"/>
      <c r="V139" s="111"/>
      <c r="W139" s="111"/>
      <c r="X139" s="112"/>
      <c r="Y139" s="112"/>
      <c r="Z139" s="112"/>
      <c r="AA139" s="112"/>
      <c r="AB139" s="112"/>
    </row>
    <row r="140" customFormat="false" ht="15" hidden="false" customHeight="false" outlineLevel="0" collapsed="false">
      <c r="A140" s="70" t="s">
        <v>798</v>
      </c>
      <c r="B140" s="68" t="n">
        <v>2</v>
      </c>
      <c r="C140" s="103" t="s">
        <v>732</v>
      </c>
      <c r="D140" s="103" t="s">
        <v>806</v>
      </c>
      <c r="E140" s="104" t="n">
        <v>14</v>
      </c>
      <c r="F140" s="106" t="n">
        <v>0.0470666077564446</v>
      </c>
      <c r="G140" s="106" t="n">
        <v>0.0470666077564446</v>
      </c>
      <c r="H140" s="106" t="n">
        <f aca="false">+(Yield_Originals!I140+Yield_Originals!G140)/2</f>
        <v>0.0499110033670852</v>
      </c>
      <c r="I140" s="106" t="n">
        <v>0.0527553989777259</v>
      </c>
      <c r="J140" s="106" t="n">
        <v>0.0501600633427114</v>
      </c>
      <c r="K140" s="107" t="n">
        <v>1</v>
      </c>
      <c r="L140" s="108" t="n">
        <f aca="false">(Yield_Originals!$G140*Yield_Originals!L$1)/Yield_Originals!$K140</f>
        <v>0.0564799293077335</v>
      </c>
      <c r="M140" s="108" t="n">
        <f aca="false">(Yield_Originals!$G140*Yield_Originals!M$1)/Yield_Originals!$K140</f>
        <v>0.0582449270986002</v>
      </c>
      <c r="N140" s="108" t="n">
        <f aca="false">(Yield_Originals!$G140*Yield_Originals!N$1)/Yield_Originals!$K140</f>
        <v>0.0600099248894669</v>
      </c>
      <c r="O140" s="108" t="n">
        <f aca="false">(Yield_Originals!$G140*Yield_Originals!O$1)/Yield_Originals!$K140</f>
        <v>0.0617749226803335</v>
      </c>
      <c r="P140" s="109" t="n">
        <f aca="false">(Yield_Originals!$H140*Yield_Originals!P$1)/Yield_Originals!$K140</f>
        <v>0.0673798545455651</v>
      </c>
      <c r="Q140" s="109"/>
      <c r="R140" s="109"/>
      <c r="S140" s="109"/>
      <c r="T140" s="111"/>
      <c r="U140" s="111"/>
      <c r="V140" s="111"/>
      <c r="W140" s="111"/>
      <c r="X140" s="112"/>
      <c r="Y140" s="112"/>
      <c r="Z140" s="112"/>
      <c r="AA140" s="112"/>
      <c r="AB140" s="112"/>
    </row>
    <row r="141" customFormat="false" ht="15" hidden="false" customHeight="false" outlineLevel="0" collapsed="false">
      <c r="A141" s="70" t="s">
        <v>798</v>
      </c>
      <c r="B141" s="68" t="n">
        <v>2</v>
      </c>
      <c r="C141" s="103" t="s">
        <v>732</v>
      </c>
      <c r="D141" s="103" t="s">
        <v>806</v>
      </c>
      <c r="E141" s="104" t="n">
        <v>15</v>
      </c>
      <c r="F141" s="106" t="n">
        <v>0.0470666077564446</v>
      </c>
      <c r="G141" s="106" t="n">
        <v>0.0470666077564446</v>
      </c>
      <c r="H141" s="106" t="n">
        <f aca="false">+(Yield_Originals!I141+Yield_Originals!G141)/2</f>
        <v>0.0499110033670852</v>
      </c>
      <c r="I141" s="106" t="n">
        <v>0.0527553989777259</v>
      </c>
      <c r="J141" s="106" t="n">
        <v>0.0501600633427114</v>
      </c>
      <c r="K141" s="107" t="n">
        <v>1</v>
      </c>
      <c r="L141" s="108" t="n">
        <f aca="false">(Yield_Originals!$G141*Yield_Originals!L$1)/Yield_Originals!$K141</f>
        <v>0.0564799293077335</v>
      </c>
      <c r="M141" s="108" t="n">
        <f aca="false">(Yield_Originals!$G141*Yield_Originals!M$1)/Yield_Originals!$K141</f>
        <v>0.0582449270986002</v>
      </c>
      <c r="N141" s="108" t="n">
        <f aca="false">(Yield_Originals!$G141*Yield_Originals!N$1)/Yield_Originals!$K141</f>
        <v>0.0600099248894669</v>
      </c>
      <c r="O141" s="108" t="n">
        <f aca="false">(Yield_Originals!$G141*Yield_Originals!O$1)/Yield_Originals!$K141</f>
        <v>0.0617749226803335</v>
      </c>
      <c r="P141" s="109" t="n">
        <f aca="false">(Yield_Originals!$H141*Yield_Originals!P$1)/Yield_Originals!$K141</f>
        <v>0.0673798545455651</v>
      </c>
      <c r="Q141" s="109"/>
      <c r="R141" s="109"/>
      <c r="S141" s="109"/>
      <c r="T141" s="111"/>
      <c r="U141" s="111"/>
      <c r="V141" s="111"/>
      <c r="W141" s="111"/>
      <c r="X141" s="112"/>
      <c r="Y141" s="112"/>
      <c r="Z141" s="112"/>
      <c r="AA141" s="112"/>
      <c r="AB141" s="112"/>
    </row>
    <row r="142" customFormat="false" ht="15" hidden="false" customHeight="false" outlineLevel="0" collapsed="false">
      <c r="A142" s="70" t="s">
        <v>813</v>
      </c>
      <c r="B142" s="68" t="n">
        <v>2</v>
      </c>
      <c r="C142" s="114" t="s">
        <v>736</v>
      </c>
      <c r="D142" s="114" t="s">
        <v>829</v>
      </c>
      <c r="E142" s="104" t="n">
        <v>22</v>
      </c>
      <c r="F142" s="106" t="n">
        <v>0.047920198716335</v>
      </c>
      <c r="G142" s="106" t="n">
        <v>0.047920198716335</v>
      </c>
      <c r="H142" s="106" t="n">
        <f aca="false">+(Yield_Originals!I142+Yield_Originals!G142)/2</f>
        <v>0.0497878218045477</v>
      </c>
      <c r="I142" s="106" t="n">
        <v>0.0516554448927604</v>
      </c>
      <c r="J142" s="106" t="n">
        <v>0.0483315161361219</v>
      </c>
      <c r="K142" s="107" t="n">
        <v>1</v>
      </c>
      <c r="L142" s="108" t="n">
        <f aca="false">(Yield_Originals!$G142*Yield_Originals!L$1)/Yield_Originals!$K142</f>
        <v>0.057504238459602</v>
      </c>
      <c r="M142" s="108" t="n">
        <f aca="false">(Yield_Originals!$G142*Yield_Originals!M$1)/Yield_Originals!$K142</f>
        <v>0.0593012459114646</v>
      </c>
      <c r="N142" s="108" t="n">
        <f aca="false">(Yield_Originals!$G142*Yield_Originals!N$1)/Yield_Originals!$K142</f>
        <v>0.0610982533633271</v>
      </c>
      <c r="O142" s="108" t="n">
        <f aca="false">(Yield_Originals!$G142*Yield_Originals!O$1)/Yield_Originals!$K142</f>
        <v>0.0628952608151897</v>
      </c>
      <c r="P142" s="109" t="n">
        <f aca="false">(Yield_Originals!$H142*Yield_Originals!P$1)/Yield_Originals!$K142</f>
        <v>0.0672135594361394</v>
      </c>
      <c r="Q142" s="109" t="n">
        <f aca="false">(Yield_Originals!$H142*Yield_Originals!Q$1)/Yield_Originals!$K142</f>
        <v>0.06908060275381</v>
      </c>
      <c r="R142" s="109" t="n">
        <f aca="false">(Yield_Originals!$H142*Yield_Originals!R$1)/Yield_Originals!$K142</f>
        <v>0.0709476460714805</v>
      </c>
      <c r="S142" s="109" t="n">
        <f aca="false">(Yield_Originals!$H142*Yield_Originals!S$1)/Yield_Originals!$K142</f>
        <v>0.072814689389151</v>
      </c>
      <c r="T142" s="111" t="n">
        <f aca="false">(Yield_Originals!$I142*Yield_Originals!T$1)/Yield_Originals!$K142</f>
        <v>0.0774831673391406</v>
      </c>
      <c r="U142" s="111" t="n">
        <f aca="false">(Yield_Originals!$I142*Yield_Originals!U$1)/Yield_Originals!$K142</f>
        <v>0.0794202465226191</v>
      </c>
      <c r="V142" s="111" t="n">
        <f aca="false">(Yield_Originals!$I142*Yield_Originals!V$1)/Yield_Originals!$K142</f>
        <v>0.0813573257060977</v>
      </c>
      <c r="W142" s="111" t="n">
        <f aca="false">(Yield_Originals!$I142*Yield_Originals!W$1)/Yield_Originals!$K142</f>
        <v>0.0832944048895761</v>
      </c>
      <c r="X142" s="112" t="n">
        <f aca="false">(Yield_Originals!$J142*Yield_Originals!X$1)/Yield_Originals!$K142</f>
        <v>0.0797470016246011</v>
      </c>
      <c r="Y142" s="112" t="n">
        <f aca="false">(Yield_Originals!$J142*Yield_Originals!Y$1)/Yield_Originals!$K142</f>
        <v>0.0815594334797057</v>
      </c>
      <c r="Z142" s="112" t="n">
        <f aca="false">(Yield_Originals!$J142*Yield_Originals!Z$1)/Yield_Originals!$K142</f>
        <v>0.0833718653348103</v>
      </c>
      <c r="AA142" s="112" t="n">
        <f aca="false">(Yield_Originals!$J142*Yield_Originals!AA$1)/Yield_Originals!$K142</f>
        <v>0.0851842971899148</v>
      </c>
      <c r="AB142" s="112" t="n">
        <f aca="false">(Yield_Originals!$J142*Yield_Originals!AB$1)/Yield_Originals!$K142</f>
        <v>0.0869967290450194</v>
      </c>
    </row>
    <row r="143" customFormat="false" ht="15" hidden="false" customHeight="false" outlineLevel="0" collapsed="false">
      <c r="A143" s="70" t="s">
        <v>813</v>
      </c>
      <c r="B143" s="68" t="n">
        <v>2</v>
      </c>
      <c r="C143" s="114" t="s">
        <v>739</v>
      </c>
      <c r="D143" s="114" t="s">
        <v>812</v>
      </c>
      <c r="E143" s="104" t="n">
        <v>16</v>
      </c>
      <c r="F143" s="106" t="n">
        <v>0.047920198716335</v>
      </c>
      <c r="G143" s="106" t="n">
        <v>0.047920198716335</v>
      </c>
      <c r="H143" s="106" t="n">
        <f aca="false">+(Yield_Originals!I143+Yield_Originals!G143)/2</f>
        <v>0.0497878218045477</v>
      </c>
      <c r="I143" s="106" t="n">
        <v>0.0516554448927604</v>
      </c>
      <c r="J143" s="106" t="n">
        <v>0.0483315161361219</v>
      </c>
      <c r="K143" s="107" t="n">
        <v>1</v>
      </c>
      <c r="L143" s="108" t="n">
        <f aca="false">(Yield_Originals!$G143*Yield_Originals!L$1)/Yield_Originals!$K143</f>
        <v>0.057504238459602</v>
      </c>
      <c r="M143" s="108" t="n">
        <f aca="false">(Yield_Originals!$G143*Yield_Originals!M$1)/Yield_Originals!$K143</f>
        <v>0.0593012459114646</v>
      </c>
      <c r="N143" s="108" t="n">
        <f aca="false">(Yield_Originals!$G143*Yield_Originals!N$1)/Yield_Originals!$K143</f>
        <v>0.0610982533633271</v>
      </c>
      <c r="O143" s="108" t="n">
        <f aca="false">(Yield_Originals!$G143*Yield_Originals!O$1)/Yield_Originals!$K143</f>
        <v>0.0628952608151897</v>
      </c>
      <c r="P143" s="109" t="n">
        <f aca="false">(Yield_Originals!$H143*Yield_Originals!P$1)/Yield_Originals!$K143</f>
        <v>0.0672135594361394</v>
      </c>
      <c r="Q143" s="109" t="n">
        <f aca="false">(Yield_Originals!$H143*Yield_Originals!Q$1)/Yield_Originals!$K143</f>
        <v>0.06908060275381</v>
      </c>
      <c r="R143" s="109" t="n">
        <f aca="false">(Yield_Originals!$H143*Yield_Originals!R$1)/Yield_Originals!$K143</f>
        <v>0.0709476460714805</v>
      </c>
      <c r="S143" s="109" t="n">
        <f aca="false">(Yield_Originals!$H143*Yield_Originals!S$1)/Yield_Originals!$K143</f>
        <v>0.072814689389151</v>
      </c>
      <c r="T143" s="111" t="n">
        <f aca="false">(Yield_Originals!$I143*Yield_Originals!T$1)/Yield_Originals!$K143</f>
        <v>0.0774831673391406</v>
      </c>
      <c r="U143" s="111" t="n">
        <f aca="false">(Yield_Originals!$I143*Yield_Originals!U$1)/Yield_Originals!$K143</f>
        <v>0.0794202465226191</v>
      </c>
      <c r="V143" s="111" t="n">
        <f aca="false">(Yield_Originals!$I143*Yield_Originals!V$1)/Yield_Originals!$K143</f>
        <v>0.0813573257060977</v>
      </c>
      <c r="W143" s="111" t="n">
        <f aca="false">(Yield_Originals!$I143*Yield_Originals!W$1)/Yield_Originals!$K143</f>
        <v>0.0832944048895761</v>
      </c>
      <c r="X143" s="112" t="n">
        <f aca="false">(Yield_Originals!$J143*Yield_Originals!X$1)/Yield_Originals!$K143</f>
        <v>0.0797470016246011</v>
      </c>
      <c r="Y143" s="112" t="n">
        <f aca="false">(Yield_Originals!$J143*Yield_Originals!Y$1)/Yield_Originals!$K143</f>
        <v>0.0815594334797057</v>
      </c>
      <c r="Z143" s="112" t="n">
        <f aca="false">(Yield_Originals!$J143*Yield_Originals!Z$1)/Yield_Originals!$K143</f>
        <v>0.0833718653348103</v>
      </c>
      <c r="AA143" s="112" t="n">
        <f aca="false">(Yield_Originals!$J143*Yield_Originals!AA$1)/Yield_Originals!$K143</f>
        <v>0.0851842971899148</v>
      </c>
      <c r="AB143" s="112" t="n">
        <f aca="false">(Yield_Originals!$J143*Yield_Originals!AB$1)/Yield_Originals!$K143</f>
        <v>0.0869967290450194</v>
      </c>
    </row>
    <row r="144" customFormat="false" ht="15" hidden="false" customHeight="false" outlineLevel="0" collapsed="false">
      <c r="A144" s="70" t="s">
        <v>813</v>
      </c>
      <c r="B144" s="68" t="n">
        <v>2</v>
      </c>
      <c r="C144" s="114" t="s">
        <v>739</v>
      </c>
      <c r="D144" s="114" t="s">
        <v>812</v>
      </c>
      <c r="E144" s="104" t="n">
        <v>17</v>
      </c>
      <c r="F144" s="106" t="n">
        <v>0.047920198716335</v>
      </c>
      <c r="G144" s="106" t="n">
        <v>0.047920198716335</v>
      </c>
      <c r="H144" s="106" t="n">
        <f aca="false">+(Yield_Originals!I144+Yield_Originals!G144)/2</f>
        <v>0.0497878218045477</v>
      </c>
      <c r="I144" s="106" t="n">
        <v>0.0516554448927604</v>
      </c>
      <c r="J144" s="106" t="n">
        <v>0.0483315161361219</v>
      </c>
      <c r="K144" s="107" t="n">
        <v>1</v>
      </c>
      <c r="L144" s="108" t="n">
        <f aca="false">(Yield_Originals!$G144*Yield_Originals!L$1)/Yield_Originals!$K144</f>
        <v>0.057504238459602</v>
      </c>
      <c r="M144" s="108" t="n">
        <f aca="false">(Yield_Originals!$G144*Yield_Originals!M$1)/Yield_Originals!$K144</f>
        <v>0.0593012459114646</v>
      </c>
      <c r="N144" s="108" t="n">
        <f aca="false">(Yield_Originals!$G144*Yield_Originals!N$1)/Yield_Originals!$K144</f>
        <v>0.0610982533633271</v>
      </c>
      <c r="O144" s="108" t="n">
        <f aca="false">(Yield_Originals!$G144*Yield_Originals!O$1)/Yield_Originals!$K144</f>
        <v>0.0628952608151897</v>
      </c>
      <c r="P144" s="109" t="n">
        <f aca="false">(Yield_Originals!$H144*Yield_Originals!P$1)/Yield_Originals!$K144</f>
        <v>0.0672135594361394</v>
      </c>
      <c r="Q144" s="109" t="n">
        <f aca="false">(Yield_Originals!$H144*Yield_Originals!Q$1)/Yield_Originals!$K144</f>
        <v>0.06908060275381</v>
      </c>
      <c r="R144" s="109" t="n">
        <f aca="false">(Yield_Originals!$H144*Yield_Originals!R$1)/Yield_Originals!$K144</f>
        <v>0.0709476460714805</v>
      </c>
      <c r="S144" s="109" t="n">
        <f aca="false">(Yield_Originals!$H144*Yield_Originals!S$1)/Yield_Originals!$K144</f>
        <v>0.072814689389151</v>
      </c>
      <c r="T144" s="111" t="n">
        <f aca="false">(Yield_Originals!$I144*Yield_Originals!T$1)/Yield_Originals!$K144</f>
        <v>0.0774831673391406</v>
      </c>
      <c r="U144" s="111" t="n">
        <f aca="false">(Yield_Originals!$I144*Yield_Originals!U$1)/Yield_Originals!$K144</f>
        <v>0.0794202465226191</v>
      </c>
      <c r="V144" s="111" t="n">
        <f aca="false">(Yield_Originals!$I144*Yield_Originals!V$1)/Yield_Originals!$K144</f>
        <v>0.0813573257060977</v>
      </c>
      <c r="W144" s="111" t="n">
        <f aca="false">(Yield_Originals!$I144*Yield_Originals!W$1)/Yield_Originals!$K144</f>
        <v>0.0832944048895761</v>
      </c>
      <c r="X144" s="112" t="n">
        <f aca="false">(Yield_Originals!$J144*Yield_Originals!X$1)/Yield_Originals!$K144</f>
        <v>0.0797470016246011</v>
      </c>
      <c r="Y144" s="112" t="n">
        <f aca="false">(Yield_Originals!$J144*Yield_Originals!Y$1)/Yield_Originals!$K144</f>
        <v>0.0815594334797057</v>
      </c>
      <c r="Z144" s="112" t="n">
        <f aca="false">(Yield_Originals!$J144*Yield_Originals!Z$1)/Yield_Originals!$K144</f>
        <v>0.0833718653348103</v>
      </c>
      <c r="AA144" s="112" t="n">
        <f aca="false">(Yield_Originals!$J144*Yield_Originals!AA$1)/Yield_Originals!$K144</f>
        <v>0.0851842971899148</v>
      </c>
      <c r="AB144" s="112" t="n">
        <f aca="false">(Yield_Originals!$J144*Yield_Originals!AB$1)/Yield_Originals!$K144</f>
        <v>0.0869967290450194</v>
      </c>
    </row>
    <row r="145" customFormat="false" ht="15" hidden="false" customHeight="false" outlineLevel="0" collapsed="false">
      <c r="A145" s="70" t="s">
        <v>813</v>
      </c>
      <c r="B145" s="68" t="n">
        <v>2</v>
      </c>
      <c r="C145" s="114" t="s">
        <v>739</v>
      </c>
      <c r="D145" s="114" t="s">
        <v>812</v>
      </c>
      <c r="E145" s="104" t="n">
        <v>18</v>
      </c>
      <c r="F145" s="106" t="n">
        <v>0.047920198716335</v>
      </c>
      <c r="G145" s="106" t="n">
        <v>0.047920198716335</v>
      </c>
      <c r="H145" s="106" t="n">
        <f aca="false">+(Yield_Originals!I145+Yield_Originals!G145)/2</f>
        <v>0.0497878218045477</v>
      </c>
      <c r="I145" s="106" t="n">
        <v>0.0516554448927604</v>
      </c>
      <c r="J145" s="106" t="n">
        <v>0.0483315161361219</v>
      </c>
      <c r="K145" s="107" t="n">
        <v>1</v>
      </c>
      <c r="L145" s="108" t="n">
        <f aca="false">(Yield_Originals!$G145*Yield_Originals!L$1)/Yield_Originals!$K145</f>
        <v>0.057504238459602</v>
      </c>
      <c r="M145" s="108" t="n">
        <f aca="false">(Yield_Originals!$G145*Yield_Originals!M$1)/Yield_Originals!$K145</f>
        <v>0.0593012459114646</v>
      </c>
      <c r="N145" s="108" t="n">
        <f aca="false">(Yield_Originals!$G145*Yield_Originals!N$1)/Yield_Originals!$K145</f>
        <v>0.0610982533633271</v>
      </c>
      <c r="O145" s="108" t="n">
        <f aca="false">(Yield_Originals!$G145*Yield_Originals!O$1)/Yield_Originals!$K145</f>
        <v>0.0628952608151897</v>
      </c>
      <c r="P145" s="109" t="n">
        <f aca="false">(Yield_Originals!$H145*Yield_Originals!P$1)/Yield_Originals!$K145</f>
        <v>0.0672135594361394</v>
      </c>
      <c r="Q145" s="109" t="n">
        <f aca="false">(Yield_Originals!$H145*Yield_Originals!Q$1)/Yield_Originals!$K145</f>
        <v>0.06908060275381</v>
      </c>
      <c r="R145" s="109" t="n">
        <f aca="false">(Yield_Originals!$H145*Yield_Originals!R$1)/Yield_Originals!$K145</f>
        <v>0.0709476460714805</v>
      </c>
      <c r="S145" s="109" t="n">
        <f aca="false">(Yield_Originals!$H145*Yield_Originals!S$1)/Yield_Originals!$K145</f>
        <v>0.072814689389151</v>
      </c>
      <c r="T145" s="111" t="n">
        <f aca="false">(Yield_Originals!$I145*Yield_Originals!T$1)/Yield_Originals!$K145</f>
        <v>0.0774831673391406</v>
      </c>
      <c r="U145" s="111" t="n">
        <f aca="false">(Yield_Originals!$I145*Yield_Originals!U$1)/Yield_Originals!$K145</f>
        <v>0.0794202465226191</v>
      </c>
      <c r="V145" s="111" t="n">
        <f aca="false">(Yield_Originals!$I145*Yield_Originals!V$1)/Yield_Originals!$K145</f>
        <v>0.0813573257060977</v>
      </c>
      <c r="W145" s="111" t="n">
        <f aca="false">(Yield_Originals!$I145*Yield_Originals!W$1)/Yield_Originals!$K145</f>
        <v>0.0832944048895761</v>
      </c>
      <c r="X145" s="112" t="n">
        <f aca="false">(Yield_Originals!$J145*Yield_Originals!X$1)/Yield_Originals!$K145</f>
        <v>0.0797470016246011</v>
      </c>
      <c r="Y145" s="112" t="n">
        <f aca="false">(Yield_Originals!$J145*Yield_Originals!Y$1)/Yield_Originals!$K145</f>
        <v>0.0815594334797057</v>
      </c>
      <c r="Z145" s="112" t="n">
        <f aca="false">(Yield_Originals!$J145*Yield_Originals!Z$1)/Yield_Originals!$K145</f>
        <v>0.0833718653348103</v>
      </c>
      <c r="AA145" s="112" t="n">
        <f aca="false">(Yield_Originals!$J145*Yield_Originals!AA$1)/Yield_Originals!$K145</f>
        <v>0.0851842971899148</v>
      </c>
      <c r="AB145" s="112" t="n">
        <f aca="false">(Yield_Originals!$J145*Yield_Originals!AB$1)/Yield_Originals!$K145</f>
        <v>0.0869967290450194</v>
      </c>
    </row>
    <row r="146" customFormat="false" ht="15" hidden="false" customHeight="false" outlineLevel="0" collapsed="false">
      <c r="A146" s="70" t="s">
        <v>813</v>
      </c>
      <c r="B146" s="68" t="n">
        <v>2</v>
      </c>
      <c r="C146" s="114" t="s">
        <v>739</v>
      </c>
      <c r="D146" s="114" t="s">
        <v>812</v>
      </c>
      <c r="E146" s="104" t="n">
        <v>19</v>
      </c>
      <c r="F146" s="106" t="n">
        <v>0.047920198716335</v>
      </c>
      <c r="G146" s="106" t="n">
        <v>0.047920198716335</v>
      </c>
      <c r="H146" s="106" t="n">
        <f aca="false">+(Yield_Originals!I146+Yield_Originals!G146)/2</f>
        <v>0.0497878218045477</v>
      </c>
      <c r="I146" s="106" t="n">
        <v>0.0516554448927604</v>
      </c>
      <c r="J146" s="106" t="n">
        <v>0.0483315161361219</v>
      </c>
      <c r="K146" s="107" t="n">
        <v>1</v>
      </c>
      <c r="L146" s="108" t="n">
        <f aca="false">(Yield_Originals!$G146*Yield_Originals!L$1)/Yield_Originals!$K146</f>
        <v>0.057504238459602</v>
      </c>
      <c r="M146" s="108" t="n">
        <f aca="false">(Yield_Originals!$G146*Yield_Originals!M$1)/Yield_Originals!$K146</f>
        <v>0.0593012459114646</v>
      </c>
      <c r="N146" s="108" t="n">
        <f aca="false">(Yield_Originals!$G146*Yield_Originals!N$1)/Yield_Originals!$K146</f>
        <v>0.0610982533633271</v>
      </c>
      <c r="O146" s="108" t="n">
        <f aca="false">(Yield_Originals!$G146*Yield_Originals!O$1)/Yield_Originals!$K146</f>
        <v>0.0628952608151897</v>
      </c>
      <c r="P146" s="109" t="n">
        <f aca="false">(Yield_Originals!$H146*Yield_Originals!P$1)/Yield_Originals!$K146</f>
        <v>0.0672135594361394</v>
      </c>
      <c r="Q146" s="109" t="n">
        <f aca="false">(Yield_Originals!$H146*Yield_Originals!Q$1)/Yield_Originals!$K146</f>
        <v>0.06908060275381</v>
      </c>
      <c r="R146" s="109" t="n">
        <f aca="false">(Yield_Originals!$H146*Yield_Originals!R$1)/Yield_Originals!$K146</f>
        <v>0.0709476460714805</v>
      </c>
      <c r="S146" s="109" t="n">
        <f aca="false">(Yield_Originals!$H146*Yield_Originals!S$1)/Yield_Originals!$K146</f>
        <v>0.072814689389151</v>
      </c>
      <c r="T146" s="111" t="n">
        <f aca="false">(Yield_Originals!$I146*Yield_Originals!T$1)/Yield_Originals!$K146</f>
        <v>0.0774831673391406</v>
      </c>
      <c r="U146" s="111" t="n">
        <f aca="false">(Yield_Originals!$I146*Yield_Originals!U$1)/Yield_Originals!$K146</f>
        <v>0.0794202465226191</v>
      </c>
      <c r="V146" s="111" t="n">
        <f aca="false">(Yield_Originals!$I146*Yield_Originals!V$1)/Yield_Originals!$K146</f>
        <v>0.0813573257060977</v>
      </c>
      <c r="W146" s="111" t="n">
        <f aca="false">(Yield_Originals!$I146*Yield_Originals!W$1)/Yield_Originals!$K146</f>
        <v>0.0832944048895761</v>
      </c>
      <c r="X146" s="112" t="n">
        <f aca="false">(Yield_Originals!$J146*Yield_Originals!X$1)/Yield_Originals!$K146</f>
        <v>0.0797470016246011</v>
      </c>
      <c r="Y146" s="112" t="n">
        <f aca="false">(Yield_Originals!$J146*Yield_Originals!Y$1)/Yield_Originals!$K146</f>
        <v>0.0815594334797057</v>
      </c>
      <c r="Z146" s="112" t="n">
        <f aca="false">(Yield_Originals!$J146*Yield_Originals!Z$1)/Yield_Originals!$K146</f>
        <v>0.0833718653348103</v>
      </c>
      <c r="AA146" s="112" t="n">
        <f aca="false">(Yield_Originals!$J146*Yield_Originals!AA$1)/Yield_Originals!$K146</f>
        <v>0.0851842971899148</v>
      </c>
      <c r="AB146" s="112" t="n">
        <f aca="false">(Yield_Originals!$J146*Yield_Originals!AB$1)/Yield_Originals!$K146</f>
        <v>0.0869967290450194</v>
      </c>
    </row>
    <row r="147" customFormat="false" ht="15" hidden="false" customHeight="false" outlineLevel="0" collapsed="false">
      <c r="A147" s="70" t="s">
        <v>813</v>
      </c>
      <c r="B147" s="68" t="n">
        <v>2</v>
      </c>
      <c r="C147" s="114" t="s">
        <v>739</v>
      </c>
      <c r="D147" s="114" t="s">
        <v>812</v>
      </c>
      <c r="E147" s="104" t="n">
        <v>20</v>
      </c>
      <c r="F147" s="106" t="n">
        <v>0.047920198716335</v>
      </c>
      <c r="G147" s="106" t="n">
        <v>0.047920198716335</v>
      </c>
      <c r="H147" s="106" t="n">
        <f aca="false">+(Yield_Originals!I147+Yield_Originals!G147)/2</f>
        <v>0.0497878218045477</v>
      </c>
      <c r="I147" s="106" t="n">
        <v>0.0516554448927604</v>
      </c>
      <c r="J147" s="106" t="n">
        <v>0.0483315161361219</v>
      </c>
      <c r="K147" s="107" t="n">
        <v>1</v>
      </c>
      <c r="L147" s="108" t="n">
        <f aca="false">(Yield_Originals!$G147*Yield_Originals!L$1)/Yield_Originals!$K147</f>
        <v>0.057504238459602</v>
      </c>
      <c r="M147" s="108" t="n">
        <f aca="false">(Yield_Originals!$G147*Yield_Originals!M$1)/Yield_Originals!$K147</f>
        <v>0.0593012459114646</v>
      </c>
      <c r="N147" s="108" t="n">
        <f aca="false">(Yield_Originals!$G147*Yield_Originals!N$1)/Yield_Originals!$K147</f>
        <v>0.0610982533633271</v>
      </c>
      <c r="O147" s="108" t="n">
        <f aca="false">(Yield_Originals!$G147*Yield_Originals!O$1)/Yield_Originals!$K147</f>
        <v>0.0628952608151897</v>
      </c>
      <c r="P147" s="109" t="n">
        <f aca="false">(Yield_Originals!$H147*Yield_Originals!P$1)/Yield_Originals!$K147</f>
        <v>0.0672135594361394</v>
      </c>
      <c r="Q147" s="109" t="n">
        <f aca="false">(Yield_Originals!$H147*Yield_Originals!Q$1)/Yield_Originals!$K147</f>
        <v>0.06908060275381</v>
      </c>
      <c r="R147" s="109" t="n">
        <f aca="false">(Yield_Originals!$H147*Yield_Originals!R$1)/Yield_Originals!$K147</f>
        <v>0.0709476460714805</v>
      </c>
      <c r="S147" s="109" t="n">
        <f aca="false">(Yield_Originals!$H147*Yield_Originals!S$1)/Yield_Originals!$K147</f>
        <v>0.072814689389151</v>
      </c>
      <c r="T147" s="111" t="n">
        <f aca="false">(Yield_Originals!$I147*Yield_Originals!T$1)/Yield_Originals!$K147</f>
        <v>0.0774831673391406</v>
      </c>
      <c r="U147" s="111" t="n">
        <f aca="false">(Yield_Originals!$I147*Yield_Originals!U$1)/Yield_Originals!$K147</f>
        <v>0.0794202465226191</v>
      </c>
      <c r="V147" s="111" t="n">
        <f aca="false">(Yield_Originals!$I147*Yield_Originals!V$1)/Yield_Originals!$K147</f>
        <v>0.0813573257060977</v>
      </c>
      <c r="W147" s="111" t="n">
        <f aca="false">(Yield_Originals!$I147*Yield_Originals!W$1)/Yield_Originals!$K147</f>
        <v>0.0832944048895761</v>
      </c>
      <c r="X147" s="112" t="n">
        <f aca="false">(Yield_Originals!$J147*Yield_Originals!X$1)/Yield_Originals!$K147</f>
        <v>0.0797470016246011</v>
      </c>
      <c r="Y147" s="112" t="n">
        <f aca="false">(Yield_Originals!$J147*Yield_Originals!Y$1)/Yield_Originals!$K147</f>
        <v>0.0815594334797057</v>
      </c>
      <c r="Z147" s="112" t="n">
        <f aca="false">(Yield_Originals!$J147*Yield_Originals!Z$1)/Yield_Originals!$K147</f>
        <v>0.0833718653348103</v>
      </c>
      <c r="AA147" s="112" t="n">
        <f aca="false">(Yield_Originals!$J147*Yield_Originals!AA$1)/Yield_Originals!$K147</f>
        <v>0.0851842971899148</v>
      </c>
      <c r="AB147" s="112" t="n">
        <f aca="false">(Yield_Originals!$J147*Yield_Originals!AB$1)/Yield_Originals!$K147</f>
        <v>0.0869967290450194</v>
      </c>
    </row>
    <row r="148" customFormat="false" ht="15" hidden="false" customHeight="false" outlineLevel="0" collapsed="false">
      <c r="A148" s="70" t="s">
        <v>813</v>
      </c>
      <c r="B148" s="68" t="n">
        <v>2</v>
      </c>
      <c r="C148" s="114" t="s">
        <v>739</v>
      </c>
      <c r="D148" s="114" t="s">
        <v>812</v>
      </c>
      <c r="E148" s="104" t="n">
        <v>21</v>
      </c>
      <c r="F148" s="106" t="n">
        <v>0.047920198716335</v>
      </c>
      <c r="G148" s="106" t="n">
        <v>0.047920198716335</v>
      </c>
      <c r="H148" s="106" t="n">
        <f aca="false">+(Yield_Originals!I148+Yield_Originals!G148)/2</f>
        <v>0.0497878218045477</v>
      </c>
      <c r="I148" s="106" t="n">
        <v>0.0516554448927604</v>
      </c>
      <c r="J148" s="106" t="n">
        <v>0.0483315161361219</v>
      </c>
      <c r="K148" s="107" t="n">
        <v>1</v>
      </c>
      <c r="L148" s="108" t="n">
        <f aca="false">(Yield_Originals!$G148*Yield_Originals!L$1)/Yield_Originals!$K148</f>
        <v>0.057504238459602</v>
      </c>
      <c r="M148" s="108" t="n">
        <f aca="false">(Yield_Originals!$G148*Yield_Originals!M$1)/Yield_Originals!$K148</f>
        <v>0.0593012459114646</v>
      </c>
      <c r="N148" s="108" t="n">
        <f aca="false">(Yield_Originals!$G148*Yield_Originals!N$1)/Yield_Originals!$K148</f>
        <v>0.0610982533633271</v>
      </c>
      <c r="O148" s="108" t="n">
        <f aca="false">(Yield_Originals!$G148*Yield_Originals!O$1)/Yield_Originals!$K148</f>
        <v>0.0628952608151897</v>
      </c>
      <c r="P148" s="109" t="n">
        <f aca="false">(Yield_Originals!$H148*Yield_Originals!P$1)/Yield_Originals!$K148</f>
        <v>0.0672135594361394</v>
      </c>
      <c r="Q148" s="109" t="n">
        <f aca="false">(Yield_Originals!$H148*Yield_Originals!Q$1)/Yield_Originals!$K148</f>
        <v>0.06908060275381</v>
      </c>
      <c r="R148" s="109" t="n">
        <f aca="false">(Yield_Originals!$H148*Yield_Originals!R$1)/Yield_Originals!$K148</f>
        <v>0.0709476460714805</v>
      </c>
      <c r="S148" s="109" t="n">
        <f aca="false">(Yield_Originals!$H148*Yield_Originals!S$1)/Yield_Originals!$K148</f>
        <v>0.072814689389151</v>
      </c>
      <c r="T148" s="111" t="n">
        <f aca="false">(Yield_Originals!$I148*Yield_Originals!T$1)/Yield_Originals!$K148</f>
        <v>0.0774831673391406</v>
      </c>
      <c r="U148" s="111" t="n">
        <f aca="false">(Yield_Originals!$I148*Yield_Originals!U$1)/Yield_Originals!$K148</f>
        <v>0.0794202465226191</v>
      </c>
      <c r="V148" s="111" t="n">
        <f aca="false">(Yield_Originals!$I148*Yield_Originals!V$1)/Yield_Originals!$K148</f>
        <v>0.0813573257060977</v>
      </c>
      <c r="W148" s="111" t="n">
        <f aca="false">(Yield_Originals!$I148*Yield_Originals!W$1)/Yield_Originals!$K148</f>
        <v>0.0832944048895761</v>
      </c>
      <c r="X148" s="112" t="n">
        <f aca="false">(Yield_Originals!$J148*Yield_Originals!X$1)/Yield_Originals!$K148</f>
        <v>0.0797470016246011</v>
      </c>
      <c r="Y148" s="112" t="n">
        <f aca="false">(Yield_Originals!$J148*Yield_Originals!Y$1)/Yield_Originals!$K148</f>
        <v>0.0815594334797057</v>
      </c>
      <c r="Z148" s="112" t="n">
        <f aca="false">(Yield_Originals!$J148*Yield_Originals!Z$1)/Yield_Originals!$K148</f>
        <v>0.0833718653348103</v>
      </c>
      <c r="AA148" s="112" t="n">
        <f aca="false">(Yield_Originals!$J148*Yield_Originals!AA$1)/Yield_Originals!$K148</f>
        <v>0.0851842971899148</v>
      </c>
      <c r="AB148" s="112" t="n">
        <f aca="false">(Yield_Originals!$J148*Yield_Originals!AB$1)/Yield_Originals!$K148</f>
        <v>0.0869967290450194</v>
      </c>
    </row>
    <row r="149" customFormat="false" ht="15" hidden="false" customHeight="false" outlineLevel="0" collapsed="false">
      <c r="A149" s="70" t="s">
        <v>813</v>
      </c>
      <c r="B149" s="68" t="n">
        <v>2</v>
      </c>
      <c r="C149" s="114" t="s">
        <v>742</v>
      </c>
      <c r="D149" s="114" t="s">
        <v>826</v>
      </c>
      <c r="E149" s="104" t="n">
        <v>16</v>
      </c>
      <c r="F149" s="106" t="n">
        <v>0.047920198716335</v>
      </c>
      <c r="G149" s="106" t="n">
        <v>0.047920198716335</v>
      </c>
      <c r="H149" s="106" t="n">
        <f aca="false">+(Yield_Originals!I149+Yield_Originals!G149)/2</f>
        <v>0.0497878218045477</v>
      </c>
      <c r="I149" s="106" t="n">
        <v>0.0516554448927604</v>
      </c>
      <c r="J149" s="106" t="n">
        <v>0.0483315161361219</v>
      </c>
      <c r="K149" s="107" t="n">
        <v>1</v>
      </c>
      <c r="L149" s="108" t="n">
        <f aca="false">(Yield_Originals!$G149*Yield_Originals!L$1)/Yield_Originals!$K149</f>
        <v>0.057504238459602</v>
      </c>
      <c r="M149" s="108" t="n">
        <f aca="false">(Yield_Originals!$G149*Yield_Originals!M$1)/Yield_Originals!$K149</f>
        <v>0.0593012459114646</v>
      </c>
      <c r="N149" s="108" t="n">
        <f aca="false">(Yield_Originals!$G149*Yield_Originals!N$1)/Yield_Originals!$K149</f>
        <v>0.0610982533633271</v>
      </c>
      <c r="O149" s="108" t="n">
        <f aca="false">(Yield_Originals!$G149*Yield_Originals!O$1)/Yield_Originals!$K149</f>
        <v>0.0628952608151897</v>
      </c>
      <c r="P149" s="109" t="n">
        <f aca="false">(Yield_Originals!$H149*Yield_Originals!P$1)/Yield_Originals!$K149</f>
        <v>0.0672135594361394</v>
      </c>
      <c r="Q149" s="109" t="n">
        <f aca="false">(Yield_Originals!$H149*Yield_Originals!Q$1)/Yield_Originals!$K149</f>
        <v>0.06908060275381</v>
      </c>
      <c r="R149" s="109" t="n">
        <f aca="false">(Yield_Originals!$H149*Yield_Originals!R$1)/Yield_Originals!$K149</f>
        <v>0.0709476460714805</v>
      </c>
      <c r="S149" s="109" t="n">
        <f aca="false">(Yield_Originals!$H149*Yield_Originals!S$1)/Yield_Originals!$K149</f>
        <v>0.072814689389151</v>
      </c>
      <c r="T149" s="111" t="n">
        <f aca="false">(Yield_Originals!$I149*Yield_Originals!T$1)/Yield_Originals!$K149</f>
        <v>0.0774831673391406</v>
      </c>
      <c r="U149" s="111" t="n">
        <f aca="false">(Yield_Originals!$I149*Yield_Originals!U$1)/Yield_Originals!$K149</f>
        <v>0.0794202465226191</v>
      </c>
      <c r="V149" s="111" t="n">
        <f aca="false">(Yield_Originals!$I149*Yield_Originals!V$1)/Yield_Originals!$K149</f>
        <v>0.0813573257060977</v>
      </c>
      <c r="W149" s="111" t="n">
        <f aca="false">(Yield_Originals!$I149*Yield_Originals!W$1)/Yield_Originals!$K149</f>
        <v>0.0832944048895761</v>
      </c>
      <c r="X149" s="112" t="n">
        <f aca="false">(Yield_Originals!$J149*Yield_Originals!X$1)/Yield_Originals!$K149</f>
        <v>0.0797470016246011</v>
      </c>
      <c r="Y149" s="112" t="n">
        <f aca="false">(Yield_Originals!$J149*Yield_Originals!Y$1)/Yield_Originals!$K149</f>
        <v>0.0815594334797057</v>
      </c>
      <c r="Z149" s="112" t="n">
        <f aca="false">(Yield_Originals!$J149*Yield_Originals!Z$1)/Yield_Originals!$K149</f>
        <v>0.0833718653348103</v>
      </c>
      <c r="AA149" s="112" t="n">
        <f aca="false">(Yield_Originals!$J149*Yield_Originals!AA$1)/Yield_Originals!$K149</f>
        <v>0.0851842971899148</v>
      </c>
      <c r="AB149" s="112" t="n">
        <f aca="false">(Yield_Originals!$J149*Yield_Originals!AB$1)/Yield_Originals!$K149</f>
        <v>0.0869967290450194</v>
      </c>
    </row>
    <row r="150" customFormat="false" ht="15" hidden="false" customHeight="false" outlineLevel="0" collapsed="false">
      <c r="A150" s="70" t="s">
        <v>813</v>
      </c>
      <c r="B150" s="68" t="n">
        <v>2</v>
      </c>
      <c r="C150" s="114" t="s">
        <v>742</v>
      </c>
      <c r="D150" s="114" t="s">
        <v>826</v>
      </c>
      <c r="E150" s="104" t="n">
        <v>17</v>
      </c>
      <c r="F150" s="106" t="n">
        <v>0.047920198716335</v>
      </c>
      <c r="G150" s="106" t="n">
        <v>0.047920198716335</v>
      </c>
      <c r="H150" s="106" t="n">
        <f aca="false">+(Yield_Originals!I150+Yield_Originals!G150)/2</f>
        <v>0.0497878218045477</v>
      </c>
      <c r="I150" s="106" t="n">
        <v>0.0516554448927604</v>
      </c>
      <c r="J150" s="106" t="n">
        <v>0.0483315161361219</v>
      </c>
      <c r="K150" s="107" t="n">
        <v>1</v>
      </c>
      <c r="L150" s="108" t="n">
        <f aca="false">(Yield_Originals!$G150*Yield_Originals!L$1)/Yield_Originals!$K150</f>
        <v>0.057504238459602</v>
      </c>
      <c r="M150" s="108" t="n">
        <f aca="false">(Yield_Originals!$G150*Yield_Originals!M$1)/Yield_Originals!$K150</f>
        <v>0.0593012459114646</v>
      </c>
      <c r="N150" s="108" t="n">
        <f aca="false">(Yield_Originals!$G150*Yield_Originals!N$1)/Yield_Originals!$K150</f>
        <v>0.0610982533633271</v>
      </c>
      <c r="O150" s="108" t="n">
        <f aca="false">(Yield_Originals!$G150*Yield_Originals!O$1)/Yield_Originals!$K150</f>
        <v>0.0628952608151897</v>
      </c>
      <c r="P150" s="109" t="n">
        <f aca="false">(Yield_Originals!$H150*Yield_Originals!P$1)/Yield_Originals!$K150</f>
        <v>0.0672135594361394</v>
      </c>
      <c r="Q150" s="109" t="n">
        <f aca="false">(Yield_Originals!$H150*Yield_Originals!Q$1)/Yield_Originals!$K150</f>
        <v>0.06908060275381</v>
      </c>
      <c r="R150" s="109" t="n">
        <f aca="false">(Yield_Originals!$H150*Yield_Originals!R$1)/Yield_Originals!$K150</f>
        <v>0.0709476460714805</v>
      </c>
      <c r="S150" s="109" t="n">
        <f aca="false">(Yield_Originals!$H150*Yield_Originals!S$1)/Yield_Originals!$K150</f>
        <v>0.072814689389151</v>
      </c>
      <c r="T150" s="111" t="n">
        <f aca="false">(Yield_Originals!$I150*Yield_Originals!T$1)/Yield_Originals!$K150</f>
        <v>0.0774831673391406</v>
      </c>
      <c r="U150" s="111" t="n">
        <f aca="false">(Yield_Originals!$I150*Yield_Originals!U$1)/Yield_Originals!$K150</f>
        <v>0.0794202465226191</v>
      </c>
      <c r="V150" s="111" t="n">
        <f aca="false">(Yield_Originals!$I150*Yield_Originals!V$1)/Yield_Originals!$K150</f>
        <v>0.0813573257060977</v>
      </c>
      <c r="W150" s="111" t="n">
        <f aca="false">(Yield_Originals!$I150*Yield_Originals!W$1)/Yield_Originals!$K150</f>
        <v>0.0832944048895761</v>
      </c>
      <c r="X150" s="112" t="n">
        <f aca="false">(Yield_Originals!$J150*Yield_Originals!X$1)/Yield_Originals!$K150</f>
        <v>0.0797470016246011</v>
      </c>
      <c r="Y150" s="112" t="n">
        <f aca="false">(Yield_Originals!$J150*Yield_Originals!Y$1)/Yield_Originals!$K150</f>
        <v>0.0815594334797057</v>
      </c>
      <c r="Z150" s="112" t="n">
        <f aca="false">(Yield_Originals!$J150*Yield_Originals!Z$1)/Yield_Originals!$K150</f>
        <v>0.0833718653348103</v>
      </c>
      <c r="AA150" s="112" t="n">
        <f aca="false">(Yield_Originals!$J150*Yield_Originals!AA$1)/Yield_Originals!$K150</f>
        <v>0.0851842971899148</v>
      </c>
      <c r="AB150" s="112" t="n">
        <f aca="false">(Yield_Originals!$J150*Yield_Originals!AB$1)/Yield_Originals!$K150</f>
        <v>0.0869967290450194</v>
      </c>
    </row>
    <row r="151" customFormat="false" ht="15" hidden="false" customHeight="false" outlineLevel="0" collapsed="false">
      <c r="A151" s="70" t="s">
        <v>813</v>
      </c>
      <c r="B151" s="68" t="n">
        <v>2</v>
      </c>
      <c r="C151" s="114" t="s">
        <v>742</v>
      </c>
      <c r="D151" s="114" t="s">
        <v>826</v>
      </c>
      <c r="E151" s="104" t="n">
        <v>18</v>
      </c>
      <c r="F151" s="106" t="n">
        <v>0.047920198716335</v>
      </c>
      <c r="G151" s="106" t="n">
        <v>0.047920198716335</v>
      </c>
      <c r="H151" s="106" t="n">
        <f aca="false">+(Yield_Originals!I151+Yield_Originals!G151)/2</f>
        <v>0.0497878218045477</v>
      </c>
      <c r="I151" s="106" t="n">
        <v>0.0516554448927604</v>
      </c>
      <c r="J151" s="106" t="n">
        <v>0.0483315161361219</v>
      </c>
      <c r="K151" s="107" t="n">
        <v>1</v>
      </c>
      <c r="L151" s="108" t="n">
        <f aca="false">(Yield_Originals!$G151*Yield_Originals!L$1)/Yield_Originals!$K151</f>
        <v>0.057504238459602</v>
      </c>
      <c r="M151" s="108" t="n">
        <f aca="false">(Yield_Originals!$G151*Yield_Originals!M$1)/Yield_Originals!$K151</f>
        <v>0.0593012459114646</v>
      </c>
      <c r="N151" s="108" t="n">
        <f aca="false">(Yield_Originals!$G151*Yield_Originals!N$1)/Yield_Originals!$K151</f>
        <v>0.0610982533633271</v>
      </c>
      <c r="O151" s="108" t="n">
        <f aca="false">(Yield_Originals!$G151*Yield_Originals!O$1)/Yield_Originals!$K151</f>
        <v>0.0628952608151897</v>
      </c>
      <c r="P151" s="109" t="n">
        <f aca="false">(Yield_Originals!$H151*Yield_Originals!P$1)/Yield_Originals!$K151</f>
        <v>0.0672135594361394</v>
      </c>
      <c r="Q151" s="109" t="n">
        <f aca="false">(Yield_Originals!$H151*Yield_Originals!Q$1)/Yield_Originals!$K151</f>
        <v>0.06908060275381</v>
      </c>
      <c r="R151" s="109" t="n">
        <f aca="false">(Yield_Originals!$H151*Yield_Originals!R$1)/Yield_Originals!$K151</f>
        <v>0.0709476460714805</v>
      </c>
      <c r="S151" s="109" t="n">
        <f aca="false">(Yield_Originals!$H151*Yield_Originals!S$1)/Yield_Originals!$K151</f>
        <v>0.072814689389151</v>
      </c>
      <c r="T151" s="111" t="n">
        <f aca="false">(Yield_Originals!$I151*Yield_Originals!T$1)/Yield_Originals!$K151</f>
        <v>0.0774831673391406</v>
      </c>
      <c r="U151" s="111" t="n">
        <f aca="false">(Yield_Originals!$I151*Yield_Originals!U$1)/Yield_Originals!$K151</f>
        <v>0.0794202465226191</v>
      </c>
      <c r="V151" s="111" t="n">
        <f aca="false">(Yield_Originals!$I151*Yield_Originals!V$1)/Yield_Originals!$K151</f>
        <v>0.0813573257060977</v>
      </c>
      <c r="W151" s="111" t="n">
        <f aca="false">(Yield_Originals!$I151*Yield_Originals!W$1)/Yield_Originals!$K151</f>
        <v>0.0832944048895761</v>
      </c>
      <c r="X151" s="112" t="n">
        <f aca="false">(Yield_Originals!$J151*Yield_Originals!X$1)/Yield_Originals!$K151</f>
        <v>0.0797470016246011</v>
      </c>
      <c r="Y151" s="112" t="n">
        <f aca="false">(Yield_Originals!$J151*Yield_Originals!Y$1)/Yield_Originals!$K151</f>
        <v>0.0815594334797057</v>
      </c>
      <c r="Z151" s="112" t="n">
        <f aca="false">(Yield_Originals!$J151*Yield_Originals!Z$1)/Yield_Originals!$K151</f>
        <v>0.0833718653348103</v>
      </c>
      <c r="AA151" s="112" t="n">
        <f aca="false">(Yield_Originals!$J151*Yield_Originals!AA$1)/Yield_Originals!$K151</f>
        <v>0.0851842971899148</v>
      </c>
      <c r="AB151" s="112" t="n">
        <f aca="false">(Yield_Originals!$J151*Yield_Originals!AB$1)/Yield_Originals!$K151</f>
        <v>0.0869967290450194</v>
      </c>
    </row>
    <row r="152" customFormat="false" ht="15" hidden="false" customHeight="false" outlineLevel="0" collapsed="false">
      <c r="A152" s="70" t="s">
        <v>813</v>
      </c>
      <c r="B152" s="68" t="n">
        <v>2</v>
      </c>
      <c r="C152" s="114" t="s">
        <v>742</v>
      </c>
      <c r="D152" s="114" t="s">
        <v>826</v>
      </c>
      <c r="E152" s="104" t="n">
        <v>19</v>
      </c>
      <c r="F152" s="106" t="n">
        <v>0.047920198716335</v>
      </c>
      <c r="G152" s="106" t="n">
        <v>0.047920198716335</v>
      </c>
      <c r="H152" s="106" t="n">
        <f aca="false">+(Yield_Originals!I152+Yield_Originals!G152)/2</f>
        <v>0.0497878218045477</v>
      </c>
      <c r="I152" s="106" t="n">
        <v>0.0516554448927604</v>
      </c>
      <c r="J152" s="106" t="n">
        <v>0.0483315161361219</v>
      </c>
      <c r="K152" s="107" t="n">
        <v>1</v>
      </c>
      <c r="L152" s="108" t="n">
        <f aca="false">(Yield_Originals!$G152*Yield_Originals!L$1)/Yield_Originals!$K152</f>
        <v>0.057504238459602</v>
      </c>
      <c r="M152" s="108" t="n">
        <f aca="false">(Yield_Originals!$G152*Yield_Originals!M$1)/Yield_Originals!$K152</f>
        <v>0.0593012459114646</v>
      </c>
      <c r="N152" s="108" t="n">
        <f aca="false">(Yield_Originals!$G152*Yield_Originals!N$1)/Yield_Originals!$K152</f>
        <v>0.0610982533633271</v>
      </c>
      <c r="O152" s="108" t="n">
        <f aca="false">(Yield_Originals!$G152*Yield_Originals!O$1)/Yield_Originals!$K152</f>
        <v>0.0628952608151897</v>
      </c>
      <c r="P152" s="109" t="n">
        <f aca="false">(Yield_Originals!$H152*Yield_Originals!P$1)/Yield_Originals!$K152</f>
        <v>0.0672135594361394</v>
      </c>
      <c r="Q152" s="109" t="n">
        <f aca="false">(Yield_Originals!$H152*Yield_Originals!Q$1)/Yield_Originals!$K152</f>
        <v>0.06908060275381</v>
      </c>
      <c r="R152" s="109" t="n">
        <f aca="false">(Yield_Originals!$H152*Yield_Originals!R$1)/Yield_Originals!$K152</f>
        <v>0.0709476460714805</v>
      </c>
      <c r="S152" s="109" t="n">
        <f aca="false">(Yield_Originals!$H152*Yield_Originals!S$1)/Yield_Originals!$K152</f>
        <v>0.072814689389151</v>
      </c>
      <c r="T152" s="111" t="n">
        <f aca="false">(Yield_Originals!$I152*Yield_Originals!T$1)/Yield_Originals!$K152</f>
        <v>0.0774831673391406</v>
      </c>
      <c r="U152" s="111" t="n">
        <f aca="false">(Yield_Originals!$I152*Yield_Originals!U$1)/Yield_Originals!$K152</f>
        <v>0.0794202465226191</v>
      </c>
      <c r="V152" s="111" t="n">
        <f aca="false">(Yield_Originals!$I152*Yield_Originals!V$1)/Yield_Originals!$K152</f>
        <v>0.0813573257060977</v>
      </c>
      <c r="W152" s="111" t="n">
        <f aca="false">(Yield_Originals!$I152*Yield_Originals!W$1)/Yield_Originals!$K152</f>
        <v>0.0832944048895761</v>
      </c>
      <c r="X152" s="112" t="n">
        <f aca="false">(Yield_Originals!$J152*Yield_Originals!X$1)/Yield_Originals!$K152</f>
        <v>0.0797470016246011</v>
      </c>
      <c r="Y152" s="112" t="n">
        <f aca="false">(Yield_Originals!$J152*Yield_Originals!Y$1)/Yield_Originals!$K152</f>
        <v>0.0815594334797057</v>
      </c>
      <c r="Z152" s="112" t="n">
        <f aca="false">(Yield_Originals!$J152*Yield_Originals!Z$1)/Yield_Originals!$K152</f>
        <v>0.0833718653348103</v>
      </c>
      <c r="AA152" s="112" t="n">
        <f aca="false">(Yield_Originals!$J152*Yield_Originals!AA$1)/Yield_Originals!$K152</f>
        <v>0.0851842971899148</v>
      </c>
      <c r="AB152" s="112" t="n">
        <f aca="false">(Yield_Originals!$J152*Yield_Originals!AB$1)/Yield_Originals!$K152</f>
        <v>0.0869967290450194</v>
      </c>
    </row>
    <row r="153" customFormat="false" ht="15" hidden="false" customHeight="false" outlineLevel="0" collapsed="false">
      <c r="A153" s="70" t="s">
        <v>813</v>
      </c>
      <c r="B153" s="68" t="n">
        <v>2</v>
      </c>
      <c r="C153" s="114" t="s">
        <v>742</v>
      </c>
      <c r="D153" s="114" t="s">
        <v>826</v>
      </c>
      <c r="E153" s="104" t="n">
        <v>20</v>
      </c>
      <c r="F153" s="106" t="n">
        <v>0.047920198716335</v>
      </c>
      <c r="G153" s="106" t="n">
        <v>0.047920198716335</v>
      </c>
      <c r="H153" s="106" t="n">
        <f aca="false">+(Yield_Originals!I153+Yield_Originals!G153)/2</f>
        <v>0.0497878218045477</v>
      </c>
      <c r="I153" s="106" t="n">
        <v>0.0516554448927604</v>
      </c>
      <c r="J153" s="106" t="n">
        <v>0.0483315161361219</v>
      </c>
      <c r="K153" s="107" t="n">
        <v>1</v>
      </c>
      <c r="L153" s="108" t="n">
        <f aca="false">(Yield_Originals!$G153*Yield_Originals!L$1)/Yield_Originals!$K153</f>
        <v>0.057504238459602</v>
      </c>
      <c r="M153" s="108" t="n">
        <f aca="false">(Yield_Originals!$G153*Yield_Originals!M$1)/Yield_Originals!$K153</f>
        <v>0.0593012459114646</v>
      </c>
      <c r="N153" s="108" t="n">
        <f aca="false">(Yield_Originals!$G153*Yield_Originals!N$1)/Yield_Originals!$K153</f>
        <v>0.0610982533633271</v>
      </c>
      <c r="O153" s="108" t="n">
        <f aca="false">(Yield_Originals!$G153*Yield_Originals!O$1)/Yield_Originals!$K153</f>
        <v>0.0628952608151897</v>
      </c>
      <c r="P153" s="109" t="n">
        <f aca="false">(Yield_Originals!$H153*Yield_Originals!P$1)/Yield_Originals!$K153</f>
        <v>0.0672135594361394</v>
      </c>
      <c r="Q153" s="109" t="n">
        <f aca="false">(Yield_Originals!$H153*Yield_Originals!Q$1)/Yield_Originals!$K153</f>
        <v>0.06908060275381</v>
      </c>
      <c r="R153" s="109" t="n">
        <f aca="false">(Yield_Originals!$H153*Yield_Originals!R$1)/Yield_Originals!$K153</f>
        <v>0.0709476460714805</v>
      </c>
      <c r="S153" s="109" t="n">
        <f aca="false">(Yield_Originals!$H153*Yield_Originals!S$1)/Yield_Originals!$K153</f>
        <v>0.072814689389151</v>
      </c>
      <c r="T153" s="111" t="n">
        <f aca="false">(Yield_Originals!$I153*Yield_Originals!T$1)/Yield_Originals!$K153</f>
        <v>0.0774831673391406</v>
      </c>
      <c r="U153" s="111" t="n">
        <f aca="false">(Yield_Originals!$I153*Yield_Originals!U$1)/Yield_Originals!$K153</f>
        <v>0.0794202465226191</v>
      </c>
      <c r="V153" s="111" t="n">
        <f aca="false">(Yield_Originals!$I153*Yield_Originals!V$1)/Yield_Originals!$K153</f>
        <v>0.0813573257060977</v>
      </c>
      <c r="W153" s="111" t="n">
        <f aca="false">(Yield_Originals!$I153*Yield_Originals!W$1)/Yield_Originals!$K153</f>
        <v>0.0832944048895761</v>
      </c>
      <c r="X153" s="112" t="n">
        <f aca="false">(Yield_Originals!$J153*Yield_Originals!X$1)/Yield_Originals!$K153</f>
        <v>0.0797470016246011</v>
      </c>
      <c r="Y153" s="112" t="n">
        <f aca="false">(Yield_Originals!$J153*Yield_Originals!Y$1)/Yield_Originals!$K153</f>
        <v>0.0815594334797057</v>
      </c>
      <c r="Z153" s="112" t="n">
        <f aca="false">(Yield_Originals!$J153*Yield_Originals!Z$1)/Yield_Originals!$K153</f>
        <v>0.0833718653348103</v>
      </c>
      <c r="AA153" s="112" t="n">
        <f aca="false">(Yield_Originals!$J153*Yield_Originals!AA$1)/Yield_Originals!$K153</f>
        <v>0.0851842971899148</v>
      </c>
      <c r="AB153" s="112" t="n">
        <f aca="false">(Yield_Originals!$J153*Yield_Originals!AB$1)/Yield_Originals!$K153</f>
        <v>0.0869967290450194</v>
      </c>
    </row>
    <row r="154" customFormat="false" ht="15" hidden="false" customHeight="false" outlineLevel="0" collapsed="false">
      <c r="A154" s="70" t="s">
        <v>813</v>
      </c>
      <c r="B154" s="68" t="n">
        <v>2</v>
      </c>
      <c r="C154" s="114" t="s">
        <v>742</v>
      </c>
      <c r="D154" s="114" t="s">
        <v>826</v>
      </c>
      <c r="E154" s="104" t="n">
        <v>21</v>
      </c>
      <c r="F154" s="106" t="n">
        <v>0.047920198716335</v>
      </c>
      <c r="G154" s="106" t="n">
        <v>0.047920198716335</v>
      </c>
      <c r="H154" s="106" t="n">
        <f aca="false">+(Yield_Originals!I154+Yield_Originals!G154)/2</f>
        <v>0.0497878218045477</v>
      </c>
      <c r="I154" s="106" t="n">
        <v>0.0516554448927604</v>
      </c>
      <c r="J154" s="106" t="n">
        <v>0.0483315161361219</v>
      </c>
      <c r="K154" s="107" t="n">
        <v>1</v>
      </c>
      <c r="L154" s="108" t="n">
        <f aca="false">(Yield_Originals!$G154*Yield_Originals!L$1)/Yield_Originals!$K154</f>
        <v>0.057504238459602</v>
      </c>
      <c r="M154" s="108" t="n">
        <f aca="false">(Yield_Originals!$G154*Yield_Originals!M$1)/Yield_Originals!$K154</f>
        <v>0.0593012459114646</v>
      </c>
      <c r="N154" s="108" t="n">
        <f aca="false">(Yield_Originals!$G154*Yield_Originals!N$1)/Yield_Originals!$K154</f>
        <v>0.0610982533633271</v>
      </c>
      <c r="O154" s="108" t="n">
        <f aca="false">(Yield_Originals!$G154*Yield_Originals!O$1)/Yield_Originals!$K154</f>
        <v>0.0628952608151897</v>
      </c>
      <c r="P154" s="109" t="n">
        <f aca="false">(Yield_Originals!$H154*Yield_Originals!P$1)/Yield_Originals!$K154</f>
        <v>0.0672135594361394</v>
      </c>
      <c r="Q154" s="109" t="n">
        <f aca="false">(Yield_Originals!$H154*Yield_Originals!Q$1)/Yield_Originals!$K154</f>
        <v>0.06908060275381</v>
      </c>
      <c r="R154" s="109" t="n">
        <f aca="false">(Yield_Originals!$H154*Yield_Originals!R$1)/Yield_Originals!$K154</f>
        <v>0.0709476460714805</v>
      </c>
      <c r="S154" s="109" t="n">
        <f aca="false">(Yield_Originals!$H154*Yield_Originals!S$1)/Yield_Originals!$K154</f>
        <v>0.072814689389151</v>
      </c>
      <c r="T154" s="111" t="n">
        <f aca="false">(Yield_Originals!$I154*Yield_Originals!T$1)/Yield_Originals!$K154</f>
        <v>0.0774831673391406</v>
      </c>
      <c r="U154" s="111" t="n">
        <f aca="false">(Yield_Originals!$I154*Yield_Originals!U$1)/Yield_Originals!$K154</f>
        <v>0.0794202465226191</v>
      </c>
      <c r="V154" s="111" t="n">
        <f aca="false">(Yield_Originals!$I154*Yield_Originals!V$1)/Yield_Originals!$K154</f>
        <v>0.0813573257060977</v>
      </c>
      <c r="W154" s="111" t="n">
        <f aca="false">(Yield_Originals!$I154*Yield_Originals!W$1)/Yield_Originals!$K154</f>
        <v>0.0832944048895761</v>
      </c>
      <c r="X154" s="112" t="n">
        <f aca="false">(Yield_Originals!$J154*Yield_Originals!X$1)/Yield_Originals!$K154</f>
        <v>0.0797470016246011</v>
      </c>
      <c r="Y154" s="112" t="n">
        <f aca="false">(Yield_Originals!$J154*Yield_Originals!Y$1)/Yield_Originals!$K154</f>
        <v>0.0815594334797057</v>
      </c>
      <c r="Z154" s="112" t="n">
        <f aca="false">(Yield_Originals!$J154*Yield_Originals!Z$1)/Yield_Originals!$K154</f>
        <v>0.0833718653348103</v>
      </c>
      <c r="AA154" s="112" t="n">
        <f aca="false">(Yield_Originals!$J154*Yield_Originals!AA$1)/Yield_Originals!$K154</f>
        <v>0.0851842971899148</v>
      </c>
      <c r="AB154" s="112" t="n">
        <f aca="false">(Yield_Originals!$J154*Yield_Originals!AB$1)/Yield_Originals!$K154</f>
        <v>0.0869967290450194</v>
      </c>
    </row>
    <row r="155" customFormat="false" ht="15" hidden="false" customHeight="false" outlineLevel="0" collapsed="false">
      <c r="A155" s="70" t="s">
        <v>843</v>
      </c>
      <c r="B155" s="68" t="n">
        <v>3</v>
      </c>
      <c r="C155" s="114" t="s">
        <v>228</v>
      </c>
      <c r="D155" s="114" t="s">
        <v>847</v>
      </c>
      <c r="E155" s="104" t="n">
        <v>27</v>
      </c>
      <c r="F155" s="106" t="n">
        <v>0.197549546027287</v>
      </c>
      <c r="G155" s="106" t="n">
        <v>0.197549546027287</v>
      </c>
      <c r="H155" s="106" t="n">
        <v>0.247224301507888</v>
      </c>
      <c r="I155" s="106" t="n">
        <v>0.257984112860373</v>
      </c>
      <c r="J155" s="106" t="n">
        <v>0.257984112860373</v>
      </c>
      <c r="K155" s="107" t="n">
        <v>1</v>
      </c>
      <c r="L155" s="108"/>
      <c r="M155" s="108"/>
      <c r="N155" s="108"/>
      <c r="O155" s="108"/>
      <c r="P155" s="109"/>
      <c r="Q155" s="109"/>
      <c r="R155" s="109"/>
      <c r="S155" s="109" t="n">
        <f aca="false">(Yield_Originals!$H155*Yield_Originals!S$1)/Yield_Originals!$K155</f>
        <v>0.361565540955286</v>
      </c>
      <c r="T155" s="111" t="n">
        <f aca="false">(Yield_Originals!$I155*Yield_Originals!T$1)/Yield_Originals!$K155</f>
        <v>0.38697616929056</v>
      </c>
      <c r="U155" s="111" t="n">
        <f aca="false">(Yield_Originals!$I155*Yield_Originals!U$1)/Yield_Originals!$K155</f>
        <v>0.396650573522824</v>
      </c>
      <c r="V155" s="111" t="n">
        <f aca="false">(Yield_Originals!$I155*Yield_Originals!V$1)/Yield_Originals!$K155</f>
        <v>0.406324977755088</v>
      </c>
      <c r="W155" s="111" t="n">
        <f aca="false">(Yield_Originals!$I155*Yield_Originals!W$1)/Yield_Originals!$K155</f>
        <v>0.415999381987352</v>
      </c>
      <c r="X155" s="112" t="n">
        <f aca="false">(Yield_Originals!$J155*Yield_Originals!X$1)/Yield_Originals!$K155</f>
        <v>0.425673786219616</v>
      </c>
      <c r="Y155" s="112" t="n">
        <f aca="false">(Yield_Originals!$J155*Yield_Originals!Y$1)/Yield_Originals!$K155</f>
        <v>0.435348190451879</v>
      </c>
      <c r="Z155" s="112" t="n">
        <f aca="false">(Yield_Originals!$J155*Yield_Originals!Z$1)/Yield_Originals!$K155</f>
        <v>0.445022594684143</v>
      </c>
      <c r="AA155" s="112" t="n">
        <f aca="false">(Yield_Originals!$J155*Yield_Originals!AA$1)/Yield_Originals!$K155</f>
        <v>0.454696998916407</v>
      </c>
      <c r="AB155" s="112" t="n">
        <f aca="false">(Yield_Originals!$J155*Yield_Originals!AB$1)/Yield_Originals!$K155</f>
        <v>0.464371403148671</v>
      </c>
    </row>
    <row r="156" customFormat="false" ht="15" hidden="false" customHeight="false" outlineLevel="0" collapsed="false">
      <c r="A156" s="70" t="s">
        <v>843</v>
      </c>
      <c r="B156" s="68" t="n">
        <v>3</v>
      </c>
      <c r="C156" s="114" t="s">
        <v>124</v>
      </c>
      <c r="D156" s="114" t="s">
        <v>842</v>
      </c>
      <c r="E156" s="104" t="n">
        <v>27</v>
      </c>
      <c r="F156" s="106" t="n">
        <v>0.197549546027287</v>
      </c>
      <c r="G156" s="106" t="n">
        <v>0.197549546027287</v>
      </c>
      <c r="H156" s="106" t="n">
        <v>0.247224301507888</v>
      </c>
      <c r="I156" s="106" t="n">
        <v>0.257984112860373</v>
      </c>
      <c r="J156" s="106" t="n">
        <v>0.257984112860373</v>
      </c>
      <c r="K156" s="107" t="n">
        <v>1</v>
      </c>
      <c r="L156" s="108" t="n">
        <f aca="false">(Yield_Originals!$G156*Yield_Originals!L$1)/Yield_Originals!$K156</f>
        <v>0.237059455232744</v>
      </c>
      <c r="M156" s="108" t="n">
        <f aca="false">(Yield_Originals!$G156*Yield_Originals!M$1)/Yield_Originals!$K156</f>
        <v>0.244467563208768</v>
      </c>
      <c r="N156" s="108" t="n">
        <f aca="false">(Yield_Originals!$G156*Yield_Originals!N$1)/Yield_Originals!$K156</f>
        <v>0.251875671184791</v>
      </c>
      <c r="O156" s="108" t="n">
        <f aca="false">(Yield_Originals!$G156*Yield_Originals!O$1)/Yield_Originals!$K156</f>
        <v>0.259283779160814</v>
      </c>
      <c r="P156" s="109" t="n">
        <f aca="false">(Yield_Originals!$H156*Yield_Originals!P$1)/Yield_Originals!$K156</f>
        <v>0.333752807035649</v>
      </c>
      <c r="Q156" s="109" t="n">
        <f aca="false">(Yield_Originals!$H156*Yield_Originals!Q$1)/Yield_Originals!$K156</f>
        <v>0.343023718342195</v>
      </c>
      <c r="R156" s="109" t="n">
        <f aca="false">(Yield_Originals!$H156*Yield_Originals!R$1)/Yield_Originals!$K156</f>
        <v>0.35229462964874</v>
      </c>
      <c r="S156" s="109" t="n">
        <f aca="false">(Yield_Originals!$H156*Yield_Originals!S$1)/Yield_Originals!$K156</f>
        <v>0.361565540955286</v>
      </c>
      <c r="T156" s="111" t="n">
        <f aca="false">(Yield_Originals!$I156*Yield_Originals!T$1)/Yield_Originals!$K156</f>
        <v>0.38697616929056</v>
      </c>
      <c r="U156" s="111" t="n">
        <f aca="false">(Yield_Originals!$I156*Yield_Originals!U$1)/Yield_Originals!$K156</f>
        <v>0.396650573522824</v>
      </c>
      <c r="V156" s="111" t="n">
        <f aca="false">(Yield_Originals!$I156*Yield_Originals!V$1)/Yield_Originals!$K156</f>
        <v>0.406324977755088</v>
      </c>
      <c r="W156" s="111" t="n">
        <f aca="false">(Yield_Originals!$I156*Yield_Originals!W$1)/Yield_Originals!$K156</f>
        <v>0.415999381987352</v>
      </c>
      <c r="X156" s="112" t="n">
        <f aca="false">(Yield_Originals!$J156*Yield_Originals!X$1)/Yield_Originals!$K156</f>
        <v>0.425673786219616</v>
      </c>
      <c r="Y156" s="112" t="n">
        <f aca="false">(Yield_Originals!$J156*Yield_Originals!Y$1)/Yield_Originals!$K156</f>
        <v>0.435348190451879</v>
      </c>
      <c r="Z156" s="112" t="n">
        <f aca="false">(Yield_Originals!$J156*Yield_Originals!Z$1)/Yield_Originals!$K156</f>
        <v>0.445022594684143</v>
      </c>
      <c r="AA156" s="112" t="n">
        <f aca="false">(Yield_Originals!$J156*Yield_Originals!AA$1)/Yield_Originals!$K156</f>
        <v>0.454696998916407</v>
      </c>
      <c r="AB156" s="112" t="n">
        <f aca="false">(Yield_Originals!$J156*Yield_Originals!AB$1)/Yield_Originals!$K156</f>
        <v>0.464371403148671</v>
      </c>
    </row>
    <row r="157" customFormat="false" ht="15" hidden="false" customHeight="false" outlineLevel="0" collapsed="false">
      <c r="A157" s="70" t="s">
        <v>843</v>
      </c>
      <c r="B157" s="68" t="n">
        <v>3</v>
      </c>
      <c r="C157" s="114" t="s">
        <v>229</v>
      </c>
      <c r="D157" s="114" t="s">
        <v>845</v>
      </c>
      <c r="E157" s="104" t="n">
        <v>27</v>
      </c>
      <c r="F157" s="106" t="n">
        <v>0.197549546027287</v>
      </c>
      <c r="G157" s="106" t="n">
        <v>0.197549546027287</v>
      </c>
      <c r="H157" s="106" t="n">
        <v>0.247224301507888</v>
      </c>
      <c r="I157" s="106" t="n">
        <v>0.257984112860373</v>
      </c>
      <c r="J157" s="106" t="n">
        <v>0.257984112860373</v>
      </c>
      <c r="K157" s="107" t="n">
        <v>1</v>
      </c>
      <c r="L157" s="108" t="n">
        <f aca="false">(Yield_Originals!$G157*Yield_Originals!L$1)/Yield_Originals!$K157</f>
        <v>0.237059455232744</v>
      </c>
      <c r="M157" s="108" t="n">
        <f aca="false">(Yield_Originals!$G157*Yield_Originals!M$1)/Yield_Originals!$K157</f>
        <v>0.244467563208768</v>
      </c>
      <c r="N157" s="108" t="n">
        <f aca="false">(Yield_Originals!$G157*Yield_Originals!N$1)/Yield_Originals!$K157</f>
        <v>0.251875671184791</v>
      </c>
      <c r="O157" s="108" t="n">
        <f aca="false">(Yield_Originals!$G157*Yield_Originals!O$1)/Yield_Originals!$K157</f>
        <v>0.259283779160814</v>
      </c>
      <c r="P157" s="109" t="n">
        <f aca="false">(Yield_Originals!$H157*Yield_Originals!P$1)/Yield_Originals!$K157</f>
        <v>0.333752807035649</v>
      </c>
      <c r="Q157" s="109" t="n">
        <f aca="false">(Yield_Originals!$H157*Yield_Originals!Q$1)/Yield_Originals!$K157</f>
        <v>0.343023718342195</v>
      </c>
      <c r="R157" s="109" t="n">
        <f aca="false">(Yield_Originals!$H157*Yield_Originals!R$1)/Yield_Originals!$K157</f>
        <v>0.35229462964874</v>
      </c>
      <c r="S157" s="109" t="n">
        <f aca="false">(Yield_Originals!$H157*Yield_Originals!S$1)/Yield_Originals!$K157</f>
        <v>0.361565540955286</v>
      </c>
      <c r="T157" s="111" t="n">
        <f aca="false">(Yield_Originals!$I157*Yield_Originals!T$1)/Yield_Originals!$K157</f>
        <v>0.38697616929056</v>
      </c>
      <c r="U157" s="111" t="n">
        <f aca="false">(Yield_Originals!$I157*Yield_Originals!U$1)/Yield_Originals!$K157</f>
        <v>0.396650573522824</v>
      </c>
      <c r="V157" s="111" t="n">
        <f aca="false">(Yield_Originals!$I157*Yield_Originals!V$1)/Yield_Originals!$K157</f>
        <v>0.406324977755088</v>
      </c>
      <c r="W157" s="111" t="n">
        <f aca="false">(Yield_Originals!$I157*Yield_Originals!W$1)/Yield_Originals!$K157</f>
        <v>0.415999381987352</v>
      </c>
      <c r="X157" s="112" t="n">
        <f aca="false">(Yield_Originals!$J157*Yield_Originals!X$1)/Yield_Originals!$K157</f>
        <v>0.425673786219616</v>
      </c>
      <c r="Y157" s="112" t="n">
        <f aca="false">(Yield_Originals!$J157*Yield_Originals!Y$1)/Yield_Originals!$K157</f>
        <v>0.435348190451879</v>
      </c>
      <c r="Z157" s="112" t="n">
        <f aca="false">(Yield_Originals!$J157*Yield_Originals!Z$1)/Yield_Originals!$K157</f>
        <v>0.445022594684143</v>
      </c>
      <c r="AA157" s="112" t="n">
        <f aca="false">(Yield_Originals!$J157*Yield_Originals!AA$1)/Yield_Originals!$K157</f>
        <v>0.454696998916407</v>
      </c>
      <c r="AB157" s="112" t="n">
        <f aca="false">(Yield_Originals!$J157*Yield_Originals!AB$1)/Yield_Originals!$K157</f>
        <v>0.464371403148671</v>
      </c>
    </row>
    <row r="158" customFormat="false" ht="15" hidden="false" customHeight="false" outlineLevel="0" collapsed="false">
      <c r="A158" s="70" t="s">
        <v>843</v>
      </c>
      <c r="B158" s="68" t="n">
        <v>3</v>
      </c>
      <c r="C158" s="114" t="s">
        <v>752</v>
      </c>
      <c r="D158" s="114" t="s">
        <v>849</v>
      </c>
      <c r="E158" s="104" t="n">
        <v>27</v>
      </c>
      <c r="F158" s="106" t="n">
        <v>0.197549546027287</v>
      </c>
      <c r="G158" s="106" t="n">
        <v>0.197549546027287</v>
      </c>
      <c r="H158" s="106" t="n">
        <v>0.247224301507888</v>
      </c>
      <c r="I158" s="106" t="n">
        <v>0.257984112860373</v>
      </c>
      <c r="J158" s="106" t="n">
        <v>0.257984112860373</v>
      </c>
      <c r="K158" s="107" t="n">
        <v>1</v>
      </c>
      <c r="L158" s="108" t="n">
        <f aca="false">(Yield_Originals!$G158*Yield_Originals!L$1)/Yield_Originals!$K158</f>
        <v>0.237059455232744</v>
      </c>
      <c r="M158" s="108" t="n">
        <f aca="false">(Yield_Originals!$G158*Yield_Originals!M$1)/Yield_Originals!$K158</f>
        <v>0.244467563208768</v>
      </c>
      <c r="N158" s="108" t="n">
        <f aca="false">(Yield_Originals!$G158*Yield_Originals!N$1)/Yield_Originals!$K158</f>
        <v>0.251875671184791</v>
      </c>
      <c r="O158" s="108" t="n">
        <f aca="false">(Yield_Originals!$G158*Yield_Originals!O$1)/Yield_Originals!$K158</f>
        <v>0.259283779160814</v>
      </c>
      <c r="P158" s="109" t="n">
        <f aca="false">(Yield_Originals!$H158*Yield_Originals!P$1)/Yield_Originals!$K158</f>
        <v>0.333752807035649</v>
      </c>
      <c r="Q158" s="109" t="n">
        <f aca="false">(Yield_Originals!$H158*Yield_Originals!Q$1)/Yield_Originals!$K158</f>
        <v>0.343023718342195</v>
      </c>
      <c r="R158" s="109" t="n">
        <f aca="false">(Yield_Originals!$H158*Yield_Originals!R$1)/Yield_Originals!$K158</f>
        <v>0.35229462964874</v>
      </c>
      <c r="S158" s="109" t="n">
        <f aca="false">(Yield_Originals!$H158*Yield_Originals!S$1)/Yield_Originals!$K158</f>
        <v>0.361565540955286</v>
      </c>
      <c r="T158" s="111" t="n">
        <f aca="false">(Yield_Originals!$I158*Yield_Originals!T$1)/Yield_Originals!$K158</f>
        <v>0.38697616929056</v>
      </c>
      <c r="U158" s="111" t="n">
        <f aca="false">(Yield_Originals!$I158*Yield_Originals!U$1)/Yield_Originals!$K158</f>
        <v>0.396650573522824</v>
      </c>
      <c r="V158" s="111" t="n">
        <f aca="false">(Yield_Originals!$I158*Yield_Originals!V$1)/Yield_Originals!$K158</f>
        <v>0.406324977755088</v>
      </c>
      <c r="W158" s="111" t="n">
        <f aca="false">(Yield_Originals!$I158*Yield_Originals!W$1)/Yield_Originals!$K158</f>
        <v>0.415999381987352</v>
      </c>
      <c r="X158" s="112" t="n">
        <f aca="false">(Yield_Originals!$J158*Yield_Originals!X$1)/Yield_Originals!$K158</f>
        <v>0.425673786219616</v>
      </c>
      <c r="Y158" s="112" t="n">
        <f aca="false">(Yield_Originals!$J158*Yield_Originals!Y$1)/Yield_Originals!$K158</f>
        <v>0.435348190451879</v>
      </c>
      <c r="Z158" s="112" t="n">
        <f aca="false">(Yield_Originals!$J158*Yield_Originals!Z$1)/Yield_Originals!$K158</f>
        <v>0.445022594684143</v>
      </c>
      <c r="AA158" s="112" t="n">
        <f aca="false">(Yield_Originals!$J158*Yield_Originals!AA$1)/Yield_Originals!$K158</f>
        <v>0.454696998916407</v>
      </c>
      <c r="AB158" s="112" t="n">
        <f aca="false">(Yield_Originals!$J158*Yield_Originals!AB$1)/Yield_Originals!$K158</f>
        <v>0.464371403148671</v>
      </c>
    </row>
    <row r="159" customFormat="false" ht="15" hidden="false" customHeight="false" outlineLevel="0" collapsed="false">
      <c r="A159" s="113" t="s">
        <v>853</v>
      </c>
      <c r="B159" s="68" t="n">
        <v>3</v>
      </c>
      <c r="C159" s="114" t="s">
        <v>230</v>
      </c>
      <c r="D159" s="114" t="s">
        <v>852</v>
      </c>
      <c r="E159" s="104" t="n">
        <v>28</v>
      </c>
      <c r="F159" s="106" t="n">
        <v>0.211280805951981</v>
      </c>
      <c r="G159" s="106" t="n">
        <v>0.211280805951981</v>
      </c>
      <c r="H159" s="106" t="n">
        <f aca="false">+(Yield_Originals!I159+Yield_Originals!G159)/2</f>
        <v>0.211988886983249</v>
      </c>
      <c r="I159" s="106" t="n">
        <v>0.212696968014516</v>
      </c>
      <c r="J159" s="106" t="n">
        <v>0.223682586038622</v>
      </c>
      <c r="K159" s="107" t="n">
        <v>1</v>
      </c>
      <c r="L159" s="108" t="n">
        <f aca="false">(Yield_Originals!$G159*Yield_Originals!L$1)/Yield_Originals!$K159</f>
        <v>0.253536967142377</v>
      </c>
      <c r="M159" s="108" t="n">
        <f aca="false">(Yield_Originals!$G159*Yield_Originals!M$1)/Yield_Originals!$K159</f>
        <v>0.261459997365576</v>
      </c>
      <c r="N159" s="108"/>
      <c r="O159" s="108"/>
      <c r="P159" s="109"/>
      <c r="Q159" s="109"/>
      <c r="R159" s="109"/>
      <c r="S159" s="109"/>
      <c r="T159" s="111"/>
      <c r="U159" s="111"/>
      <c r="V159" s="111"/>
      <c r="W159" s="111"/>
      <c r="X159" s="112"/>
      <c r="Y159" s="112"/>
      <c r="Z159" s="112"/>
      <c r="AA159" s="112"/>
      <c r="AB159" s="112"/>
    </row>
    <row r="160" customFormat="false" ht="15" hidden="false" customHeight="false" outlineLevel="0" collapsed="false">
      <c r="A160" s="113" t="s">
        <v>853</v>
      </c>
      <c r="B160" s="68" t="n">
        <v>3</v>
      </c>
      <c r="C160" s="114" t="s">
        <v>125</v>
      </c>
      <c r="D160" s="114" t="s">
        <v>855</v>
      </c>
      <c r="E160" s="104" t="n">
        <v>28</v>
      </c>
      <c r="F160" s="106" t="n">
        <v>0.211280805951981</v>
      </c>
      <c r="G160" s="106" t="n">
        <v>0.211280805951981</v>
      </c>
      <c r="H160" s="106" t="n">
        <f aca="false">+(Yield_Originals!I160+Yield_Originals!G160)/2</f>
        <v>0.211988886983249</v>
      </c>
      <c r="I160" s="106" t="n">
        <v>0.212696968014516</v>
      </c>
      <c r="J160" s="106" t="n">
        <v>0.223682586038622</v>
      </c>
      <c r="K160" s="107" t="n">
        <v>1</v>
      </c>
      <c r="L160" s="108" t="n">
        <f aca="false">(Yield_Originals!$G160*Yield_Originals!L$1)/Yield_Originals!$K160</f>
        <v>0.253536967142377</v>
      </c>
      <c r="M160" s="108" t="n">
        <f aca="false">(Yield_Originals!$G160*Yield_Originals!M$1)/Yield_Originals!$K160</f>
        <v>0.261459997365576</v>
      </c>
      <c r="N160" s="108" t="n">
        <f aca="false">(Yield_Originals!$G160*Yield_Originals!N$1)/Yield_Originals!$K160</f>
        <v>0.269383027588776</v>
      </c>
      <c r="O160" s="108" t="n">
        <f aca="false">(Yield_Originals!$G160*Yield_Originals!O$1)/Yield_Originals!$K160</f>
        <v>0.277306057811975</v>
      </c>
      <c r="P160" s="109" t="n">
        <f aca="false">(Yield_Originals!$H160*Yield_Originals!P$1)/Yield_Originals!$K160</f>
        <v>0.286184997427385</v>
      </c>
      <c r="Q160" s="109" t="n">
        <f aca="false">(Yield_Originals!$H160*Yield_Originals!Q$1)/Yield_Originals!$K160</f>
        <v>0.294134580689257</v>
      </c>
      <c r="R160" s="109" t="n">
        <f aca="false">(Yield_Originals!$H160*Yield_Originals!R$1)/Yield_Originals!$K160</f>
        <v>0.302084163951129</v>
      </c>
      <c r="S160" s="109" t="n">
        <f aca="false">(Yield_Originals!$H160*Yield_Originals!S$1)/Yield_Originals!$K160</f>
        <v>0.310033747213001</v>
      </c>
      <c r="T160" s="111" t="n">
        <f aca="false">(Yield_Originals!$I160*Yield_Originals!T$1)/Yield_Originals!$K160</f>
        <v>0.319045452021774</v>
      </c>
      <c r="U160" s="111" t="n">
        <f aca="false">(Yield_Originals!$I160*Yield_Originals!U$1)/Yield_Originals!$K160</f>
        <v>0.327021588322318</v>
      </c>
      <c r="V160" s="111" t="n">
        <f aca="false">(Yield_Originals!$I160*Yield_Originals!V$1)/Yield_Originals!$K160</f>
        <v>0.334997724622863</v>
      </c>
      <c r="W160" s="111" t="n">
        <f aca="false">(Yield_Originals!$I160*Yield_Originals!W$1)/Yield_Originals!$K160</f>
        <v>0.342973860923407</v>
      </c>
      <c r="X160" s="112" t="n">
        <f aca="false">(Yield_Originals!$J160*Yield_Originals!X$1)/Yield_Originals!$K160</f>
        <v>0.369076266963726</v>
      </c>
      <c r="Y160" s="112" t="n">
        <f aca="false">(Yield_Originals!$J160*Yield_Originals!Y$1)/Yield_Originals!$K160</f>
        <v>0.377464363940174</v>
      </c>
      <c r="Z160" s="112" t="n">
        <f aca="false">(Yield_Originals!$J160*Yield_Originals!Z$1)/Yield_Originals!$K160</f>
        <v>0.385852460916623</v>
      </c>
      <c r="AA160" s="112" t="n">
        <f aca="false">(Yield_Originals!$J160*Yield_Originals!AA$1)/Yield_Originals!$K160</f>
        <v>0.394240557893071</v>
      </c>
      <c r="AB160" s="112" t="n">
        <f aca="false">(Yield_Originals!$J160*Yield_Originals!AB$1)/Yield_Originals!$K160</f>
        <v>0.40262865486952</v>
      </c>
    </row>
    <row r="161" customFormat="false" ht="15" hidden="false" customHeight="false" outlineLevel="0" collapsed="false">
      <c r="A161" s="113" t="s">
        <v>853</v>
      </c>
      <c r="B161" s="68" t="n">
        <v>3</v>
      </c>
      <c r="C161" s="114" t="s">
        <v>231</v>
      </c>
      <c r="D161" s="114" t="s">
        <v>857</v>
      </c>
      <c r="E161" s="104" t="n">
        <v>28</v>
      </c>
      <c r="F161" s="106" t="n">
        <v>0.211280805951981</v>
      </c>
      <c r="G161" s="106" t="n">
        <v>0.211280805951981</v>
      </c>
      <c r="H161" s="106" t="n">
        <f aca="false">+(Yield_Originals!I161+Yield_Originals!G161)/2</f>
        <v>0.211988886983249</v>
      </c>
      <c r="I161" s="106" t="n">
        <v>0.212696968014516</v>
      </c>
      <c r="J161" s="106" t="n">
        <v>0.223682586038622</v>
      </c>
      <c r="K161" s="107" t="n">
        <v>1</v>
      </c>
      <c r="L161" s="108" t="n">
        <f aca="false">(Yield_Originals!$G161*Yield_Originals!L$1)/Yield_Originals!$K161</f>
        <v>0.253536967142377</v>
      </c>
      <c r="M161" s="108" t="n">
        <f aca="false">(Yield_Originals!$G161*Yield_Originals!M$1)/Yield_Originals!$K161</f>
        <v>0.261459997365576</v>
      </c>
      <c r="N161" s="108" t="n">
        <f aca="false">(Yield_Originals!$G161*Yield_Originals!N$1)/Yield_Originals!$K161</f>
        <v>0.269383027588776</v>
      </c>
      <c r="O161" s="108" t="n">
        <f aca="false">(Yield_Originals!$G161*Yield_Originals!O$1)/Yield_Originals!$K161</f>
        <v>0.277306057811975</v>
      </c>
      <c r="P161" s="109" t="n">
        <f aca="false">(Yield_Originals!$H161*Yield_Originals!P$1)/Yield_Originals!$K161</f>
        <v>0.286184997427385</v>
      </c>
      <c r="Q161" s="109" t="n">
        <f aca="false">(Yield_Originals!$H161*Yield_Originals!Q$1)/Yield_Originals!$K161</f>
        <v>0.294134580689257</v>
      </c>
      <c r="R161" s="109" t="n">
        <f aca="false">(Yield_Originals!$H161*Yield_Originals!R$1)/Yield_Originals!$K161</f>
        <v>0.302084163951129</v>
      </c>
      <c r="S161" s="109" t="n">
        <f aca="false">(Yield_Originals!$H161*Yield_Originals!S$1)/Yield_Originals!$K161</f>
        <v>0.310033747213001</v>
      </c>
      <c r="T161" s="111" t="n">
        <f aca="false">(Yield_Originals!$I161*Yield_Originals!T$1)/Yield_Originals!$K161</f>
        <v>0.319045452021774</v>
      </c>
      <c r="U161" s="111" t="n">
        <f aca="false">(Yield_Originals!$I161*Yield_Originals!U$1)/Yield_Originals!$K161</f>
        <v>0.327021588322318</v>
      </c>
      <c r="V161" s="111" t="n">
        <f aca="false">(Yield_Originals!$I161*Yield_Originals!V$1)/Yield_Originals!$K161</f>
        <v>0.334997724622863</v>
      </c>
      <c r="W161" s="111" t="n">
        <f aca="false">(Yield_Originals!$I161*Yield_Originals!W$1)/Yield_Originals!$K161</f>
        <v>0.342973860923407</v>
      </c>
      <c r="X161" s="112" t="n">
        <f aca="false">(Yield_Originals!$J161*Yield_Originals!X$1)/Yield_Originals!$K161</f>
        <v>0.369076266963726</v>
      </c>
      <c r="Y161" s="112" t="n">
        <f aca="false">(Yield_Originals!$J161*Yield_Originals!Y$1)/Yield_Originals!$K161</f>
        <v>0.377464363940174</v>
      </c>
      <c r="Z161" s="112" t="n">
        <f aca="false">(Yield_Originals!$J161*Yield_Originals!Z$1)/Yield_Originals!$K161</f>
        <v>0.385852460916623</v>
      </c>
      <c r="AA161" s="112" t="n">
        <f aca="false">(Yield_Originals!$J161*Yield_Originals!AA$1)/Yield_Originals!$K161</f>
        <v>0.394240557893071</v>
      </c>
      <c r="AB161" s="112" t="n">
        <f aca="false">(Yield_Originals!$J161*Yield_Originals!AB$1)/Yield_Originals!$K161</f>
        <v>0.40262865486952</v>
      </c>
    </row>
    <row r="162" customFormat="false" ht="15" hidden="false" customHeight="false" outlineLevel="0" collapsed="false">
      <c r="A162" s="113" t="s">
        <v>853</v>
      </c>
      <c r="B162" s="68" t="n">
        <v>3</v>
      </c>
      <c r="C162" s="114" t="s">
        <v>761</v>
      </c>
      <c r="D162" s="114" t="s">
        <v>864</v>
      </c>
      <c r="E162" s="104" t="n">
        <v>28</v>
      </c>
      <c r="F162" s="106" t="n">
        <v>0.211280805951981</v>
      </c>
      <c r="G162" s="106" t="n">
        <v>0.211280805951981</v>
      </c>
      <c r="H162" s="106" t="n">
        <f aca="false">+(Yield_Originals!I162+Yield_Originals!G162)/2</f>
        <v>0.211988886983249</v>
      </c>
      <c r="I162" s="106" t="n">
        <v>0.212696968014516</v>
      </c>
      <c r="J162" s="106" t="n">
        <v>0.223682586038622</v>
      </c>
      <c r="K162" s="107" t="n">
        <v>1</v>
      </c>
      <c r="L162" s="108" t="n">
        <f aca="false">(Yield_Originals!$G162*Yield_Originals!L$1)/Yield_Originals!$K162</f>
        <v>0.253536967142377</v>
      </c>
      <c r="M162" s="108" t="n">
        <f aca="false">(Yield_Originals!$G162*Yield_Originals!M$1)/Yield_Originals!$K162</f>
        <v>0.261459997365576</v>
      </c>
      <c r="N162" s="108" t="n">
        <f aca="false">(Yield_Originals!$G162*Yield_Originals!N$1)/Yield_Originals!$K162</f>
        <v>0.269383027588776</v>
      </c>
      <c r="O162" s="108" t="n">
        <f aca="false">(Yield_Originals!$G162*Yield_Originals!O$1)/Yield_Originals!$K162</f>
        <v>0.277306057811975</v>
      </c>
      <c r="P162" s="109" t="n">
        <f aca="false">(Yield_Originals!$H162*Yield_Originals!P$1)/Yield_Originals!$K162</f>
        <v>0.286184997427385</v>
      </c>
      <c r="Q162" s="109" t="n">
        <f aca="false">(Yield_Originals!$H162*Yield_Originals!Q$1)/Yield_Originals!$K162</f>
        <v>0.294134580689257</v>
      </c>
      <c r="R162" s="109" t="n">
        <f aca="false">(Yield_Originals!$H162*Yield_Originals!R$1)/Yield_Originals!$K162</f>
        <v>0.302084163951129</v>
      </c>
      <c r="S162" s="109" t="n">
        <f aca="false">(Yield_Originals!$H162*Yield_Originals!S$1)/Yield_Originals!$K162</f>
        <v>0.310033747213001</v>
      </c>
      <c r="T162" s="111" t="n">
        <f aca="false">(Yield_Originals!$I162*Yield_Originals!T$1)/Yield_Originals!$K162</f>
        <v>0.319045452021774</v>
      </c>
      <c r="U162" s="111" t="n">
        <f aca="false">(Yield_Originals!$I162*Yield_Originals!U$1)/Yield_Originals!$K162</f>
        <v>0.327021588322318</v>
      </c>
      <c r="V162" s="111" t="n">
        <f aca="false">(Yield_Originals!$I162*Yield_Originals!V$1)/Yield_Originals!$K162</f>
        <v>0.334997724622863</v>
      </c>
      <c r="W162" s="111" t="n">
        <f aca="false">(Yield_Originals!$I162*Yield_Originals!W$1)/Yield_Originals!$K162</f>
        <v>0.342973860923407</v>
      </c>
      <c r="X162" s="112" t="n">
        <f aca="false">(Yield_Originals!$J162*Yield_Originals!X$1)/Yield_Originals!$K162</f>
        <v>0.369076266963726</v>
      </c>
      <c r="Y162" s="112" t="n">
        <f aca="false">(Yield_Originals!$J162*Yield_Originals!Y$1)/Yield_Originals!$K162</f>
        <v>0.377464363940174</v>
      </c>
      <c r="Z162" s="112" t="n">
        <f aca="false">(Yield_Originals!$J162*Yield_Originals!Z$1)/Yield_Originals!$K162</f>
        <v>0.385852460916623</v>
      </c>
      <c r="AA162" s="112" t="n">
        <f aca="false">(Yield_Originals!$J162*Yield_Originals!AA$1)/Yield_Originals!$K162</f>
        <v>0.394240557893071</v>
      </c>
      <c r="AB162" s="112" t="n">
        <f aca="false">(Yield_Originals!$J162*Yield_Originals!AB$1)/Yield_Originals!$K162</f>
        <v>0.40262865486952</v>
      </c>
    </row>
    <row r="163" customFormat="false" ht="15" hidden="false" customHeight="false" outlineLevel="0" collapsed="false">
      <c r="A163" s="113" t="s">
        <v>853</v>
      </c>
      <c r="B163" s="68" t="n">
        <v>3</v>
      </c>
      <c r="C163" s="114" t="s">
        <v>764</v>
      </c>
      <c r="D163" s="114" t="s">
        <v>862</v>
      </c>
      <c r="E163" s="104" t="n">
        <v>28</v>
      </c>
      <c r="F163" s="106" t="n">
        <v>0.211280805951981</v>
      </c>
      <c r="G163" s="106" t="n">
        <v>0.211280805951981</v>
      </c>
      <c r="H163" s="106" t="n">
        <f aca="false">+(Yield_Originals!I163+Yield_Originals!G163)/2</f>
        <v>0.211988886983249</v>
      </c>
      <c r="I163" s="106" t="n">
        <v>0.212696968014516</v>
      </c>
      <c r="J163" s="106" t="n">
        <v>0.223682586038622</v>
      </c>
      <c r="K163" s="107" t="n">
        <v>1</v>
      </c>
      <c r="L163" s="108" t="n">
        <f aca="false">(Yield_Originals!$G163*Yield_Originals!L$1)/Yield_Originals!$K163</f>
        <v>0.253536967142377</v>
      </c>
      <c r="M163" s="108" t="n">
        <f aca="false">(Yield_Originals!$G163*Yield_Originals!M$1)/Yield_Originals!$K163</f>
        <v>0.261459997365576</v>
      </c>
      <c r="N163" s="108" t="n">
        <f aca="false">(Yield_Originals!$G163*Yield_Originals!N$1)/Yield_Originals!$K163</f>
        <v>0.269383027588776</v>
      </c>
      <c r="O163" s="108" t="n">
        <f aca="false">(Yield_Originals!$G163*Yield_Originals!O$1)/Yield_Originals!$K163</f>
        <v>0.277306057811975</v>
      </c>
      <c r="P163" s="109" t="n">
        <f aca="false">(Yield_Originals!$H163*Yield_Originals!P$1)/Yield_Originals!$K163</f>
        <v>0.286184997427385</v>
      </c>
      <c r="Q163" s="109" t="n">
        <f aca="false">(Yield_Originals!$H163*Yield_Originals!Q$1)/Yield_Originals!$K163</f>
        <v>0.294134580689257</v>
      </c>
      <c r="R163" s="109" t="n">
        <f aca="false">(Yield_Originals!$H163*Yield_Originals!R$1)/Yield_Originals!$K163</f>
        <v>0.302084163951129</v>
      </c>
      <c r="S163" s="109" t="n">
        <f aca="false">(Yield_Originals!$H163*Yield_Originals!S$1)/Yield_Originals!$K163</f>
        <v>0.310033747213001</v>
      </c>
      <c r="T163" s="111" t="n">
        <f aca="false">(Yield_Originals!$I163*Yield_Originals!T$1)/Yield_Originals!$K163</f>
        <v>0.319045452021774</v>
      </c>
      <c r="U163" s="111" t="n">
        <f aca="false">(Yield_Originals!$I163*Yield_Originals!U$1)/Yield_Originals!$K163</f>
        <v>0.327021588322318</v>
      </c>
      <c r="V163" s="111" t="n">
        <f aca="false">(Yield_Originals!$I163*Yield_Originals!V$1)/Yield_Originals!$K163</f>
        <v>0.334997724622863</v>
      </c>
      <c r="W163" s="111" t="n">
        <f aca="false">(Yield_Originals!$I163*Yield_Originals!W$1)/Yield_Originals!$K163</f>
        <v>0.342973860923407</v>
      </c>
      <c r="X163" s="112" t="n">
        <f aca="false">(Yield_Originals!$J163*Yield_Originals!X$1)/Yield_Originals!$K163</f>
        <v>0.369076266963726</v>
      </c>
      <c r="Y163" s="112" t="n">
        <f aca="false">(Yield_Originals!$J163*Yield_Originals!Y$1)/Yield_Originals!$K163</f>
        <v>0.377464363940174</v>
      </c>
      <c r="Z163" s="112" t="n">
        <f aca="false">(Yield_Originals!$J163*Yield_Originals!Z$1)/Yield_Originals!$K163</f>
        <v>0.385852460916623</v>
      </c>
      <c r="AA163" s="112" t="n">
        <f aca="false">(Yield_Originals!$J163*Yield_Originals!AA$1)/Yield_Originals!$K163</f>
        <v>0.394240557893071</v>
      </c>
      <c r="AB163" s="112" t="n">
        <f aca="false">(Yield_Originals!$J163*Yield_Originals!AB$1)/Yield_Originals!$K163</f>
        <v>0.40262865486952</v>
      </c>
    </row>
    <row r="164" customFormat="false" ht="15" hidden="false" customHeight="false" outlineLevel="0" collapsed="false">
      <c r="A164" s="113" t="s">
        <v>931</v>
      </c>
      <c r="B164" s="68" t="n">
        <v>3</v>
      </c>
      <c r="C164" s="114" t="s">
        <v>767</v>
      </c>
      <c r="D164" s="114" t="s">
        <v>930</v>
      </c>
      <c r="E164" s="104" t="n">
        <v>32</v>
      </c>
      <c r="F164" s="106" t="n">
        <v>0.0756645535834299</v>
      </c>
      <c r="G164" s="106" t="n">
        <v>0.0756645535834299</v>
      </c>
      <c r="H164" s="106" t="n">
        <f aca="false">+(Yield_Originals!I164+Yield_Originals!G164)/2</f>
        <v>0.0743751421558878</v>
      </c>
      <c r="I164" s="106" t="n">
        <v>0.0730857307283457</v>
      </c>
      <c r="J164" s="106" t="n">
        <v>0.0787337631541904</v>
      </c>
      <c r="K164" s="107" t="n">
        <v>1</v>
      </c>
      <c r="L164" s="108" t="n">
        <f aca="false">(Yield_Originals!$G164*Yield_Originals!L$1)/Yield_Originals!$K164</f>
        <v>0.0907974643001159</v>
      </c>
      <c r="M164" s="108" t="n">
        <f aca="false">(Yield_Originals!$G164*Yield_Originals!M$1)/Yield_Originals!$K164</f>
        <v>0.0936348850594945</v>
      </c>
      <c r="N164" s="108" t="n">
        <f aca="false">(Yield_Originals!$G164*Yield_Originals!N$1)/Yield_Originals!$K164</f>
        <v>0.0964723058188731</v>
      </c>
      <c r="O164" s="108" t="n">
        <f aca="false">(Yield_Originals!$G164*Yield_Originals!O$1)/Yield_Originals!$K164</f>
        <v>0.0993097265782517</v>
      </c>
      <c r="P164" s="109" t="n">
        <f aca="false">(Yield_Originals!$H164*Yield_Originals!P$1)/Yield_Originals!$K164</f>
        <v>0.100406441910449</v>
      </c>
      <c r="Q164" s="109" t="n">
        <f aca="false">(Yield_Originals!$H164*Yield_Originals!Q$1)/Yield_Originals!$K164</f>
        <v>0.103195509741294</v>
      </c>
      <c r="R164" s="109" t="n">
        <f aca="false">(Yield_Originals!$H164*Yield_Originals!R$1)/Yield_Originals!$K164</f>
        <v>0.10598457757214</v>
      </c>
      <c r="S164" s="109" t="n">
        <f aca="false">(Yield_Originals!$H164*Yield_Originals!S$1)/Yield_Originals!$K164</f>
        <v>0.108773645402986</v>
      </c>
      <c r="T164" s="111" t="n">
        <f aca="false">(Yield_Originals!$I164*Yield_Originals!T$1)/Yield_Originals!$K164</f>
        <v>0.109628596092519</v>
      </c>
      <c r="U164" s="111" t="n">
        <f aca="false">(Yield_Originals!$I164*Yield_Originals!U$1)/Yield_Originals!$K164</f>
        <v>0.112369310994832</v>
      </c>
      <c r="V164" s="111" t="n">
        <f aca="false">(Yield_Originals!$I164*Yield_Originals!V$1)/Yield_Originals!$K164</f>
        <v>0.115110025897145</v>
      </c>
      <c r="W164" s="111" t="n">
        <f aca="false">(Yield_Originals!$I164*Yield_Originals!W$1)/Yield_Originals!$K164</f>
        <v>0.117850740799457</v>
      </c>
      <c r="X164" s="112" t="n">
        <f aca="false">(Yield_Originals!$J164*Yield_Originals!X$1)/Yield_Originals!$K164</f>
        <v>0.129910709204414</v>
      </c>
      <c r="Y164" s="112" t="n">
        <f aca="false">(Yield_Originals!$J164*Yield_Originals!Y$1)/Yield_Originals!$K164</f>
        <v>0.132863225322696</v>
      </c>
      <c r="Z164" s="112" t="n">
        <f aca="false">(Yield_Originals!$J164*Yield_Originals!Z$1)/Yield_Originals!$K164</f>
        <v>0.135815741440978</v>
      </c>
      <c r="AA164" s="112" t="n">
        <f aca="false">(Yield_Originals!$J164*Yield_Originals!AA$1)/Yield_Originals!$K164</f>
        <v>0.138768257559261</v>
      </c>
      <c r="AB164" s="112" t="n">
        <f aca="false">(Yield_Originals!$J164*Yield_Originals!AB$1)/Yield_Originals!$K164</f>
        <v>0.141720773677543</v>
      </c>
    </row>
    <row r="165" customFormat="false" ht="15" hidden="false" customHeight="false" outlineLevel="0" collapsed="false">
      <c r="A165" s="113" t="s">
        <v>931</v>
      </c>
      <c r="B165" s="68" t="n">
        <v>3</v>
      </c>
      <c r="C165" s="114" t="s">
        <v>770</v>
      </c>
      <c r="D165" s="114" t="s">
        <v>930</v>
      </c>
      <c r="E165" s="104" t="n">
        <v>32</v>
      </c>
      <c r="F165" s="106" t="n">
        <v>0.0756645535834299</v>
      </c>
      <c r="G165" s="106" t="n">
        <v>0.0756645535834299</v>
      </c>
      <c r="H165" s="106" t="n">
        <f aca="false">+(Yield_Originals!I165+Yield_Originals!G165)/2</f>
        <v>0.0743751421558878</v>
      </c>
      <c r="I165" s="106" t="n">
        <v>0.0730857307283457</v>
      </c>
      <c r="J165" s="106" t="n">
        <v>0.0787337631541904</v>
      </c>
      <c r="K165" s="107" t="n">
        <v>1</v>
      </c>
      <c r="L165" s="108" t="n">
        <f aca="false">(Yield_Originals!$G165*Yield_Originals!L$1)/Yield_Originals!$K165</f>
        <v>0.0907974643001159</v>
      </c>
      <c r="M165" s="108" t="n">
        <f aca="false">(Yield_Originals!$G165*Yield_Originals!M$1)/Yield_Originals!$K165</f>
        <v>0.0936348850594945</v>
      </c>
      <c r="N165" s="108" t="n">
        <f aca="false">(Yield_Originals!$G165*Yield_Originals!N$1)/Yield_Originals!$K165</f>
        <v>0.0964723058188731</v>
      </c>
      <c r="O165" s="108" t="n">
        <f aca="false">(Yield_Originals!$G165*Yield_Originals!O$1)/Yield_Originals!$K165</f>
        <v>0.0993097265782517</v>
      </c>
      <c r="P165" s="109" t="n">
        <f aca="false">(Yield_Originals!$H165*Yield_Originals!P$1)/Yield_Originals!$K165</f>
        <v>0.100406441910449</v>
      </c>
      <c r="Q165" s="109" t="n">
        <f aca="false">(Yield_Originals!$H165*Yield_Originals!Q$1)/Yield_Originals!$K165</f>
        <v>0.103195509741294</v>
      </c>
      <c r="R165" s="109" t="n">
        <f aca="false">(Yield_Originals!$H165*Yield_Originals!R$1)/Yield_Originals!$K165</f>
        <v>0.10598457757214</v>
      </c>
      <c r="S165" s="109" t="n">
        <f aca="false">(Yield_Originals!$H165*Yield_Originals!S$1)/Yield_Originals!$K165</f>
        <v>0.108773645402986</v>
      </c>
      <c r="T165" s="111" t="n">
        <f aca="false">(Yield_Originals!$I165*Yield_Originals!T$1)/Yield_Originals!$K165</f>
        <v>0.109628596092519</v>
      </c>
      <c r="U165" s="111" t="n">
        <f aca="false">(Yield_Originals!$I165*Yield_Originals!U$1)/Yield_Originals!$K165</f>
        <v>0.112369310994832</v>
      </c>
      <c r="V165" s="111" t="n">
        <f aca="false">(Yield_Originals!$I165*Yield_Originals!V$1)/Yield_Originals!$K165</f>
        <v>0.115110025897145</v>
      </c>
      <c r="W165" s="111" t="n">
        <f aca="false">(Yield_Originals!$I165*Yield_Originals!W$1)/Yield_Originals!$K165</f>
        <v>0.117850740799457</v>
      </c>
      <c r="X165" s="112" t="n">
        <f aca="false">(Yield_Originals!$J165*Yield_Originals!X$1)/Yield_Originals!$K165</f>
        <v>0.129910709204414</v>
      </c>
      <c r="Y165" s="112" t="n">
        <f aca="false">(Yield_Originals!$J165*Yield_Originals!Y$1)/Yield_Originals!$K165</f>
        <v>0.132863225322696</v>
      </c>
      <c r="Z165" s="112" t="n">
        <f aca="false">(Yield_Originals!$J165*Yield_Originals!Z$1)/Yield_Originals!$K165</f>
        <v>0.135815741440978</v>
      </c>
      <c r="AA165" s="112" t="n">
        <f aca="false">(Yield_Originals!$J165*Yield_Originals!AA$1)/Yield_Originals!$K165</f>
        <v>0.138768257559261</v>
      </c>
      <c r="AB165" s="112" t="n">
        <f aca="false">(Yield_Originals!$J165*Yield_Originals!AB$1)/Yield_Originals!$K165</f>
        <v>0.141720773677543</v>
      </c>
    </row>
    <row r="166" customFormat="false" ht="15" hidden="false" customHeight="false" outlineLevel="0" collapsed="false">
      <c r="A166" s="113" t="s">
        <v>940</v>
      </c>
      <c r="B166" s="68" t="n">
        <v>3</v>
      </c>
      <c r="C166" s="114" t="s">
        <v>774</v>
      </c>
      <c r="D166" s="114" t="s">
        <v>939</v>
      </c>
      <c r="E166" s="104" t="n">
        <v>34</v>
      </c>
      <c r="F166" s="106" t="n">
        <v>0.211280805951981</v>
      </c>
      <c r="G166" s="106" t="n">
        <v>0.211280805951981</v>
      </c>
      <c r="H166" s="106" t="n">
        <f aca="false">+(Yield_Originals!I166+Yield_Originals!G166)/2</f>
        <v>0.211988886983249</v>
      </c>
      <c r="I166" s="106" t="n">
        <v>0.212696968014516</v>
      </c>
      <c r="J166" s="106" t="n">
        <v>0.223682586038622</v>
      </c>
      <c r="K166" s="107" t="n">
        <v>1</v>
      </c>
      <c r="L166" s="108" t="n">
        <f aca="false">(Yield_Originals!$G166*Yield_Originals!L$1)/Yield_Originals!$K166</f>
        <v>0.253536967142377</v>
      </c>
      <c r="M166" s="108" t="n">
        <f aca="false">(Yield_Originals!$G166*Yield_Originals!M$1)/Yield_Originals!$K166</f>
        <v>0.261459997365576</v>
      </c>
      <c r="N166" s="108" t="n">
        <f aca="false">(Yield_Originals!$G166*Yield_Originals!N$1)/Yield_Originals!$K166</f>
        <v>0.269383027588776</v>
      </c>
      <c r="O166" s="108" t="n">
        <f aca="false">(Yield_Originals!$G166*Yield_Originals!O$1)/Yield_Originals!$K166</f>
        <v>0.277306057811975</v>
      </c>
      <c r="P166" s="109" t="n">
        <f aca="false">(Yield_Originals!$H166*Yield_Originals!P$1)/Yield_Originals!$K166</f>
        <v>0.286184997427385</v>
      </c>
      <c r="Q166" s="109" t="n">
        <f aca="false">(Yield_Originals!$H166*Yield_Originals!Q$1)/Yield_Originals!$K166</f>
        <v>0.294134580689257</v>
      </c>
      <c r="R166" s="109" t="n">
        <f aca="false">(Yield_Originals!$H166*Yield_Originals!R$1)/Yield_Originals!$K166</f>
        <v>0.302084163951129</v>
      </c>
      <c r="S166" s="109" t="n">
        <f aca="false">(Yield_Originals!$H166*Yield_Originals!S$1)/Yield_Originals!$K166</f>
        <v>0.310033747213001</v>
      </c>
      <c r="T166" s="111" t="n">
        <f aca="false">(Yield_Originals!$I166*Yield_Originals!T$1)/Yield_Originals!$K166</f>
        <v>0.319045452021774</v>
      </c>
      <c r="U166" s="111" t="n">
        <f aca="false">(Yield_Originals!$I166*Yield_Originals!U$1)/Yield_Originals!$K166</f>
        <v>0.327021588322318</v>
      </c>
      <c r="V166" s="111" t="n">
        <f aca="false">(Yield_Originals!$I166*Yield_Originals!V$1)/Yield_Originals!$K166</f>
        <v>0.334997724622863</v>
      </c>
      <c r="W166" s="111" t="n">
        <f aca="false">(Yield_Originals!$I166*Yield_Originals!W$1)/Yield_Originals!$K166</f>
        <v>0.342973860923407</v>
      </c>
      <c r="X166" s="112" t="n">
        <f aca="false">(Yield_Originals!$J166*Yield_Originals!X$1)/Yield_Originals!$K166</f>
        <v>0.369076266963726</v>
      </c>
      <c r="Y166" s="112" t="n">
        <f aca="false">(Yield_Originals!$J166*Yield_Originals!Y$1)/Yield_Originals!$K166</f>
        <v>0.377464363940174</v>
      </c>
      <c r="Z166" s="112" t="n">
        <f aca="false">(Yield_Originals!$J166*Yield_Originals!Z$1)/Yield_Originals!$K166</f>
        <v>0.385852460916623</v>
      </c>
      <c r="AA166" s="112" t="n">
        <f aca="false">(Yield_Originals!$J166*Yield_Originals!AA$1)/Yield_Originals!$K166</f>
        <v>0.394240557893071</v>
      </c>
      <c r="AB166" s="112" t="n">
        <f aca="false">(Yield_Originals!$J166*Yield_Originals!AB$1)/Yield_Originals!$K166</f>
        <v>0.40262865486952</v>
      </c>
    </row>
    <row r="167" customFormat="false" ht="15" hidden="false" customHeight="false" outlineLevel="0" collapsed="false">
      <c r="A167" s="113" t="s">
        <v>853</v>
      </c>
      <c r="B167" s="68" t="n">
        <v>3</v>
      </c>
      <c r="C167" s="114" t="s">
        <v>777</v>
      </c>
      <c r="D167" s="114" t="s">
        <v>859</v>
      </c>
      <c r="E167" s="104" t="n">
        <v>28</v>
      </c>
      <c r="F167" s="106" t="n">
        <v>0.211280805951981</v>
      </c>
      <c r="G167" s="106" t="n">
        <v>0.211280805951981</v>
      </c>
      <c r="H167" s="106" t="n">
        <f aca="false">+(Yield_Originals!I167+Yield_Originals!G167)/2</f>
        <v>0.211988886983249</v>
      </c>
      <c r="I167" s="106" t="n">
        <v>0.212696968014516</v>
      </c>
      <c r="J167" s="106" t="n">
        <v>0.223682586038622</v>
      </c>
      <c r="K167" s="107" t="n">
        <v>1</v>
      </c>
      <c r="L167" s="108" t="n">
        <f aca="false">(Yield_Originals!$G167*Yield_Originals!L$1)/Yield_Originals!$K167</f>
        <v>0.253536967142377</v>
      </c>
      <c r="M167" s="108" t="n">
        <f aca="false">(Yield_Originals!$G167*Yield_Originals!M$1)/Yield_Originals!$K167</f>
        <v>0.261459997365576</v>
      </c>
      <c r="N167" s="108" t="n">
        <f aca="false">(Yield_Originals!$G167*Yield_Originals!N$1)/Yield_Originals!$K167</f>
        <v>0.269383027588776</v>
      </c>
      <c r="O167" s="108" t="n">
        <f aca="false">(Yield_Originals!$G167*Yield_Originals!O$1)/Yield_Originals!$K167</f>
        <v>0.277306057811975</v>
      </c>
      <c r="P167" s="109" t="n">
        <f aca="false">(Yield_Originals!$H167*Yield_Originals!P$1)/Yield_Originals!$K167</f>
        <v>0.286184997427385</v>
      </c>
      <c r="Q167" s="109" t="n">
        <f aca="false">(Yield_Originals!$H167*Yield_Originals!Q$1)/Yield_Originals!$K167</f>
        <v>0.294134580689257</v>
      </c>
      <c r="R167" s="109" t="n">
        <f aca="false">(Yield_Originals!$H167*Yield_Originals!R$1)/Yield_Originals!$K167</f>
        <v>0.302084163951129</v>
      </c>
      <c r="S167" s="109" t="n">
        <f aca="false">(Yield_Originals!$H167*Yield_Originals!S$1)/Yield_Originals!$K167</f>
        <v>0.310033747213001</v>
      </c>
      <c r="T167" s="111" t="n">
        <f aca="false">(Yield_Originals!$I167*Yield_Originals!T$1)/Yield_Originals!$K167</f>
        <v>0.319045452021774</v>
      </c>
      <c r="U167" s="111" t="n">
        <f aca="false">(Yield_Originals!$I167*Yield_Originals!U$1)/Yield_Originals!$K167</f>
        <v>0.327021588322318</v>
      </c>
      <c r="V167" s="111" t="n">
        <f aca="false">(Yield_Originals!$I167*Yield_Originals!V$1)/Yield_Originals!$K167</f>
        <v>0.334997724622863</v>
      </c>
      <c r="W167" s="111" t="n">
        <f aca="false">(Yield_Originals!$I167*Yield_Originals!W$1)/Yield_Originals!$K167</f>
        <v>0.342973860923407</v>
      </c>
      <c r="X167" s="112" t="n">
        <f aca="false">(Yield_Originals!$J167*Yield_Originals!X$1)/Yield_Originals!$K167</f>
        <v>0.369076266963726</v>
      </c>
      <c r="Y167" s="112" t="n">
        <f aca="false">(Yield_Originals!$J167*Yield_Originals!Y$1)/Yield_Originals!$K167</f>
        <v>0.377464363940174</v>
      </c>
      <c r="Z167" s="112" t="n">
        <f aca="false">(Yield_Originals!$J167*Yield_Originals!Z$1)/Yield_Originals!$K167</f>
        <v>0.385852460916623</v>
      </c>
      <c r="AA167" s="112" t="n">
        <f aca="false">(Yield_Originals!$J167*Yield_Originals!AA$1)/Yield_Originals!$K167</f>
        <v>0.394240557893071</v>
      </c>
      <c r="AB167" s="112" t="n">
        <f aca="false">(Yield_Originals!$J167*Yield_Originals!AB$1)/Yield_Originals!$K167</f>
        <v>0.40262865486952</v>
      </c>
    </row>
    <row r="168" customFormat="false" ht="15" hidden="false" customHeight="false" outlineLevel="0" collapsed="false">
      <c r="A168" s="113" t="s">
        <v>871</v>
      </c>
      <c r="B168" s="68" t="n">
        <v>3</v>
      </c>
      <c r="C168" s="114" t="s">
        <v>232</v>
      </c>
      <c r="D168" s="114" t="s">
        <v>892</v>
      </c>
      <c r="E168" s="104" t="n">
        <v>30</v>
      </c>
      <c r="F168" s="106" t="n">
        <v>0.149005272863769</v>
      </c>
      <c r="G168" s="106" t="n">
        <v>0.149005272863769</v>
      </c>
      <c r="H168" s="106" t="n">
        <f aca="false">+(Yield_Originals!I168+Yield_Originals!G168)/2</f>
        <v>0.153748071476954</v>
      </c>
      <c r="I168" s="106" t="n">
        <v>0.158490870090138</v>
      </c>
      <c r="J168" s="106" t="n">
        <v>0.169281787727845</v>
      </c>
      <c r="K168" s="107" t="n">
        <v>1</v>
      </c>
      <c r="L168" s="108" t="n">
        <f aca="false">(Yield_Originals!$G168*Yield_Originals!L$1)/Yield_Originals!$K168</f>
        <v>0.178806327436523</v>
      </c>
      <c r="M168" s="108" t="n">
        <f aca="false">(Yield_Originals!$G168*Yield_Originals!M$1)/Yield_Originals!$K168</f>
        <v>0.184394025168914</v>
      </c>
      <c r="N168" s="108" t="n">
        <f aca="false">(Yield_Originals!$G168*Yield_Originals!N$1)/Yield_Originals!$K168</f>
        <v>0.189981722901306</v>
      </c>
      <c r="O168" s="108" t="n">
        <f aca="false">(Yield_Originals!$G168*Yield_Originals!O$1)/Yield_Originals!$K168</f>
        <v>0.195569420633697</v>
      </c>
      <c r="P168" s="109"/>
      <c r="Q168" s="109"/>
      <c r="R168" s="109"/>
      <c r="S168" s="109"/>
      <c r="T168" s="111"/>
      <c r="U168" s="111"/>
      <c r="V168" s="111"/>
      <c r="W168" s="111"/>
      <c r="X168" s="112"/>
      <c r="Y168" s="112"/>
      <c r="Z168" s="112"/>
      <c r="AA168" s="112"/>
      <c r="AB168" s="112"/>
    </row>
    <row r="169" customFormat="false" ht="15" hidden="false" customHeight="false" outlineLevel="0" collapsed="false">
      <c r="A169" s="113" t="s">
        <v>871</v>
      </c>
      <c r="B169" s="68" t="n">
        <v>3</v>
      </c>
      <c r="C169" s="114" t="s">
        <v>126</v>
      </c>
      <c r="D169" s="114" t="s">
        <v>876</v>
      </c>
      <c r="E169" s="104" t="n">
        <v>30</v>
      </c>
      <c r="F169" s="106" t="n">
        <v>0.149005272863769</v>
      </c>
      <c r="G169" s="106" t="n">
        <v>0.149005272863769</v>
      </c>
      <c r="H169" s="106" t="n">
        <f aca="false">+(Yield_Originals!I169+Yield_Originals!G169)/2</f>
        <v>0.153748071476954</v>
      </c>
      <c r="I169" s="106" t="n">
        <v>0.158490870090138</v>
      </c>
      <c r="J169" s="106" t="n">
        <v>0.169281787727845</v>
      </c>
      <c r="K169" s="107" t="n">
        <v>1</v>
      </c>
      <c r="L169" s="108"/>
      <c r="M169" s="108"/>
      <c r="N169" s="108"/>
      <c r="O169" s="108"/>
      <c r="P169" s="109" t="n">
        <f aca="false">(Yield_Originals!$H169*Yield_Originals!P$1)/Yield_Originals!$K169</f>
        <v>0.207559896493887</v>
      </c>
      <c r="Q169" s="109" t="n">
        <f aca="false">(Yield_Originals!$H169*Yield_Originals!Q$1)/Yield_Originals!$K169</f>
        <v>0.213325449174273</v>
      </c>
      <c r="R169" s="109" t="n">
        <f aca="false">(Yield_Originals!$H169*Yield_Originals!R$1)/Yield_Originals!$K169</f>
        <v>0.219091001854659</v>
      </c>
      <c r="S169" s="109" t="n">
        <f aca="false">(Yield_Originals!$H169*Yield_Originals!S$1)/Yield_Originals!$K169</f>
        <v>0.224856554535045</v>
      </c>
      <c r="T169" s="111" t="n">
        <f aca="false">(Yield_Originals!$I169*Yield_Originals!T$1)/Yield_Originals!$K169</f>
        <v>0.237736305135207</v>
      </c>
      <c r="U169" s="111" t="n">
        <f aca="false">(Yield_Originals!$I169*Yield_Originals!U$1)/Yield_Originals!$K169</f>
        <v>0.243679712763587</v>
      </c>
      <c r="V169" s="111" t="n">
        <f aca="false">(Yield_Originals!$I169*Yield_Originals!V$1)/Yield_Originals!$K169</f>
        <v>0.249623120391967</v>
      </c>
      <c r="W169" s="111" t="n">
        <f aca="false">(Yield_Originals!$I169*Yield_Originals!W$1)/Yield_Originals!$K169</f>
        <v>0.255566528020347</v>
      </c>
      <c r="X169" s="112" t="n">
        <f aca="false">(Yield_Originals!$J169*Yield_Originals!X$1)/Yield_Originals!$K169</f>
        <v>0.279314949750944</v>
      </c>
      <c r="Y169" s="112" t="n">
        <f aca="false">(Yield_Originals!$J169*Yield_Originals!Y$1)/Yield_Originals!$K169</f>
        <v>0.285663016790738</v>
      </c>
      <c r="Z169" s="112" t="n">
        <f aca="false">(Yield_Originals!$J169*Yield_Originals!Z$1)/Yield_Originals!$K169</f>
        <v>0.292011083830533</v>
      </c>
      <c r="AA169" s="112" t="n">
        <f aca="false">(Yield_Originals!$J169*Yield_Originals!AA$1)/Yield_Originals!$K169</f>
        <v>0.298359150870327</v>
      </c>
      <c r="AB169" s="112" t="n">
        <f aca="false">(Yield_Originals!$J169*Yield_Originals!AB$1)/Yield_Originals!$K169</f>
        <v>0.304707217910121</v>
      </c>
    </row>
    <row r="170" customFormat="false" ht="15" hidden="false" customHeight="false" outlineLevel="0" collapsed="false">
      <c r="A170" s="113" t="s">
        <v>871</v>
      </c>
      <c r="B170" s="68" t="n">
        <v>3</v>
      </c>
      <c r="C170" s="114" t="s">
        <v>784</v>
      </c>
      <c r="D170" s="114" t="s">
        <v>879</v>
      </c>
      <c r="E170" s="104" t="n">
        <v>30</v>
      </c>
      <c r="F170" s="106" t="n">
        <v>0.149005272863769</v>
      </c>
      <c r="G170" s="106" t="n">
        <v>0.149005272863769</v>
      </c>
      <c r="H170" s="106" t="n">
        <f aca="false">+(Yield_Originals!I170+Yield_Originals!G170)/2</f>
        <v>0.153748071476954</v>
      </c>
      <c r="I170" s="106" t="n">
        <v>0.158490870090138</v>
      </c>
      <c r="J170" s="106" t="n">
        <v>0.169281787727845</v>
      </c>
      <c r="K170" s="107" t="n">
        <v>1</v>
      </c>
      <c r="L170" s="108"/>
      <c r="M170" s="108"/>
      <c r="N170" s="108"/>
      <c r="O170" s="108"/>
      <c r="P170" s="109" t="n">
        <f aca="false">(Yield_Originals!$H170*Yield_Originals!P$1)/Yield_Originals!$K170</f>
        <v>0.207559896493887</v>
      </c>
      <c r="Q170" s="109" t="n">
        <f aca="false">(Yield_Originals!$H170*Yield_Originals!Q$1)/Yield_Originals!$K170</f>
        <v>0.213325449174273</v>
      </c>
      <c r="R170" s="109" t="n">
        <f aca="false">(Yield_Originals!$H170*Yield_Originals!R$1)/Yield_Originals!$K170</f>
        <v>0.219091001854659</v>
      </c>
      <c r="S170" s="109" t="n">
        <f aca="false">(Yield_Originals!$H170*Yield_Originals!S$1)/Yield_Originals!$K170</f>
        <v>0.224856554535045</v>
      </c>
      <c r="T170" s="111" t="n">
        <f aca="false">(Yield_Originals!$I170*Yield_Originals!T$1)/Yield_Originals!$K170</f>
        <v>0.237736305135207</v>
      </c>
      <c r="U170" s="111" t="n">
        <f aca="false">(Yield_Originals!$I170*Yield_Originals!U$1)/Yield_Originals!$K170</f>
        <v>0.243679712763587</v>
      </c>
      <c r="V170" s="111" t="n">
        <f aca="false">(Yield_Originals!$I170*Yield_Originals!V$1)/Yield_Originals!$K170</f>
        <v>0.249623120391967</v>
      </c>
      <c r="W170" s="111" t="n">
        <f aca="false">(Yield_Originals!$I170*Yield_Originals!W$1)/Yield_Originals!$K170</f>
        <v>0.255566528020347</v>
      </c>
      <c r="X170" s="112" t="n">
        <f aca="false">(Yield_Originals!$J170*Yield_Originals!X$1)/Yield_Originals!$K170</f>
        <v>0.279314949750944</v>
      </c>
      <c r="Y170" s="112" t="n">
        <f aca="false">(Yield_Originals!$J170*Yield_Originals!Y$1)/Yield_Originals!$K170</f>
        <v>0.285663016790738</v>
      </c>
      <c r="Z170" s="112" t="n">
        <f aca="false">(Yield_Originals!$J170*Yield_Originals!Z$1)/Yield_Originals!$K170</f>
        <v>0.292011083830533</v>
      </c>
      <c r="AA170" s="112" t="n">
        <f aca="false">(Yield_Originals!$J170*Yield_Originals!AA$1)/Yield_Originals!$K170</f>
        <v>0.298359150870327</v>
      </c>
      <c r="AB170" s="112" t="n">
        <f aca="false">(Yield_Originals!$J170*Yield_Originals!AB$1)/Yield_Originals!$K170</f>
        <v>0.304707217910121</v>
      </c>
    </row>
    <row r="171" customFormat="false" ht="15" hidden="false" customHeight="false" outlineLevel="0" collapsed="false">
      <c r="A171" s="113" t="s">
        <v>871</v>
      </c>
      <c r="B171" s="68" t="n">
        <v>3</v>
      </c>
      <c r="C171" s="114" t="s">
        <v>233</v>
      </c>
      <c r="D171" s="114" t="s">
        <v>884</v>
      </c>
      <c r="E171" s="104" t="n">
        <v>30</v>
      </c>
      <c r="F171" s="106" t="n">
        <v>0.149005272863769</v>
      </c>
      <c r="G171" s="106" t="n">
        <v>0.149005272863769</v>
      </c>
      <c r="H171" s="106" t="n">
        <f aca="false">+(Yield_Originals!I171+Yield_Originals!G171)/2</f>
        <v>0.153748071476954</v>
      </c>
      <c r="I171" s="106" t="n">
        <v>0.158490870090138</v>
      </c>
      <c r="J171" s="106" t="n">
        <v>0.169281787727845</v>
      </c>
      <c r="K171" s="107" t="n">
        <v>1</v>
      </c>
      <c r="L171" s="108"/>
      <c r="M171" s="108"/>
      <c r="N171" s="108"/>
      <c r="O171" s="108"/>
      <c r="P171" s="109"/>
      <c r="Q171" s="109"/>
      <c r="R171" s="109" t="n">
        <f aca="false">(Yield_Originals!$H171*Yield_Originals!R$1)/Yield_Originals!$K171</f>
        <v>0.219091001854659</v>
      </c>
      <c r="S171" s="109" t="n">
        <f aca="false">(Yield_Originals!$H171*Yield_Originals!S$1)/Yield_Originals!$K171</f>
        <v>0.224856554535045</v>
      </c>
      <c r="T171" s="111" t="n">
        <f aca="false">(Yield_Originals!$I171*Yield_Originals!T$1)/Yield_Originals!$K171</f>
        <v>0.237736305135207</v>
      </c>
      <c r="U171" s="111" t="n">
        <f aca="false">(Yield_Originals!$I171*Yield_Originals!U$1)/Yield_Originals!$K171</f>
        <v>0.243679712763587</v>
      </c>
      <c r="V171" s="111" t="n">
        <f aca="false">(Yield_Originals!$I171*Yield_Originals!V$1)/Yield_Originals!$K171</f>
        <v>0.249623120391967</v>
      </c>
      <c r="W171" s="111" t="n">
        <f aca="false">(Yield_Originals!$I171*Yield_Originals!W$1)/Yield_Originals!$K171</f>
        <v>0.255566528020347</v>
      </c>
      <c r="X171" s="112"/>
      <c r="Y171" s="112"/>
      <c r="Z171" s="112"/>
      <c r="AA171" s="112"/>
      <c r="AB171" s="112"/>
    </row>
    <row r="172" customFormat="false" ht="15" hidden="false" customHeight="false" outlineLevel="0" collapsed="false">
      <c r="A172" s="113" t="s">
        <v>871</v>
      </c>
      <c r="B172" s="68" t="n">
        <v>3</v>
      </c>
      <c r="C172" s="114" t="s">
        <v>789</v>
      </c>
      <c r="D172" s="114" t="s">
        <v>882</v>
      </c>
      <c r="E172" s="104" t="n">
        <v>30</v>
      </c>
      <c r="F172" s="106" t="n">
        <v>0.149005272863769</v>
      </c>
      <c r="G172" s="106" t="n">
        <v>0.149005272863769</v>
      </c>
      <c r="H172" s="106" t="n">
        <f aca="false">+(Yield_Originals!I172+Yield_Originals!G172)/2</f>
        <v>0.153748071476954</v>
      </c>
      <c r="I172" s="106" t="n">
        <v>0.158490870090138</v>
      </c>
      <c r="J172" s="106" t="n">
        <v>0.169281787727845</v>
      </c>
      <c r="K172" s="107" t="n">
        <v>1</v>
      </c>
      <c r="L172" s="108"/>
      <c r="M172" s="108"/>
      <c r="N172" s="108"/>
      <c r="O172" s="108"/>
      <c r="P172" s="109"/>
      <c r="Q172" s="109"/>
      <c r="R172" s="109" t="n">
        <f aca="false">(Yield_Originals!$H172*Yield_Originals!R$1)/Yield_Originals!$K172</f>
        <v>0.219091001854659</v>
      </c>
      <c r="S172" s="109" t="n">
        <f aca="false">(Yield_Originals!$H172*Yield_Originals!S$1)/Yield_Originals!$K172</f>
        <v>0.224856554535045</v>
      </c>
      <c r="T172" s="111" t="n">
        <f aca="false">(Yield_Originals!$I172*Yield_Originals!T$1)/Yield_Originals!$K172</f>
        <v>0.237736305135207</v>
      </c>
      <c r="U172" s="111" t="n">
        <f aca="false">(Yield_Originals!$I172*Yield_Originals!U$1)/Yield_Originals!$K172</f>
        <v>0.243679712763587</v>
      </c>
      <c r="V172" s="111" t="n">
        <f aca="false">(Yield_Originals!$I172*Yield_Originals!V$1)/Yield_Originals!$K172</f>
        <v>0.249623120391967</v>
      </c>
      <c r="W172" s="111" t="n">
        <f aca="false">(Yield_Originals!$I172*Yield_Originals!W$1)/Yield_Originals!$K172</f>
        <v>0.255566528020347</v>
      </c>
      <c r="X172" s="112"/>
      <c r="Y172" s="112"/>
      <c r="Z172" s="112"/>
      <c r="AA172" s="112"/>
      <c r="AB172" s="112"/>
    </row>
    <row r="173" customFormat="false" ht="15" hidden="false" customHeight="false" outlineLevel="0" collapsed="false">
      <c r="A173" s="113" t="s">
        <v>871</v>
      </c>
      <c r="B173" s="68" t="n">
        <v>3</v>
      </c>
      <c r="C173" s="114" t="s">
        <v>234</v>
      </c>
      <c r="D173" s="114" t="s">
        <v>886</v>
      </c>
      <c r="E173" s="104" t="n">
        <v>30</v>
      </c>
      <c r="F173" s="106" t="n">
        <v>0.149005272863769</v>
      </c>
      <c r="G173" s="106" t="n">
        <v>0.149005272863769</v>
      </c>
      <c r="H173" s="106" t="n">
        <f aca="false">+(Yield_Originals!I173+Yield_Originals!G173)/2</f>
        <v>0.153748071476954</v>
      </c>
      <c r="I173" s="106" t="n">
        <v>0.158490870090138</v>
      </c>
      <c r="J173" s="106" t="n">
        <v>0.169281787727845</v>
      </c>
      <c r="K173" s="107" t="n">
        <v>1</v>
      </c>
      <c r="L173" s="108" t="n">
        <f aca="false">(Yield_Originals!$G173*Yield_Originals!L$1)/Yield_Originals!$K173</f>
        <v>0.178806327436523</v>
      </c>
      <c r="M173" s="108" t="n">
        <f aca="false">(Yield_Originals!$G173*Yield_Originals!M$1)/Yield_Originals!$K173</f>
        <v>0.184394025168914</v>
      </c>
      <c r="N173" s="108" t="n">
        <f aca="false">(Yield_Originals!$G173*Yield_Originals!N$1)/Yield_Originals!$K173</f>
        <v>0.189981722901306</v>
      </c>
      <c r="O173" s="108" t="n">
        <f aca="false">(Yield_Originals!$G173*Yield_Originals!O$1)/Yield_Originals!$K173</f>
        <v>0.195569420633697</v>
      </c>
      <c r="P173" s="109" t="n">
        <f aca="false">(Yield_Originals!$H173*Yield_Originals!P$1)/Yield_Originals!$K173</f>
        <v>0.207559896493887</v>
      </c>
      <c r="Q173" s="109" t="n">
        <f aca="false">(Yield_Originals!$H173*Yield_Originals!Q$1)/Yield_Originals!$K173</f>
        <v>0.213325449174273</v>
      </c>
      <c r="R173" s="109" t="n">
        <f aca="false">(Yield_Originals!$H173*Yield_Originals!R$1)/Yield_Originals!$K173</f>
        <v>0.219091001854659</v>
      </c>
      <c r="S173" s="109" t="n">
        <f aca="false">(Yield_Originals!$H173*Yield_Originals!S$1)/Yield_Originals!$K173</f>
        <v>0.224856554535045</v>
      </c>
      <c r="T173" s="111" t="n">
        <f aca="false">(Yield_Originals!$I173*Yield_Originals!T$1)/Yield_Originals!$K173</f>
        <v>0.237736305135207</v>
      </c>
      <c r="U173" s="111" t="n">
        <f aca="false">(Yield_Originals!$I173*Yield_Originals!U$1)/Yield_Originals!$K173</f>
        <v>0.243679712763587</v>
      </c>
      <c r="V173" s="111" t="n">
        <f aca="false">(Yield_Originals!$I173*Yield_Originals!V$1)/Yield_Originals!$K173</f>
        <v>0.249623120391967</v>
      </c>
      <c r="W173" s="111" t="n">
        <f aca="false">(Yield_Originals!$I173*Yield_Originals!W$1)/Yield_Originals!$K173</f>
        <v>0.255566528020347</v>
      </c>
      <c r="X173" s="112" t="n">
        <f aca="false">(Yield_Originals!$J173*Yield_Originals!X$1)/Yield_Originals!$K173</f>
        <v>0.279314949750944</v>
      </c>
      <c r="Y173" s="112" t="n">
        <f aca="false">(Yield_Originals!$J173*Yield_Originals!Y$1)/Yield_Originals!$K173</f>
        <v>0.285663016790738</v>
      </c>
      <c r="Z173" s="112" t="n">
        <f aca="false">(Yield_Originals!$J173*Yield_Originals!Z$1)/Yield_Originals!$K173</f>
        <v>0.292011083830533</v>
      </c>
      <c r="AA173" s="112" t="n">
        <f aca="false">(Yield_Originals!$J173*Yield_Originals!AA$1)/Yield_Originals!$K173</f>
        <v>0.298359150870327</v>
      </c>
      <c r="AB173" s="112" t="n">
        <f aca="false">(Yield_Originals!$J173*Yield_Originals!AB$1)/Yield_Originals!$K173</f>
        <v>0.304707217910121</v>
      </c>
    </row>
    <row r="174" customFormat="false" ht="15" hidden="false" customHeight="false" outlineLevel="0" collapsed="false">
      <c r="A174" s="113" t="s">
        <v>871</v>
      </c>
      <c r="B174" s="68" t="n">
        <v>3</v>
      </c>
      <c r="C174" s="114" t="s">
        <v>794</v>
      </c>
      <c r="D174" s="114" t="s">
        <v>870</v>
      </c>
      <c r="E174" s="104" t="n">
        <v>30</v>
      </c>
      <c r="F174" s="106" t="n">
        <v>0.149005272863769</v>
      </c>
      <c r="G174" s="106" t="n">
        <v>0.149005272863769</v>
      </c>
      <c r="H174" s="106" t="n">
        <f aca="false">+(Yield_Originals!I174+Yield_Originals!G174)/2</f>
        <v>0.153748071476954</v>
      </c>
      <c r="I174" s="106" t="n">
        <v>0.158490870090138</v>
      </c>
      <c r="J174" s="106" t="n">
        <v>0.169281787727845</v>
      </c>
      <c r="K174" s="107" t="n">
        <v>1</v>
      </c>
      <c r="L174" s="108" t="n">
        <f aca="false">(Yield_Originals!$G174*Yield_Originals!L$1)/Yield_Originals!$K174</f>
        <v>0.178806327436523</v>
      </c>
      <c r="M174" s="108" t="n">
        <f aca="false">(Yield_Originals!$G174*Yield_Originals!M$1)/Yield_Originals!$K174</f>
        <v>0.184394025168914</v>
      </c>
      <c r="N174" s="108" t="n">
        <f aca="false">(Yield_Originals!$G174*Yield_Originals!N$1)/Yield_Originals!$K174</f>
        <v>0.189981722901306</v>
      </c>
      <c r="O174" s="108" t="n">
        <f aca="false">(Yield_Originals!$G174*Yield_Originals!O$1)/Yield_Originals!$K174</f>
        <v>0.195569420633697</v>
      </c>
      <c r="P174" s="109" t="n">
        <f aca="false">(Yield_Originals!$H174*Yield_Originals!P$1)/Yield_Originals!$K174</f>
        <v>0.207559896493887</v>
      </c>
      <c r="Q174" s="109" t="n">
        <f aca="false">(Yield_Originals!$H174*Yield_Originals!Q$1)/Yield_Originals!$K174</f>
        <v>0.213325449174273</v>
      </c>
      <c r="R174" s="109" t="n">
        <f aca="false">(Yield_Originals!$H174*Yield_Originals!R$1)/Yield_Originals!$K174</f>
        <v>0.219091001854659</v>
      </c>
      <c r="S174" s="109" t="n">
        <f aca="false">(Yield_Originals!$H174*Yield_Originals!S$1)/Yield_Originals!$K174</f>
        <v>0.224856554535045</v>
      </c>
      <c r="T174" s="111" t="n">
        <f aca="false">(Yield_Originals!$I174*Yield_Originals!T$1)/Yield_Originals!$K174</f>
        <v>0.237736305135207</v>
      </c>
      <c r="U174" s="111" t="n">
        <f aca="false">(Yield_Originals!$I174*Yield_Originals!U$1)/Yield_Originals!$K174</f>
        <v>0.243679712763587</v>
      </c>
      <c r="V174" s="111" t="n">
        <f aca="false">(Yield_Originals!$I174*Yield_Originals!V$1)/Yield_Originals!$K174</f>
        <v>0.249623120391967</v>
      </c>
      <c r="W174" s="111" t="n">
        <f aca="false">(Yield_Originals!$I174*Yield_Originals!W$1)/Yield_Originals!$K174</f>
        <v>0.255566528020347</v>
      </c>
      <c r="X174" s="112" t="n">
        <f aca="false">(Yield_Originals!$J174*Yield_Originals!X$1)/Yield_Originals!$K174</f>
        <v>0.279314949750944</v>
      </c>
      <c r="Y174" s="112" t="n">
        <f aca="false">(Yield_Originals!$J174*Yield_Originals!Y$1)/Yield_Originals!$K174</f>
        <v>0.285663016790738</v>
      </c>
      <c r="Z174" s="112" t="n">
        <f aca="false">(Yield_Originals!$J174*Yield_Originals!Z$1)/Yield_Originals!$K174</f>
        <v>0.292011083830533</v>
      </c>
      <c r="AA174" s="112" t="n">
        <f aca="false">(Yield_Originals!$J174*Yield_Originals!AA$1)/Yield_Originals!$K174</f>
        <v>0.298359150870327</v>
      </c>
      <c r="AB174" s="112" t="n">
        <f aca="false">(Yield_Originals!$J174*Yield_Originals!AB$1)/Yield_Originals!$K174</f>
        <v>0.304707217910121</v>
      </c>
    </row>
    <row r="175" customFormat="false" ht="15" hidden="false" customHeight="false" outlineLevel="0" collapsed="false">
      <c r="A175" s="113" t="s">
        <v>871</v>
      </c>
      <c r="B175" s="68" t="n">
        <v>3</v>
      </c>
      <c r="C175" s="114" t="s">
        <v>235</v>
      </c>
      <c r="D175" s="114" t="s">
        <v>874</v>
      </c>
      <c r="E175" s="104" t="n">
        <v>30</v>
      </c>
      <c r="F175" s="106" t="n">
        <v>0.149005272863769</v>
      </c>
      <c r="G175" s="106" t="n">
        <v>0.149005272863769</v>
      </c>
      <c r="H175" s="106" t="n">
        <f aca="false">+(Yield_Originals!I175+Yield_Originals!G175)/2</f>
        <v>0.153748071476954</v>
      </c>
      <c r="I175" s="106" t="n">
        <v>0.158490870090138</v>
      </c>
      <c r="J175" s="106" t="n">
        <v>0.169281787727845</v>
      </c>
      <c r="K175" s="107" t="n">
        <v>1</v>
      </c>
      <c r="L175" s="108" t="n">
        <f aca="false">(Yield_Originals!$G175*Yield_Originals!L$1)/Yield_Originals!$K175</f>
        <v>0.178806327436523</v>
      </c>
      <c r="M175" s="108" t="n">
        <f aca="false">(Yield_Originals!$G175*Yield_Originals!M$1)/Yield_Originals!$K175</f>
        <v>0.184394025168914</v>
      </c>
      <c r="N175" s="108" t="n">
        <f aca="false">(Yield_Originals!$G175*Yield_Originals!N$1)/Yield_Originals!$K175</f>
        <v>0.189981722901306</v>
      </c>
      <c r="O175" s="108" t="n">
        <f aca="false">(Yield_Originals!$G175*Yield_Originals!O$1)/Yield_Originals!$K175</f>
        <v>0.195569420633697</v>
      </c>
      <c r="P175" s="109" t="n">
        <f aca="false">(Yield_Originals!$H175*Yield_Originals!P$1)/Yield_Originals!$K175</f>
        <v>0.207559896493887</v>
      </c>
      <c r="Q175" s="109" t="n">
        <f aca="false">(Yield_Originals!$H175*Yield_Originals!Q$1)/Yield_Originals!$K175</f>
        <v>0.213325449174273</v>
      </c>
      <c r="R175" s="109" t="n">
        <f aca="false">(Yield_Originals!$H175*Yield_Originals!R$1)/Yield_Originals!$K175</f>
        <v>0.219091001854659</v>
      </c>
      <c r="S175" s="109" t="n">
        <f aca="false">(Yield_Originals!$H175*Yield_Originals!S$1)/Yield_Originals!$K175</f>
        <v>0.224856554535045</v>
      </c>
      <c r="T175" s="111" t="n">
        <f aca="false">(Yield_Originals!$I175*Yield_Originals!T$1)/Yield_Originals!$K175</f>
        <v>0.237736305135207</v>
      </c>
      <c r="U175" s="111" t="n">
        <f aca="false">(Yield_Originals!$I175*Yield_Originals!U$1)/Yield_Originals!$K175</f>
        <v>0.243679712763587</v>
      </c>
      <c r="V175" s="111" t="n">
        <f aca="false">(Yield_Originals!$I175*Yield_Originals!V$1)/Yield_Originals!$K175</f>
        <v>0.249623120391967</v>
      </c>
      <c r="W175" s="111" t="n">
        <f aca="false">(Yield_Originals!$I175*Yield_Originals!W$1)/Yield_Originals!$K175</f>
        <v>0.255566528020347</v>
      </c>
      <c r="X175" s="112" t="n">
        <f aca="false">(Yield_Originals!$J175*Yield_Originals!X$1)/Yield_Originals!$K175</f>
        <v>0.279314949750944</v>
      </c>
      <c r="Y175" s="112" t="n">
        <f aca="false">(Yield_Originals!$J175*Yield_Originals!Y$1)/Yield_Originals!$K175</f>
        <v>0.285663016790738</v>
      </c>
      <c r="Z175" s="112" t="n">
        <f aca="false">(Yield_Originals!$J175*Yield_Originals!Z$1)/Yield_Originals!$K175</f>
        <v>0.292011083830533</v>
      </c>
      <c r="AA175" s="112" t="n">
        <f aca="false">(Yield_Originals!$J175*Yield_Originals!AA$1)/Yield_Originals!$K175</f>
        <v>0.298359150870327</v>
      </c>
      <c r="AB175" s="112" t="n">
        <f aca="false">(Yield_Originals!$J175*Yield_Originals!AB$1)/Yield_Originals!$K175</f>
        <v>0.304707217910121</v>
      </c>
    </row>
    <row r="176" customFormat="false" ht="15" hidden="false" customHeight="false" outlineLevel="0" collapsed="false">
      <c r="A176" s="113" t="s">
        <v>871</v>
      </c>
      <c r="B176" s="68" t="n">
        <v>3</v>
      </c>
      <c r="C176" s="114" t="s">
        <v>800</v>
      </c>
      <c r="D176" s="114" t="s">
        <v>895</v>
      </c>
      <c r="E176" s="104" t="n">
        <v>30</v>
      </c>
      <c r="F176" s="106" t="n">
        <v>0.149005272863769</v>
      </c>
      <c r="G176" s="106" t="n">
        <v>0.149005272863769</v>
      </c>
      <c r="H176" s="106" t="n">
        <f aca="false">+(Yield_Originals!I176+Yield_Originals!G176)/2</f>
        <v>0.153748071476954</v>
      </c>
      <c r="I176" s="106" t="n">
        <v>0.158490870090138</v>
      </c>
      <c r="J176" s="106" t="n">
        <v>0.169281787727845</v>
      </c>
      <c r="K176" s="107" t="n">
        <v>1</v>
      </c>
      <c r="L176" s="108" t="n">
        <f aca="false">(Yield_Originals!$G176*Yield_Originals!L$1)/Yield_Originals!$K176</f>
        <v>0.178806327436523</v>
      </c>
      <c r="M176" s="108" t="n">
        <f aca="false">(Yield_Originals!$G176*Yield_Originals!M$1)/Yield_Originals!$K176</f>
        <v>0.184394025168914</v>
      </c>
      <c r="N176" s="108" t="n">
        <f aca="false">(Yield_Originals!$G176*Yield_Originals!N$1)/Yield_Originals!$K176</f>
        <v>0.189981722901306</v>
      </c>
      <c r="O176" s="108" t="n">
        <f aca="false">(Yield_Originals!$G176*Yield_Originals!O$1)/Yield_Originals!$K176</f>
        <v>0.195569420633697</v>
      </c>
      <c r="P176" s="109" t="n">
        <f aca="false">(Yield_Originals!$H176*Yield_Originals!P$1)/Yield_Originals!$K176</f>
        <v>0.207559896493887</v>
      </c>
      <c r="Q176" s="109" t="n">
        <f aca="false">(Yield_Originals!$H176*Yield_Originals!Q$1)/Yield_Originals!$K176</f>
        <v>0.213325449174273</v>
      </c>
      <c r="R176" s="109" t="n">
        <f aca="false">(Yield_Originals!$H176*Yield_Originals!R$1)/Yield_Originals!$K176</f>
        <v>0.219091001854659</v>
      </c>
      <c r="S176" s="109" t="n">
        <f aca="false">(Yield_Originals!$H176*Yield_Originals!S$1)/Yield_Originals!$K176</f>
        <v>0.224856554535045</v>
      </c>
      <c r="T176" s="111" t="n">
        <f aca="false">(Yield_Originals!$I176*Yield_Originals!T$1)/Yield_Originals!$K176</f>
        <v>0.237736305135207</v>
      </c>
      <c r="U176" s="111" t="n">
        <f aca="false">(Yield_Originals!$I176*Yield_Originals!U$1)/Yield_Originals!$K176</f>
        <v>0.243679712763587</v>
      </c>
      <c r="V176" s="111" t="n">
        <f aca="false">(Yield_Originals!$I176*Yield_Originals!V$1)/Yield_Originals!$K176</f>
        <v>0.249623120391967</v>
      </c>
      <c r="W176" s="111" t="n">
        <f aca="false">(Yield_Originals!$I176*Yield_Originals!W$1)/Yield_Originals!$K176</f>
        <v>0.255566528020347</v>
      </c>
      <c r="X176" s="112" t="n">
        <f aca="false">(Yield_Originals!$J176*Yield_Originals!X$1)/Yield_Originals!$K176</f>
        <v>0.279314949750944</v>
      </c>
      <c r="Y176" s="112" t="n">
        <f aca="false">(Yield_Originals!$J176*Yield_Originals!Y$1)/Yield_Originals!$K176</f>
        <v>0.285663016790738</v>
      </c>
      <c r="Z176" s="112" t="n">
        <f aca="false">(Yield_Originals!$J176*Yield_Originals!Z$1)/Yield_Originals!$K176</f>
        <v>0.292011083830533</v>
      </c>
      <c r="AA176" s="112" t="n">
        <f aca="false">(Yield_Originals!$J176*Yield_Originals!AA$1)/Yield_Originals!$K176</f>
        <v>0.298359150870327</v>
      </c>
      <c r="AB176" s="112" t="n">
        <f aca="false">(Yield_Originals!$J176*Yield_Originals!AB$1)/Yield_Originals!$K176</f>
        <v>0.304707217910121</v>
      </c>
    </row>
    <row r="177" customFormat="false" ht="15" hidden="false" customHeight="false" outlineLevel="0" collapsed="false">
      <c r="A177" s="113" t="s">
        <v>871</v>
      </c>
      <c r="B177" s="68" t="n">
        <v>3</v>
      </c>
      <c r="C177" s="114" t="s">
        <v>803</v>
      </c>
      <c r="D177" s="114" t="s">
        <v>889</v>
      </c>
      <c r="E177" s="104" t="n">
        <v>30</v>
      </c>
      <c r="F177" s="106" t="n">
        <v>0.149005272863769</v>
      </c>
      <c r="G177" s="106" t="n">
        <v>0.149005272863769</v>
      </c>
      <c r="H177" s="106" t="n">
        <f aca="false">+(Yield_Originals!I177+Yield_Originals!G177)/2</f>
        <v>0.153748071476954</v>
      </c>
      <c r="I177" s="106" t="n">
        <v>0.158490870090138</v>
      </c>
      <c r="J177" s="106" t="n">
        <v>0.169281787727845</v>
      </c>
      <c r="K177" s="107" t="n">
        <v>1</v>
      </c>
      <c r="L177" s="108"/>
      <c r="M177" s="108"/>
      <c r="N177" s="108"/>
      <c r="O177" s="108"/>
      <c r="P177" s="109"/>
      <c r="Q177" s="109"/>
      <c r="R177" s="109" t="n">
        <f aca="false">(Yield_Originals!$H177*Yield_Originals!R$1)/Yield_Originals!$K177</f>
        <v>0.219091001854659</v>
      </c>
      <c r="S177" s="109" t="n">
        <f aca="false">(Yield_Originals!$H177*Yield_Originals!S$1)/Yield_Originals!$K177</f>
        <v>0.224856554535045</v>
      </c>
      <c r="T177" s="111" t="n">
        <f aca="false">(Yield_Originals!$I177*Yield_Originals!T$1)/Yield_Originals!$K177</f>
        <v>0.237736305135207</v>
      </c>
      <c r="U177" s="111" t="n">
        <f aca="false">(Yield_Originals!$I177*Yield_Originals!U$1)/Yield_Originals!$K177</f>
        <v>0.243679712763587</v>
      </c>
      <c r="V177" s="111" t="n">
        <f aca="false">(Yield_Originals!$I177*Yield_Originals!V$1)/Yield_Originals!$K177</f>
        <v>0.249623120391967</v>
      </c>
      <c r="W177" s="111" t="n">
        <f aca="false">(Yield_Originals!$I177*Yield_Originals!W$1)/Yield_Originals!$K177</f>
        <v>0.255566528020347</v>
      </c>
      <c r="X177" s="112" t="n">
        <f aca="false">(Yield_Originals!$J177*Yield_Originals!X$1)/Yield_Originals!$K177</f>
        <v>0.279314949750944</v>
      </c>
      <c r="Y177" s="112"/>
      <c r="Z177" s="112"/>
      <c r="AA177" s="112"/>
      <c r="AB177" s="112"/>
    </row>
    <row r="178" customFormat="false" ht="15" hidden="false" customHeight="false" outlineLevel="0" collapsed="false">
      <c r="A178" s="70" t="s">
        <v>899</v>
      </c>
      <c r="B178" s="68" t="n">
        <v>3</v>
      </c>
      <c r="C178" s="114" t="s">
        <v>236</v>
      </c>
      <c r="D178" s="114" t="s">
        <v>918</v>
      </c>
      <c r="E178" s="104" t="n">
        <v>31</v>
      </c>
      <c r="F178" s="106" t="n">
        <v>0.12622424002054</v>
      </c>
      <c r="G178" s="106" t="n">
        <v>0.12622424002054</v>
      </c>
      <c r="H178" s="106" t="n">
        <f aca="false">+(Yield_Originals!I178+Yield_Originals!G178)/2</f>
        <v>0.128366102056243</v>
      </c>
      <c r="I178" s="106" t="n">
        <v>0.130507964091947</v>
      </c>
      <c r="J178" s="106" t="n">
        <v>0.14189303832344</v>
      </c>
      <c r="K178" s="107" t="n">
        <v>1</v>
      </c>
      <c r="L178" s="108"/>
      <c r="M178" s="108"/>
      <c r="N178" s="108"/>
      <c r="O178" s="108"/>
      <c r="P178" s="109"/>
      <c r="Q178" s="109"/>
      <c r="R178" s="109" t="n">
        <f aca="false">(Yield_Originals!$H178*Yield_Originals!R$1)/Yield_Originals!$K178</f>
        <v>0.182921695430147</v>
      </c>
      <c r="S178" s="109" t="n">
        <f aca="false">(Yield_Originals!$H178*Yield_Originals!S$1)/Yield_Originals!$K178</f>
        <v>0.187735424257256</v>
      </c>
      <c r="T178" s="111" t="n">
        <f aca="false">(Yield_Originals!$I178*Yield_Originals!T$1)/Yield_Originals!$K178</f>
        <v>0.195761946137921</v>
      </c>
      <c r="U178" s="111" t="n">
        <f aca="false">(Yield_Originals!$I178*Yield_Originals!U$1)/Yield_Originals!$K178</f>
        <v>0.200655994791368</v>
      </c>
      <c r="V178" s="111" t="n">
        <f aca="false">(Yield_Originals!$I178*Yield_Originals!V$1)/Yield_Originals!$K178</f>
        <v>0.205550043444817</v>
      </c>
      <c r="W178" s="111" t="n">
        <f aca="false">(Yield_Originals!$I178*Yield_Originals!W$1)/Yield_Originals!$K178</f>
        <v>0.210444092098265</v>
      </c>
      <c r="X178" s="112" t="n">
        <f aca="false">(Yield_Originals!$J178*Yield_Originals!X$1)/Yield_Originals!$K178</f>
        <v>0.234123513233676</v>
      </c>
      <c r="Y178" s="112"/>
      <c r="Z178" s="112"/>
      <c r="AA178" s="112"/>
      <c r="AB178" s="112"/>
    </row>
    <row r="179" customFormat="false" ht="15" hidden="false" customHeight="false" outlineLevel="0" collapsed="false">
      <c r="A179" s="70" t="s">
        <v>899</v>
      </c>
      <c r="B179" s="68" t="n">
        <v>3</v>
      </c>
      <c r="C179" s="114" t="s">
        <v>236</v>
      </c>
      <c r="D179" s="114" t="s">
        <v>918</v>
      </c>
      <c r="E179" s="104" t="n">
        <v>32</v>
      </c>
      <c r="F179" s="106" t="n">
        <v>0.12622424002054</v>
      </c>
      <c r="G179" s="106" t="n">
        <v>0.12622424002054</v>
      </c>
      <c r="H179" s="106" t="n">
        <f aca="false">+(Yield_Originals!I179+Yield_Originals!G179)/2</f>
        <v>0.128366102056243</v>
      </c>
      <c r="I179" s="106" t="n">
        <v>0.130507964091947</v>
      </c>
      <c r="J179" s="106" t="n">
        <v>0.14189303832344</v>
      </c>
      <c r="K179" s="107" t="n">
        <v>1</v>
      </c>
      <c r="L179" s="108"/>
      <c r="M179" s="108"/>
      <c r="N179" s="108"/>
      <c r="O179" s="108"/>
      <c r="P179" s="109"/>
      <c r="Q179" s="109"/>
      <c r="R179" s="109" t="n">
        <f aca="false">(Yield_Originals!$H179*Yield_Originals!R$1)/Yield_Originals!$K179</f>
        <v>0.182921695430147</v>
      </c>
      <c r="S179" s="109" t="n">
        <f aca="false">(Yield_Originals!$H179*Yield_Originals!S$1)/Yield_Originals!$K179</f>
        <v>0.187735424257256</v>
      </c>
      <c r="T179" s="111" t="n">
        <f aca="false">(Yield_Originals!$I179*Yield_Originals!T$1)/Yield_Originals!$K179</f>
        <v>0.195761946137921</v>
      </c>
      <c r="U179" s="111" t="n">
        <f aca="false">(Yield_Originals!$I179*Yield_Originals!U$1)/Yield_Originals!$K179</f>
        <v>0.200655994791368</v>
      </c>
      <c r="V179" s="111" t="n">
        <f aca="false">(Yield_Originals!$I179*Yield_Originals!V$1)/Yield_Originals!$K179</f>
        <v>0.205550043444817</v>
      </c>
      <c r="W179" s="111" t="n">
        <f aca="false">(Yield_Originals!$I179*Yield_Originals!W$1)/Yield_Originals!$K179</f>
        <v>0.210444092098265</v>
      </c>
      <c r="X179" s="112" t="n">
        <f aca="false">(Yield_Originals!$J179*Yield_Originals!X$1)/Yield_Originals!$K179</f>
        <v>0.234123513233676</v>
      </c>
      <c r="Y179" s="112"/>
      <c r="Z179" s="112"/>
      <c r="AA179" s="112"/>
      <c r="AB179" s="112"/>
    </row>
    <row r="180" customFormat="false" ht="15" hidden="false" customHeight="false" outlineLevel="0" collapsed="false">
      <c r="A180" s="70" t="s">
        <v>899</v>
      </c>
      <c r="B180" s="68" t="n">
        <v>3</v>
      </c>
      <c r="C180" s="114" t="s">
        <v>808</v>
      </c>
      <c r="D180" s="114" t="s">
        <v>920</v>
      </c>
      <c r="E180" s="104" t="n">
        <v>31</v>
      </c>
      <c r="F180" s="106" t="n">
        <v>0.12622424002054</v>
      </c>
      <c r="G180" s="106" t="n">
        <v>0.12622424002054</v>
      </c>
      <c r="H180" s="106" t="n">
        <f aca="false">+(Yield_Originals!I180+Yield_Originals!G180)/2</f>
        <v>0.128366102056243</v>
      </c>
      <c r="I180" s="106" t="n">
        <v>0.130507964091947</v>
      </c>
      <c r="J180" s="106" t="n">
        <v>0.14189303832344</v>
      </c>
      <c r="K180" s="107" t="n">
        <v>1</v>
      </c>
      <c r="L180" s="108" t="n">
        <f aca="false">(Yield_Originals!$G180*Yield_Originals!L$1)/Yield_Originals!$K180</f>
        <v>0.151469088024648</v>
      </c>
      <c r="M180" s="108" t="n">
        <f aca="false">(Yield_Originals!$G180*Yield_Originals!M$1)/Yield_Originals!$K180</f>
        <v>0.156202497025418</v>
      </c>
      <c r="N180" s="108" t="n">
        <f aca="false">(Yield_Originals!$G180*Yield_Originals!N$1)/Yield_Originals!$K180</f>
        <v>0.160935906026189</v>
      </c>
      <c r="O180" s="108" t="n">
        <f aca="false">(Yield_Originals!$G180*Yield_Originals!O$1)/Yield_Originals!$K180</f>
        <v>0.165669315026959</v>
      </c>
      <c r="P180" s="109"/>
      <c r="Q180" s="109"/>
      <c r="R180" s="109"/>
      <c r="S180" s="109"/>
      <c r="T180" s="111"/>
      <c r="U180" s="111"/>
      <c r="V180" s="111"/>
      <c r="W180" s="111"/>
      <c r="X180" s="112"/>
      <c r="Y180" s="112"/>
      <c r="Z180" s="112"/>
      <c r="AA180" s="112"/>
      <c r="AB180" s="112"/>
    </row>
    <row r="181" customFormat="false" ht="15" hidden="false" customHeight="false" outlineLevel="0" collapsed="false">
      <c r="A181" s="70" t="s">
        <v>899</v>
      </c>
      <c r="B181" s="68" t="n">
        <v>3</v>
      </c>
      <c r="C181" s="114" t="s">
        <v>808</v>
      </c>
      <c r="D181" s="114" t="s">
        <v>920</v>
      </c>
      <c r="E181" s="104" t="n">
        <v>32</v>
      </c>
      <c r="F181" s="106" t="n">
        <v>0.12622424002054</v>
      </c>
      <c r="G181" s="106" t="n">
        <v>0.12622424002054</v>
      </c>
      <c r="H181" s="106" t="n">
        <f aca="false">+(Yield_Originals!I181+Yield_Originals!G181)/2</f>
        <v>0.128366102056243</v>
      </c>
      <c r="I181" s="106" t="n">
        <v>0.130507964091947</v>
      </c>
      <c r="J181" s="106" t="n">
        <v>0.14189303832344</v>
      </c>
      <c r="K181" s="107" t="n">
        <v>1</v>
      </c>
      <c r="L181" s="108" t="n">
        <f aca="false">(Yield_Originals!$G181*Yield_Originals!L$1)/Yield_Originals!$K181</f>
        <v>0.151469088024648</v>
      </c>
      <c r="M181" s="108" t="n">
        <f aca="false">(Yield_Originals!$G181*Yield_Originals!M$1)/Yield_Originals!$K181</f>
        <v>0.156202497025418</v>
      </c>
      <c r="N181" s="108" t="n">
        <f aca="false">(Yield_Originals!$G181*Yield_Originals!N$1)/Yield_Originals!$K181</f>
        <v>0.160935906026189</v>
      </c>
      <c r="O181" s="108" t="n">
        <f aca="false">(Yield_Originals!$G181*Yield_Originals!O$1)/Yield_Originals!$K181</f>
        <v>0.165669315026959</v>
      </c>
      <c r="P181" s="109" t="n">
        <f aca="false">(Yield_Originals!$H181*Yield_Originals!P$1)/Yield_Originals!$K181</f>
        <v>0.173294237775929</v>
      </c>
      <c r="Q181" s="109" t="n">
        <f aca="false">(Yield_Originals!$H181*Yield_Originals!Q$1)/Yield_Originals!$K181</f>
        <v>0.178107966603038</v>
      </c>
      <c r="R181" s="109" t="n">
        <f aca="false">(Yield_Originals!$H181*Yield_Originals!R$1)/Yield_Originals!$K181</f>
        <v>0.182921695430147</v>
      </c>
      <c r="S181" s="109" t="n">
        <f aca="false">(Yield_Originals!$H181*Yield_Originals!S$1)/Yield_Originals!$K181</f>
        <v>0.187735424257256</v>
      </c>
      <c r="T181" s="111" t="n">
        <f aca="false">(Yield_Originals!$I181*Yield_Originals!T$1)/Yield_Originals!$K181</f>
        <v>0.195761946137921</v>
      </c>
      <c r="U181" s="111" t="n">
        <f aca="false">(Yield_Originals!$I181*Yield_Originals!U$1)/Yield_Originals!$K181</f>
        <v>0.200655994791368</v>
      </c>
      <c r="V181" s="111" t="n">
        <f aca="false">(Yield_Originals!$I181*Yield_Originals!V$1)/Yield_Originals!$K181</f>
        <v>0.205550043444817</v>
      </c>
      <c r="W181" s="111" t="n">
        <f aca="false">(Yield_Originals!$I181*Yield_Originals!W$1)/Yield_Originals!$K181</f>
        <v>0.210444092098265</v>
      </c>
      <c r="X181" s="112" t="n">
        <f aca="false">(Yield_Originals!$J181*Yield_Originals!X$1)/Yield_Originals!$K181</f>
        <v>0.234123513233676</v>
      </c>
      <c r="Y181" s="112" t="n">
        <f aca="false">(Yield_Originals!$J181*Yield_Originals!Y$1)/Yield_Originals!$K181</f>
        <v>0.239444502170805</v>
      </c>
      <c r="Z181" s="112" t="n">
        <f aca="false">(Yield_Originals!$J181*Yield_Originals!Z$1)/Yield_Originals!$K181</f>
        <v>0.244765491107934</v>
      </c>
      <c r="AA181" s="112" t="n">
        <f aca="false">(Yield_Originals!$J181*Yield_Originals!AA$1)/Yield_Originals!$K181</f>
        <v>0.250086480045063</v>
      </c>
      <c r="AB181" s="112" t="n">
        <f aca="false">(Yield_Originals!$J181*Yield_Originals!AB$1)/Yield_Originals!$K181</f>
        <v>0.255407468982192</v>
      </c>
    </row>
    <row r="182" customFormat="false" ht="15" hidden="false" customHeight="false" outlineLevel="0" collapsed="false">
      <c r="A182" s="70" t="s">
        <v>899</v>
      </c>
      <c r="B182" s="68" t="n">
        <v>3</v>
      </c>
      <c r="C182" s="114" t="s">
        <v>811</v>
      </c>
      <c r="D182" s="114" t="s">
        <v>923</v>
      </c>
      <c r="E182" s="104" t="n">
        <v>31</v>
      </c>
      <c r="F182" s="106" t="n">
        <v>0.12622424002054</v>
      </c>
      <c r="G182" s="106" t="n">
        <v>0.12622424002054</v>
      </c>
      <c r="H182" s="106" t="n">
        <f aca="false">+(Yield_Originals!I182+Yield_Originals!G182)/2</f>
        <v>0.128366102056243</v>
      </c>
      <c r="I182" s="106" t="n">
        <v>0.130507964091947</v>
      </c>
      <c r="J182" s="106" t="n">
        <v>0.14189303832344</v>
      </c>
      <c r="K182" s="107" t="n">
        <v>1</v>
      </c>
      <c r="L182" s="108" t="n">
        <f aca="false">(Yield_Originals!$G182*Yield_Originals!L$1)/Yield_Originals!$K182</f>
        <v>0.151469088024648</v>
      </c>
      <c r="M182" s="108" t="n">
        <f aca="false">(Yield_Originals!$G182*Yield_Originals!M$1)/Yield_Originals!$K182</f>
        <v>0.156202497025418</v>
      </c>
      <c r="N182" s="108" t="n">
        <f aca="false">(Yield_Originals!$G182*Yield_Originals!N$1)/Yield_Originals!$K182</f>
        <v>0.160935906026189</v>
      </c>
      <c r="O182" s="108" t="n">
        <f aca="false">(Yield_Originals!$G182*Yield_Originals!O$1)/Yield_Originals!$K182</f>
        <v>0.165669315026959</v>
      </c>
      <c r="P182" s="109"/>
      <c r="Q182" s="109"/>
      <c r="R182" s="109"/>
      <c r="S182" s="109"/>
      <c r="T182" s="111"/>
      <c r="U182" s="111"/>
      <c r="V182" s="111"/>
      <c r="W182" s="111"/>
      <c r="X182" s="112"/>
      <c r="Y182" s="112"/>
      <c r="Z182" s="112"/>
      <c r="AA182" s="112"/>
      <c r="AB182" s="112"/>
    </row>
    <row r="183" customFormat="false" ht="15" hidden="false" customHeight="false" outlineLevel="0" collapsed="false">
      <c r="A183" s="70" t="s">
        <v>899</v>
      </c>
      <c r="B183" s="68" t="n">
        <v>3</v>
      </c>
      <c r="C183" s="114" t="s">
        <v>811</v>
      </c>
      <c r="D183" s="114" t="s">
        <v>923</v>
      </c>
      <c r="E183" s="104" t="n">
        <v>32</v>
      </c>
      <c r="F183" s="106" t="n">
        <v>0.12622424002054</v>
      </c>
      <c r="G183" s="106" t="n">
        <v>0.12622424002054</v>
      </c>
      <c r="H183" s="106" t="n">
        <f aca="false">+(Yield_Originals!I183+Yield_Originals!G183)/2</f>
        <v>0.128366102056243</v>
      </c>
      <c r="I183" s="106" t="n">
        <v>0.130507964091947</v>
      </c>
      <c r="J183" s="106" t="n">
        <v>0.14189303832344</v>
      </c>
      <c r="K183" s="107" t="n">
        <v>1</v>
      </c>
      <c r="L183" s="108" t="n">
        <f aca="false">(Yield_Originals!$G183*Yield_Originals!L$1)/Yield_Originals!$K183</f>
        <v>0.151469088024648</v>
      </c>
      <c r="M183" s="108" t="n">
        <f aca="false">(Yield_Originals!$G183*Yield_Originals!M$1)/Yield_Originals!$K183</f>
        <v>0.156202497025418</v>
      </c>
      <c r="N183" s="108" t="n">
        <f aca="false">(Yield_Originals!$G183*Yield_Originals!N$1)/Yield_Originals!$K183</f>
        <v>0.160935906026189</v>
      </c>
      <c r="O183" s="108" t="n">
        <f aca="false">(Yield_Originals!$G183*Yield_Originals!O$1)/Yield_Originals!$K183</f>
        <v>0.165669315026959</v>
      </c>
      <c r="P183" s="109" t="n">
        <f aca="false">(Yield_Originals!$H183*Yield_Originals!P$1)/Yield_Originals!$K183</f>
        <v>0.173294237775929</v>
      </c>
      <c r="Q183" s="109" t="n">
        <f aca="false">(Yield_Originals!$H183*Yield_Originals!Q$1)/Yield_Originals!$K183</f>
        <v>0.178107966603038</v>
      </c>
      <c r="R183" s="109" t="n">
        <f aca="false">(Yield_Originals!$H183*Yield_Originals!R$1)/Yield_Originals!$K183</f>
        <v>0.182921695430147</v>
      </c>
      <c r="S183" s="109" t="n">
        <f aca="false">(Yield_Originals!$H183*Yield_Originals!S$1)/Yield_Originals!$K183</f>
        <v>0.187735424257256</v>
      </c>
      <c r="T183" s="111" t="n">
        <f aca="false">(Yield_Originals!$I183*Yield_Originals!T$1)/Yield_Originals!$K183</f>
        <v>0.195761946137921</v>
      </c>
      <c r="U183" s="111" t="n">
        <f aca="false">(Yield_Originals!$I183*Yield_Originals!U$1)/Yield_Originals!$K183</f>
        <v>0.200655994791368</v>
      </c>
      <c r="V183" s="111" t="n">
        <f aca="false">(Yield_Originals!$I183*Yield_Originals!V$1)/Yield_Originals!$K183</f>
        <v>0.205550043444817</v>
      </c>
      <c r="W183" s="111" t="n">
        <f aca="false">(Yield_Originals!$I183*Yield_Originals!W$1)/Yield_Originals!$K183</f>
        <v>0.210444092098265</v>
      </c>
      <c r="X183" s="112" t="n">
        <f aca="false">(Yield_Originals!$J183*Yield_Originals!X$1)/Yield_Originals!$K183</f>
        <v>0.234123513233676</v>
      </c>
      <c r="Y183" s="112" t="n">
        <f aca="false">(Yield_Originals!$J183*Yield_Originals!Y$1)/Yield_Originals!$K183</f>
        <v>0.239444502170805</v>
      </c>
      <c r="Z183" s="112" t="n">
        <f aca="false">(Yield_Originals!$J183*Yield_Originals!Z$1)/Yield_Originals!$K183</f>
        <v>0.244765491107934</v>
      </c>
      <c r="AA183" s="112" t="n">
        <f aca="false">(Yield_Originals!$J183*Yield_Originals!AA$1)/Yield_Originals!$K183</f>
        <v>0.250086480045063</v>
      </c>
      <c r="AB183" s="112" t="n">
        <f aca="false">(Yield_Originals!$J183*Yield_Originals!AB$1)/Yield_Originals!$K183</f>
        <v>0.255407468982192</v>
      </c>
    </row>
    <row r="184" customFormat="false" ht="15" hidden="false" customHeight="false" outlineLevel="0" collapsed="false">
      <c r="A184" s="70" t="s">
        <v>899</v>
      </c>
      <c r="B184" s="68" t="n">
        <v>3</v>
      </c>
      <c r="C184" s="114" t="s">
        <v>815</v>
      </c>
      <c r="D184" s="114" t="s">
        <v>928</v>
      </c>
      <c r="E184" s="104" t="n">
        <v>31</v>
      </c>
      <c r="F184" s="106" t="n">
        <v>0.12622424002054</v>
      </c>
      <c r="G184" s="106" t="n">
        <v>0.12622424002054</v>
      </c>
      <c r="H184" s="106" t="n">
        <f aca="false">+(Yield_Originals!I184+Yield_Originals!G184)/2</f>
        <v>0.128366102056243</v>
      </c>
      <c r="I184" s="106" t="n">
        <v>0.130507964091947</v>
      </c>
      <c r="J184" s="106" t="n">
        <v>0.14189303832344</v>
      </c>
      <c r="K184" s="107" t="n">
        <v>1</v>
      </c>
      <c r="L184" s="108"/>
      <c r="M184" s="108"/>
      <c r="N184" s="108" t="n">
        <f aca="false">(Yield_Originals!$G184*Yield_Originals!N$1)/Yield_Originals!$K184</f>
        <v>0.160935906026189</v>
      </c>
      <c r="O184" s="108" t="n">
        <f aca="false">(Yield_Originals!$G184*Yield_Originals!O$1)/Yield_Originals!$K184</f>
        <v>0.165669315026959</v>
      </c>
      <c r="P184" s="109" t="n">
        <f aca="false">(Yield_Originals!$H184*Yield_Originals!P$1)/Yield_Originals!$K184</f>
        <v>0.173294237775929</v>
      </c>
      <c r="Q184" s="109" t="n">
        <f aca="false">(Yield_Originals!$H184*Yield_Originals!Q$1)/Yield_Originals!$K184</f>
        <v>0.178107966603038</v>
      </c>
      <c r="R184" s="109" t="n">
        <f aca="false">(Yield_Originals!$H184*Yield_Originals!R$1)/Yield_Originals!$K184</f>
        <v>0.182921695430147</v>
      </c>
      <c r="S184" s="109" t="n">
        <f aca="false">(Yield_Originals!$H184*Yield_Originals!S$1)/Yield_Originals!$K184</f>
        <v>0.187735424257256</v>
      </c>
      <c r="T184" s="111"/>
      <c r="U184" s="111"/>
      <c r="V184" s="111"/>
      <c r="W184" s="111"/>
      <c r="X184" s="112"/>
      <c r="Y184" s="112"/>
      <c r="Z184" s="112"/>
      <c r="AA184" s="112"/>
      <c r="AB184" s="112"/>
    </row>
    <row r="185" customFormat="false" ht="15" hidden="false" customHeight="false" outlineLevel="0" collapsed="false">
      <c r="A185" s="70" t="s">
        <v>899</v>
      </c>
      <c r="B185" s="68" t="n">
        <v>3</v>
      </c>
      <c r="C185" s="114" t="s">
        <v>815</v>
      </c>
      <c r="D185" s="114" t="s">
        <v>928</v>
      </c>
      <c r="E185" s="104" t="n">
        <v>32</v>
      </c>
      <c r="F185" s="106" t="n">
        <v>0.12622424002054</v>
      </c>
      <c r="G185" s="106" t="n">
        <v>0.12622424002054</v>
      </c>
      <c r="H185" s="106" t="n">
        <f aca="false">+(Yield_Originals!I185+Yield_Originals!G185)/2</f>
        <v>0.128366102056243</v>
      </c>
      <c r="I185" s="106" t="n">
        <v>0.130507964091947</v>
      </c>
      <c r="J185" s="106" t="n">
        <v>0.14189303832344</v>
      </c>
      <c r="K185" s="107" t="n">
        <v>1</v>
      </c>
      <c r="L185" s="108"/>
      <c r="M185" s="108"/>
      <c r="N185" s="108" t="n">
        <f aca="false">(Yield_Originals!$G185*Yield_Originals!N$1)/Yield_Originals!$K185</f>
        <v>0.160935906026189</v>
      </c>
      <c r="O185" s="108" t="n">
        <f aca="false">(Yield_Originals!$G185*Yield_Originals!O$1)/Yield_Originals!$K185</f>
        <v>0.165669315026959</v>
      </c>
      <c r="P185" s="109" t="n">
        <f aca="false">(Yield_Originals!$H185*Yield_Originals!P$1)/Yield_Originals!$K185</f>
        <v>0.173294237775929</v>
      </c>
      <c r="Q185" s="109" t="n">
        <f aca="false">(Yield_Originals!$H185*Yield_Originals!Q$1)/Yield_Originals!$K185</f>
        <v>0.178107966603038</v>
      </c>
      <c r="R185" s="109" t="n">
        <f aca="false">(Yield_Originals!$H185*Yield_Originals!R$1)/Yield_Originals!$K185</f>
        <v>0.182921695430147</v>
      </c>
      <c r="S185" s="109" t="n">
        <f aca="false">(Yield_Originals!$H185*Yield_Originals!S$1)/Yield_Originals!$K185</f>
        <v>0.187735424257256</v>
      </c>
      <c r="T185" s="111"/>
      <c r="U185" s="111"/>
      <c r="V185" s="111"/>
      <c r="W185" s="111"/>
      <c r="X185" s="112"/>
      <c r="Y185" s="112"/>
      <c r="Z185" s="112"/>
      <c r="AA185" s="112"/>
      <c r="AB185" s="112"/>
    </row>
    <row r="186" customFormat="false" ht="15" hidden="false" customHeight="false" outlineLevel="0" collapsed="false">
      <c r="A186" s="70" t="s">
        <v>899</v>
      </c>
      <c r="B186" s="68" t="n">
        <v>3</v>
      </c>
      <c r="C186" s="114" t="s">
        <v>818</v>
      </c>
      <c r="D186" s="114" t="s">
        <v>926</v>
      </c>
      <c r="E186" s="104" t="n">
        <v>31</v>
      </c>
      <c r="F186" s="106" t="n">
        <v>0.12622424002054</v>
      </c>
      <c r="G186" s="106" t="n">
        <v>0.12622424002054</v>
      </c>
      <c r="H186" s="106" t="n">
        <f aca="false">+(Yield_Originals!I186+Yield_Originals!G186)/2</f>
        <v>0.128366102056243</v>
      </c>
      <c r="I186" s="106" t="n">
        <v>0.130507964091947</v>
      </c>
      <c r="J186" s="106" t="n">
        <v>0.14189303832344</v>
      </c>
      <c r="K186" s="107" t="n">
        <v>1</v>
      </c>
      <c r="L186" s="108"/>
      <c r="M186" s="108"/>
      <c r="N186" s="108"/>
      <c r="O186" s="108"/>
      <c r="P186" s="109" t="n">
        <f aca="false">(Yield_Originals!$H186*Yield_Originals!P$1)/Yield_Originals!$K186</f>
        <v>0.173294237775929</v>
      </c>
      <c r="Q186" s="109" t="n">
        <f aca="false">(Yield_Originals!$H186*Yield_Originals!Q$1)/Yield_Originals!$K186</f>
        <v>0.178107966603038</v>
      </c>
      <c r="R186" s="109" t="n">
        <f aca="false">(Yield_Originals!$H186*Yield_Originals!R$1)/Yield_Originals!$K186</f>
        <v>0.182921695430147</v>
      </c>
      <c r="S186" s="109" t="n">
        <f aca="false">(Yield_Originals!$H186*Yield_Originals!S$1)/Yield_Originals!$K186</f>
        <v>0.187735424257256</v>
      </c>
      <c r="T186" s="111" t="n">
        <f aca="false">(Yield_Originals!$I186*Yield_Originals!T$1)/Yield_Originals!$K186</f>
        <v>0.195761946137921</v>
      </c>
      <c r="U186" s="111" t="n">
        <f aca="false">(Yield_Originals!$I186*Yield_Originals!U$1)/Yield_Originals!$K186</f>
        <v>0.200655994791368</v>
      </c>
      <c r="V186" s="111" t="n">
        <f aca="false">(Yield_Originals!$I186*Yield_Originals!V$1)/Yield_Originals!$K186</f>
        <v>0.205550043444817</v>
      </c>
      <c r="W186" s="111" t="n">
        <f aca="false">(Yield_Originals!$I186*Yield_Originals!W$1)/Yield_Originals!$K186</f>
        <v>0.210444092098265</v>
      </c>
      <c r="X186" s="112"/>
      <c r="Y186" s="112"/>
      <c r="Z186" s="112"/>
      <c r="AA186" s="112"/>
      <c r="AB186" s="112"/>
    </row>
    <row r="187" customFormat="false" ht="15" hidden="false" customHeight="false" outlineLevel="0" collapsed="false">
      <c r="A187" s="70" t="s">
        <v>899</v>
      </c>
      <c r="B187" s="68" t="n">
        <v>3</v>
      </c>
      <c r="C187" s="114" t="s">
        <v>818</v>
      </c>
      <c r="D187" s="114" t="s">
        <v>926</v>
      </c>
      <c r="E187" s="104" t="n">
        <v>32</v>
      </c>
      <c r="F187" s="106" t="n">
        <v>0.12622424002054</v>
      </c>
      <c r="G187" s="106" t="n">
        <v>0.12622424002054</v>
      </c>
      <c r="H187" s="106" t="n">
        <f aca="false">+(Yield_Originals!I187+Yield_Originals!G187)/2</f>
        <v>0.128366102056243</v>
      </c>
      <c r="I187" s="106" t="n">
        <v>0.130507964091947</v>
      </c>
      <c r="J187" s="106" t="n">
        <v>0.14189303832344</v>
      </c>
      <c r="K187" s="107" t="n">
        <v>1</v>
      </c>
      <c r="L187" s="108"/>
      <c r="M187" s="108"/>
      <c r="N187" s="108"/>
      <c r="O187" s="108"/>
      <c r="P187" s="109" t="n">
        <f aca="false">(Yield_Originals!$H187*Yield_Originals!P$1)/Yield_Originals!$K187</f>
        <v>0.173294237775929</v>
      </c>
      <c r="Q187" s="109" t="n">
        <f aca="false">(Yield_Originals!$H187*Yield_Originals!Q$1)/Yield_Originals!$K187</f>
        <v>0.178107966603038</v>
      </c>
      <c r="R187" s="109" t="n">
        <f aca="false">(Yield_Originals!$H187*Yield_Originals!R$1)/Yield_Originals!$K187</f>
        <v>0.182921695430147</v>
      </c>
      <c r="S187" s="109" t="n">
        <f aca="false">(Yield_Originals!$H187*Yield_Originals!S$1)/Yield_Originals!$K187</f>
        <v>0.187735424257256</v>
      </c>
      <c r="T187" s="111" t="n">
        <f aca="false">(Yield_Originals!$I187*Yield_Originals!T$1)/Yield_Originals!$K187</f>
        <v>0.195761946137921</v>
      </c>
      <c r="U187" s="111" t="n">
        <f aca="false">(Yield_Originals!$I187*Yield_Originals!U$1)/Yield_Originals!$K187</f>
        <v>0.200655994791368</v>
      </c>
      <c r="V187" s="111" t="n">
        <f aca="false">(Yield_Originals!$I187*Yield_Originals!V$1)/Yield_Originals!$K187</f>
        <v>0.205550043444817</v>
      </c>
      <c r="W187" s="111" t="n">
        <f aca="false">(Yield_Originals!$I187*Yield_Originals!W$1)/Yield_Originals!$K187</f>
        <v>0.210444092098265</v>
      </c>
      <c r="X187" s="112"/>
      <c r="Y187" s="112"/>
      <c r="Z187" s="112"/>
      <c r="AA187" s="112"/>
      <c r="AB187" s="112"/>
    </row>
    <row r="188" customFormat="false" ht="15" hidden="false" customHeight="false" outlineLevel="0" collapsed="false">
      <c r="A188" s="70" t="s">
        <v>899</v>
      </c>
      <c r="B188" s="68" t="n">
        <v>3</v>
      </c>
      <c r="C188" s="114" t="s">
        <v>127</v>
      </c>
      <c r="D188" s="114" t="s">
        <v>898</v>
      </c>
      <c r="E188" s="104" t="n">
        <v>31</v>
      </c>
      <c r="F188" s="106" t="n">
        <v>0.12622424002054</v>
      </c>
      <c r="G188" s="106" t="n">
        <v>0.12622424002054</v>
      </c>
      <c r="H188" s="106" t="n">
        <f aca="false">+(Yield_Originals!I188+Yield_Originals!G188)/2</f>
        <v>0.128366102056243</v>
      </c>
      <c r="I188" s="106" t="n">
        <v>0.130507964091947</v>
      </c>
      <c r="J188" s="106" t="n">
        <v>0.14189303832344</v>
      </c>
      <c r="K188" s="107" t="n">
        <v>1</v>
      </c>
      <c r="L188" s="108" t="n">
        <f aca="false">(Yield_Originals!$G188*Yield_Originals!L$1)/Yield_Originals!$K188</f>
        <v>0.151469088024648</v>
      </c>
      <c r="M188" s="108" t="n">
        <f aca="false">(Yield_Originals!$G188*Yield_Originals!M$1)/Yield_Originals!$K188</f>
        <v>0.156202497025418</v>
      </c>
      <c r="N188" s="108" t="n">
        <f aca="false">(Yield_Originals!$G188*Yield_Originals!N$1)/Yield_Originals!$K188</f>
        <v>0.160935906026189</v>
      </c>
      <c r="O188" s="108" t="n">
        <f aca="false">(Yield_Originals!$G188*Yield_Originals!O$1)/Yield_Originals!$K188</f>
        <v>0.165669315026959</v>
      </c>
      <c r="P188" s="109" t="n">
        <f aca="false">(Yield_Originals!$H188*Yield_Originals!P$1)/Yield_Originals!$K188</f>
        <v>0.173294237775929</v>
      </c>
      <c r="Q188" s="109" t="n">
        <f aca="false">(Yield_Originals!$H188*Yield_Originals!Q$1)/Yield_Originals!$K188</f>
        <v>0.178107966603038</v>
      </c>
      <c r="R188" s="109" t="n">
        <f aca="false">(Yield_Originals!$H188*Yield_Originals!R$1)/Yield_Originals!$K188</f>
        <v>0.182921695430147</v>
      </c>
      <c r="S188" s="109" t="n">
        <f aca="false">(Yield_Originals!$H188*Yield_Originals!S$1)/Yield_Originals!$K188</f>
        <v>0.187735424257256</v>
      </c>
      <c r="T188" s="111" t="n">
        <f aca="false">(Yield_Originals!$I188*Yield_Originals!T$1)/Yield_Originals!$K188</f>
        <v>0.195761946137921</v>
      </c>
      <c r="U188" s="111" t="n">
        <f aca="false">(Yield_Originals!$I188*Yield_Originals!U$1)/Yield_Originals!$K188</f>
        <v>0.200655994791368</v>
      </c>
      <c r="V188" s="111" t="n">
        <f aca="false">(Yield_Originals!$I188*Yield_Originals!V$1)/Yield_Originals!$K188</f>
        <v>0.205550043444817</v>
      </c>
      <c r="W188" s="111" t="n">
        <f aca="false">(Yield_Originals!$I188*Yield_Originals!W$1)/Yield_Originals!$K188</f>
        <v>0.210444092098265</v>
      </c>
      <c r="X188" s="112" t="n">
        <f aca="false">(Yield_Originals!$J188*Yield_Originals!X$1)/Yield_Originals!$K188</f>
        <v>0.234123513233676</v>
      </c>
      <c r="Y188" s="112" t="n">
        <f aca="false">(Yield_Originals!$J188*Yield_Originals!Y$1)/Yield_Originals!$K188</f>
        <v>0.239444502170805</v>
      </c>
      <c r="Z188" s="112" t="n">
        <f aca="false">(Yield_Originals!$J188*Yield_Originals!Z$1)/Yield_Originals!$K188</f>
        <v>0.244765491107934</v>
      </c>
      <c r="AA188" s="112" t="n">
        <f aca="false">(Yield_Originals!$J188*Yield_Originals!AA$1)/Yield_Originals!$K188</f>
        <v>0.250086480045063</v>
      </c>
      <c r="AB188" s="112" t="n">
        <f aca="false">(Yield_Originals!$J188*Yield_Originals!AB$1)/Yield_Originals!$K188</f>
        <v>0.255407468982192</v>
      </c>
    </row>
    <row r="189" customFormat="false" ht="15" hidden="false" customHeight="false" outlineLevel="0" collapsed="false">
      <c r="A189" s="70" t="s">
        <v>899</v>
      </c>
      <c r="B189" s="68" t="n">
        <v>3</v>
      </c>
      <c r="C189" s="114" t="s">
        <v>127</v>
      </c>
      <c r="D189" s="114" t="s">
        <v>898</v>
      </c>
      <c r="E189" s="104" t="n">
        <v>32</v>
      </c>
      <c r="F189" s="106" t="n">
        <v>0.12622424002054</v>
      </c>
      <c r="G189" s="106" t="n">
        <v>0.12622424002054</v>
      </c>
      <c r="H189" s="106" t="n">
        <f aca="false">+(Yield_Originals!I189+Yield_Originals!G189)/2</f>
        <v>0.128366102056243</v>
      </c>
      <c r="I189" s="106" t="n">
        <v>0.130507964091947</v>
      </c>
      <c r="J189" s="106" t="n">
        <v>0.14189303832344</v>
      </c>
      <c r="K189" s="107" t="n">
        <v>1</v>
      </c>
      <c r="L189" s="108" t="n">
        <f aca="false">(Yield_Originals!$G189*Yield_Originals!L$1)/Yield_Originals!$K189</f>
        <v>0.151469088024648</v>
      </c>
      <c r="M189" s="108" t="n">
        <f aca="false">(Yield_Originals!$G189*Yield_Originals!M$1)/Yield_Originals!$K189</f>
        <v>0.156202497025418</v>
      </c>
      <c r="N189" s="108" t="n">
        <f aca="false">(Yield_Originals!$G189*Yield_Originals!N$1)/Yield_Originals!$K189</f>
        <v>0.160935906026189</v>
      </c>
      <c r="O189" s="108" t="n">
        <f aca="false">(Yield_Originals!$G189*Yield_Originals!O$1)/Yield_Originals!$K189</f>
        <v>0.165669315026959</v>
      </c>
      <c r="P189" s="109" t="n">
        <f aca="false">(Yield_Originals!$H189*Yield_Originals!P$1)/Yield_Originals!$K189</f>
        <v>0.173294237775929</v>
      </c>
      <c r="Q189" s="109" t="n">
        <f aca="false">(Yield_Originals!$H189*Yield_Originals!Q$1)/Yield_Originals!$K189</f>
        <v>0.178107966603038</v>
      </c>
      <c r="R189" s="109" t="n">
        <f aca="false">(Yield_Originals!$H189*Yield_Originals!R$1)/Yield_Originals!$K189</f>
        <v>0.182921695430147</v>
      </c>
      <c r="S189" s="109" t="n">
        <f aca="false">(Yield_Originals!$H189*Yield_Originals!S$1)/Yield_Originals!$K189</f>
        <v>0.187735424257256</v>
      </c>
      <c r="T189" s="111" t="n">
        <f aca="false">(Yield_Originals!$I189*Yield_Originals!T$1)/Yield_Originals!$K189</f>
        <v>0.195761946137921</v>
      </c>
      <c r="U189" s="111" t="n">
        <f aca="false">(Yield_Originals!$I189*Yield_Originals!U$1)/Yield_Originals!$K189</f>
        <v>0.200655994791368</v>
      </c>
      <c r="V189" s="111" t="n">
        <f aca="false">(Yield_Originals!$I189*Yield_Originals!V$1)/Yield_Originals!$K189</f>
        <v>0.205550043444817</v>
      </c>
      <c r="W189" s="111" t="n">
        <f aca="false">(Yield_Originals!$I189*Yield_Originals!W$1)/Yield_Originals!$K189</f>
        <v>0.210444092098265</v>
      </c>
      <c r="X189" s="112" t="n">
        <f aca="false">(Yield_Originals!$J189*Yield_Originals!X$1)/Yield_Originals!$K189</f>
        <v>0.234123513233676</v>
      </c>
      <c r="Y189" s="112" t="n">
        <f aca="false">(Yield_Originals!$J189*Yield_Originals!Y$1)/Yield_Originals!$K189</f>
        <v>0.239444502170805</v>
      </c>
      <c r="Z189" s="112" t="n">
        <f aca="false">(Yield_Originals!$J189*Yield_Originals!Z$1)/Yield_Originals!$K189</f>
        <v>0.244765491107934</v>
      </c>
      <c r="AA189" s="112" t="n">
        <f aca="false">(Yield_Originals!$J189*Yield_Originals!AA$1)/Yield_Originals!$K189</f>
        <v>0.250086480045063</v>
      </c>
      <c r="AB189" s="112" t="n">
        <f aca="false">(Yield_Originals!$J189*Yield_Originals!AB$1)/Yield_Originals!$K189</f>
        <v>0.255407468982192</v>
      </c>
    </row>
    <row r="190" customFormat="false" ht="15" hidden="false" customHeight="false" outlineLevel="0" collapsed="false">
      <c r="A190" s="70" t="s">
        <v>899</v>
      </c>
      <c r="B190" s="68" t="n">
        <v>3</v>
      </c>
      <c r="C190" s="114" t="s">
        <v>237</v>
      </c>
      <c r="D190" s="114" t="s">
        <v>902</v>
      </c>
      <c r="E190" s="104" t="n">
        <v>31</v>
      </c>
      <c r="F190" s="106" t="n">
        <v>0.12622424002054</v>
      </c>
      <c r="G190" s="106" t="n">
        <v>0.12622424002054</v>
      </c>
      <c r="H190" s="106" t="n">
        <f aca="false">+(Yield_Originals!I190+Yield_Originals!G190)/2</f>
        <v>0.128366102056243</v>
      </c>
      <c r="I190" s="106" t="n">
        <v>0.130507964091947</v>
      </c>
      <c r="J190" s="106" t="n">
        <v>0.14189303832344</v>
      </c>
      <c r="K190" s="107" t="n">
        <v>1</v>
      </c>
      <c r="L190" s="108" t="n">
        <f aca="false">(Yield_Originals!$G190*Yield_Originals!L$1)/Yield_Originals!$K190</f>
        <v>0.151469088024648</v>
      </c>
      <c r="M190" s="108" t="n">
        <f aca="false">(Yield_Originals!$G190*Yield_Originals!M$1)/Yield_Originals!$K190</f>
        <v>0.156202497025418</v>
      </c>
      <c r="N190" s="108" t="n">
        <f aca="false">(Yield_Originals!$G190*Yield_Originals!N$1)/Yield_Originals!$K190</f>
        <v>0.160935906026189</v>
      </c>
      <c r="O190" s="108" t="n">
        <f aca="false">(Yield_Originals!$G190*Yield_Originals!O$1)/Yield_Originals!$K190</f>
        <v>0.165669315026959</v>
      </c>
      <c r="P190" s="109" t="n">
        <f aca="false">(Yield_Originals!$H190*Yield_Originals!P$1)/Yield_Originals!$K190</f>
        <v>0.173294237775929</v>
      </c>
      <c r="Q190" s="109" t="n">
        <f aca="false">(Yield_Originals!$H190*Yield_Originals!Q$1)/Yield_Originals!$K190</f>
        <v>0.178107966603038</v>
      </c>
      <c r="R190" s="109" t="n">
        <f aca="false">(Yield_Originals!$H190*Yield_Originals!R$1)/Yield_Originals!$K190</f>
        <v>0.182921695430147</v>
      </c>
      <c r="S190" s="109" t="n">
        <f aca="false">(Yield_Originals!$H190*Yield_Originals!S$1)/Yield_Originals!$K190</f>
        <v>0.187735424257256</v>
      </c>
      <c r="T190" s="111" t="n">
        <f aca="false">(Yield_Originals!$I190*Yield_Originals!T$1)/Yield_Originals!$K190</f>
        <v>0.195761946137921</v>
      </c>
      <c r="U190" s="111" t="n">
        <f aca="false">(Yield_Originals!$I190*Yield_Originals!U$1)/Yield_Originals!$K190</f>
        <v>0.200655994791368</v>
      </c>
      <c r="V190" s="111" t="n">
        <f aca="false">(Yield_Originals!$I190*Yield_Originals!V$1)/Yield_Originals!$K190</f>
        <v>0.205550043444817</v>
      </c>
      <c r="W190" s="111" t="n">
        <f aca="false">(Yield_Originals!$I190*Yield_Originals!W$1)/Yield_Originals!$K190</f>
        <v>0.210444092098265</v>
      </c>
      <c r="X190" s="112" t="n">
        <f aca="false">(Yield_Originals!$J190*Yield_Originals!X$1)/Yield_Originals!$K190</f>
        <v>0.234123513233676</v>
      </c>
      <c r="Y190" s="112" t="n">
        <f aca="false">(Yield_Originals!$J190*Yield_Originals!Y$1)/Yield_Originals!$K190</f>
        <v>0.239444502170805</v>
      </c>
      <c r="Z190" s="112" t="n">
        <f aca="false">(Yield_Originals!$J190*Yield_Originals!Z$1)/Yield_Originals!$K190</f>
        <v>0.244765491107934</v>
      </c>
      <c r="AA190" s="112" t="n">
        <f aca="false">(Yield_Originals!$J190*Yield_Originals!AA$1)/Yield_Originals!$K190</f>
        <v>0.250086480045063</v>
      </c>
      <c r="AB190" s="112" t="n">
        <f aca="false">(Yield_Originals!$J190*Yield_Originals!AB$1)/Yield_Originals!$K190</f>
        <v>0.255407468982192</v>
      </c>
    </row>
    <row r="191" customFormat="false" ht="15" hidden="false" customHeight="false" outlineLevel="0" collapsed="false">
      <c r="A191" s="70" t="s">
        <v>899</v>
      </c>
      <c r="B191" s="68" t="n">
        <v>3</v>
      </c>
      <c r="C191" s="114" t="s">
        <v>237</v>
      </c>
      <c r="D191" s="114" t="s">
        <v>902</v>
      </c>
      <c r="E191" s="104" t="n">
        <v>32</v>
      </c>
      <c r="F191" s="106" t="n">
        <v>0.12622424002054</v>
      </c>
      <c r="G191" s="106" t="n">
        <v>0.12622424002054</v>
      </c>
      <c r="H191" s="106" t="n">
        <f aca="false">+(Yield_Originals!I191+Yield_Originals!G191)/2</f>
        <v>0.128366102056243</v>
      </c>
      <c r="I191" s="106" t="n">
        <v>0.130507964091947</v>
      </c>
      <c r="J191" s="106" t="n">
        <v>0.14189303832344</v>
      </c>
      <c r="K191" s="107" t="n">
        <v>1</v>
      </c>
      <c r="L191" s="108" t="n">
        <f aca="false">(Yield_Originals!$G191*Yield_Originals!L$1)/Yield_Originals!$K191</f>
        <v>0.151469088024648</v>
      </c>
      <c r="M191" s="108" t="n">
        <f aca="false">(Yield_Originals!$G191*Yield_Originals!M$1)/Yield_Originals!$K191</f>
        <v>0.156202497025418</v>
      </c>
      <c r="N191" s="108" t="n">
        <f aca="false">(Yield_Originals!$G191*Yield_Originals!N$1)/Yield_Originals!$K191</f>
        <v>0.160935906026189</v>
      </c>
      <c r="O191" s="108" t="n">
        <f aca="false">(Yield_Originals!$G191*Yield_Originals!O$1)/Yield_Originals!$K191</f>
        <v>0.165669315026959</v>
      </c>
      <c r="P191" s="109" t="n">
        <f aca="false">(Yield_Originals!$H191*Yield_Originals!P$1)/Yield_Originals!$K191</f>
        <v>0.173294237775929</v>
      </c>
      <c r="Q191" s="109" t="n">
        <f aca="false">(Yield_Originals!$H191*Yield_Originals!Q$1)/Yield_Originals!$K191</f>
        <v>0.178107966603038</v>
      </c>
      <c r="R191" s="109" t="n">
        <f aca="false">(Yield_Originals!$H191*Yield_Originals!R$1)/Yield_Originals!$K191</f>
        <v>0.182921695430147</v>
      </c>
      <c r="S191" s="109" t="n">
        <f aca="false">(Yield_Originals!$H191*Yield_Originals!S$1)/Yield_Originals!$K191</f>
        <v>0.187735424257256</v>
      </c>
      <c r="T191" s="111" t="n">
        <f aca="false">(Yield_Originals!$I191*Yield_Originals!T$1)/Yield_Originals!$K191</f>
        <v>0.195761946137921</v>
      </c>
      <c r="U191" s="111" t="n">
        <f aca="false">(Yield_Originals!$I191*Yield_Originals!U$1)/Yield_Originals!$K191</f>
        <v>0.200655994791368</v>
      </c>
      <c r="V191" s="111" t="n">
        <f aca="false">(Yield_Originals!$I191*Yield_Originals!V$1)/Yield_Originals!$K191</f>
        <v>0.205550043444817</v>
      </c>
      <c r="W191" s="111" t="n">
        <f aca="false">(Yield_Originals!$I191*Yield_Originals!W$1)/Yield_Originals!$K191</f>
        <v>0.210444092098265</v>
      </c>
      <c r="X191" s="112" t="n">
        <f aca="false">(Yield_Originals!$J191*Yield_Originals!X$1)/Yield_Originals!$K191</f>
        <v>0.234123513233676</v>
      </c>
      <c r="Y191" s="112" t="n">
        <f aca="false">(Yield_Originals!$J191*Yield_Originals!Y$1)/Yield_Originals!$K191</f>
        <v>0.239444502170805</v>
      </c>
      <c r="Z191" s="112" t="n">
        <f aca="false">(Yield_Originals!$J191*Yield_Originals!Z$1)/Yield_Originals!$K191</f>
        <v>0.244765491107934</v>
      </c>
      <c r="AA191" s="112" t="n">
        <f aca="false">(Yield_Originals!$J191*Yield_Originals!AA$1)/Yield_Originals!$K191</f>
        <v>0.250086480045063</v>
      </c>
      <c r="AB191" s="112" t="n">
        <f aca="false">(Yield_Originals!$J191*Yield_Originals!AB$1)/Yield_Originals!$K191</f>
        <v>0.255407468982192</v>
      </c>
    </row>
    <row r="192" customFormat="false" ht="15" hidden="false" customHeight="false" outlineLevel="0" collapsed="false">
      <c r="A192" s="70" t="s">
        <v>899</v>
      </c>
      <c r="B192" s="68" t="n">
        <v>3</v>
      </c>
      <c r="C192" s="114" t="s">
        <v>825</v>
      </c>
      <c r="D192" s="114" t="s">
        <v>916</v>
      </c>
      <c r="E192" s="104" t="n">
        <v>31</v>
      </c>
      <c r="F192" s="106" t="n">
        <v>0.12622424002054</v>
      </c>
      <c r="G192" s="106" t="n">
        <v>0.12622424002054</v>
      </c>
      <c r="H192" s="106" t="n">
        <f aca="false">+(Yield_Originals!I192+Yield_Originals!G192)/2</f>
        <v>0.128366102056243</v>
      </c>
      <c r="I192" s="106" t="n">
        <v>0.130507964091947</v>
      </c>
      <c r="J192" s="106" t="n">
        <v>0.14189303832344</v>
      </c>
      <c r="K192" s="107" t="n">
        <v>1</v>
      </c>
      <c r="L192" s="108" t="n">
        <f aca="false">(Yield_Originals!$G192*Yield_Originals!L$1)/Yield_Originals!$K192</f>
        <v>0.151469088024648</v>
      </c>
      <c r="M192" s="108" t="n">
        <f aca="false">(Yield_Originals!$G192*Yield_Originals!M$1)/Yield_Originals!$K192</f>
        <v>0.156202497025418</v>
      </c>
      <c r="N192" s="108" t="n">
        <f aca="false">(Yield_Originals!$G192*Yield_Originals!N$1)/Yield_Originals!$K192</f>
        <v>0.160935906026189</v>
      </c>
      <c r="O192" s="108" t="n">
        <f aca="false">(Yield_Originals!$G192*Yield_Originals!O$1)/Yield_Originals!$K192</f>
        <v>0.165669315026959</v>
      </c>
      <c r="P192" s="109" t="n">
        <f aca="false">(Yield_Originals!$H192*Yield_Originals!P$1)/Yield_Originals!$K192</f>
        <v>0.173294237775929</v>
      </c>
      <c r="Q192" s="109" t="n">
        <f aca="false">(Yield_Originals!$H192*Yield_Originals!Q$1)/Yield_Originals!$K192</f>
        <v>0.178107966603038</v>
      </c>
      <c r="R192" s="109" t="n">
        <f aca="false">(Yield_Originals!$H192*Yield_Originals!R$1)/Yield_Originals!$K192</f>
        <v>0.182921695430147</v>
      </c>
      <c r="S192" s="109" t="n">
        <f aca="false">(Yield_Originals!$H192*Yield_Originals!S$1)/Yield_Originals!$K192</f>
        <v>0.187735424257256</v>
      </c>
      <c r="T192" s="111" t="n">
        <f aca="false">(Yield_Originals!$I192*Yield_Originals!T$1)/Yield_Originals!$K192</f>
        <v>0.195761946137921</v>
      </c>
      <c r="U192" s="111" t="n">
        <f aca="false">(Yield_Originals!$I192*Yield_Originals!U$1)/Yield_Originals!$K192</f>
        <v>0.200655994791368</v>
      </c>
      <c r="V192" s="111" t="n">
        <f aca="false">(Yield_Originals!$I192*Yield_Originals!V$1)/Yield_Originals!$K192</f>
        <v>0.205550043444817</v>
      </c>
      <c r="W192" s="111" t="n">
        <f aca="false">(Yield_Originals!$I192*Yield_Originals!W$1)/Yield_Originals!$K192</f>
        <v>0.210444092098265</v>
      </c>
      <c r="X192" s="112" t="n">
        <f aca="false">(Yield_Originals!$J192*Yield_Originals!X$1)/Yield_Originals!$K192</f>
        <v>0.234123513233676</v>
      </c>
      <c r="Y192" s="112" t="n">
        <f aca="false">(Yield_Originals!$J192*Yield_Originals!Y$1)/Yield_Originals!$K192</f>
        <v>0.239444502170805</v>
      </c>
      <c r="Z192" s="112" t="n">
        <f aca="false">(Yield_Originals!$J192*Yield_Originals!Z$1)/Yield_Originals!$K192</f>
        <v>0.244765491107934</v>
      </c>
      <c r="AA192" s="112" t="n">
        <f aca="false">(Yield_Originals!$J192*Yield_Originals!AA$1)/Yield_Originals!$K192</f>
        <v>0.250086480045063</v>
      </c>
      <c r="AB192" s="112" t="n">
        <f aca="false">(Yield_Originals!$J192*Yield_Originals!AB$1)/Yield_Originals!$K192</f>
        <v>0.255407468982192</v>
      </c>
    </row>
    <row r="193" customFormat="false" ht="15" hidden="false" customHeight="false" outlineLevel="0" collapsed="false">
      <c r="A193" s="70" t="s">
        <v>899</v>
      </c>
      <c r="B193" s="68" t="n">
        <v>3</v>
      </c>
      <c r="C193" s="114" t="s">
        <v>825</v>
      </c>
      <c r="D193" s="114" t="s">
        <v>916</v>
      </c>
      <c r="E193" s="104" t="n">
        <v>32</v>
      </c>
      <c r="F193" s="106" t="n">
        <v>0.12622424002054</v>
      </c>
      <c r="G193" s="106" t="n">
        <v>0.12622424002054</v>
      </c>
      <c r="H193" s="106" t="n">
        <f aca="false">+(Yield_Originals!I193+Yield_Originals!G193)/2</f>
        <v>0.128366102056243</v>
      </c>
      <c r="I193" s="106" t="n">
        <v>0.130507964091947</v>
      </c>
      <c r="J193" s="106" t="n">
        <v>0.14189303832344</v>
      </c>
      <c r="K193" s="107" t="n">
        <v>1</v>
      </c>
      <c r="L193" s="108" t="n">
        <f aca="false">(Yield_Originals!$G193*Yield_Originals!L$1)/Yield_Originals!$K193</f>
        <v>0.151469088024648</v>
      </c>
      <c r="M193" s="108" t="n">
        <f aca="false">(Yield_Originals!$G193*Yield_Originals!M$1)/Yield_Originals!$K193</f>
        <v>0.156202497025418</v>
      </c>
      <c r="N193" s="108" t="n">
        <f aca="false">(Yield_Originals!$G193*Yield_Originals!N$1)/Yield_Originals!$K193</f>
        <v>0.160935906026189</v>
      </c>
      <c r="O193" s="108" t="n">
        <f aca="false">(Yield_Originals!$G193*Yield_Originals!O$1)/Yield_Originals!$K193</f>
        <v>0.165669315026959</v>
      </c>
      <c r="P193" s="109" t="n">
        <f aca="false">(Yield_Originals!$H193*Yield_Originals!P$1)/Yield_Originals!$K193</f>
        <v>0.173294237775929</v>
      </c>
      <c r="Q193" s="109" t="n">
        <f aca="false">(Yield_Originals!$H193*Yield_Originals!Q$1)/Yield_Originals!$K193</f>
        <v>0.178107966603038</v>
      </c>
      <c r="R193" s="109" t="n">
        <f aca="false">(Yield_Originals!$H193*Yield_Originals!R$1)/Yield_Originals!$K193</f>
        <v>0.182921695430147</v>
      </c>
      <c r="S193" s="109" t="n">
        <f aca="false">(Yield_Originals!$H193*Yield_Originals!S$1)/Yield_Originals!$K193</f>
        <v>0.187735424257256</v>
      </c>
      <c r="T193" s="111" t="n">
        <f aca="false">(Yield_Originals!$I193*Yield_Originals!T$1)/Yield_Originals!$K193</f>
        <v>0.195761946137921</v>
      </c>
      <c r="U193" s="111" t="n">
        <f aca="false">(Yield_Originals!$I193*Yield_Originals!U$1)/Yield_Originals!$K193</f>
        <v>0.200655994791368</v>
      </c>
      <c r="V193" s="111" t="n">
        <f aca="false">(Yield_Originals!$I193*Yield_Originals!V$1)/Yield_Originals!$K193</f>
        <v>0.205550043444817</v>
      </c>
      <c r="W193" s="111" t="n">
        <f aca="false">(Yield_Originals!$I193*Yield_Originals!W$1)/Yield_Originals!$K193</f>
        <v>0.210444092098265</v>
      </c>
      <c r="X193" s="112" t="n">
        <f aca="false">(Yield_Originals!$J193*Yield_Originals!X$1)/Yield_Originals!$K193</f>
        <v>0.234123513233676</v>
      </c>
      <c r="Y193" s="112" t="n">
        <f aca="false">(Yield_Originals!$J193*Yield_Originals!Y$1)/Yield_Originals!$K193</f>
        <v>0.239444502170805</v>
      </c>
      <c r="Z193" s="112" t="n">
        <f aca="false">(Yield_Originals!$J193*Yield_Originals!Z$1)/Yield_Originals!$K193</f>
        <v>0.244765491107934</v>
      </c>
      <c r="AA193" s="112" t="n">
        <f aca="false">(Yield_Originals!$J193*Yield_Originals!AA$1)/Yield_Originals!$K193</f>
        <v>0.250086480045063</v>
      </c>
      <c r="AB193" s="112" t="n">
        <f aca="false">(Yield_Originals!$J193*Yield_Originals!AB$1)/Yield_Originals!$K193</f>
        <v>0.255407468982192</v>
      </c>
    </row>
    <row r="194" customFormat="false" ht="15" hidden="false" customHeight="false" outlineLevel="0" collapsed="false">
      <c r="A194" s="70" t="s">
        <v>899</v>
      </c>
      <c r="B194" s="68" t="n">
        <v>3</v>
      </c>
      <c r="C194" s="114" t="s">
        <v>828</v>
      </c>
      <c r="D194" s="114" t="s">
        <v>913</v>
      </c>
      <c r="E194" s="104" t="n">
        <v>31</v>
      </c>
      <c r="F194" s="106" t="n">
        <v>0.12622424002054</v>
      </c>
      <c r="G194" s="106" t="n">
        <v>0.12622424002054</v>
      </c>
      <c r="H194" s="106" t="n">
        <f aca="false">+(Yield_Originals!I194+Yield_Originals!G194)/2</f>
        <v>0.128366102056243</v>
      </c>
      <c r="I194" s="106" t="n">
        <v>0.130507964091947</v>
      </c>
      <c r="J194" s="106" t="n">
        <v>0.14189303832344</v>
      </c>
      <c r="K194" s="107" t="n">
        <v>1</v>
      </c>
      <c r="L194" s="108" t="n">
        <f aca="false">(Yield_Originals!$G194*Yield_Originals!L$1)/Yield_Originals!$K194</f>
        <v>0.151469088024648</v>
      </c>
      <c r="M194" s="108" t="n">
        <f aca="false">(Yield_Originals!$G194*Yield_Originals!M$1)/Yield_Originals!$K194</f>
        <v>0.156202497025418</v>
      </c>
      <c r="N194" s="108" t="n">
        <f aca="false">(Yield_Originals!$G194*Yield_Originals!N$1)/Yield_Originals!$K194</f>
        <v>0.160935906026189</v>
      </c>
      <c r="O194" s="108" t="n">
        <f aca="false">(Yield_Originals!$G194*Yield_Originals!O$1)/Yield_Originals!$K194</f>
        <v>0.165669315026959</v>
      </c>
      <c r="P194" s="109" t="n">
        <f aca="false">(Yield_Originals!$H194*Yield_Originals!P$1)/Yield_Originals!$K194</f>
        <v>0.173294237775929</v>
      </c>
      <c r="Q194" s="109" t="n">
        <f aca="false">(Yield_Originals!$H194*Yield_Originals!Q$1)/Yield_Originals!$K194</f>
        <v>0.178107966603038</v>
      </c>
      <c r="R194" s="109" t="n">
        <f aca="false">(Yield_Originals!$H194*Yield_Originals!R$1)/Yield_Originals!$K194</f>
        <v>0.182921695430147</v>
      </c>
      <c r="S194" s="109" t="n">
        <f aca="false">(Yield_Originals!$H194*Yield_Originals!S$1)/Yield_Originals!$K194</f>
        <v>0.187735424257256</v>
      </c>
      <c r="T194" s="111" t="n">
        <f aca="false">(Yield_Originals!$I194*Yield_Originals!T$1)/Yield_Originals!$K194</f>
        <v>0.195761946137921</v>
      </c>
      <c r="U194" s="111" t="n">
        <f aca="false">(Yield_Originals!$I194*Yield_Originals!U$1)/Yield_Originals!$K194</f>
        <v>0.200655994791368</v>
      </c>
      <c r="V194" s="111" t="n">
        <f aca="false">(Yield_Originals!$I194*Yield_Originals!V$1)/Yield_Originals!$K194</f>
        <v>0.205550043444817</v>
      </c>
      <c r="W194" s="111" t="n">
        <f aca="false">(Yield_Originals!$I194*Yield_Originals!W$1)/Yield_Originals!$K194</f>
        <v>0.210444092098265</v>
      </c>
      <c r="X194" s="112" t="n">
        <f aca="false">(Yield_Originals!$J194*Yield_Originals!X$1)/Yield_Originals!$K194</f>
        <v>0.234123513233676</v>
      </c>
      <c r="Y194" s="112" t="n">
        <f aca="false">(Yield_Originals!$J194*Yield_Originals!Y$1)/Yield_Originals!$K194</f>
        <v>0.239444502170805</v>
      </c>
      <c r="Z194" s="112" t="n">
        <f aca="false">(Yield_Originals!$J194*Yield_Originals!Z$1)/Yield_Originals!$K194</f>
        <v>0.244765491107934</v>
      </c>
      <c r="AA194" s="112" t="n">
        <f aca="false">(Yield_Originals!$J194*Yield_Originals!AA$1)/Yield_Originals!$K194</f>
        <v>0.250086480045063</v>
      </c>
      <c r="AB194" s="112" t="n">
        <f aca="false">(Yield_Originals!$J194*Yield_Originals!AB$1)/Yield_Originals!$K194</f>
        <v>0.255407468982192</v>
      </c>
    </row>
    <row r="195" customFormat="false" ht="15" hidden="false" customHeight="false" outlineLevel="0" collapsed="false">
      <c r="A195" s="70" t="s">
        <v>899</v>
      </c>
      <c r="B195" s="68" t="n">
        <v>3</v>
      </c>
      <c r="C195" s="114" t="s">
        <v>828</v>
      </c>
      <c r="D195" s="114" t="s">
        <v>913</v>
      </c>
      <c r="E195" s="104" t="n">
        <v>32</v>
      </c>
      <c r="F195" s="106" t="n">
        <v>0.12622424002054</v>
      </c>
      <c r="G195" s="106" t="n">
        <v>0.12622424002054</v>
      </c>
      <c r="H195" s="106" t="n">
        <f aca="false">+(Yield_Originals!I195+Yield_Originals!G195)/2</f>
        <v>0.128366102056243</v>
      </c>
      <c r="I195" s="106" t="n">
        <v>0.130507964091947</v>
      </c>
      <c r="J195" s="106" t="n">
        <v>0.14189303832344</v>
      </c>
      <c r="K195" s="107" t="n">
        <v>1</v>
      </c>
      <c r="L195" s="108" t="n">
        <f aca="false">(Yield_Originals!$G195*Yield_Originals!L$1)/Yield_Originals!$K195</f>
        <v>0.151469088024648</v>
      </c>
      <c r="M195" s="108" t="n">
        <f aca="false">(Yield_Originals!$G195*Yield_Originals!M$1)/Yield_Originals!$K195</f>
        <v>0.156202497025418</v>
      </c>
      <c r="N195" s="108" t="n">
        <f aca="false">(Yield_Originals!$G195*Yield_Originals!N$1)/Yield_Originals!$K195</f>
        <v>0.160935906026189</v>
      </c>
      <c r="O195" s="108" t="n">
        <f aca="false">(Yield_Originals!$G195*Yield_Originals!O$1)/Yield_Originals!$K195</f>
        <v>0.165669315026959</v>
      </c>
      <c r="P195" s="109" t="n">
        <f aca="false">(Yield_Originals!$H195*Yield_Originals!P$1)/Yield_Originals!$K195</f>
        <v>0.173294237775929</v>
      </c>
      <c r="Q195" s="109" t="n">
        <f aca="false">(Yield_Originals!$H195*Yield_Originals!Q$1)/Yield_Originals!$K195</f>
        <v>0.178107966603038</v>
      </c>
      <c r="R195" s="109" t="n">
        <f aca="false">(Yield_Originals!$H195*Yield_Originals!R$1)/Yield_Originals!$K195</f>
        <v>0.182921695430147</v>
      </c>
      <c r="S195" s="109" t="n">
        <f aca="false">(Yield_Originals!$H195*Yield_Originals!S$1)/Yield_Originals!$K195</f>
        <v>0.187735424257256</v>
      </c>
      <c r="T195" s="111" t="n">
        <f aca="false">(Yield_Originals!$I195*Yield_Originals!T$1)/Yield_Originals!$K195</f>
        <v>0.195761946137921</v>
      </c>
      <c r="U195" s="111" t="n">
        <f aca="false">(Yield_Originals!$I195*Yield_Originals!U$1)/Yield_Originals!$K195</f>
        <v>0.200655994791368</v>
      </c>
      <c r="V195" s="111" t="n">
        <f aca="false">(Yield_Originals!$I195*Yield_Originals!V$1)/Yield_Originals!$K195</f>
        <v>0.205550043444817</v>
      </c>
      <c r="W195" s="111" t="n">
        <f aca="false">(Yield_Originals!$I195*Yield_Originals!W$1)/Yield_Originals!$K195</f>
        <v>0.210444092098265</v>
      </c>
      <c r="X195" s="112" t="n">
        <f aca="false">(Yield_Originals!$J195*Yield_Originals!X$1)/Yield_Originals!$K195</f>
        <v>0.234123513233676</v>
      </c>
      <c r="Y195" s="112" t="n">
        <f aca="false">(Yield_Originals!$J195*Yield_Originals!Y$1)/Yield_Originals!$K195</f>
        <v>0.239444502170805</v>
      </c>
      <c r="Z195" s="112" t="n">
        <f aca="false">(Yield_Originals!$J195*Yield_Originals!Z$1)/Yield_Originals!$K195</f>
        <v>0.244765491107934</v>
      </c>
      <c r="AA195" s="112" t="n">
        <f aca="false">(Yield_Originals!$J195*Yield_Originals!AA$1)/Yield_Originals!$K195</f>
        <v>0.250086480045063</v>
      </c>
      <c r="AB195" s="112" t="n">
        <f aca="false">(Yield_Originals!$J195*Yield_Originals!AB$1)/Yield_Originals!$K195</f>
        <v>0.255407468982192</v>
      </c>
    </row>
    <row r="196" customFormat="false" ht="15" hidden="false" customHeight="false" outlineLevel="0" collapsed="false">
      <c r="A196" s="70" t="s">
        <v>899</v>
      </c>
      <c r="B196" s="68" t="n">
        <v>3</v>
      </c>
      <c r="C196" s="114" t="s">
        <v>128</v>
      </c>
      <c r="D196" s="114" t="s">
        <v>904</v>
      </c>
      <c r="E196" s="104" t="n">
        <v>31</v>
      </c>
      <c r="F196" s="106" t="n">
        <v>0.12622424002054</v>
      </c>
      <c r="G196" s="106" t="n">
        <v>0.12622424002054</v>
      </c>
      <c r="H196" s="106" t="n">
        <f aca="false">+(Yield_Originals!I196+Yield_Originals!G196)/2</f>
        <v>0.128366102056243</v>
      </c>
      <c r="I196" s="106" t="n">
        <v>0.130507964091947</v>
      </c>
      <c r="J196" s="106" t="n">
        <v>0.14189303832344</v>
      </c>
      <c r="K196" s="107" t="n">
        <v>1</v>
      </c>
      <c r="L196" s="108" t="n">
        <f aca="false">(Yield_Originals!$G196*Yield_Originals!L$1)/Yield_Originals!$K196</f>
        <v>0.151469088024648</v>
      </c>
      <c r="M196" s="108" t="n">
        <f aca="false">(Yield_Originals!$G196*Yield_Originals!M$1)/Yield_Originals!$K196</f>
        <v>0.156202497025418</v>
      </c>
      <c r="N196" s="108" t="n">
        <f aca="false">(Yield_Originals!$G196*Yield_Originals!N$1)/Yield_Originals!$K196</f>
        <v>0.160935906026189</v>
      </c>
      <c r="O196" s="108" t="n">
        <f aca="false">(Yield_Originals!$G196*Yield_Originals!O$1)/Yield_Originals!$K196</f>
        <v>0.165669315026959</v>
      </c>
      <c r="P196" s="109" t="n">
        <f aca="false">(Yield_Originals!$H196*Yield_Originals!P$1)/Yield_Originals!$K196</f>
        <v>0.173294237775929</v>
      </c>
      <c r="Q196" s="109" t="n">
        <f aca="false">(Yield_Originals!$H196*Yield_Originals!Q$1)/Yield_Originals!$K196</f>
        <v>0.178107966603038</v>
      </c>
      <c r="R196" s="109" t="n">
        <f aca="false">(Yield_Originals!$H196*Yield_Originals!R$1)/Yield_Originals!$K196</f>
        <v>0.182921695430147</v>
      </c>
      <c r="S196" s="109" t="n">
        <f aca="false">(Yield_Originals!$H196*Yield_Originals!S$1)/Yield_Originals!$K196</f>
        <v>0.187735424257256</v>
      </c>
      <c r="T196" s="111" t="n">
        <f aca="false">(Yield_Originals!$I196*Yield_Originals!T$1)/Yield_Originals!$K196</f>
        <v>0.195761946137921</v>
      </c>
      <c r="U196" s="111" t="n">
        <f aca="false">(Yield_Originals!$I196*Yield_Originals!U$1)/Yield_Originals!$K196</f>
        <v>0.200655994791368</v>
      </c>
      <c r="V196" s="111" t="n">
        <f aca="false">(Yield_Originals!$I196*Yield_Originals!V$1)/Yield_Originals!$K196</f>
        <v>0.205550043444817</v>
      </c>
      <c r="W196" s="111" t="n">
        <f aca="false">(Yield_Originals!$I196*Yield_Originals!W$1)/Yield_Originals!$K196</f>
        <v>0.210444092098265</v>
      </c>
      <c r="X196" s="112" t="n">
        <f aca="false">(Yield_Originals!$J196*Yield_Originals!X$1)/Yield_Originals!$K196</f>
        <v>0.234123513233676</v>
      </c>
      <c r="Y196" s="112" t="n">
        <f aca="false">(Yield_Originals!$J196*Yield_Originals!Y$1)/Yield_Originals!$K196</f>
        <v>0.239444502170805</v>
      </c>
      <c r="Z196" s="112" t="n">
        <f aca="false">(Yield_Originals!$J196*Yield_Originals!Z$1)/Yield_Originals!$K196</f>
        <v>0.244765491107934</v>
      </c>
      <c r="AA196" s="112" t="n">
        <f aca="false">(Yield_Originals!$J196*Yield_Originals!AA$1)/Yield_Originals!$K196</f>
        <v>0.250086480045063</v>
      </c>
      <c r="AB196" s="112" t="n">
        <f aca="false">(Yield_Originals!$J196*Yield_Originals!AB$1)/Yield_Originals!$K196</f>
        <v>0.255407468982192</v>
      </c>
    </row>
    <row r="197" customFormat="false" ht="15" hidden="false" customHeight="false" outlineLevel="0" collapsed="false">
      <c r="A197" s="70" t="s">
        <v>899</v>
      </c>
      <c r="B197" s="68" t="n">
        <v>3</v>
      </c>
      <c r="C197" s="114" t="s">
        <v>128</v>
      </c>
      <c r="D197" s="114" t="s">
        <v>904</v>
      </c>
      <c r="E197" s="104" t="n">
        <v>32</v>
      </c>
      <c r="F197" s="106" t="n">
        <v>0.12622424002054</v>
      </c>
      <c r="G197" s="106" t="n">
        <v>0.12622424002054</v>
      </c>
      <c r="H197" s="106" t="n">
        <f aca="false">+(Yield_Originals!I197+Yield_Originals!G197)/2</f>
        <v>0.128366102056243</v>
      </c>
      <c r="I197" s="106" t="n">
        <v>0.130507964091947</v>
      </c>
      <c r="J197" s="106" t="n">
        <v>0.14189303832344</v>
      </c>
      <c r="K197" s="107" t="n">
        <v>1</v>
      </c>
      <c r="L197" s="108" t="n">
        <f aca="false">(Yield_Originals!$G197*Yield_Originals!L$1)/Yield_Originals!$K197</f>
        <v>0.151469088024648</v>
      </c>
      <c r="M197" s="108" t="n">
        <f aca="false">(Yield_Originals!$G197*Yield_Originals!M$1)/Yield_Originals!$K197</f>
        <v>0.156202497025418</v>
      </c>
      <c r="N197" s="108" t="n">
        <f aca="false">(Yield_Originals!$G197*Yield_Originals!N$1)/Yield_Originals!$K197</f>
        <v>0.160935906026189</v>
      </c>
      <c r="O197" s="108" t="n">
        <f aca="false">(Yield_Originals!$G197*Yield_Originals!O$1)/Yield_Originals!$K197</f>
        <v>0.165669315026959</v>
      </c>
      <c r="P197" s="109" t="n">
        <f aca="false">(Yield_Originals!$H197*Yield_Originals!P$1)/Yield_Originals!$K197</f>
        <v>0.173294237775929</v>
      </c>
      <c r="Q197" s="109" t="n">
        <f aca="false">(Yield_Originals!$H197*Yield_Originals!Q$1)/Yield_Originals!$K197</f>
        <v>0.178107966603038</v>
      </c>
      <c r="R197" s="109" t="n">
        <f aca="false">(Yield_Originals!$H197*Yield_Originals!R$1)/Yield_Originals!$K197</f>
        <v>0.182921695430147</v>
      </c>
      <c r="S197" s="109" t="n">
        <f aca="false">(Yield_Originals!$H197*Yield_Originals!S$1)/Yield_Originals!$K197</f>
        <v>0.187735424257256</v>
      </c>
      <c r="T197" s="111" t="n">
        <f aca="false">(Yield_Originals!$I197*Yield_Originals!T$1)/Yield_Originals!$K197</f>
        <v>0.195761946137921</v>
      </c>
      <c r="U197" s="111" t="n">
        <f aca="false">(Yield_Originals!$I197*Yield_Originals!U$1)/Yield_Originals!$K197</f>
        <v>0.200655994791368</v>
      </c>
      <c r="V197" s="111" t="n">
        <f aca="false">(Yield_Originals!$I197*Yield_Originals!V$1)/Yield_Originals!$K197</f>
        <v>0.205550043444817</v>
      </c>
      <c r="W197" s="111" t="n">
        <f aca="false">(Yield_Originals!$I197*Yield_Originals!W$1)/Yield_Originals!$K197</f>
        <v>0.210444092098265</v>
      </c>
      <c r="X197" s="112" t="n">
        <f aca="false">(Yield_Originals!$J197*Yield_Originals!X$1)/Yield_Originals!$K197</f>
        <v>0.234123513233676</v>
      </c>
      <c r="Y197" s="112" t="n">
        <f aca="false">(Yield_Originals!$J197*Yield_Originals!Y$1)/Yield_Originals!$K197</f>
        <v>0.239444502170805</v>
      </c>
      <c r="Z197" s="112" t="n">
        <f aca="false">(Yield_Originals!$J197*Yield_Originals!Z$1)/Yield_Originals!$K197</f>
        <v>0.244765491107934</v>
      </c>
      <c r="AA197" s="112" t="n">
        <f aca="false">(Yield_Originals!$J197*Yield_Originals!AA$1)/Yield_Originals!$K197</f>
        <v>0.250086480045063</v>
      </c>
      <c r="AB197" s="112" t="n">
        <f aca="false">(Yield_Originals!$J197*Yield_Originals!AB$1)/Yield_Originals!$K197</f>
        <v>0.255407468982192</v>
      </c>
    </row>
    <row r="198" customFormat="false" ht="15" hidden="false" customHeight="false" outlineLevel="0" collapsed="false">
      <c r="A198" s="70" t="s">
        <v>899</v>
      </c>
      <c r="B198" s="68" t="n">
        <v>3</v>
      </c>
      <c r="C198" s="114" t="s">
        <v>238</v>
      </c>
      <c r="D198" s="114" t="s">
        <v>907</v>
      </c>
      <c r="E198" s="104" t="n">
        <v>31</v>
      </c>
      <c r="F198" s="106" t="n">
        <v>0.12622424002054</v>
      </c>
      <c r="G198" s="106" t="n">
        <v>0.12622424002054</v>
      </c>
      <c r="H198" s="106" t="n">
        <f aca="false">+(Yield_Originals!I198+Yield_Originals!G198)/2</f>
        <v>0.128366102056243</v>
      </c>
      <c r="I198" s="106" t="n">
        <v>0.130507964091947</v>
      </c>
      <c r="J198" s="106" t="n">
        <v>0.14189303832344</v>
      </c>
      <c r="K198" s="107" t="n">
        <v>1</v>
      </c>
      <c r="L198" s="108" t="n">
        <f aca="false">(Yield_Originals!$G198*Yield_Originals!L$1)/Yield_Originals!$K198</f>
        <v>0.151469088024648</v>
      </c>
      <c r="M198" s="108" t="n">
        <f aca="false">(Yield_Originals!$G198*Yield_Originals!M$1)/Yield_Originals!$K198</f>
        <v>0.156202497025418</v>
      </c>
      <c r="N198" s="108" t="n">
        <f aca="false">(Yield_Originals!$G198*Yield_Originals!N$1)/Yield_Originals!$K198</f>
        <v>0.160935906026189</v>
      </c>
      <c r="O198" s="108" t="n">
        <f aca="false">(Yield_Originals!$G198*Yield_Originals!O$1)/Yield_Originals!$K198</f>
        <v>0.165669315026959</v>
      </c>
      <c r="P198" s="109" t="n">
        <f aca="false">(Yield_Originals!$H198*Yield_Originals!P$1)/Yield_Originals!$K198</f>
        <v>0.173294237775929</v>
      </c>
      <c r="Q198" s="109" t="n">
        <f aca="false">(Yield_Originals!$H198*Yield_Originals!Q$1)/Yield_Originals!$K198</f>
        <v>0.178107966603038</v>
      </c>
      <c r="R198" s="109" t="n">
        <f aca="false">(Yield_Originals!$H198*Yield_Originals!R$1)/Yield_Originals!$K198</f>
        <v>0.182921695430147</v>
      </c>
      <c r="S198" s="109" t="n">
        <f aca="false">(Yield_Originals!$H198*Yield_Originals!S$1)/Yield_Originals!$K198</f>
        <v>0.187735424257256</v>
      </c>
      <c r="T198" s="111" t="n">
        <f aca="false">(Yield_Originals!$I198*Yield_Originals!T$1)/Yield_Originals!$K198</f>
        <v>0.195761946137921</v>
      </c>
      <c r="U198" s="111" t="n">
        <f aca="false">(Yield_Originals!$I198*Yield_Originals!U$1)/Yield_Originals!$K198</f>
        <v>0.200655994791368</v>
      </c>
      <c r="V198" s="111" t="n">
        <f aca="false">(Yield_Originals!$I198*Yield_Originals!V$1)/Yield_Originals!$K198</f>
        <v>0.205550043444817</v>
      </c>
      <c r="W198" s="111" t="n">
        <f aca="false">(Yield_Originals!$I198*Yield_Originals!W$1)/Yield_Originals!$K198</f>
        <v>0.210444092098265</v>
      </c>
      <c r="X198" s="112" t="n">
        <f aca="false">(Yield_Originals!$J198*Yield_Originals!X$1)/Yield_Originals!$K198</f>
        <v>0.234123513233676</v>
      </c>
      <c r="Y198" s="112" t="n">
        <f aca="false">(Yield_Originals!$J198*Yield_Originals!Y$1)/Yield_Originals!$K198</f>
        <v>0.239444502170805</v>
      </c>
      <c r="Z198" s="112" t="n">
        <f aca="false">(Yield_Originals!$J198*Yield_Originals!Z$1)/Yield_Originals!$K198</f>
        <v>0.244765491107934</v>
      </c>
      <c r="AA198" s="112" t="n">
        <f aca="false">(Yield_Originals!$J198*Yield_Originals!AA$1)/Yield_Originals!$K198</f>
        <v>0.250086480045063</v>
      </c>
      <c r="AB198" s="112" t="n">
        <f aca="false">(Yield_Originals!$J198*Yield_Originals!AB$1)/Yield_Originals!$K198</f>
        <v>0.255407468982192</v>
      </c>
    </row>
    <row r="199" customFormat="false" ht="15" hidden="false" customHeight="false" outlineLevel="0" collapsed="false">
      <c r="A199" s="70" t="s">
        <v>899</v>
      </c>
      <c r="B199" s="68" t="n">
        <v>3</v>
      </c>
      <c r="C199" s="114" t="s">
        <v>238</v>
      </c>
      <c r="D199" s="114" t="s">
        <v>907</v>
      </c>
      <c r="E199" s="104" t="n">
        <v>32</v>
      </c>
      <c r="F199" s="106" t="n">
        <v>0.12622424002054</v>
      </c>
      <c r="G199" s="106" t="n">
        <v>0.12622424002054</v>
      </c>
      <c r="H199" s="106" t="n">
        <f aca="false">+(Yield_Originals!I199+Yield_Originals!G199)/2</f>
        <v>0.128366102056243</v>
      </c>
      <c r="I199" s="106" t="n">
        <v>0.130507964091947</v>
      </c>
      <c r="J199" s="106" t="n">
        <v>0.14189303832344</v>
      </c>
      <c r="K199" s="107" t="n">
        <v>1</v>
      </c>
      <c r="L199" s="108" t="n">
        <f aca="false">(Yield_Originals!$G199*Yield_Originals!L$1)/Yield_Originals!$K199</f>
        <v>0.151469088024648</v>
      </c>
      <c r="M199" s="108" t="n">
        <f aca="false">(Yield_Originals!$G199*Yield_Originals!M$1)/Yield_Originals!$K199</f>
        <v>0.156202497025418</v>
      </c>
      <c r="N199" s="108" t="n">
        <f aca="false">(Yield_Originals!$G199*Yield_Originals!N$1)/Yield_Originals!$K199</f>
        <v>0.160935906026189</v>
      </c>
      <c r="O199" s="108" t="n">
        <f aca="false">(Yield_Originals!$G199*Yield_Originals!O$1)/Yield_Originals!$K199</f>
        <v>0.165669315026959</v>
      </c>
      <c r="P199" s="109" t="n">
        <f aca="false">(Yield_Originals!$H199*Yield_Originals!P$1)/Yield_Originals!$K199</f>
        <v>0.173294237775929</v>
      </c>
      <c r="Q199" s="109" t="n">
        <f aca="false">(Yield_Originals!$H199*Yield_Originals!Q$1)/Yield_Originals!$K199</f>
        <v>0.178107966603038</v>
      </c>
      <c r="R199" s="109" t="n">
        <f aca="false">(Yield_Originals!$H199*Yield_Originals!R$1)/Yield_Originals!$K199</f>
        <v>0.182921695430147</v>
      </c>
      <c r="S199" s="109" t="n">
        <f aca="false">(Yield_Originals!$H199*Yield_Originals!S$1)/Yield_Originals!$K199</f>
        <v>0.187735424257256</v>
      </c>
      <c r="T199" s="111" t="n">
        <f aca="false">(Yield_Originals!$I199*Yield_Originals!T$1)/Yield_Originals!$K199</f>
        <v>0.195761946137921</v>
      </c>
      <c r="U199" s="111" t="n">
        <f aca="false">(Yield_Originals!$I199*Yield_Originals!U$1)/Yield_Originals!$K199</f>
        <v>0.200655994791368</v>
      </c>
      <c r="V199" s="111" t="n">
        <f aca="false">(Yield_Originals!$I199*Yield_Originals!V$1)/Yield_Originals!$K199</f>
        <v>0.205550043444817</v>
      </c>
      <c r="W199" s="111" t="n">
        <f aca="false">(Yield_Originals!$I199*Yield_Originals!W$1)/Yield_Originals!$K199</f>
        <v>0.210444092098265</v>
      </c>
      <c r="X199" s="112" t="n">
        <f aca="false">(Yield_Originals!$J199*Yield_Originals!X$1)/Yield_Originals!$K199</f>
        <v>0.234123513233676</v>
      </c>
      <c r="Y199" s="112" t="n">
        <f aca="false">(Yield_Originals!$J199*Yield_Originals!Y$1)/Yield_Originals!$K199</f>
        <v>0.239444502170805</v>
      </c>
      <c r="Z199" s="112" t="n">
        <f aca="false">(Yield_Originals!$J199*Yield_Originals!Z$1)/Yield_Originals!$K199</f>
        <v>0.244765491107934</v>
      </c>
      <c r="AA199" s="112" t="n">
        <f aca="false">(Yield_Originals!$J199*Yield_Originals!AA$1)/Yield_Originals!$K199</f>
        <v>0.250086480045063</v>
      </c>
      <c r="AB199" s="112" t="n">
        <f aca="false">(Yield_Originals!$J199*Yield_Originals!AB$1)/Yield_Originals!$K199</f>
        <v>0.255407468982192</v>
      </c>
    </row>
    <row r="200" customFormat="false" ht="15" hidden="false" customHeight="false" outlineLevel="0" collapsed="false">
      <c r="A200" s="70" t="s">
        <v>937</v>
      </c>
      <c r="B200" s="68" t="n">
        <v>3</v>
      </c>
      <c r="C200" s="114" t="s">
        <v>239</v>
      </c>
      <c r="D200" s="114" t="s">
        <v>936</v>
      </c>
      <c r="E200" s="104" t="n">
        <v>33</v>
      </c>
      <c r="F200" s="106" t="n">
        <v>0.211280805951981</v>
      </c>
      <c r="G200" s="106" t="n">
        <v>0.211280805951981</v>
      </c>
      <c r="H200" s="106" t="n">
        <f aca="false">+(Yield_Originals!I200+Yield_Originals!G200)/2</f>
        <v>0.211988886983249</v>
      </c>
      <c r="I200" s="106" t="n">
        <v>0.212696968014516</v>
      </c>
      <c r="J200" s="106" t="n">
        <v>0.223682586038622</v>
      </c>
      <c r="K200" s="107" t="n">
        <v>1</v>
      </c>
      <c r="L200" s="108" t="n">
        <f aca="false">(Yield_Originals!$G200*Yield_Originals!L$1)/Yield_Originals!$K200</f>
        <v>0.253536967142377</v>
      </c>
      <c r="M200" s="108" t="n">
        <f aca="false">(Yield_Originals!$G200*Yield_Originals!M$1)/Yield_Originals!$K200</f>
        <v>0.261459997365576</v>
      </c>
      <c r="N200" s="108" t="n">
        <f aca="false">(Yield_Originals!$G200*Yield_Originals!N$1)/Yield_Originals!$K200</f>
        <v>0.269383027588776</v>
      </c>
      <c r="O200" s="108" t="n">
        <f aca="false">(Yield_Originals!$G200*Yield_Originals!O$1)/Yield_Originals!$K200</f>
        <v>0.277306057811975</v>
      </c>
      <c r="P200" s="109" t="n">
        <f aca="false">(Yield_Originals!$H200*Yield_Originals!P$1)/Yield_Originals!$K200</f>
        <v>0.286184997427385</v>
      </c>
      <c r="Q200" s="109" t="n">
        <f aca="false">(Yield_Originals!$H200*Yield_Originals!Q$1)/Yield_Originals!$K200</f>
        <v>0.294134580689257</v>
      </c>
      <c r="R200" s="109" t="n">
        <f aca="false">(Yield_Originals!$H200*Yield_Originals!R$1)/Yield_Originals!$K200</f>
        <v>0.302084163951129</v>
      </c>
      <c r="S200" s="109" t="n">
        <f aca="false">(Yield_Originals!$H200*Yield_Originals!S$1)/Yield_Originals!$K200</f>
        <v>0.310033747213001</v>
      </c>
      <c r="T200" s="111" t="n">
        <f aca="false">(Yield_Originals!$I200*Yield_Originals!T$1)/Yield_Originals!$K200</f>
        <v>0.319045452021774</v>
      </c>
      <c r="U200" s="111" t="n">
        <f aca="false">(Yield_Originals!$I200*Yield_Originals!U$1)/Yield_Originals!$K200</f>
        <v>0.327021588322318</v>
      </c>
      <c r="V200" s="111" t="n">
        <f aca="false">(Yield_Originals!$I200*Yield_Originals!V$1)/Yield_Originals!$K200</f>
        <v>0.334997724622863</v>
      </c>
      <c r="W200" s="111" t="n">
        <f aca="false">(Yield_Originals!$I200*Yield_Originals!W$1)/Yield_Originals!$K200</f>
        <v>0.342973860923407</v>
      </c>
      <c r="X200" s="112" t="n">
        <f aca="false">(Yield_Originals!$J200*Yield_Originals!X$1)/Yield_Originals!$K200</f>
        <v>0.369076266963726</v>
      </c>
      <c r="Y200" s="112" t="n">
        <f aca="false">(Yield_Originals!$J200*Yield_Originals!Y$1)/Yield_Originals!$K200</f>
        <v>0.377464363940174</v>
      </c>
      <c r="Z200" s="112" t="n">
        <f aca="false">(Yield_Originals!$J200*Yield_Originals!Z$1)/Yield_Originals!$K200</f>
        <v>0.385852460916623</v>
      </c>
      <c r="AA200" s="112" t="n">
        <f aca="false">(Yield_Originals!$J200*Yield_Originals!AA$1)/Yield_Originals!$K200</f>
        <v>0.394240557893071</v>
      </c>
      <c r="AB200" s="112" t="n">
        <f aca="false">(Yield_Originals!$J200*Yield_Originals!AB$1)/Yield_Originals!$K200</f>
        <v>0.40262865486952</v>
      </c>
    </row>
    <row r="201" customFormat="false" ht="15" hidden="false" customHeight="false" outlineLevel="0" collapsed="false">
      <c r="A201" s="70" t="s">
        <v>899</v>
      </c>
      <c r="B201" s="68" t="n">
        <v>3</v>
      </c>
      <c r="C201" s="114" t="s">
        <v>129</v>
      </c>
      <c r="D201" s="114" t="s">
        <v>910</v>
      </c>
      <c r="E201" s="104" t="n">
        <v>31</v>
      </c>
      <c r="F201" s="106" t="n">
        <v>0.12622424002054</v>
      </c>
      <c r="G201" s="106" t="n">
        <v>0.12622424002054</v>
      </c>
      <c r="H201" s="106" t="n">
        <f aca="false">+(Yield_Originals!I201+Yield_Originals!G201)/2</f>
        <v>0.128366102056243</v>
      </c>
      <c r="I201" s="106" t="n">
        <v>0.130507964091947</v>
      </c>
      <c r="J201" s="106" t="n">
        <v>0.14189303832344</v>
      </c>
      <c r="K201" s="107" t="n">
        <v>1</v>
      </c>
      <c r="L201" s="108" t="n">
        <f aca="false">(Yield_Originals!$G201*Yield_Originals!L$1)/Yield_Originals!$K201</f>
        <v>0.151469088024648</v>
      </c>
      <c r="M201" s="108" t="n">
        <f aca="false">(Yield_Originals!$G201*Yield_Originals!M$1)/Yield_Originals!$K201</f>
        <v>0.156202497025418</v>
      </c>
      <c r="N201" s="108" t="n">
        <f aca="false">(Yield_Originals!$G201*Yield_Originals!N$1)/Yield_Originals!$K201</f>
        <v>0.160935906026189</v>
      </c>
      <c r="O201" s="108" t="n">
        <f aca="false">(Yield_Originals!$G201*Yield_Originals!O$1)/Yield_Originals!$K201</f>
        <v>0.165669315026959</v>
      </c>
      <c r="P201" s="109" t="n">
        <f aca="false">(Yield_Originals!$H201*Yield_Originals!P$1)/Yield_Originals!$K201</f>
        <v>0.173294237775929</v>
      </c>
      <c r="Q201" s="109" t="n">
        <f aca="false">(Yield_Originals!$H201*Yield_Originals!Q$1)/Yield_Originals!$K201</f>
        <v>0.178107966603038</v>
      </c>
      <c r="R201" s="109" t="n">
        <f aca="false">(Yield_Originals!$H201*Yield_Originals!R$1)/Yield_Originals!$K201</f>
        <v>0.182921695430147</v>
      </c>
      <c r="S201" s="109" t="n">
        <f aca="false">(Yield_Originals!$H201*Yield_Originals!S$1)/Yield_Originals!$K201</f>
        <v>0.187735424257256</v>
      </c>
      <c r="T201" s="111" t="n">
        <f aca="false">(Yield_Originals!$I201*Yield_Originals!T$1)/Yield_Originals!$K201</f>
        <v>0.195761946137921</v>
      </c>
      <c r="U201" s="111" t="n">
        <f aca="false">(Yield_Originals!$I201*Yield_Originals!U$1)/Yield_Originals!$K201</f>
        <v>0.200655994791368</v>
      </c>
      <c r="V201" s="111" t="n">
        <f aca="false">(Yield_Originals!$I201*Yield_Originals!V$1)/Yield_Originals!$K201</f>
        <v>0.205550043444817</v>
      </c>
      <c r="W201" s="111" t="n">
        <f aca="false">(Yield_Originals!$I201*Yield_Originals!W$1)/Yield_Originals!$K201</f>
        <v>0.210444092098265</v>
      </c>
      <c r="X201" s="112" t="n">
        <f aca="false">(Yield_Originals!$J201*Yield_Originals!X$1)/Yield_Originals!$K201</f>
        <v>0.234123513233676</v>
      </c>
      <c r="Y201" s="112" t="n">
        <f aca="false">(Yield_Originals!$J201*Yield_Originals!Y$1)/Yield_Originals!$K201</f>
        <v>0.239444502170805</v>
      </c>
      <c r="Z201" s="112" t="n">
        <f aca="false">(Yield_Originals!$J201*Yield_Originals!Z$1)/Yield_Originals!$K201</f>
        <v>0.244765491107934</v>
      </c>
      <c r="AA201" s="112" t="n">
        <f aca="false">(Yield_Originals!$J201*Yield_Originals!AA$1)/Yield_Originals!$K201</f>
        <v>0.250086480045063</v>
      </c>
      <c r="AB201" s="112" t="n">
        <f aca="false">(Yield_Originals!$J201*Yield_Originals!AB$1)/Yield_Originals!$K201</f>
        <v>0.255407468982192</v>
      </c>
    </row>
    <row r="202" customFormat="false" ht="15" hidden="false" customHeight="false" outlineLevel="0" collapsed="false">
      <c r="A202" s="70" t="s">
        <v>899</v>
      </c>
      <c r="B202" s="68" t="n">
        <v>3</v>
      </c>
      <c r="C202" s="114" t="s">
        <v>129</v>
      </c>
      <c r="D202" s="114" t="s">
        <v>910</v>
      </c>
      <c r="E202" s="104" t="n">
        <v>32</v>
      </c>
      <c r="F202" s="106" t="n">
        <v>0.12622424002054</v>
      </c>
      <c r="G202" s="106" t="n">
        <v>0.12622424002054</v>
      </c>
      <c r="H202" s="106" t="n">
        <f aca="false">+(Yield_Originals!I202+Yield_Originals!G202)/2</f>
        <v>0.128366102056243</v>
      </c>
      <c r="I202" s="106" t="n">
        <v>0.130507964091947</v>
      </c>
      <c r="J202" s="106" t="n">
        <v>0.14189303832344</v>
      </c>
      <c r="K202" s="107" t="n">
        <v>1</v>
      </c>
      <c r="L202" s="108" t="n">
        <f aca="false">(Yield_Originals!$G202*Yield_Originals!L$1)/Yield_Originals!$K202</f>
        <v>0.151469088024648</v>
      </c>
      <c r="M202" s="108" t="n">
        <f aca="false">(Yield_Originals!$G202*Yield_Originals!M$1)/Yield_Originals!$K202</f>
        <v>0.156202497025418</v>
      </c>
      <c r="N202" s="108" t="n">
        <f aca="false">(Yield_Originals!$G202*Yield_Originals!N$1)/Yield_Originals!$K202</f>
        <v>0.160935906026189</v>
      </c>
      <c r="O202" s="108" t="n">
        <f aca="false">(Yield_Originals!$G202*Yield_Originals!O$1)/Yield_Originals!$K202</f>
        <v>0.165669315026959</v>
      </c>
      <c r="P202" s="109" t="n">
        <f aca="false">(Yield_Originals!$H202*Yield_Originals!P$1)/Yield_Originals!$K202</f>
        <v>0.173294237775929</v>
      </c>
      <c r="Q202" s="109" t="n">
        <f aca="false">(Yield_Originals!$H202*Yield_Originals!Q$1)/Yield_Originals!$K202</f>
        <v>0.178107966603038</v>
      </c>
      <c r="R202" s="109" t="n">
        <f aca="false">(Yield_Originals!$H202*Yield_Originals!R$1)/Yield_Originals!$K202</f>
        <v>0.182921695430147</v>
      </c>
      <c r="S202" s="109" t="n">
        <f aca="false">(Yield_Originals!$H202*Yield_Originals!S$1)/Yield_Originals!$K202</f>
        <v>0.187735424257256</v>
      </c>
      <c r="T202" s="111" t="n">
        <f aca="false">(Yield_Originals!$I202*Yield_Originals!T$1)/Yield_Originals!$K202</f>
        <v>0.195761946137921</v>
      </c>
      <c r="U202" s="111" t="n">
        <f aca="false">(Yield_Originals!$I202*Yield_Originals!U$1)/Yield_Originals!$K202</f>
        <v>0.200655994791368</v>
      </c>
      <c r="V202" s="111" t="n">
        <f aca="false">(Yield_Originals!$I202*Yield_Originals!V$1)/Yield_Originals!$K202</f>
        <v>0.205550043444817</v>
      </c>
      <c r="W202" s="111" t="n">
        <f aca="false">(Yield_Originals!$I202*Yield_Originals!W$1)/Yield_Originals!$K202</f>
        <v>0.210444092098265</v>
      </c>
      <c r="X202" s="112" t="n">
        <f aca="false">(Yield_Originals!$J202*Yield_Originals!X$1)/Yield_Originals!$K202</f>
        <v>0.234123513233676</v>
      </c>
      <c r="Y202" s="112" t="n">
        <f aca="false">(Yield_Originals!$J202*Yield_Originals!Y$1)/Yield_Originals!$K202</f>
        <v>0.239444502170805</v>
      </c>
      <c r="Z202" s="112" t="n">
        <f aca="false">(Yield_Originals!$J202*Yield_Originals!Z$1)/Yield_Originals!$K202</f>
        <v>0.244765491107934</v>
      </c>
      <c r="AA202" s="112" t="n">
        <f aca="false">(Yield_Originals!$J202*Yield_Originals!AA$1)/Yield_Originals!$K202</f>
        <v>0.250086480045063</v>
      </c>
      <c r="AB202" s="112" t="n">
        <f aca="false">(Yield_Originals!$J202*Yield_Originals!AB$1)/Yield_Originals!$K202</f>
        <v>0.255407468982192</v>
      </c>
    </row>
    <row r="203" customFormat="false" ht="15" hidden="true" customHeight="false" outlineLevel="0" collapsed="false">
      <c r="A203" s="68" t="s">
        <v>1029</v>
      </c>
      <c r="B203" s="68" t="s">
        <v>1243</v>
      </c>
      <c r="C203" s="0" t="s">
        <v>841</v>
      </c>
      <c r="D203" s="0" t="s">
        <v>1065</v>
      </c>
      <c r="E203" s="68" t="n">
        <v>4</v>
      </c>
      <c r="F203" s="115" t="n">
        <f aca="false">Yield_Originals!G203</f>
        <v>0.9</v>
      </c>
      <c r="G203" s="116" t="n">
        <v>0.9</v>
      </c>
      <c r="H203" s="116" t="n">
        <v>0.9</v>
      </c>
      <c r="I203" s="116" t="n">
        <v>0.9</v>
      </c>
      <c r="J203" s="116" t="n">
        <v>0.9</v>
      </c>
      <c r="K203" s="107" t="n">
        <v>1</v>
      </c>
      <c r="L203" s="117"/>
      <c r="M203" s="117"/>
      <c r="N203" s="117"/>
      <c r="O203" s="118"/>
      <c r="P203" s="119"/>
      <c r="Q203" s="119" t="n">
        <f aca="false">(Yield_Originals!$H203*Yield_Originals!Q$1)/Yield_Originals!$K203</f>
        <v>1.24875</v>
      </c>
      <c r="R203" s="119" t="n">
        <f aca="false">(Yield_Originals!$H203*Yield_Originals!R$1)/Yield_Originals!$K203</f>
        <v>1.2825</v>
      </c>
      <c r="S203" s="119" t="n">
        <f aca="false">(Yield_Originals!$H203*Yield_Originals!S$1)/Yield_Originals!$K203</f>
        <v>1.31625</v>
      </c>
      <c r="T203" s="111" t="n">
        <f aca="false">(Yield_Originals!$I203*Yield_Originals!T$1)/Yield_Originals!$K203</f>
        <v>1.35</v>
      </c>
      <c r="U203" s="0"/>
      <c r="V203" s="0"/>
      <c r="W203" s="0"/>
      <c r="X203" s="0"/>
      <c r="Y203" s="0"/>
      <c r="Z203" s="0"/>
      <c r="AA203" s="0"/>
      <c r="AB203" s="0"/>
    </row>
    <row r="204" customFormat="false" ht="15" hidden="false" customHeight="false" outlineLevel="0" collapsed="false">
      <c r="A204" s="68" t="s">
        <v>943</v>
      </c>
      <c r="B204" s="68" t="n">
        <v>1</v>
      </c>
      <c r="C204" s="0" t="s">
        <v>240</v>
      </c>
      <c r="D204" s="0" t="s">
        <v>960</v>
      </c>
      <c r="E204" s="68" t="n">
        <v>1</v>
      </c>
      <c r="F204" s="115" t="n">
        <f aca="false">Yield_Originals!G204</f>
        <v>0.1529214653185</v>
      </c>
      <c r="G204" s="106" t="n">
        <v>0.1529214653185</v>
      </c>
      <c r="H204" s="106" t="n">
        <v>0.1529214653185</v>
      </c>
      <c r="I204" s="106" t="n">
        <f aca="false">+(Yield_Originals!H204+Yield_Originals!J204)/2</f>
        <v>0.15646073265925</v>
      </c>
      <c r="J204" s="106" t="n">
        <v>0.16</v>
      </c>
      <c r="K204" s="107" t="n">
        <v>2</v>
      </c>
      <c r="L204" s="108" t="n">
        <f aca="false">(Yield_Originals!$G204*Yield_Originals!L$1)/Yield_Originals!$K204</f>
        <v>0.0917528791911</v>
      </c>
      <c r="M204" s="108" t="n">
        <f aca="false">(Yield_Originals!$G204*Yield_Originals!M$1)/Yield_Originals!$K204</f>
        <v>0.0946201566658219</v>
      </c>
      <c r="N204" s="108" t="n">
        <f aca="false">(Yield_Originals!$G204*Yield_Originals!N$1)/Yield_Originals!$K204</f>
        <v>0.0974874341405438</v>
      </c>
      <c r="O204" s="108" t="n">
        <f aca="false">(Yield_Originals!$G204*Yield_Originals!O$1)/Yield_Originals!$K204</f>
        <v>0.100354711615266</v>
      </c>
      <c r="P204" s="109" t="n">
        <f aca="false">(Yield_Originals!$H204*Yield_Originals!P$1)/Yield_Originals!$K204</f>
        <v>0.103221989089988</v>
      </c>
      <c r="Q204" s="109" t="n">
        <f aca="false">(Yield_Originals!$H204*Yield_Originals!Q$1)/Yield_Originals!$K204</f>
        <v>0.106089266564709</v>
      </c>
      <c r="R204" s="109" t="n">
        <f aca="false">(Yield_Originals!$H204*Yield_Originals!R$1)/Yield_Originals!$K204</f>
        <v>0.108956544039431</v>
      </c>
      <c r="S204" s="109" t="n">
        <f aca="false">(Yield_Originals!$H204*Yield_Originals!S$1)/Yield_Originals!$K204</f>
        <v>0.111823821514153</v>
      </c>
      <c r="T204" s="111" t="n">
        <f aca="false">(Yield_Originals!$I204*Yield_Originals!T$1)/Yield_Originals!$K204</f>
        <v>0.117345549494438</v>
      </c>
      <c r="U204" s="111" t="n">
        <f aca="false">(Yield_Originals!$I204*Yield_Originals!U$1)/Yield_Originals!$K204</f>
        <v>0.120279188231798</v>
      </c>
      <c r="V204" s="111" t="n">
        <f aca="false">(Yield_Originals!$I204*Yield_Originals!V$1)/Yield_Originals!$K204</f>
        <v>0.123212826969159</v>
      </c>
      <c r="W204" s="111" t="n">
        <f aca="false">(Yield_Originals!$I204*Yield_Originals!W$1)/Yield_Originals!$K204</f>
        <v>0.12614646570652</v>
      </c>
      <c r="X204" s="112" t="n">
        <f aca="false">(Yield_Originals!$I204*Yield_Originals!X$1)/Yield_Originals!$K204</f>
        <v>0.129080104443881</v>
      </c>
      <c r="Y204" s="112"/>
      <c r="Z204" s="0"/>
      <c r="AA204" s="0"/>
      <c r="AB204" s="0"/>
    </row>
    <row r="205" customFormat="false" ht="15" hidden="false" customHeight="false" outlineLevel="0" collapsed="false">
      <c r="A205" s="68" t="s">
        <v>943</v>
      </c>
      <c r="B205" s="68" t="n">
        <v>1</v>
      </c>
      <c r="C205" s="0" t="s">
        <v>130</v>
      </c>
      <c r="D205" s="0" t="s">
        <v>942</v>
      </c>
      <c r="E205" s="68" t="n">
        <v>1</v>
      </c>
      <c r="F205" s="115" t="n">
        <f aca="false">Yield_Originals!G205</f>
        <v>0.1529214653185</v>
      </c>
      <c r="G205" s="106" t="n">
        <v>0.1529214653185</v>
      </c>
      <c r="H205" s="106" t="n">
        <v>0.1529214653185</v>
      </c>
      <c r="I205" s="106" t="n">
        <f aca="false">+(Yield_Originals!H205+Yield_Originals!J205)/2</f>
        <v>0.15646073265925</v>
      </c>
      <c r="J205" s="106" t="n">
        <v>0.16</v>
      </c>
      <c r="K205" s="107" t="n">
        <v>2</v>
      </c>
      <c r="L205" s="108" t="n">
        <f aca="false">(Yield_Originals!$G205*Yield_Originals!L$1)/Yield_Originals!$K205</f>
        <v>0.0917528791911</v>
      </c>
      <c r="M205" s="108" t="n">
        <f aca="false">(Yield_Originals!$G205*Yield_Originals!M$1)/Yield_Originals!$K205</f>
        <v>0.0946201566658219</v>
      </c>
      <c r="N205" s="108" t="n">
        <f aca="false">(Yield_Originals!$G205*Yield_Originals!N$1)/Yield_Originals!$K205</f>
        <v>0.0974874341405438</v>
      </c>
      <c r="O205" s="108" t="n">
        <f aca="false">(Yield_Originals!$G205*Yield_Originals!O$1)/Yield_Originals!$K205</f>
        <v>0.100354711615266</v>
      </c>
      <c r="P205" s="109"/>
      <c r="Q205" s="109"/>
      <c r="R205" s="109"/>
      <c r="S205" s="109"/>
      <c r="T205" s="0"/>
      <c r="U205" s="0"/>
      <c r="V205" s="0"/>
      <c r="W205" s="0"/>
      <c r="X205" s="0"/>
      <c r="Y205" s="0"/>
      <c r="Z205" s="0"/>
      <c r="AA205" s="0"/>
      <c r="AB205" s="0"/>
    </row>
    <row r="206" customFormat="false" ht="15" hidden="false" customHeight="false" outlineLevel="0" collapsed="false">
      <c r="A206" s="68" t="s">
        <v>943</v>
      </c>
      <c r="B206" s="68" t="n">
        <v>1</v>
      </c>
      <c r="C206" s="0" t="s">
        <v>241</v>
      </c>
      <c r="D206" s="0" t="s">
        <v>942</v>
      </c>
      <c r="E206" s="68" t="n">
        <v>1</v>
      </c>
      <c r="F206" s="115" t="n">
        <f aca="false">Yield_Originals!G206</f>
        <v>0.1529214653185</v>
      </c>
      <c r="G206" s="106" t="n">
        <v>0.1529214653185</v>
      </c>
      <c r="H206" s="106" t="n">
        <v>0.1529214653185</v>
      </c>
      <c r="I206" s="106" t="n">
        <f aca="false">+(Yield_Originals!H206+Yield_Originals!J206)/2</f>
        <v>0.15646073265925</v>
      </c>
      <c r="J206" s="106" t="n">
        <v>0.16</v>
      </c>
      <c r="K206" s="107" t="n">
        <v>2</v>
      </c>
      <c r="L206" s="108" t="n">
        <f aca="false">(Yield_Originals!$G206*Yield_Originals!L$1)/Yield_Originals!$K206</f>
        <v>0.0917528791911</v>
      </c>
      <c r="M206" s="108" t="n">
        <f aca="false">(Yield_Originals!$G206*Yield_Originals!M$1)/Yield_Originals!$K206</f>
        <v>0.0946201566658219</v>
      </c>
      <c r="N206" s="108" t="n">
        <f aca="false">(Yield_Originals!$G206*Yield_Originals!N$1)/Yield_Originals!$K206</f>
        <v>0.0974874341405438</v>
      </c>
      <c r="O206" s="108" t="n">
        <f aca="false">(Yield_Originals!$G206*Yield_Originals!O$1)/Yield_Originals!$K206</f>
        <v>0.100354711615266</v>
      </c>
      <c r="P206" s="109"/>
      <c r="Q206" s="109"/>
      <c r="R206" s="109"/>
      <c r="S206" s="109"/>
      <c r="T206" s="0"/>
      <c r="U206" s="0"/>
      <c r="V206" s="0"/>
      <c r="W206" s="0"/>
      <c r="X206" s="0"/>
      <c r="Y206" s="0"/>
      <c r="Z206" s="0"/>
      <c r="AA206" s="0"/>
      <c r="AB206" s="0"/>
    </row>
    <row r="207" customFormat="false" ht="15" hidden="false" customHeight="false" outlineLevel="0" collapsed="false">
      <c r="A207" s="68" t="s">
        <v>943</v>
      </c>
      <c r="B207" s="68" t="n">
        <v>1</v>
      </c>
      <c r="C207" s="0" t="s">
        <v>851</v>
      </c>
      <c r="D207" s="0" t="s">
        <v>947</v>
      </c>
      <c r="E207" s="68" t="n">
        <v>1</v>
      </c>
      <c r="F207" s="115" t="n">
        <f aca="false">Yield_Originals!G207</f>
        <v>0.1529214653185</v>
      </c>
      <c r="G207" s="106" t="n">
        <v>0.1529214653185</v>
      </c>
      <c r="H207" s="106" t="n">
        <v>0.1529214653185</v>
      </c>
      <c r="I207" s="106" t="n">
        <f aca="false">+(Yield_Originals!H207+Yield_Originals!J207)/2</f>
        <v>0.15646073265925</v>
      </c>
      <c r="J207" s="106" t="n">
        <v>0.16</v>
      </c>
      <c r="K207" s="107" t="n">
        <v>2</v>
      </c>
      <c r="L207" s="108" t="n">
        <f aca="false">(Yield_Originals!$G207*Yield_Originals!L$1)/Yield_Originals!$K207</f>
        <v>0.0917528791911</v>
      </c>
      <c r="M207" s="108" t="n">
        <f aca="false">(Yield_Originals!$G207*Yield_Originals!M$1)/Yield_Originals!$K207</f>
        <v>0.0946201566658219</v>
      </c>
      <c r="N207" s="108" t="n">
        <f aca="false">(Yield_Originals!$G207*Yield_Originals!N$1)/Yield_Originals!$K207</f>
        <v>0.0974874341405438</v>
      </c>
      <c r="O207" s="108" t="n">
        <f aca="false">(Yield_Originals!$G207*Yield_Originals!O$1)/Yield_Originals!$K207</f>
        <v>0.100354711615266</v>
      </c>
      <c r="P207" s="109" t="n">
        <f aca="false">(Yield_Originals!$H207*Yield_Originals!P$1)/Yield_Originals!$K207</f>
        <v>0.103221989089988</v>
      </c>
      <c r="Q207" s="109" t="n">
        <f aca="false">(Yield_Originals!$H207*Yield_Originals!Q$1)/Yield_Originals!$K207</f>
        <v>0.106089266564709</v>
      </c>
      <c r="R207" s="109" t="n">
        <f aca="false">(Yield_Originals!$H207*Yield_Originals!R$1)/Yield_Originals!$K207</f>
        <v>0.108956544039431</v>
      </c>
      <c r="S207" s="109" t="n">
        <f aca="false">(Yield_Originals!$H207*Yield_Originals!S$1)/Yield_Originals!$K207</f>
        <v>0.111823821514153</v>
      </c>
      <c r="T207" s="0"/>
      <c r="U207" s="0"/>
      <c r="V207" s="0"/>
      <c r="W207" s="0"/>
      <c r="X207" s="0"/>
      <c r="Y207" s="0"/>
      <c r="Z207" s="0"/>
      <c r="AA207" s="0"/>
      <c r="AB207" s="0"/>
    </row>
    <row r="208" customFormat="false" ht="15" hidden="false" customHeight="false" outlineLevel="0" collapsed="false">
      <c r="A208" s="68" t="s">
        <v>943</v>
      </c>
      <c r="B208" s="68" t="n">
        <v>1</v>
      </c>
      <c r="C208" s="0" t="s">
        <v>242</v>
      </c>
      <c r="D208" s="0" t="s">
        <v>950</v>
      </c>
      <c r="E208" s="68" t="n">
        <v>1</v>
      </c>
      <c r="F208" s="115" t="n">
        <f aca="false">Yield_Originals!G208</f>
        <v>0.1529214653185</v>
      </c>
      <c r="G208" s="106" t="n">
        <v>0.1529214653185</v>
      </c>
      <c r="H208" s="106" t="n">
        <v>0.1529214653185</v>
      </c>
      <c r="I208" s="106" t="n">
        <f aca="false">+(Yield_Originals!H208+Yield_Originals!J208)/2</f>
        <v>0.15646073265925</v>
      </c>
      <c r="J208" s="106" t="n">
        <v>0.16</v>
      </c>
      <c r="K208" s="107" t="n">
        <v>2</v>
      </c>
      <c r="L208" s="108"/>
      <c r="M208" s="108"/>
      <c r="N208" s="108"/>
      <c r="O208" s="108"/>
      <c r="P208" s="109" t="n">
        <f aca="false">(Yield_Originals!$H208*Yield_Originals!P$1)/Yield_Originals!$K208</f>
        <v>0.103221989089988</v>
      </c>
      <c r="Q208" s="109" t="n">
        <f aca="false">(Yield_Originals!$H208*Yield_Originals!Q$1)/Yield_Originals!$K208</f>
        <v>0.106089266564709</v>
      </c>
      <c r="R208" s="109" t="n">
        <f aca="false">(Yield_Originals!$H208*Yield_Originals!R$1)/Yield_Originals!$K208</f>
        <v>0.108956544039431</v>
      </c>
      <c r="S208" s="109" t="n">
        <f aca="false">(Yield_Originals!$H208*Yield_Originals!S$1)/Yield_Originals!$K208</f>
        <v>0.111823821514153</v>
      </c>
      <c r="T208" s="111" t="n">
        <f aca="false">(Yield_Originals!$I208*Yield_Originals!T$1)/Yield_Originals!$K208</f>
        <v>0.117345549494438</v>
      </c>
      <c r="U208" s="111" t="n">
        <f aca="false">(Yield_Originals!$I208*Yield_Originals!U$1)/Yield_Originals!$K208</f>
        <v>0.120279188231798</v>
      </c>
      <c r="V208" s="111" t="n">
        <f aca="false">(Yield_Originals!$I208*Yield_Originals!V$1)/Yield_Originals!$K208</f>
        <v>0.123212826969159</v>
      </c>
      <c r="W208" s="111" t="n">
        <f aca="false">(Yield_Originals!$I208*Yield_Originals!W$1)/Yield_Originals!$K208</f>
        <v>0.12614646570652</v>
      </c>
      <c r="X208" s="112" t="n">
        <f aca="false">(Yield_Originals!$I208*Yield_Originals!X$1)/Yield_Originals!$K208</f>
        <v>0.129080104443881</v>
      </c>
      <c r="Y208" s="112"/>
      <c r="Z208" s="0"/>
      <c r="AA208" s="0"/>
      <c r="AB208" s="0"/>
    </row>
    <row r="209" customFormat="false" ht="15" hidden="false" customHeight="false" outlineLevel="0" collapsed="false">
      <c r="A209" s="68" t="s">
        <v>943</v>
      </c>
      <c r="B209" s="68" t="n">
        <v>1</v>
      </c>
      <c r="C209" s="0" t="s">
        <v>131</v>
      </c>
      <c r="D209" s="0" t="s">
        <v>952</v>
      </c>
      <c r="E209" s="68" t="n">
        <v>1</v>
      </c>
      <c r="F209" s="115" t="n">
        <f aca="false">Yield_Originals!G209</f>
        <v>0.1529214653185</v>
      </c>
      <c r="G209" s="106" t="n">
        <v>0.1529214653185</v>
      </c>
      <c r="H209" s="106" t="n">
        <v>0.1529214653185</v>
      </c>
      <c r="I209" s="106" t="n">
        <f aca="false">+(Yield_Originals!H209+Yield_Originals!J209)/2</f>
        <v>0.15646073265925</v>
      </c>
      <c r="J209" s="106" t="n">
        <v>0.16</v>
      </c>
      <c r="K209" s="107" t="n">
        <v>2</v>
      </c>
      <c r="L209" s="108"/>
      <c r="M209" s="108"/>
      <c r="N209" s="108"/>
      <c r="O209" s="108"/>
      <c r="P209" s="109" t="n">
        <f aca="false">(Yield_Originals!$H209*Yield_Originals!P$1)/Yield_Originals!$K209</f>
        <v>0.103221989089988</v>
      </c>
      <c r="Q209" s="109" t="n">
        <f aca="false">(Yield_Originals!$H209*Yield_Originals!Q$1)/Yield_Originals!$K209</f>
        <v>0.106089266564709</v>
      </c>
      <c r="R209" s="109" t="n">
        <f aca="false">(Yield_Originals!$H209*Yield_Originals!R$1)/Yield_Originals!$K209</f>
        <v>0.108956544039431</v>
      </c>
      <c r="S209" s="109" t="n">
        <f aca="false">(Yield_Originals!$H209*Yield_Originals!S$1)/Yield_Originals!$K209</f>
        <v>0.111823821514153</v>
      </c>
      <c r="T209" s="111" t="n">
        <f aca="false">(Yield_Originals!$I209*Yield_Originals!T$1)/Yield_Originals!$K209</f>
        <v>0.117345549494438</v>
      </c>
      <c r="U209" s="111" t="n">
        <f aca="false">(Yield_Originals!$I209*Yield_Originals!U$1)/Yield_Originals!$K209</f>
        <v>0.120279188231798</v>
      </c>
      <c r="V209" s="111" t="n">
        <f aca="false">(Yield_Originals!$I209*Yield_Originals!V$1)/Yield_Originals!$K209</f>
        <v>0.123212826969159</v>
      </c>
      <c r="W209" s="111" t="n">
        <f aca="false">(Yield_Originals!$I209*Yield_Originals!W$1)/Yield_Originals!$K209</f>
        <v>0.12614646570652</v>
      </c>
      <c r="X209" s="112" t="n">
        <f aca="false">(Yield_Originals!$I209*Yield_Originals!X$1)/Yield_Originals!$K209</f>
        <v>0.129080104443881</v>
      </c>
      <c r="Y209" s="112"/>
      <c r="Z209" s="0"/>
      <c r="AA209" s="0"/>
      <c r="AB209" s="0"/>
    </row>
    <row r="210" customFormat="false" ht="15" hidden="false" customHeight="false" outlineLevel="0" collapsed="false">
      <c r="A210" s="68" t="s">
        <v>943</v>
      </c>
      <c r="B210" s="68" t="n">
        <v>1</v>
      </c>
      <c r="C210" s="0" t="s">
        <v>243</v>
      </c>
      <c r="D210" s="0" t="s">
        <v>952</v>
      </c>
      <c r="E210" s="68" t="n">
        <v>1</v>
      </c>
      <c r="F210" s="115" t="n">
        <f aca="false">Yield_Originals!G210</f>
        <v>0.1529214653185</v>
      </c>
      <c r="G210" s="106" t="n">
        <v>0.1529214653185</v>
      </c>
      <c r="H210" s="106" t="n">
        <v>0.1529214653185</v>
      </c>
      <c r="I210" s="106" t="n">
        <f aca="false">+(Yield_Originals!H210+Yield_Originals!J210)/2</f>
        <v>0.15646073265925</v>
      </c>
      <c r="J210" s="106" t="n">
        <v>0.16</v>
      </c>
      <c r="K210" s="107" t="n">
        <v>2</v>
      </c>
      <c r="L210" s="108"/>
      <c r="M210" s="108"/>
      <c r="N210" s="108"/>
      <c r="O210" s="108"/>
      <c r="P210" s="109" t="n">
        <f aca="false">(Yield_Originals!$H210*Yield_Originals!P$1)/Yield_Originals!$K210</f>
        <v>0.103221989089988</v>
      </c>
      <c r="Q210" s="109" t="n">
        <f aca="false">(Yield_Originals!$H210*Yield_Originals!Q$1)/Yield_Originals!$K210</f>
        <v>0.106089266564709</v>
      </c>
      <c r="R210" s="109" t="n">
        <f aca="false">(Yield_Originals!$H210*Yield_Originals!R$1)/Yield_Originals!$K210</f>
        <v>0.108956544039431</v>
      </c>
      <c r="S210" s="109" t="n">
        <f aca="false">(Yield_Originals!$H210*Yield_Originals!S$1)/Yield_Originals!$K210</f>
        <v>0.111823821514153</v>
      </c>
      <c r="T210" s="111" t="n">
        <f aca="false">(Yield_Originals!$I210*Yield_Originals!T$1)/Yield_Originals!$K210</f>
        <v>0.117345549494438</v>
      </c>
      <c r="U210" s="111" t="n">
        <f aca="false">(Yield_Originals!$I210*Yield_Originals!U$1)/Yield_Originals!$K210</f>
        <v>0.120279188231798</v>
      </c>
      <c r="V210" s="111" t="n">
        <f aca="false">(Yield_Originals!$I210*Yield_Originals!V$1)/Yield_Originals!$K210</f>
        <v>0.123212826969159</v>
      </c>
      <c r="W210" s="111" t="n">
        <f aca="false">(Yield_Originals!$I210*Yield_Originals!W$1)/Yield_Originals!$K210</f>
        <v>0.12614646570652</v>
      </c>
      <c r="X210" s="112" t="n">
        <f aca="false">(Yield_Originals!$I210*Yield_Originals!X$1)/Yield_Originals!$K210</f>
        <v>0.129080104443881</v>
      </c>
      <c r="Y210" s="112"/>
      <c r="Z210" s="0"/>
      <c r="AA210" s="0"/>
      <c r="AB210" s="0"/>
    </row>
    <row r="211" customFormat="false" ht="15" hidden="false" customHeight="false" outlineLevel="0" collapsed="false">
      <c r="A211" s="68" t="s">
        <v>943</v>
      </c>
      <c r="B211" s="68" t="n">
        <v>1</v>
      </c>
      <c r="C211" s="0" t="s">
        <v>861</v>
      </c>
      <c r="D211" s="0" t="s">
        <v>956</v>
      </c>
      <c r="E211" s="68" t="n">
        <v>1</v>
      </c>
      <c r="F211" s="115" t="n">
        <f aca="false">Yield_Originals!G211</f>
        <v>0.1529214653185</v>
      </c>
      <c r="G211" s="106" t="n">
        <v>0.1529214653185</v>
      </c>
      <c r="H211" s="106" t="n">
        <v>0.1529214653185</v>
      </c>
      <c r="I211" s="106" t="n">
        <f aca="false">+(Yield_Originals!H211+Yield_Originals!J211)/2</f>
        <v>0.15646073265925</v>
      </c>
      <c r="J211" s="106" t="n">
        <v>0.16</v>
      </c>
      <c r="K211" s="107" t="n">
        <v>2</v>
      </c>
      <c r="L211" s="108"/>
      <c r="M211" s="108"/>
      <c r="N211" s="108"/>
      <c r="O211" s="108"/>
      <c r="P211" s="109" t="n">
        <f aca="false">(Yield_Originals!$H211*Yield_Originals!P$1)/Yield_Originals!$K211</f>
        <v>0.103221989089988</v>
      </c>
      <c r="Q211" s="109" t="n">
        <f aca="false">(Yield_Originals!$H211*Yield_Originals!Q$1)/Yield_Originals!$K211</f>
        <v>0.106089266564709</v>
      </c>
      <c r="R211" s="109" t="n">
        <f aca="false">(Yield_Originals!$H211*Yield_Originals!R$1)/Yield_Originals!$K211</f>
        <v>0.108956544039431</v>
      </c>
      <c r="S211" s="109" t="n">
        <f aca="false">(Yield_Originals!$H211*Yield_Originals!S$1)/Yield_Originals!$K211</f>
        <v>0.111823821514153</v>
      </c>
      <c r="T211" s="111" t="n">
        <f aca="false">(Yield_Originals!$I211*Yield_Originals!T$1)/Yield_Originals!$K211</f>
        <v>0.117345549494438</v>
      </c>
      <c r="U211" s="111" t="n">
        <f aca="false">(Yield_Originals!$I211*Yield_Originals!U$1)/Yield_Originals!$K211</f>
        <v>0.120279188231798</v>
      </c>
      <c r="V211" s="111" t="n">
        <f aca="false">(Yield_Originals!$I211*Yield_Originals!V$1)/Yield_Originals!$K211</f>
        <v>0.123212826969159</v>
      </c>
      <c r="W211" s="111" t="n">
        <f aca="false">(Yield_Originals!$I211*Yield_Originals!W$1)/Yield_Originals!$K211</f>
        <v>0.12614646570652</v>
      </c>
      <c r="X211" s="112" t="n">
        <f aca="false">(Yield_Originals!$I211*Yield_Originals!X$1)/Yield_Originals!$K211</f>
        <v>0.129080104443881</v>
      </c>
      <c r="Y211" s="112"/>
      <c r="Z211" s="0"/>
      <c r="AA211" s="0"/>
      <c r="AB211" s="0"/>
    </row>
    <row r="212" customFormat="false" ht="15" hidden="false" customHeight="false" outlineLevel="0" collapsed="false">
      <c r="A212" s="68" t="s">
        <v>943</v>
      </c>
      <c r="B212" s="68" t="n">
        <v>1</v>
      </c>
      <c r="C212" s="0" t="s">
        <v>244</v>
      </c>
      <c r="D212" s="0" t="s">
        <v>956</v>
      </c>
      <c r="E212" s="68" t="n">
        <v>1</v>
      </c>
      <c r="F212" s="115" t="n">
        <f aca="false">Yield_Originals!G212</f>
        <v>0.1529214653185</v>
      </c>
      <c r="G212" s="106" t="n">
        <v>0.1529214653185</v>
      </c>
      <c r="H212" s="106" t="n">
        <v>0.1529214653185</v>
      </c>
      <c r="I212" s="106" t="n">
        <f aca="false">+(Yield_Originals!H212+Yield_Originals!J212)/2</f>
        <v>0.15646073265925</v>
      </c>
      <c r="J212" s="106" t="n">
        <v>0.16</v>
      </c>
      <c r="K212" s="107" t="n">
        <v>2</v>
      </c>
      <c r="L212" s="108"/>
      <c r="M212" s="108"/>
      <c r="N212" s="108"/>
      <c r="O212" s="108"/>
      <c r="P212" s="109" t="n">
        <f aca="false">(Yield_Originals!$H212*Yield_Originals!P$1)/Yield_Originals!$K212</f>
        <v>0.103221989089988</v>
      </c>
      <c r="Q212" s="109" t="n">
        <f aca="false">(Yield_Originals!$H212*Yield_Originals!Q$1)/Yield_Originals!$K212</f>
        <v>0.106089266564709</v>
      </c>
      <c r="R212" s="109" t="n">
        <f aca="false">(Yield_Originals!$H212*Yield_Originals!R$1)/Yield_Originals!$K212</f>
        <v>0.108956544039431</v>
      </c>
      <c r="S212" s="109" t="n">
        <f aca="false">(Yield_Originals!$H212*Yield_Originals!S$1)/Yield_Originals!$K212</f>
        <v>0.111823821514153</v>
      </c>
      <c r="T212" s="111" t="n">
        <f aca="false">(Yield_Originals!$I212*Yield_Originals!T$1)/Yield_Originals!$K212</f>
        <v>0.117345549494438</v>
      </c>
      <c r="U212" s="111" t="n">
        <f aca="false">(Yield_Originals!$I212*Yield_Originals!U$1)/Yield_Originals!$K212</f>
        <v>0.120279188231798</v>
      </c>
      <c r="V212" s="111" t="n">
        <f aca="false">(Yield_Originals!$I212*Yield_Originals!V$1)/Yield_Originals!$K212</f>
        <v>0.123212826969159</v>
      </c>
      <c r="W212" s="111" t="n">
        <f aca="false">(Yield_Originals!$I212*Yield_Originals!W$1)/Yield_Originals!$K212</f>
        <v>0.12614646570652</v>
      </c>
      <c r="X212" s="112" t="n">
        <f aca="false">(Yield_Originals!$I212*Yield_Originals!X$1)/Yield_Originals!$K212</f>
        <v>0.129080104443881</v>
      </c>
      <c r="Y212" s="112"/>
      <c r="Z212" s="0"/>
      <c r="AA212" s="0"/>
      <c r="AB212" s="0"/>
    </row>
    <row r="213" customFormat="false" ht="15" hidden="false" customHeight="false" outlineLevel="0" collapsed="false">
      <c r="A213" s="68" t="s">
        <v>943</v>
      </c>
      <c r="B213" s="68" t="n">
        <v>1</v>
      </c>
      <c r="C213" s="0" t="s">
        <v>866</v>
      </c>
      <c r="D213" s="0" t="s">
        <v>964</v>
      </c>
      <c r="E213" s="68" t="n">
        <v>1</v>
      </c>
      <c r="F213" s="115" t="n">
        <f aca="false">Yield_Originals!G213</f>
        <v>0.1529214653185</v>
      </c>
      <c r="G213" s="106" t="n">
        <v>0.1529214653185</v>
      </c>
      <c r="H213" s="106" t="n">
        <v>0.1529214653185</v>
      </c>
      <c r="I213" s="106" t="n">
        <f aca="false">+(Yield_Originals!H213+Yield_Originals!J213)/2</f>
        <v>0.15646073265925</v>
      </c>
      <c r="J213" s="106" t="n">
        <v>0.16</v>
      </c>
      <c r="K213" s="107" t="n">
        <v>2</v>
      </c>
      <c r="L213" s="108" t="n">
        <f aca="false">(Yield_Originals!$G213*Yield_Originals!L$1)/Yield_Originals!$K213</f>
        <v>0.0917528791911</v>
      </c>
      <c r="M213" s="108" t="n">
        <f aca="false">(Yield_Originals!$G213*Yield_Originals!M$1)/Yield_Originals!$K213</f>
        <v>0.0946201566658219</v>
      </c>
      <c r="N213" s="108" t="n">
        <f aca="false">(Yield_Originals!$G213*Yield_Originals!N$1)/Yield_Originals!$K213</f>
        <v>0.0974874341405438</v>
      </c>
      <c r="O213" s="108" t="n">
        <f aca="false">(Yield_Originals!$G213*Yield_Originals!O$1)/Yield_Originals!$K213</f>
        <v>0.100354711615266</v>
      </c>
      <c r="P213" s="109" t="n">
        <f aca="false">(Yield_Originals!$H213*Yield_Originals!P$1)/Yield_Originals!$K213</f>
        <v>0.103221989089988</v>
      </c>
      <c r="Q213" s="109" t="n">
        <f aca="false">(Yield_Originals!$H213*Yield_Originals!Q$1)/Yield_Originals!$K213</f>
        <v>0.106089266564709</v>
      </c>
      <c r="R213" s="109" t="n">
        <f aca="false">(Yield_Originals!$H213*Yield_Originals!R$1)/Yield_Originals!$K213</f>
        <v>0.108956544039431</v>
      </c>
      <c r="S213" s="109" t="n">
        <f aca="false">(Yield_Originals!$H213*Yield_Originals!S$1)/Yield_Originals!$K213</f>
        <v>0.111823821514153</v>
      </c>
      <c r="T213" s="111" t="n">
        <f aca="false">(Yield_Originals!$I213*Yield_Originals!T$1)/Yield_Originals!$K213</f>
        <v>0.117345549494438</v>
      </c>
      <c r="U213" s="111" t="n">
        <f aca="false">(Yield_Originals!$I213*Yield_Originals!U$1)/Yield_Originals!$K213</f>
        <v>0.120279188231798</v>
      </c>
      <c r="V213" s="111" t="n">
        <f aca="false">(Yield_Originals!$I213*Yield_Originals!V$1)/Yield_Originals!$K213</f>
        <v>0.123212826969159</v>
      </c>
      <c r="W213" s="111" t="n">
        <f aca="false">(Yield_Originals!$I213*Yield_Originals!W$1)/Yield_Originals!$K213</f>
        <v>0.12614646570652</v>
      </c>
      <c r="X213" s="112" t="n">
        <f aca="false">(Yield_Originals!$I213*Yield_Originals!X$1)/Yield_Originals!$K213</f>
        <v>0.129080104443881</v>
      </c>
      <c r="Y213" s="112"/>
      <c r="Z213" s="0"/>
      <c r="AA213" s="0"/>
      <c r="AB213" s="0"/>
    </row>
    <row r="214" customFormat="false" ht="15" hidden="false" customHeight="false" outlineLevel="0" collapsed="false">
      <c r="A214" s="68" t="s">
        <v>943</v>
      </c>
      <c r="B214" s="68" t="n">
        <v>1</v>
      </c>
      <c r="C214" s="0" t="s">
        <v>245</v>
      </c>
      <c r="D214" s="0" t="s">
        <v>966</v>
      </c>
      <c r="E214" s="68" t="n">
        <v>1</v>
      </c>
      <c r="F214" s="115" t="n">
        <f aca="false">Yield_Originals!G214</f>
        <v>0.1529214653185</v>
      </c>
      <c r="G214" s="106" t="n">
        <v>0.1529214653185</v>
      </c>
      <c r="H214" s="106" t="n">
        <v>0.1529214653185</v>
      </c>
      <c r="I214" s="106" t="n">
        <f aca="false">+(Yield_Originals!H214+Yield_Originals!J214)/2</f>
        <v>0.15646073265925</v>
      </c>
      <c r="J214" s="106" t="n">
        <v>0.16</v>
      </c>
      <c r="K214" s="107" t="n">
        <v>2</v>
      </c>
      <c r="L214" s="108" t="n">
        <f aca="false">(Yield_Originals!$G214*Yield_Originals!L$1)/Yield_Originals!$K214</f>
        <v>0.0917528791911</v>
      </c>
      <c r="M214" s="108" t="n">
        <f aca="false">(Yield_Originals!$G214*Yield_Originals!M$1)/Yield_Originals!$K214</f>
        <v>0.0946201566658219</v>
      </c>
      <c r="N214" s="108" t="n">
        <f aca="false">(Yield_Originals!$G214*Yield_Originals!N$1)/Yield_Originals!$K214</f>
        <v>0.0974874341405438</v>
      </c>
      <c r="O214" s="108" t="n">
        <f aca="false">(Yield_Originals!$G214*Yield_Originals!O$1)/Yield_Originals!$K214</f>
        <v>0.100354711615266</v>
      </c>
      <c r="P214" s="109" t="n">
        <f aca="false">(Yield_Originals!$H214*Yield_Originals!P$1)/Yield_Originals!$K214</f>
        <v>0.103221989089988</v>
      </c>
      <c r="Q214" s="109" t="n">
        <f aca="false">(Yield_Originals!$H214*Yield_Originals!Q$1)/Yield_Originals!$K214</f>
        <v>0.106089266564709</v>
      </c>
      <c r="R214" s="109" t="n">
        <f aca="false">(Yield_Originals!$H214*Yield_Originals!R$1)/Yield_Originals!$K214</f>
        <v>0.108956544039431</v>
      </c>
      <c r="S214" s="109" t="n">
        <f aca="false">(Yield_Originals!$H214*Yield_Originals!S$1)/Yield_Originals!$K214</f>
        <v>0.111823821514153</v>
      </c>
      <c r="T214" s="111" t="n">
        <f aca="false">(Yield_Originals!$I214*Yield_Originals!T$1)/Yield_Originals!$K214</f>
        <v>0.117345549494438</v>
      </c>
      <c r="U214" s="111" t="n">
        <f aca="false">(Yield_Originals!$I214*Yield_Originals!U$1)/Yield_Originals!$K214</f>
        <v>0.120279188231798</v>
      </c>
      <c r="V214" s="111" t="n">
        <f aca="false">(Yield_Originals!$I214*Yield_Originals!V$1)/Yield_Originals!$K214</f>
        <v>0.123212826969159</v>
      </c>
      <c r="W214" s="111" t="n">
        <f aca="false">(Yield_Originals!$I214*Yield_Originals!W$1)/Yield_Originals!$K214</f>
        <v>0.12614646570652</v>
      </c>
      <c r="X214" s="112" t="n">
        <f aca="false">(Yield_Originals!$I214*Yield_Originals!X$1)/Yield_Originals!$K214</f>
        <v>0.129080104443881</v>
      </c>
      <c r="Y214" s="112"/>
      <c r="Z214" s="0"/>
      <c r="AA214" s="0"/>
      <c r="AB214" s="0"/>
    </row>
    <row r="215" customFormat="false" ht="15" hidden="false" customHeight="false" outlineLevel="0" collapsed="false">
      <c r="A215" s="68" t="s">
        <v>943</v>
      </c>
      <c r="B215" s="68" t="n">
        <v>1</v>
      </c>
      <c r="C215" s="0" t="s">
        <v>873</v>
      </c>
      <c r="D215" s="0" t="s">
        <v>962</v>
      </c>
      <c r="E215" s="68" t="n">
        <v>1</v>
      </c>
      <c r="F215" s="115" t="n">
        <f aca="false">Yield_Originals!G215</f>
        <v>0.1529214653185</v>
      </c>
      <c r="G215" s="106" t="n">
        <v>0.1529214653185</v>
      </c>
      <c r="H215" s="106" t="n">
        <v>0.1529214653185</v>
      </c>
      <c r="I215" s="106" t="n">
        <f aca="false">+(Yield_Originals!H215+Yield_Originals!J215)/2</f>
        <v>0.15646073265925</v>
      </c>
      <c r="J215" s="106" t="n">
        <v>0.16</v>
      </c>
      <c r="K215" s="107" t="n">
        <v>2</v>
      </c>
      <c r="L215" s="108" t="n">
        <f aca="false">(Yield_Originals!$G215*Yield_Originals!L$1)/Yield_Originals!$K215</f>
        <v>0.0917528791911</v>
      </c>
      <c r="M215" s="108" t="n">
        <f aca="false">(Yield_Originals!$G215*Yield_Originals!M$1)/Yield_Originals!$K215</f>
        <v>0.0946201566658219</v>
      </c>
      <c r="N215" s="108" t="n">
        <f aca="false">(Yield_Originals!$G215*Yield_Originals!N$1)/Yield_Originals!$K215</f>
        <v>0.0974874341405438</v>
      </c>
      <c r="O215" s="108" t="n">
        <f aca="false">(Yield_Originals!$G215*Yield_Originals!O$1)/Yield_Originals!$K215</f>
        <v>0.100354711615266</v>
      </c>
      <c r="P215" s="109" t="n">
        <f aca="false">(Yield_Originals!$H215*Yield_Originals!P$1)/Yield_Originals!$K215</f>
        <v>0.103221989089988</v>
      </c>
      <c r="Q215" s="109" t="n">
        <f aca="false">(Yield_Originals!$H215*Yield_Originals!Q$1)/Yield_Originals!$K215</f>
        <v>0.106089266564709</v>
      </c>
      <c r="R215" s="109" t="n">
        <f aca="false">(Yield_Originals!$H215*Yield_Originals!R$1)/Yield_Originals!$K215</f>
        <v>0.108956544039431</v>
      </c>
      <c r="S215" s="109" t="n">
        <f aca="false">(Yield_Originals!$H215*Yield_Originals!S$1)/Yield_Originals!$K215</f>
        <v>0.111823821514153</v>
      </c>
      <c r="T215" s="111" t="n">
        <f aca="false">(Yield_Originals!$I215*Yield_Originals!T$1)/Yield_Originals!$K215</f>
        <v>0.117345549494438</v>
      </c>
      <c r="U215" s="111" t="n">
        <f aca="false">(Yield_Originals!$I215*Yield_Originals!U$1)/Yield_Originals!$K215</f>
        <v>0.120279188231798</v>
      </c>
      <c r="V215" s="111" t="n">
        <f aca="false">(Yield_Originals!$I215*Yield_Originals!V$1)/Yield_Originals!$K215</f>
        <v>0.123212826969159</v>
      </c>
      <c r="W215" s="111" t="n">
        <f aca="false">(Yield_Originals!$I215*Yield_Originals!W$1)/Yield_Originals!$K215</f>
        <v>0.12614646570652</v>
      </c>
      <c r="X215" s="112" t="n">
        <f aca="false">(Yield_Originals!$I215*Yield_Originals!X$1)/Yield_Originals!$K215</f>
        <v>0.129080104443881</v>
      </c>
      <c r="Y215" s="112"/>
      <c r="Z215" s="0"/>
      <c r="AA215" s="0"/>
      <c r="AB215" s="0"/>
    </row>
    <row r="216" customFormat="false" ht="15" hidden="true" customHeight="false" outlineLevel="0" collapsed="false">
      <c r="A216" s="68" t="s">
        <v>1029</v>
      </c>
      <c r="B216" s="68" t="s">
        <v>1243</v>
      </c>
      <c r="C216" s="0" t="s">
        <v>132</v>
      </c>
      <c r="D216" s="0" t="s">
        <v>1028</v>
      </c>
      <c r="E216" s="68" t="n">
        <v>5</v>
      </c>
      <c r="F216" s="115" t="n">
        <f aca="false">Yield_Originals!G216</f>
        <v>0.9</v>
      </c>
      <c r="G216" s="116" t="n">
        <v>0.9</v>
      </c>
      <c r="H216" s="116" t="n">
        <v>0.9</v>
      </c>
      <c r="I216" s="116" t="n">
        <v>0.9</v>
      </c>
      <c r="J216" s="116" t="n">
        <v>0.9</v>
      </c>
      <c r="K216" s="107" t="n">
        <v>1</v>
      </c>
      <c r="L216" s="118" t="n">
        <f aca="false">(Yield_Originals!$G216*Yield_Originals!L$1)/Yield_Originals!$K216</f>
        <v>1.08</v>
      </c>
      <c r="M216" s="118" t="n">
        <f aca="false">(Yield_Originals!$G216*Yield_Originals!M$1)/Yield_Originals!$K216</f>
        <v>1.11375</v>
      </c>
      <c r="N216" s="118"/>
      <c r="O216" s="118"/>
      <c r="P216" s="0"/>
      <c r="Q216" s="0"/>
      <c r="R216" s="0"/>
      <c r="S216" s="0"/>
      <c r="T216" s="0"/>
      <c r="U216" s="0"/>
      <c r="V216" s="0"/>
      <c r="W216" s="0"/>
      <c r="X216" s="0"/>
      <c r="Y216" s="0"/>
      <c r="Z216" s="0"/>
      <c r="AA216" s="0"/>
      <c r="AB216" s="0"/>
    </row>
    <row r="217" customFormat="false" ht="15" hidden="true" customHeight="false" outlineLevel="0" collapsed="false">
      <c r="A217" s="64" t="s">
        <v>1029</v>
      </c>
      <c r="B217" s="64" t="s">
        <v>1243</v>
      </c>
      <c r="C217" s="38" t="s">
        <v>878</v>
      </c>
      <c r="D217" s="38" t="s">
        <v>1063</v>
      </c>
      <c r="E217" s="64" t="n">
        <v>5</v>
      </c>
      <c r="F217" s="115" t="n">
        <f aca="false">Yield_Originals!G217</f>
        <v>0.9</v>
      </c>
      <c r="G217" s="116" t="n">
        <v>0.9</v>
      </c>
      <c r="H217" s="116" t="n">
        <v>0.9</v>
      </c>
      <c r="I217" s="116" t="n">
        <v>0.9</v>
      </c>
      <c r="J217" s="116" t="n">
        <v>0.9</v>
      </c>
      <c r="K217" s="107" t="n">
        <v>1</v>
      </c>
      <c r="L217" s="118"/>
      <c r="M217" s="118"/>
      <c r="N217" s="118"/>
      <c r="O217" s="118" t="n">
        <f aca="false">(Yield_Originals!$G217*Yield_Originals!O$1)/Yield_Originals!$K217</f>
        <v>1.18125</v>
      </c>
      <c r="P217" s="119" t="n">
        <f aca="false">(Yield_Originals!$H217*Yield_Originals!P$1)/Yield_Originals!$K217</f>
        <v>1.215</v>
      </c>
      <c r="Q217" s="119" t="n">
        <f aca="false">(Yield_Originals!$H217*Yield_Originals!Q$1)/Yield_Originals!$K217</f>
        <v>1.24875</v>
      </c>
      <c r="R217" s="119" t="n">
        <f aca="false">(Yield_Originals!$H217*Yield_Originals!R$1)/Yield_Originals!$K217</f>
        <v>1.2825</v>
      </c>
      <c r="S217" s="71"/>
      <c r="T217" s="120"/>
      <c r="U217" s="120"/>
      <c r="V217" s="120"/>
      <c r="W217" s="120"/>
      <c r="X217" s="121"/>
      <c r="Y217" s="121"/>
      <c r="Z217" s="121"/>
      <c r="AA217" s="121"/>
      <c r="AB217" s="121"/>
    </row>
    <row r="218" customFormat="false" ht="15" hidden="true" customHeight="false" outlineLevel="0" collapsed="false">
      <c r="A218" s="68" t="s">
        <v>1029</v>
      </c>
      <c r="B218" s="68" t="s">
        <v>1243</v>
      </c>
      <c r="C218" s="0" t="s">
        <v>881</v>
      </c>
      <c r="D218" s="0" t="s">
        <v>1051</v>
      </c>
      <c r="E218" s="68" t="n">
        <v>2</v>
      </c>
      <c r="F218" s="115" t="n">
        <f aca="false">Yield_Originals!G218</f>
        <v>0.9</v>
      </c>
      <c r="G218" s="115" t="n">
        <v>0.9</v>
      </c>
      <c r="H218" s="115" t="n">
        <v>0.9</v>
      </c>
      <c r="I218" s="115" t="n">
        <v>0.9</v>
      </c>
      <c r="J218" s="115" t="n">
        <v>0.9</v>
      </c>
      <c r="K218" s="107" t="n">
        <v>1</v>
      </c>
      <c r="L218" s="108"/>
      <c r="M218" s="108"/>
      <c r="N218" s="108"/>
      <c r="O218" s="108" t="n">
        <f aca="false">(Yield_Originals!$G218*Yield_Originals!O$1)/Yield_Originals!$K218</f>
        <v>1.18125</v>
      </c>
      <c r="P218" s="109" t="n">
        <f aca="false">(Yield_Originals!$H218*Yield_Originals!P$1)/Yield_Originals!$K218</f>
        <v>1.215</v>
      </c>
      <c r="Q218" s="109" t="n">
        <f aca="false">(Yield_Originals!$H218*Yield_Originals!Q$1)/Yield_Originals!$K218</f>
        <v>1.24875</v>
      </c>
      <c r="R218" s="109" t="n">
        <f aca="false">(Yield_Originals!$H218*Yield_Originals!R$1)/Yield_Originals!$K218</f>
        <v>1.2825</v>
      </c>
      <c r="S218" s="0"/>
      <c r="T218" s="0"/>
      <c r="U218" s="0"/>
      <c r="V218" s="0"/>
      <c r="W218" s="0"/>
      <c r="X218" s="0"/>
      <c r="Y218" s="0"/>
      <c r="Z218" s="0"/>
      <c r="AA218" s="0"/>
      <c r="AB218" s="0"/>
    </row>
    <row r="219" customFormat="false" ht="15" hidden="true" customHeight="false" outlineLevel="0" collapsed="false">
      <c r="A219" s="68" t="s">
        <v>1029</v>
      </c>
      <c r="B219" s="68" t="s">
        <v>1243</v>
      </c>
      <c r="C219" s="0" t="s">
        <v>133</v>
      </c>
      <c r="D219" s="0" t="s">
        <v>1036</v>
      </c>
      <c r="E219" s="68" t="n">
        <v>1</v>
      </c>
      <c r="F219" s="115" t="n">
        <f aca="false">Yield_Originals!G219</f>
        <v>0.9</v>
      </c>
      <c r="G219" s="115" t="n">
        <v>0.9</v>
      </c>
      <c r="H219" s="115" t="n">
        <v>0.9</v>
      </c>
      <c r="I219" s="115" t="n">
        <v>0.9</v>
      </c>
      <c r="J219" s="115" t="n">
        <v>0.9</v>
      </c>
      <c r="K219" s="107" t="n">
        <v>1</v>
      </c>
      <c r="L219" s="108" t="n">
        <f aca="false">(Yield_Originals!$G219*Yield_Originals!L$1)/Yield_Originals!$K219</f>
        <v>1.08</v>
      </c>
      <c r="M219" s="108" t="n">
        <f aca="false">(Yield_Originals!$G219*Yield_Originals!M$1)/Yield_Originals!$K219</f>
        <v>1.11375</v>
      </c>
      <c r="N219" s="108" t="n">
        <f aca="false">(Yield_Originals!$G219*Yield_Originals!N$1)/Yield_Originals!$K219</f>
        <v>1.1475</v>
      </c>
      <c r="O219" s="108" t="n">
        <f aca="false">(Yield_Originals!$G219*Yield_Originals!O$1)/Yield_Originals!$K219</f>
        <v>1.18125</v>
      </c>
      <c r="P219" s="109" t="n">
        <f aca="false">(Yield_Originals!$H219*Yield_Originals!P$1)/Yield_Originals!$K219</f>
        <v>1.215</v>
      </c>
      <c r="Q219" s="109" t="n">
        <f aca="false">(Yield_Originals!$H219*Yield_Originals!Q$1)/Yield_Originals!$K219</f>
        <v>1.24875</v>
      </c>
      <c r="R219" s="109"/>
      <c r="S219" s="109"/>
      <c r="T219" s="111"/>
      <c r="U219" s="111"/>
      <c r="V219" s="111"/>
      <c r="W219" s="111"/>
      <c r="X219" s="112"/>
      <c r="Y219" s="112"/>
      <c r="Z219" s="112"/>
      <c r="AA219" s="112"/>
      <c r="AB219" s="112"/>
    </row>
    <row r="220" customFormat="false" ht="15" hidden="true" customHeight="false" outlineLevel="0" collapsed="false">
      <c r="A220" s="68" t="s">
        <v>1029</v>
      </c>
      <c r="B220" s="68" t="s">
        <v>1243</v>
      </c>
      <c r="C220" s="0" t="s">
        <v>246</v>
      </c>
      <c r="D220" s="0" t="s">
        <v>1036</v>
      </c>
      <c r="E220" s="68" t="n">
        <v>1</v>
      </c>
      <c r="F220" s="115" t="n">
        <f aca="false">Yield_Originals!G220</f>
        <v>0.9</v>
      </c>
      <c r="G220" s="115" t="n">
        <v>0.9</v>
      </c>
      <c r="H220" s="115" t="n">
        <v>0.9</v>
      </c>
      <c r="I220" s="115" t="n">
        <v>0.9</v>
      </c>
      <c r="J220" s="115" t="n">
        <v>0.9</v>
      </c>
      <c r="K220" s="107" t="n">
        <v>1</v>
      </c>
      <c r="L220" s="108" t="n">
        <f aca="false">(Yield_Originals!$G220*Yield_Originals!L$1)/Yield_Originals!$K220</f>
        <v>1.08</v>
      </c>
      <c r="M220" s="108" t="n">
        <f aca="false">(Yield_Originals!$G220*Yield_Originals!M$1)/Yield_Originals!$K220</f>
        <v>1.11375</v>
      </c>
      <c r="N220" s="108" t="n">
        <f aca="false">(Yield_Originals!$G220*Yield_Originals!N$1)/Yield_Originals!$K220</f>
        <v>1.1475</v>
      </c>
      <c r="O220" s="108" t="n">
        <f aca="false">(Yield_Originals!$G220*Yield_Originals!O$1)/Yield_Originals!$K220</f>
        <v>1.18125</v>
      </c>
      <c r="P220" s="109" t="n">
        <f aca="false">(Yield_Originals!$H220*Yield_Originals!P$1)/Yield_Originals!$K220</f>
        <v>1.215</v>
      </c>
      <c r="Q220" s="109" t="n">
        <f aca="false">(Yield_Originals!$H220*Yield_Originals!Q$1)/Yield_Originals!$K220</f>
        <v>1.24875</v>
      </c>
      <c r="R220" s="109"/>
      <c r="S220" s="109"/>
      <c r="T220" s="111"/>
      <c r="U220" s="111"/>
      <c r="V220" s="111"/>
      <c r="W220" s="111"/>
      <c r="X220" s="112"/>
      <c r="Y220" s="112"/>
      <c r="Z220" s="112"/>
      <c r="AA220" s="112"/>
      <c r="AB220" s="112"/>
    </row>
    <row r="221" customFormat="false" ht="15" hidden="true" customHeight="false" outlineLevel="0" collapsed="false">
      <c r="A221" s="68" t="s">
        <v>1029</v>
      </c>
      <c r="B221" s="68" t="s">
        <v>1243</v>
      </c>
      <c r="C221" s="0" t="s">
        <v>888</v>
      </c>
      <c r="D221" s="0" t="s">
        <v>1054</v>
      </c>
      <c r="E221" s="68" t="n">
        <v>1</v>
      </c>
      <c r="F221" s="115" t="n">
        <f aca="false">Yield_Originals!G221</f>
        <v>0.9</v>
      </c>
      <c r="G221" s="115" t="n">
        <v>0.9</v>
      </c>
      <c r="H221" s="115" t="n">
        <v>0.9</v>
      </c>
      <c r="I221" s="115" t="n">
        <v>0.9</v>
      </c>
      <c r="J221" s="115" t="n">
        <v>0.9</v>
      </c>
      <c r="K221" s="107" t="n">
        <v>1</v>
      </c>
      <c r="L221" s="108" t="n">
        <f aca="false">(Yield_Originals!$G221*Yield_Originals!L$1)/Yield_Originals!$K221</f>
        <v>1.08</v>
      </c>
      <c r="M221" s="108" t="n">
        <f aca="false">(Yield_Originals!$G221*Yield_Originals!M$1)/Yield_Originals!$K221</f>
        <v>1.11375</v>
      </c>
      <c r="N221" s="108" t="n">
        <f aca="false">(Yield_Originals!$G221*Yield_Originals!N$1)/Yield_Originals!$K221</f>
        <v>1.1475</v>
      </c>
      <c r="O221" s="108" t="n">
        <f aca="false">(Yield_Originals!$G221*Yield_Originals!O$1)/Yield_Originals!$K221</f>
        <v>1.18125</v>
      </c>
      <c r="P221" s="109" t="n">
        <f aca="false">(Yield_Originals!$H221*Yield_Originals!P$1)/Yield_Originals!$K221</f>
        <v>1.215</v>
      </c>
      <c r="Q221" s="109" t="n">
        <f aca="false">(Yield_Originals!$H221*Yield_Originals!Q$1)/Yield_Originals!$K221</f>
        <v>1.24875</v>
      </c>
      <c r="R221" s="109"/>
      <c r="S221" s="109"/>
      <c r="T221" s="111"/>
      <c r="U221" s="111"/>
      <c r="V221" s="111"/>
      <c r="W221" s="111"/>
      <c r="X221" s="112"/>
      <c r="Y221" s="112"/>
      <c r="Z221" s="112"/>
      <c r="AA221" s="112"/>
      <c r="AB221" s="112"/>
    </row>
    <row r="222" customFormat="false" ht="15" hidden="true" customHeight="false" outlineLevel="0" collapsed="false">
      <c r="A222" s="68" t="s">
        <v>1029</v>
      </c>
      <c r="B222" s="68" t="s">
        <v>1243</v>
      </c>
      <c r="C222" s="0" t="s">
        <v>891</v>
      </c>
      <c r="D222" s="0" t="s">
        <v>1032</v>
      </c>
      <c r="E222" s="68" t="n">
        <v>1</v>
      </c>
      <c r="F222" s="115" t="n">
        <f aca="false">Yield_Originals!G222</f>
        <v>0.9</v>
      </c>
      <c r="G222" s="115" t="n">
        <v>0.9</v>
      </c>
      <c r="H222" s="115" t="n">
        <v>0.9</v>
      </c>
      <c r="I222" s="115" t="n">
        <v>0.9</v>
      </c>
      <c r="J222" s="115" t="n">
        <v>0.9</v>
      </c>
      <c r="K222" s="107" t="n">
        <v>1</v>
      </c>
      <c r="L222" s="108" t="n">
        <f aca="false">(Yield_Originals!$G222*Yield_Originals!L$1)/Yield_Originals!$K222</f>
        <v>1.08</v>
      </c>
      <c r="M222" s="108" t="n">
        <f aca="false">(Yield_Originals!$G222*Yield_Originals!M$1)/Yield_Originals!$K222</f>
        <v>1.11375</v>
      </c>
      <c r="N222" s="108" t="n">
        <f aca="false">(Yield_Originals!$G222*Yield_Originals!N$1)/Yield_Originals!$K222</f>
        <v>1.1475</v>
      </c>
      <c r="O222" s="108" t="n">
        <f aca="false">(Yield_Originals!$G222*Yield_Originals!O$1)/Yield_Originals!$K222</f>
        <v>1.18125</v>
      </c>
      <c r="P222" s="109" t="n">
        <f aca="false">(Yield_Originals!$H222*Yield_Originals!P$1)/Yield_Originals!$K222</f>
        <v>1.215</v>
      </c>
      <c r="Q222" s="109" t="n">
        <f aca="false">(Yield_Originals!$H222*Yield_Originals!Q$1)/Yield_Originals!$K222</f>
        <v>1.24875</v>
      </c>
      <c r="R222" s="109"/>
      <c r="S222" s="109"/>
      <c r="T222" s="111"/>
      <c r="U222" s="111"/>
      <c r="V222" s="111"/>
      <c r="W222" s="111"/>
      <c r="X222" s="112"/>
      <c r="Y222" s="112"/>
      <c r="Z222" s="112"/>
      <c r="AA222" s="112"/>
      <c r="AB222" s="112"/>
    </row>
    <row r="223" customFormat="false" ht="15" hidden="true" customHeight="false" outlineLevel="0" collapsed="false">
      <c r="A223" s="68" t="s">
        <v>1029</v>
      </c>
      <c r="B223" s="68" t="s">
        <v>1243</v>
      </c>
      <c r="C223" s="0" t="s">
        <v>894</v>
      </c>
      <c r="D223" s="0" t="s">
        <v>1044</v>
      </c>
      <c r="E223" s="68" t="n">
        <v>1</v>
      </c>
      <c r="F223" s="115" t="n">
        <f aca="false">Yield_Originals!G223</f>
        <v>0.9</v>
      </c>
      <c r="G223" s="115" t="n">
        <v>0.9</v>
      </c>
      <c r="H223" s="115" t="n">
        <v>0.9</v>
      </c>
      <c r="I223" s="115" t="n">
        <v>0.9</v>
      </c>
      <c r="J223" s="115" t="n">
        <v>0.9</v>
      </c>
      <c r="K223" s="107" t="n">
        <v>1</v>
      </c>
      <c r="L223" s="108" t="n">
        <f aca="false">(Yield_Originals!$G223*Yield_Originals!L$1)/Yield_Originals!$K223</f>
        <v>1.08</v>
      </c>
      <c r="M223" s="108" t="n">
        <f aca="false">(Yield_Originals!$G223*Yield_Originals!M$1)/Yield_Originals!$K223</f>
        <v>1.11375</v>
      </c>
      <c r="N223" s="108" t="n">
        <f aca="false">(Yield_Originals!$G223*Yield_Originals!N$1)/Yield_Originals!$K223</f>
        <v>1.1475</v>
      </c>
      <c r="O223" s="108" t="n">
        <f aca="false">(Yield_Originals!$G223*Yield_Originals!O$1)/Yield_Originals!$K223</f>
        <v>1.18125</v>
      </c>
      <c r="P223" s="109" t="n">
        <f aca="false">(Yield_Originals!$H223*Yield_Originals!P$1)/Yield_Originals!$K223</f>
        <v>1.215</v>
      </c>
      <c r="Q223" s="109" t="n">
        <f aca="false">(Yield_Originals!$H223*Yield_Originals!Q$1)/Yield_Originals!$K223</f>
        <v>1.24875</v>
      </c>
      <c r="R223" s="109"/>
      <c r="S223" s="109"/>
      <c r="T223" s="111"/>
      <c r="U223" s="111"/>
      <c r="V223" s="111"/>
      <c r="W223" s="111"/>
      <c r="X223" s="112"/>
      <c r="Y223" s="112"/>
      <c r="Z223" s="112"/>
      <c r="AA223" s="112"/>
      <c r="AB223" s="112"/>
    </row>
    <row r="224" customFormat="false" ht="15" hidden="true" customHeight="false" outlineLevel="0" collapsed="false">
      <c r="A224" s="68" t="s">
        <v>1029</v>
      </c>
      <c r="B224" s="68" t="s">
        <v>1243</v>
      </c>
      <c r="C224" s="0" t="s">
        <v>897</v>
      </c>
      <c r="D224" s="0" t="s">
        <v>1044</v>
      </c>
      <c r="E224" s="68" t="n">
        <v>1</v>
      </c>
      <c r="F224" s="115" t="n">
        <f aca="false">Yield_Originals!G224</f>
        <v>0.9</v>
      </c>
      <c r="G224" s="115" t="n">
        <v>0.9</v>
      </c>
      <c r="H224" s="115" t="n">
        <v>0.9</v>
      </c>
      <c r="I224" s="115" t="n">
        <v>0.9</v>
      </c>
      <c r="J224" s="115" t="n">
        <v>0.9</v>
      </c>
      <c r="K224" s="107" t="n">
        <v>1</v>
      </c>
      <c r="L224" s="108" t="n">
        <f aca="false">(Yield_Originals!$G224*Yield_Originals!L$1)/Yield_Originals!$K224</f>
        <v>1.08</v>
      </c>
      <c r="M224" s="108" t="n">
        <f aca="false">(Yield_Originals!$G224*Yield_Originals!M$1)/Yield_Originals!$K224</f>
        <v>1.11375</v>
      </c>
      <c r="N224" s="108" t="n">
        <f aca="false">(Yield_Originals!$G224*Yield_Originals!N$1)/Yield_Originals!$K224</f>
        <v>1.1475</v>
      </c>
      <c r="O224" s="108" t="n">
        <f aca="false">(Yield_Originals!$G224*Yield_Originals!O$1)/Yield_Originals!$K224</f>
        <v>1.18125</v>
      </c>
      <c r="P224" s="109" t="n">
        <f aca="false">(Yield_Originals!$H224*Yield_Originals!P$1)/Yield_Originals!$K224</f>
        <v>1.215</v>
      </c>
      <c r="Q224" s="109" t="n">
        <f aca="false">(Yield_Originals!$H224*Yield_Originals!Q$1)/Yield_Originals!$K224</f>
        <v>1.24875</v>
      </c>
      <c r="R224" s="109"/>
      <c r="S224" s="109"/>
      <c r="T224" s="111"/>
      <c r="U224" s="111"/>
      <c r="V224" s="111"/>
      <c r="W224" s="111"/>
      <c r="X224" s="112"/>
      <c r="Y224" s="112"/>
      <c r="Z224" s="112"/>
      <c r="AA224" s="112"/>
      <c r="AB224" s="112"/>
    </row>
    <row r="225" customFormat="false" ht="15" hidden="true" customHeight="false" outlineLevel="0" collapsed="false">
      <c r="A225" s="68" t="s">
        <v>1029</v>
      </c>
      <c r="B225" s="68" t="s">
        <v>1243</v>
      </c>
      <c r="C225" s="0" t="s">
        <v>901</v>
      </c>
      <c r="D225" s="0" t="s">
        <v>1061</v>
      </c>
      <c r="E225" s="68" t="n">
        <v>1</v>
      </c>
      <c r="F225" s="115" t="n">
        <f aca="false">Yield_Originals!G225</f>
        <v>0.9</v>
      </c>
      <c r="G225" s="115" t="n">
        <v>0.9</v>
      </c>
      <c r="H225" s="115" t="n">
        <v>0.9</v>
      </c>
      <c r="I225" s="115" t="n">
        <v>0.9</v>
      </c>
      <c r="J225" s="115" t="n">
        <v>0.9</v>
      </c>
      <c r="K225" s="107" t="n">
        <v>1</v>
      </c>
      <c r="L225" s="108"/>
      <c r="M225" s="108"/>
      <c r="N225" s="108"/>
      <c r="O225" s="108" t="n">
        <f aca="false">(Yield_Originals!$G225*Yield_Originals!O$1)/Yield_Originals!$K225</f>
        <v>1.18125</v>
      </c>
      <c r="P225" s="109" t="n">
        <f aca="false">(Yield_Originals!$H225*Yield_Originals!P$1)/Yield_Originals!$K225</f>
        <v>1.215</v>
      </c>
      <c r="Q225" s="109" t="n">
        <f aca="false">(Yield_Originals!$H225*Yield_Originals!Q$1)/Yield_Originals!$K225</f>
        <v>1.24875</v>
      </c>
      <c r="R225" s="109" t="n">
        <f aca="false">(Yield_Originals!$H225*Yield_Originals!R$1)/Yield_Originals!$K225</f>
        <v>1.2825</v>
      </c>
      <c r="S225" s="109"/>
      <c r="T225" s="111"/>
      <c r="U225" s="111"/>
      <c r="V225" s="111"/>
      <c r="W225" s="111"/>
      <c r="X225" s="112"/>
      <c r="Y225" s="112"/>
      <c r="Z225" s="112"/>
      <c r="AA225" s="112"/>
      <c r="AB225" s="112"/>
    </row>
    <row r="226" customFormat="false" ht="15" hidden="true" customHeight="false" outlineLevel="0" collapsed="false">
      <c r="A226" s="68" t="s">
        <v>1029</v>
      </c>
      <c r="B226" s="68" t="s">
        <v>1243</v>
      </c>
      <c r="C226" s="0" t="s">
        <v>248</v>
      </c>
      <c r="D226" s="0" t="s">
        <v>1034</v>
      </c>
      <c r="E226" s="68" t="n">
        <v>1</v>
      </c>
      <c r="F226" s="115" t="n">
        <f aca="false">Yield_Originals!G226</f>
        <v>0.9</v>
      </c>
      <c r="G226" s="115" t="n">
        <v>0.9</v>
      </c>
      <c r="H226" s="115" t="n">
        <v>0.9</v>
      </c>
      <c r="I226" s="115" t="n">
        <v>0.9</v>
      </c>
      <c r="J226" s="115" t="n">
        <v>0.9</v>
      </c>
      <c r="K226" s="107" t="n">
        <v>1</v>
      </c>
      <c r="L226" s="108" t="n">
        <f aca="false">(Yield_Originals!$G226*Yield_Originals!L$1)/Yield_Originals!$K226</f>
        <v>1.08</v>
      </c>
      <c r="M226" s="108" t="n">
        <f aca="false">(Yield_Originals!$G226*Yield_Originals!M$1)/Yield_Originals!$K226</f>
        <v>1.11375</v>
      </c>
      <c r="N226" s="108" t="n">
        <f aca="false">(Yield_Originals!$G226*Yield_Originals!N$1)/Yield_Originals!$K226</f>
        <v>1.1475</v>
      </c>
      <c r="O226" s="108" t="n">
        <f aca="false">(Yield_Originals!$G226*Yield_Originals!O$1)/Yield_Originals!$K226</f>
        <v>1.18125</v>
      </c>
      <c r="P226" s="109" t="n">
        <f aca="false">(Yield_Originals!$H226*Yield_Originals!P$1)/Yield_Originals!$K226</f>
        <v>1.215</v>
      </c>
      <c r="Q226" s="109" t="n">
        <f aca="false">(Yield_Originals!$H226*Yield_Originals!Q$1)/Yield_Originals!$K226</f>
        <v>1.24875</v>
      </c>
      <c r="R226" s="109"/>
      <c r="S226" s="109"/>
      <c r="T226" s="111"/>
      <c r="U226" s="111"/>
      <c r="V226" s="111"/>
      <c r="W226" s="111"/>
      <c r="X226" s="112"/>
      <c r="Y226" s="112"/>
      <c r="Z226" s="112"/>
      <c r="AA226" s="112"/>
      <c r="AB226" s="112"/>
    </row>
    <row r="227" customFormat="false" ht="15" hidden="true" customHeight="false" outlineLevel="0" collapsed="false">
      <c r="A227" s="68" t="s">
        <v>1029</v>
      </c>
      <c r="B227" s="68" t="s">
        <v>1243</v>
      </c>
      <c r="C227" s="0" t="s">
        <v>906</v>
      </c>
      <c r="D227" s="0" t="s">
        <v>1044</v>
      </c>
      <c r="E227" s="68" t="n">
        <v>1</v>
      </c>
      <c r="F227" s="115" t="n">
        <f aca="false">Yield_Originals!G227</f>
        <v>0.9</v>
      </c>
      <c r="G227" s="115" t="n">
        <v>0.9</v>
      </c>
      <c r="H227" s="115" t="n">
        <v>0.9</v>
      </c>
      <c r="I227" s="115" t="n">
        <v>0.9</v>
      </c>
      <c r="J227" s="115" t="n">
        <v>0.9</v>
      </c>
      <c r="K227" s="107" t="n">
        <v>1</v>
      </c>
      <c r="L227" s="108" t="n">
        <f aca="false">(Yield_Originals!$G227*Yield_Originals!L$1)/Yield_Originals!$K227</f>
        <v>1.08</v>
      </c>
      <c r="M227" s="108" t="n">
        <f aca="false">(Yield_Originals!$G227*Yield_Originals!M$1)/Yield_Originals!$K227</f>
        <v>1.11375</v>
      </c>
      <c r="N227" s="108" t="n">
        <f aca="false">(Yield_Originals!$G227*Yield_Originals!N$1)/Yield_Originals!$K227</f>
        <v>1.1475</v>
      </c>
      <c r="O227" s="108" t="n">
        <f aca="false">(Yield_Originals!$G227*Yield_Originals!O$1)/Yield_Originals!$K227</f>
        <v>1.18125</v>
      </c>
      <c r="P227" s="109" t="n">
        <f aca="false">(Yield_Originals!$H227*Yield_Originals!P$1)/Yield_Originals!$K227</f>
        <v>1.215</v>
      </c>
      <c r="Q227" s="109" t="n">
        <f aca="false">(Yield_Originals!$H227*Yield_Originals!Q$1)/Yield_Originals!$K227</f>
        <v>1.24875</v>
      </c>
      <c r="R227" s="109"/>
      <c r="S227" s="109"/>
      <c r="T227" s="111"/>
      <c r="U227" s="111"/>
      <c r="V227" s="111"/>
      <c r="W227" s="111"/>
      <c r="X227" s="112"/>
      <c r="Y227" s="112"/>
      <c r="Z227" s="112"/>
      <c r="AA227" s="112"/>
      <c r="AB227" s="112"/>
    </row>
    <row r="228" customFormat="false" ht="15" hidden="true" customHeight="false" outlineLevel="0" collapsed="false">
      <c r="A228" s="68" t="s">
        <v>1029</v>
      </c>
      <c r="B228" s="68" t="s">
        <v>1243</v>
      </c>
      <c r="C228" s="0" t="s">
        <v>909</v>
      </c>
      <c r="D228" s="0" t="s">
        <v>1044</v>
      </c>
      <c r="E228" s="68" t="n">
        <v>1</v>
      </c>
      <c r="F228" s="115" t="n">
        <f aca="false">Yield_Originals!G228</f>
        <v>0.9</v>
      </c>
      <c r="G228" s="115" t="n">
        <v>0.9</v>
      </c>
      <c r="H228" s="115" t="n">
        <v>0.9</v>
      </c>
      <c r="I228" s="115" t="n">
        <v>0.9</v>
      </c>
      <c r="J228" s="115" t="n">
        <v>0.9</v>
      </c>
      <c r="K228" s="107" t="n">
        <v>1</v>
      </c>
      <c r="L228" s="108" t="n">
        <f aca="false">(Yield_Originals!$G228*Yield_Originals!L$1)/Yield_Originals!$K228</f>
        <v>1.08</v>
      </c>
      <c r="M228" s="108" t="n">
        <f aca="false">(Yield_Originals!$G228*Yield_Originals!M$1)/Yield_Originals!$K228</f>
        <v>1.11375</v>
      </c>
      <c r="N228" s="108" t="n">
        <f aca="false">(Yield_Originals!$G228*Yield_Originals!N$1)/Yield_Originals!$K228</f>
        <v>1.1475</v>
      </c>
      <c r="O228" s="108" t="n">
        <f aca="false">(Yield_Originals!$G228*Yield_Originals!O$1)/Yield_Originals!$K228</f>
        <v>1.18125</v>
      </c>
      <c r="P228" s="109" t="n">
        <f aca="false">(Yield_Originals!$H228*Yield_Originals!P$1)/Yield_Originals!$K228</f>
        <v>1.215</v>
      </c>
      <c r="Q228" s="109" t="n">
        <f aca="false">(Yield_Originals!$H228*Yield_Originals!Q$1)/Yield_Originals!$K228</f>
        <v>1.24875</v>
      </c>
      <c r="R228" s="109"/>
      <c r="S228" s="109"/>
      <c r="T228" s="111"/>
      <c r="U228" s="111"/>
      <c r="V228" s="111"/>
      <c r="W228" s="111"/>
      <c r="X228" s="112"/>
      <c r="Y228" s="112"/>
      <c r="Z228" s="112"/>
      <c r="AA228" s="112"/>
      <c r="AB228" s="112"/>
    </row>
    <row r="229" customFormat="false" ht="15" hidden="true" customHeight="false" outlineLevel="0" collapsed="false">
      <c r="A229" s="68" t="s">
        <v>1029</v>
      </c>
      <c r="B229" s="68" t="s">
        <v>1243</v>
      </c>
      <c r="C229" s="0" t="s">
        <v>912</v>
      </c>
      <c r="D229" s="0" t="s">
        <v>1057</v>
      </c>
      <c r="E229" s="68" t="n">
        <v>1</v>
      </c>
      <c r="F229" s="115" t="n">
        <f aca="false">Yield_Originals!G229</f>
        <v>0.9</v>
      </c>
      <c r="G229" s="115" t="n">
        <v>0.9</v>
      </c>
      <c r="H229" s="115" t="n">
        <v>0.9</v>
      </c>
      <c r="I229" s="115" t="n">
        <v>0.9</v>
      </c>
      <c r="J229" s="115" t="n">
        <v>0.9</v>
      </c>
      <c r="K229" s="107" t="n">
        <v>1</v>
      </c>
      <c r="L229" s="108" t="n">
        <f aca="false">(Yield_Originals!$G229*Yield_Originals!L$1)/Yield_Originals!$K229</f>
        <v>1.08</v>
      </c>
      <c r="M229" s="108" t="n">
        <f aca="false">(Yield_Originals!$G229*Yield_Originals!M$1)/Yield_Originals!$K229</f>
        <v>1.11375</v>
      </c>
      <c r="N229" s="108" t="n">
        <f aca="false">(Yield_Originals!$G229*Yield_Originals!N$1)/Yield_Originals!$K229</f>
        <v>1.1475</v>
      </c>
      <c r="O229" s="108" t="n">
        <f aca="false">(Yield_Originals!$G229*Yield_Originals!O$1)/Yield_Originals!$K229</f>
        <v>1.18125</v>
      </c>
      <c r="P229" s="109" t="n">
        <f aca="false">(Yield_Originals!$H229*Yield_Originals!P$1)/Yield_Originals!$K229</f>
        <v>1.215</v>
      </c>
      <c r="Q229" s="109" t="n">
        <f aca="false">(Yield_Originals!$H229*Yield_Originals!Q$1)/Yield_Originals!$K229</f>
        <v>1.24875</v>
      </c>
      <c r="R229" s="109"/>
      <c r="S229" s="109"/>
      <c r="T229" s="111"/>
      <c r="U229" s="111"/>
      <c r="V229" s="111"/>
      <c r="W229" s="111"/>
      <c r="X229" s="112"/>
      <c r="Y229" s="112"/>
      <c r="Z229" s="112"/>
      <c r="AA229" s="112"/>
      <c r="AB229" s="112"/>
    </row>
    <row r="230" customFormat="false" ht="15" hidden="true" customHeight="false" outlineLevel="0" collapsed="false">
      <c r="A230" s="68" t="s">
        <v>1029</v>
      </c>
      <c r="B230" s="68" t="s">
        <v>1243</v>
      </c>
      <c r="C230" s="0" t="s">
        <v>915</v>
      </c>
      <c r="D230" s="0" t="s">
        <v>1059</v>
      </c>
      <c r="E230" s="68" t="n">
        <v>1</v>
      </c>
      <c r="F230" s="115" t="n">
        <f aca="false">Yield_Originals!G230</f>
        <v>0.9</v>
      </c>
      <c r="G230" s="115" t="n">
        <v>0.9</v>
      </c>
      <c r="H230" s="115" t="n">
        <v>0.9</v>
      </c>
      <c r="I230" s="115" t="n">
        <v>0.9</v>
      </c>
      <c r="J230" s="115" t="n">
        <v>0.9</v>
      </c>
      <c r="K230" s="107" t="n">
        <v>1</v>
      </c>
      <c r="L230" s="108" t="n">
        <f aca="false">(Yield_Originals!$G230*Yield_Originals!L$1)/Yield_Originals!$K230</f>
        <v>1.08</v>
      </c>
      <c r="M230" s="108" t="n">
        <f aca="false">(Yield_Originals!$G230*Yield_Originals!M$1)/Yield_Originals!$K230</f>
        <v>1.11375</v>
      </c>
      <c r="N230" s="108" t="n">
        <f aca="false">(Yield_Originals!$G230*Yield_Originals!N$1)/Yield_Originals!$K230</f>
        <v>1.1475</v>
      </c>
      <c r="O230" s="108" t="n">
        <f aca="false">(Yield_Originals!$G230*Yield_Originals!O$1)/Yield_Originals!$K230</f>
        <v>1.18125</v>
      </c>
      <c r="P230" s="109" t="n">
        <f aca="false">(Yield_Originals!$H230*Yield_Originals!P$1)/Yield_Originals!$K230</f>
        <v>1.215</v>
      </c>
      <c r="Q230" s="109" t="n">
        <f aca="false">(Yield_Originals!$H230*Yield_Originals!Q$1)/Yield_Originals!$K230</f>
        <v>1.24875</v>
      </c>
      <c r="R230" s="109"/>
      <c r="S230" s="109"/>
      <c r="T230" s="111"/>
      <c r="U230" s="111"/>
      <c r="V230" s="111"/>
      <c r="W230" s="111"/>
      <c r="X230" s="112"/>
      <c r="Y230" s="112"/>
      <c r="Z230" s="112"/>
      <c r="AA230" s="112"/>
      <c r="AB230" s="112"/>
    </row>
    <row r="231" customFormat="false" ht="15" hidden="true" customHeight="false" outlineLevel="0" collapsed="false">
      <c r="A231" s="68" t="s">
        <v>1029</v>
      </c>
      <c r="B231" s="68" t="s">
        <v>1243</v>
      </c>
      <c r="C231" s="0" t="s">
        <v>136</v>
      </c>
      <c r="D231" s="0" t="s">
        <v>1040</v>
      </c>
      <c r="E231" s="68" t="n">
        <v>1</v>
      </c>
      <c r="F231" s="115" t="n">
        <f aca="false">Yield_Originals!G231</f>
        <v>0.9</v>
      </c>
      <c r="G231" s="115" t="n">
        <v>0.9</v>
      </c>
      <c r="H231" s="115" t="n">
        <v>0.9</v>
      </c>
      <c r="I231" s="115" t="n">
        <v>0.9</v>
      </c>
      <c r="J231" s="115" t="n">
        <v>0.9</v>
      </c>
      <c r="K231" s="107" t="n">
        <v>1</v>
      </c>
      <c r="L231" s="108"/>
      <c r="M231" s="108"/>
      <c r="N231" s="108"/>
      <c r="O231" s="108"/>
      <c r="P231" s="109" t="n">
        <f aca="false">(Yield_Originals!$H231*Yield_Originals!P$1)/Yield_Originals!$K231</f>
        <v>1.215</v>
      </c>
      <c r="Q231" s="109" t="n">
        <f aca="false">(Yield_Originals!$H231*Yield_Originals!Q$1)/Yield_Originals!$K231</f>
        <v>1.24875</v>
      </c>
      <c r="R231" s="109" t="n">
        <f aca="false">(Yield_Originals!$H231*Yield_Originals!R$1)/Yield_Originals!$K231</f>
        <v>1.2825</v>
      </c>
      <c r="S231" s="109" t="n">
        <f aca="false">(Yield_Originals!$H231*Yield_Originals!S$1)/Yield_Originals!$K231</f>
        <v>1.31625</v>
      </c>
      <c r="T231" s="111" t="n">
        <f aca="false">(Yield_Originals!$I231*Yield_Originals!T$1)/Yield_Originals!$K231</f>
        <v>1.35</v>
      </c>
      <c r="U231" s="111" t="n">
        <f aca="false">(Yield_Originals!$I231*Yield_Originals!U$1)/Yield_Originals!$K231</f>
        <v>1.38375</v>
      </c>
      <c r="V231" s="111" t="n">
        <f aca="false">(Yield_Originals!$I231*Yield_Originals!V$1)/Yield_Originals!$K231</f>
        <v>1.4175</v>
      </c>
      <c r="W231" s="111" t="n">
        <f aca="false">(Yield_Originals!$I231*Yield_Originals!W$1)/Yield_Originals!$K231</f>
        <v>1.45125</v>
      </c>
      <c r="X231" s="112"/>
      <c r="Y231" s="112"/>
      <c r="Z231" s="112"/>
      <c r="AA231" s="112"/>
      <c r="AB231" s="112"/>
    </row>
    <row r="232" customFormat="false" ht="15" hidden="true" customHeight="false" outlineLevel="0" collapsed="false">
      <c r="A232" s="68" t="s">
        <v>1029</v>
      </c>
      <c r="B232" s="68" t="s">
        <v>1243</v>
      </c>
      <c r="C232" s="0" t="s">
        <v>250</v>
      </c>
      <c r="D232" s="0" t="s">
        <v>1040</v>
      </c>
      <c r="E232" s="68" t="n">
        <v>1</v>
      </c>
      <c r="F232" s="115" t="n">
        <f aca="false">Yield_Originals!G232</f>
        <v>0.9</v>
      </c>
      <c r="G232" s="115" t="n">
        <v>0.9</v>
      </c>
      <c r="H232" s="115" t="n">
        <v>0.9</v>
      </c>
      <c r="I232" s="115" t="n">
        <v>0.9</v>
      </c>
      <c r="J232" s="115" t="n">
        <v>0.9</v>
      </c>
      <c r="K232" s="107" t="n">
        <v>1</v>
      </c>
      <c r="L232" s="108"/>
      <c r="M232" s="108"/>
      <c r="N232" s="108"/>
      <c r="O232" s="108"/>
      <c r="P232" s="109" t="n">
        <f aca="false">(Yield_Originals!$H232*Yield_Originals!P$1)/Yield_Originals!$K232</f>
        <v>1.215</v>
      </c>
      <c r="Q232" s="109" t="n">
        <f aca="false">(Yield_Originals!$H232*Yield_Originals!Q$1)/Yield_Originals!$K232</f>
        <v>1.24875</v>
      </c>
      <c r="R232" s="109" t="n">
        <f aca="false">(Yield_Originals!$H232*Yield_Originals!R$1)/Yield_Originals!$K232</f>
        <v>1.2825</v>
      </c>
      <c r="S232" s="109" t="n">
        <f aca="false">(Yield_Originals!$H232*Yield_Originals!S$1)/Yield_Originals!$K232</f>
        <v>1.31625</v>
      </c>
      <c r="T232" s="111" t="n">
        <f aca="false">(Yield_Originals!$I232*Yield_Originals!T$1)/Yield_Originals!$K232</f>
        <v>1.35</v>
      </c>
      <c r="U232" s="111" t="n">
        <f aca="false">(Yield_Originals!$I232*Yield_Originals!U$1)/Yield_Originals!$K232</f>
        <v>1.38375</v>
      </c>
      <c r="V232" s="111" t="n">
        <f aca="false">(Yield_Originals!$I232*Yield_Originals!V$1)/Yield_Originals!$K232</f>
        <v>1.4175</v>
      </c>
      <c r="W232" s="111" t="n">
        <f aca="false">(Yield_Originals!$I232*Yield_Originals!W$1)/Yield_Originals!$K232</f>
        <v>1.45125</v>
      </c>
      <c r="X232" s="112"/>
      <c r="Y232" s="112"/>
      <c r="Z232" s="112"/>
      <c r="AA232" s="112"/>
      <c r="AB232" s="112"/>
    </row>
    <row r="233" customFormat="false" ht="15" hidden="false" customHeight="false" outlineLevel="0" collapsed="false">
      <c r="A233" s="68" t="s">
        <v>1119</v>
      </c>
      <c r="B233" s="68" t="n">
        <v>2</v>
      </c>
      <c r="C233" s="103" t="s">
        <v>922</v>
      </c>
      <c r="D233" s="103" t="s">
        <v>1127</v>
      </c>
      <c r="E233" s="104" t="n">
        <v>23</v>
      </c>
      <c r="F233" s="115" t="n">
        <f aca="false">Yield_Originals!G233</f>
        <v>0.41</v>
      </c>
      <c r="G233" s="106" t="n">
        <v>0.41</v>
      </c>
      <c r="H233" s="106" t="n">
        <v>0.41</v>
      </c>
      <c r="I233" s="106" t="n">
        <v>0.41</v>
      </c>
      <c r="J233" s="106" t="n">
        <v>0.41</v>
      </c>
      <c r="K233" s="107" t="n">
        <v>1</v>
      </c>
      <c r="L233" s="108" t="n">
        <f aca="false">(Yield_Originals!$G233*Yield_Originals!L$1)/Yield_Originals!$K233</f>
        <v>0.492</v>
      </c>
      <c r="M233" s="108" t="n">
        <f aca="false">(Yield_Originals!$G233*Yield_Originals!M$1)/Yield_Originals!$K233</f>
        <v>0.507375</v>
      </c>
      <c r="N233" s="108" t="n">
        <f aca="false">(Yield_Originals!$G233*Yield_Originals!N$1)/Yield_Originals!$K233</f>
        <v>0.52275</v>
      </c>
      <c r="O233" s="108" t="n">
        <f aca="false">(Yield_Originals!$G233*Yield_Originals!O$1)/Yield_Originals!$K233</f>
        <v>0.538125</v>
      </c>
      <c r="P233" s="109" t="n">
        <f aca="false">(Yield_Originals!$H233*Yield_Originals!P$1)/Yield_Originals!$K233</f>
        <v>0.5535</v>
      </c>
      <c r="Q233" s="109" t="n">
        <f aca="false">(Yield_Originals!$H233*Yield_Originals!Q$1)/Yield_Originals!$K233</f>
        <v>0.568875</v>
      </c>
      <c r="R233" s="109" t="n">
        <f aca="false">(Yield_Originals!$H233*Yield_Originals!R$1)/Yield_Originals!$K233</f>
        <v>0.58425</v>
      </c>
      <c r="S233" s="109" t="n">
        <f aca="false">(Yield_Originals!$H233*Yield_Originals!S$1)/Yield_Originals!$K233</f>
        <v>0.599625</v>
      </c>
      <c r="T233" s="111" t="n">
        <f aca="false">(Yield_Originals!$I233*Yield_Originals!T$1)/Yield_Originals!$K233</f>
        <v>0.615</v>
      </c>
      <c r="U233" s="111" t="n">
        <f aca="false">(Yield_Originals!$I233*Yield_Originals!U$1)/Yield_Originals!$K233</f>
        <v>0.630375</v>
      </c>
      <c r="V233" s="111" t="n">
        <f aca="false">(Yield_Originals!$I233*Yield_Originals!V$1)/Yield_Originals!$K233</f>
        <v>0.64575</v>
      </c>
      <c r="W233" s="111" t="n">
        <f aca="false">(Yield_Originals!$I233*Yield_Originals!W$1)/Yield_Originals!$K233</f>
        <v>0.661125</v>
      </c>
      <c r="X233" s="112" t="n">
        <f aca="false">(Yield_Originals!$I233*Yield_Originals!X$1)/Yield_Originals!$K233</f>
        <v>0.6765</v>
      </c>
      <c r="Y233" s="112" t="n">
        <f aca="false">(Yield_Originals!$I233*Yield_Originals!Y$1)/Yield_Originals!$K233</f>
        <v>0.691875</v>
      </c>
      <c r="Z233" s="0"/>
      <c r="AA233" s="0"/>
      <c r="AB233" s="0"/>
    </row>
    <row r="234" customFormat="false" ht="15" hidden="false" customHeight="false" outlineLevel="0" collapsed="false">
      <c r="A234" s="68" t="s">
        <v>1119</v>
      </c>
      <c r="B234" s="68" t="n">
        <v>2</v>
      </c>
      <c r="C234" s="103" t="s">
        <v>925</v>
      </c>
      <c r="D234" s="103" t="s">
        <v>1127</v>
      </c>
      <c r="E234" s="104" t="n">
        <v>23</v>
      </c>
      <c r="F234" s="115" t="n">
        <f aca="false">Yield_Originals!G234</f>
        <v>0.41</v>
      </c>
      <c r="G234" s="106" t="n">
        <v>0.41</v>
      </c>
      <c r="H234" s="106" t="n">
        <v>0.41</v>
      </c>
      <c r="I234" s="106" t="n">
        <v>0.41</v>
      </c>
      <c r="J234" s="106" t="n">
        <v>0.41</v>
      </c>
      <c r="K234" s="107" t="n">
        <v>1</v>
      </c>
      <c r="L234" s="108" t="n">
        <f aca="false">(Yield_Originals!$G234*Yield_Originals!L$1)/Yield_Originals!$K234</f>
        <v>0.492</v>
      </c>
      <c r="M234" s="108" t="n">
        <f aca="false">(Yield_Originals!$G234*Yield_Originals!M$1)/Yield_Originals!$K234</f>
        <v>0.507375</v>
      </c>
      <c r="N234" s="108" t="n">
        <f aca="false">(Yield_Originals!$G234*Yield_Originals!N$1)/Yield_Originals!$K234</f>
        <v>0.52275</v>
      </c>
      <c r="O234" s="108" t="n">
        <f aca="false">(Yield_Originals!$G234*Yield_Originals!O$1)/Yield_Originals!$K234</f>
        <v>0.538125</v>
      </c>
      <c r="P234" s="109" t="n">
        <f aca="false">(Yield_Originals!$H234*Yield_Originals!P$1)/Yield_Originals!$K234</f>
        <v>0.5535</v>
      </c>
      <c r="Q234" s="109" t="n">
        <f aca="false">(Yield_Originals!$H234*Yield_Originals!Q$1)/Yield_Originals!$K234</f>
        <v>0.568875</v>
      </c>
      <c r="R234" s="109" t="n">
        <f aca="false">(Yield_Originals!$H234*Yield_Originals!R$1)/Yield_Originals!$K234</f>
        <v>0.58425</v>
      </c>
      <c r="S234" s="109" t="n">
        <f aca="false">(Yield_Originals!$H234*Yield_Originals!S$1)/Yield_Originals!$K234</f>
        <v>0.599625</v>
      </c>
      <c r="T234" s="111" t="n">
        <f aca="false">(Yield_Originals!$I234*Yield_Originals!T$1)/Yield_Originals!$K234</f>
        <v>0.615</v>
      </c>
      <c r="U234" s="111" t="n">
        <f aca="false">(Yield_Originals!$I234*Yield_Originals!U$1)/Yield_Originals!$K234</f>
        <v>0.630375</v>
      </c>
      <c r="V234" s="111" t="n">
        <f aca="false">(Yield_Originals!$I234*Yield_Originals!V$1)/Yield_Originals!$K234</f>
        <v>0.64575</v>
      </c>
      <c r="W234" s="111" t="n">
        <f aca="false">(Yield_Originals!$I234*Yield_Originals!W$1)/Yield_Originals!$K234</f>
        <v>0.661125</v>
      </c>
      <c r="X234" s="112" t="n">
        <f aca="false">(Yield_Originals!$I234*Yield_Originals!X$1)/Yield_Originals!$K234</f>
        <v>0.6765</v>
      </c>
      <c r="Y234" s="112" t="n">
        <f aca="false">(Yield_Originals!$I234*Yield_Originals!Y$1)/Yield_Originals!$K234</f>
        <v>0.691875</v>
      </c>
      <c r="Z234" s="0"/>
      <c r="AA234" s="0"/>
      <c r="AB234" s="0"/>
    </row>
    <row r="235" customFormat="false" ht="15" hidden="false" customHeight="false" outlineLevel="0" collapsed="false">
      <c r="A235" s="68" t="s">
        <v>1119</v>
      </c>
      <c r="B235" s="68" t="n">
        <v>2</v>
      </c>
      <c r="C235" s="103" t="s">
        <v>137</v>
      </c>
      <c r="D235" s="103" t="s">
        <v>1118</v>
      </c>
      <c r="E235" s="104" t="n">
        <v>23</v>
      </c>
      <c r="F235" s="115" t="n">
        <f aca="false">Yield_Originals!G235</f>
        <v>0.41</v>
      </c>
      <c r="G235" s="106" t="n">
        <v>0.41</v>
      </c>
      <c r="H235" s="106" t="n">
        <v>0.41</v>
      </c>
      <c r="I235" s="106" t="n">
        <v>0.41</v>
      </c>
      <c r="J235" s="106" t="n">
        <v>0.41</v>
      </c>
      <c r="K235" s="107" t="n">
        <v>1</v>
      </c>
      <c r="L235" s="108" t="n">
        <f aca="false">(Yield_Originals!$G235*Yield_Originals!L$1)/Yield_Originals!$K235</f>
        <v>0.492</v>
      </c>
      <c r="M235" s="108" t="n">
        <f aca="false">(Yield_Originals!$G235*Yield_Originals!M$1)/Yield_Originals!$K235</f>
        <v>0.507375</v>
      </c>
      <c r="N235" s="108" t="n">
        <f aca="false">(Yield_Originals!$G235*Yield_Originals!N$1)/Yield_Originals!$K235</f>
        <v>0.52275</v>
      </c>
      <c r="O235" s="108" t="n">
        <f aca="false">(Yield_Originals!$G235*Yield_Originals!O$1)/Yield_Originals!$K235</f>
        <v>0.538125</v>
      </c>
      <c r="P235" s="109" t="n">
        <f aca="false">(Yield_Originals!$H235*Yield_Originals!P$1)/Yield_Originals!$K235</f>
        <v>0.5535</v>
      </c>
      <c r="Q235" s="109" t="n">
        <f aca="false">(Yield_Originals!$H235*Yield_Originals!Q$1)/Yield_Originals!$K235</f>
        <v>0.568875</v>
      </c>
      <c r="R235" s="109" t="n">
        <f aca="false">(Yield_Originals!$H235*Yield_Originals!R$1)/Yield_Originals!$K235</f>
        <v>0.58425</v>
      </c>
      <c r="S235" s="109" t="n">
        <f aca="false">(Yield_Originals!$H235*Yield_Originals!S$1)/Yield_Originals!$K235</f>
        <v>0.599625</v>
      </c>
      <c r="T235" s="111" t="n">
        <f aca="false">(Yield_Originals!$I235*Yield_Originals!T$1)/Yield_Originals!$K235</f>
        <v>0.615</v>
      </c>
      <c r="U235" s="111" t="n">
        <f aca="false">(Yield_Originals!$I235*Yield_Originals!U$1)/Yield_Originals!$K235</f>
        <v>0.630375</v>
      </c>
      <c r="V235" s="111" t="n">
        <f aca="false">(Yield_Originals!$I235*Yield_Originals!V$1)/Yield_Originals!$K235</f>
        <v>0.64575</v>
      </c>
      <c r="W235" s="111" t="n">
        <f aca="false">(Yield_Originals!$I235*Yield_Originals!W$1)/Yield_Originals!$K235</f>
        <v>0.661125</v>
      </c>
      <c r="X235" s="112" t="n">
        <f aca="false">(Yield_Originals!$I235*Yield_Originals!X$1)/Yield_Originals!$K235</f>
        <v>0.6765</v>
      </c>
      <c r="Y235" s="112" t="n">
        <f aca="false">(Yield_Originals!$I235*Yield_Originals!Y$1)/Yield_Originals!$K235</f>
        <v>0.691875</v>
      </c>
      <c r="Z235" s="0"/>
      <c r="AA235" s="0"/>
      <c r="AB235" s="0"/>
    </row>
    <row r="236" customFormat="false" ht="15" hidden="false" customHeight="false" outlineLevel="0" collapsed="false">
      <c r="A236" s="68" t="s">
        <v>1119</v>
      </c>
      <c r="B236" s="68" t="n">
        <v>2</v>
      </c>
      <c r="C236" s="103" t="s">
        <v>251</v>
      </c>
      <c r="D236" s="103" t="s">
        <v>1118</v>
      </c>
      <c r="E236" s="104" t="n">
        <v>23</v>
      </c>
      <c r="F236" s="115" t="n">
        <f aca="false">Yield_Originals!G236</f>
        <v>0.41</v>
      </c>
      <c r="G236" s="106" t="n">
        <v>0.41</v>
      </c>
      <c r="H236" s="106" t="n">
        <v>0.41</v>
      </c>
      <c r="I236" s="106" t="n">
        <v>0.41</v>
      </c>
      <c r="J236" s="106" t="n">
        <v>0.41</v>
      </c>
      <c r="K236" s="107" t="n">
        <v>1</v>
      </c>
      <c r="L236" s="108" t="n">
        <f aca="false">(Yield_Originals!$G236*Yield_Originals!L$1)/Yield_Originals!$K236</f>
        <v>0.492</v>
      </c>
      <c r="M236" s="108" t="n">
        <f aca="false">(Yield_Originals!$G236*Yield_Originals!M$1)/Yield_Originals!$K236</f>
        <v>0.507375</v>
      </c>
      <c r="N236" s="108" t="n">
        <f aca="false">(Yield_Originals!$G236*Yield_Originals!N$1)/Yield_Originals!$K236</f>
        <v>0.52275</v>
      </c>
      <c r="O236" s="108" t="n">
        <f aca="false">(Yield_Originals!$G236*Yield_Originals!O$1)/Yield_Originals!$K236</f>
        <v>0.538125</v>
      </c>
      <c r="P236" s="109" t="n">
        <f aca="false">(Yield_Originals!$H236*Yield_Originals!P$1)/Yield_Originals!$K236</f>
        <v>0.5535</v>
      </c>
      <c r="Q236" s="109" t="n">
        <f aca="false">(Yield_Originals!$H236*Yield_Originals!Q$1)/Yield_Originals!$K236</f>
        <v>0.568875</v>
      </c>
      <c r="R236" s="109" t="n">
        <f aca="false">(Yield_Originals!$H236*Yield_Originals!R$1)/Yield_Originals!$K236</f>
        <v>0.58425</v>
      </c>
      <c r="S236" s="109" t="n">
        <f aca="false">(Yield_Originals!$H236*Yield_Originals!S$1)/Yield_Originals!$K236</f>
        <v>0.599625</v>
      </c>
      <c r="T236" s="111" t="n">
        <f aca="false">(Yield_Originals!$I236*Yield_Originals!T$1)/Yield_Originals!$K236</f>
        <v>0.615</v>
      </c>
      <c r="U236" s="111" t="n">
        <f aca="false">(Yield_Originals!$I236*Yield_Originals!U$1)/Yield_Originals!$K236</f>
        <v>0.630375</v>
      </c>
      <c r="V236" s="111" t="n">
        <f aca="false">(Yield_Originals!$I236*Yield_Originals!V$1)/Yield_Originals!$K236</f>
        <v>0.64575</v>
      </c>
      <c r="W236" s="111" t="n">
        <f aca="false">(Yield_Originals!$I236*Yield_Originals!W$1)/Yield_Originals!$K236</f>
        <v>0.661125</v>
      </c>
      <c r="X236" s="112" t="n">
        <f aca="false">(Yield_Originals!$I236*Yield_Originals!X$1)/Yield_Originals!$K236</f>
        <v>0.6765</v>
      </c>
      <c r="Y236" s="112" t="n">
        <f aca="false">(Yield_Originals!$I236*Yield_Originals!Y$1)/Yield_Originals!$K236</f>
        <v>0.691875</v>
      </c>
      <c r="Z236" s="0"/>
      <c r="AA236" s="0"/>
      <c r="AB236" s="0"/>
    </row>
    <row r="237" customFormat="false" ht="15" hidden="false" customHeight="false" outlineLevel="0" collapsed="false">
      <c r="A237" s="68" t="s">
        <v>1119</v>
      </c>
      <c r="B237" s="68" t="n">
        <v>2</v>
      </c>
      <c r="C237" s="103" t="s">
        <v>933</v>
      </c>
      <c r="D237" s="103" t="s">
        <v>1124</v>
      </c>
      <c r="E237" s="104" t="n">
        <v>23</v>
      </c>
      <c r="F237" s="115" t="n">
        <f aca="false">Yield_Originals!G237</f>
        <v>0.41</v>
      </c>
      <c r="G237" s="106" t="n">
        <v>0.41</v>
      </c>
      <c r="H237" s="106" t="n">
        <v>0.41</v>
      </c>
      <c r="I237" s="106" t="n">
        <v>0.41</v>
      </c>
      <c r="J237" s="106" t="n">
        <v>0.41</v>
      </c>
      <c r="K237" s="107" t="n">
        <v>1</v>
      </c>
      <c r="L237" s="108" t="n">
        <f aca="false">(Yield_Originals!$G237*Yield_Originals!L$1)/Yield_Originals!$K237</f>
        <v>0.492</v>
      </c>
      <c r="M237" s="108" t="n">
        <f aca="false">(Yield_Originals!$G237*Yield_Originals!M$1)/Yield_Originals!$K237</f>
        <v>0.507375</v>
      </c>
      <c r="N237" s="108" t="n">
        <f aca="false">(Yield_Originals!$G237*Yield_Originals!N$1)/Yield_Originals!$K237</f>
        <v>0.52275</v>
      </c>
      <c r="O237" s="108" t="n">
        <f aca="false">(Yield_Originals!$G237*Yield_Originals!O$1)/Yield_Originals!$K237</f>
        <v>0.538125</v>
      </c>
      <c r="P237" s="109" t="n">
        <f aca="false">(Yield_Originals!$H237*Yield_Originals!P$1)/Yield_Originals!$K237</f>
        <v>0.5535</v>
      </c>
      <c r="Q237" s="109" t="n">
        <f aca="false">(Yield_Originals!$H237*Yield_Originals!Q$1)/Yield_Originals!$K237</f>
        <v>0.568875</v>
      </c>
      <c r="R237" s="109" t="n">
        <f aca="false">(Yield_Originals!$H237*Yield_Originals!R$1)/Yield_Originals!$K237</f>
        <v>0.58425</v>
      </c>
      <c r="S237" s="109" t="n">
        <f aca="false">(Yield_Originals!$H237*Yield_Originals!S$1)/Yield_Originals!$K237</f>
        <v>0.599625</v>
      </c>
      <c r="T237" s="111" t="n">
        <f aca="false">(Yield_Originals!$I237*Yield_Originals!T$1)/Yield_Originals!$K237</f>
        <v>0.615</v>
      </c>
      <c r="U237" s="111" t="n">
        <f aca="false">(Yield_Originals!$I237*Yield_Originals!U$1)/Yield_Originals!$K237</f>
        <v>0.630375</v>
      </c>
      <c r="V237" s="111" t="n">
        <f aca="false">(Yield_Originals!$I237*Yield_Originals!V$1)/Yield_Originals!$K237</f>
        <v>0.64575</v>
      </c>
      <c r="W237" s="111" t="n">
        <f aca="false">(Yield_Originals!$I237*Yield_Originals!W$1)/Yield_Originals!$K237</f>
        <v>0.661125</v>
      </c>
      <c r="X237" s="112" t="n">
        <f aca="false">(Yield_Originals!$I237*Yield_Originals!X$1)/Yield_Originals!$K237</f>
        <v>0.6765</v>
      </c>
      <c r="Y237" s="112" t="n">
        <f aca="false">(Yield_Originals!$I237*Yield_Originals!Y$1)/Yield_Originals!$K237</f>
        <v>0.691875</v>
      </c>
      <c r="Z237" s="0"/>
      <c r="AA237" s="0"/>
      <c r="AB237" s="0"/>
    </row>
    <row r="238" customFormat="false" ht="15" hidden="true" customHeight="false" outlineLevel="0" collapsed="false">
      <c r="A238" s="68" t="s">
        <v>970</v>
      </c>
      <c r="B238" s="68" t="s">
        <v>1244</v>
      </c>
      <c r="C238" s="0" t="s">
        <v>935</v>
      </c>
      <c r="D238" s="0" t="s">
        <v>974</v>
      </c>
      <c r="E238" s="68" t="n">
        <v>3</v>
      </c>
      <c r="F238" s="115" t="n">
        <f aca="false">Yield_Originals!G238</f>
        <v>0.9</v>
      </c>
      <c r="G238" s="116" t="n">
        <v>0.9</v>
      </c>
      <c r="H238" s="116" t="n">
        <v>0.9</v>
      </c>
      <c r="I238" s="116" t="n">
        <v>0.9</v>
      </c>
      <c r="J238" s="116" t="n">
        <v>0.9</v>
      </c>
      <c r="K238" s="107" t="n">
        <v>1</v>
      </c>
      <c r="L238" s="108" t="n">
        <f aca="false">(Yield_Originals!$G238*Yield_Originals!L$1)/Yield_Originals!$K238</f>
        <v>1.08</v>
      </c>
      <c r="M238" s="108" t="n">
        <f aca="false">(Yield_Originals!$G238*Yield_Originals!M$1)/Yield_Originals!$K238</f>
        <v>1.11375</v>
      </c>
      <c r="N238" s="108" t="n">
        <f aca="false">(Yield_Originals!$G238*Yield_Originals!N$1)/Yield_Originals!$K238</f>
        <v>1.1475</v>
      </c>
      <c r="O238" s="108" t="n">
        <f aca="false">(Yield_Originals!$G238*Yield_Originals!O$1)/Yield_Originals!$K238</f>
        <v>1.18125</v>
      </c>
      <c r="P238" s="109" t="n">
        <f aca="false">(Yield_Originals!$H238*Yield_Originals!P$1)/Yield_Originals!$K238</f>
        <v>1.215</v>
      </c>
      <c r="Q238" s="109" t="n">
        <f aca="false">(Yield_Originals!$H238*Yield_Originals!Q$1)/Yield_Originals!$K238</f>
        <v>1.24875</v>
      </c>
      <c r="R238" s="109" t="n">
        <f aca="false">(Yield_Originals!$H238*Yield_Originals!R$1)/Yield_Originals!$K238</f>
        <v>1.2825</v>
      </c>
      <c r="S238" s="109" t="n">
        <f aca="false">(Yield_Originals!$H238*Yield_Originals!S$1)/Yield_Originals!$K238</f>
        <v>1.31625</v>
      </c>
      <c r="T238" s="111" t="n">
        <f aca="false">(Yield_Originals!$I238*Yield_Originals!T$1)/Yield_Originals!$K238</f>
        <v>1.35</v>
      </c>
      <c r="U238" s="111" t="n">
        <f aca="false">(Yield_Originals!$I238*Yield_Originals!U$1)/Yield_Originals!$K238</f>
        <v>1.38375</v>
      </c>
      <c r="V238" s="111" t="n">
        <f aca="false">(Yield_Originals!$I238*Yield_Originals!V$1)/Yield_Originals!$K238</f>
        <v>1.4175</v>
      </c>
      <c r="W238" s="111" t="n">
        <f aca="false">(Yield_Originals!$I238*Yield_Originals!W$1)/Yield_Originals!$K238</f>
        <v>1.45125</v>
      </c>
      <c r="X238" s="0"/>
      <c r="Y238" s="0"/>
      <c r="Z238" s="0"/>
      <c r="AA238" s="0"/>
      <c r="AB238" s="0"/>
    </row>
    <row r="239" customFormat="false" ht="15" hidden="true" customHeight="false" outlineLevel="0" collapsed="false">
      <c r="A239" s="68" t="s">
        <v>970</v>
      </c>
      <c r="B239" s="68" t="s">
        <v>1243</v>
      </c>
      <c r="C239" s="0" t="s">
        <v>138</v>
      </c>
      <c r="D239" s="0" t="s">
        <v>969</v>
      </c>
      <c r="E239" s="68" t="n">
        <v>3</v>
      </c>
      <c r="F239" s="115" t="n">
        <f aca="false">Yield_Originals!G239</f>
        <v>0.9</v>
      </c>
      <c r="G239" s="116" t="n">
        <v>0.9</v>
      </c>
      <c r="H239" s="116" t="n">
        <v>0.9</v>
      </c>
      <c r="I239" s="116" t="n">
        <v>0.9</v>
      </c>
      <c r="J239" s="116" t="n">
        <v>0.9</v>
      </c>
      <c r="K239" s="107" t="n">
        <v>1</v>
      </c>
      <c r="L239" s="108" t="n">
        <f aca="false">(Yield_Originals!$G239*Yield_Originals!L$1)/Yield_Originals!$K239</f>
        <v>1.08</v>
      </c>
      <c r="M239" s="108" t="n">
        <f aca="false">(Yield_Originals!$G239*Yield_Originals!M$1)/Yield_Originals!$K239</f>
        <v>1.11375</v>
      </c>
      <c r="N239" s="108" t="n">
        <f aca="false">(Yield_Originals!$G239*Yield_Originals!N$1)/Yield_Originals!$K239</f>
        <v>1.1475</v>
      </c>
      <c r="O239" s="108" t="n">
        <f aca="false">(Yield_Originals!$G239*Yield_Originals!O$1)/Yield_Originals!$K239</f>
        <v>1.18125</v>
      </c>
      <c r="P239" s="109" t="n">
        <f aca="false">(Yield_Originals!$H239*Yield_Originals!P$1)/Yield_Originals!$K239</f>
        <v>1.215</v>
      </c>
      <c r="Q239" s="109" t="n">
        <f aca="false">(Yield_Originals!$H239*Yield_Originals!Q$1)/Yield_Originals!$K239</f>
        <v>1.24875</v>
      </c>
      <c r="R239" s="109" t="n">
        <f aca="false">(Yield_Originals!$H239*Yield_Originals!R$1)/Yield_Originals!$K239</f>
        <v>1.2825</v>
      </c>
      <c r="S239" s="109" t="n">
        <f aca="false">(Yield_Originals!$H239*Yield_Originals!S$1)/Yield_Originals!$K239</f>
        <v>1.31625</v>
      </c>
      <c r="T239" s="111" t="n">
        <f aca="false">(Yield_Originals!$I239*Yield_Originals!T$1)/Yield_Originals!$K239</f>
        <v>1.35</v>
      </c>
      <c r="U239" s="111" t="n">
        <f aca="false">(Yield_Originals!$I239*Yield_Originals!U$1)/Yield_Originals!$K239</f>
        <v>1.38375</v>
      </c>
      <c r="V239" s="111" t="n">
        <f aca="false">(Yield_Originals!$I239*Yield_Originals!V$1)/Yield_Originals!$K239</f>
        <v>1.4175</v>
      </c>
      <c r="W239" s="111" t="n">
        <f aca="false">(Yield_Originals!$I239*Yield_Originals!W$1)/Yield_Originals!$K239</f>
        <v>1.45125</v>
      </c>
      <c r="X239" s="0"/>
      <c r="Y239" s="0"/>
      <c r="Z239" s="0"/>
      <c r="AA239" s="0"/>
      <c r="AB239" s="0"/>
    </row>
    <row r="240" customFormat="false" ht="15" hidden="true" customHeight="false" outlineLevel="0" collapsed="false">
      <c r="A240" s="68" t="s">
        <v>970</v>
      </c>
      <c r="B240" s="68" t="s">
        <v>1243</v>
      </c>
      <c r="C240" s="0" t="s">
        <v>139</v>
      </c>
      <c r="D240" s="0" t="s">
        <v>969</v>
      </c>
      <c r="E240" s="68" t="n">
        <v>3</v>
      </c>
      <c r="F240" s="115" t="n">
        <f aca="false">Yield_Originals!G240</f>
        <v>0.9</v>
      </c>
      <c r="G240" s="116" t="n">
        <v>0.9</v>
      </c>
      <c r="H240" s="116" t="n">
        <v>0.9</v>
      </c>
      <c r="I240" s="116" t="n">
        <v>0.9</v>
      </c>
      <c r="J240" s="116" t="n">
        <v>0.9</v>
      </c>
      <c r="K240" s="107" t="n">
        <v>1</v>
      </c>
      <c r="L240" s="108" t="n">
        <f aca="false">(Yield_Originals!$G240*Yield_Originals!L$1)/Yield_Originals!$K240</f>
        <v>1.08</v>
      </c>
      <c r="M240" s="108" t="n">
        <f aca="false">(Yield_Originals!$G240*Yield_Originals!M$1)/Yield_Originals!$K240</f>
        <v>1.11375</v>
      </c>
      <c r="N240" s="108" t="n">
        <f aca="false">(Yield_Originals!$G240*Yield_Originals!N$1)/Yield_Originals!$K240</f>
        <v>1.1475</v>
      </c>
      <c r="O240" s="108" t="n">
        <f aca="false">(Yield_Originals!$G240*Yield_Originals!O$1)/Yield_Originals!$K240</f>
        <v>1.18125</v>
      </c>
      <c r="P240" s="109" t="n">
        <f aca="false">(Yield_Originals!$H240*Yield_Originals!P$1)/Yield_Originals!$K240</f>
        <v>1.215</v>
      </c>
      <c r="Q240" s="109" t="n">
        <f aca="false">(Yield_Originals!$H240*Yield_Originals!Q$1)/Yield_Originals!$K240</f>
        <v>1.24875</v>
      </c>
      <c r="R240" s="109" t="n">
        <f aca="false">(Yield_Originals!$H240*Yield_Originals!R$1)/Yield_Originals!$K240</f>
        <v>1.2825</v>
      </c>
      <c r="S240" s="109" t="n">
        <f aca="false">(Yield_Originals!$H240*Yield_Originals!S$1)/Yield_Originals!$K240</f>
        <v>1.31625</v>
      </c>
      <c r="T240" s="111" t="n">
        <f aca="false">(Yield_Originals!$I240*Yield_Originals!T$1)/Yield_Originals!$K240</f>
        <v>1.35</v>
      </c>
      <c r="U240" s="111" t="n">
        <f aca="false">(Yield_Originals!$I240*Yield_Originals!U$1)/Yield_Originals!$K240</f>
        <v>1.38375</v>
      </c>
      <c r="V240" s="111" t="n">
        <f aca="false">(Yield_Originals!$I240*Yield_Originals!V$1)/Yield_Originals!$K240</f>
        <v>1.4175</v>
      </c>
      <c r="W240" s="111" t="n">
        <f aca="false">(Yield_Originals!$I240*Yield_Originals!W$1)/Yield_Originals!$K240</f>
        <v>1.45125</v>
      </c>
      <c r="X240" s="0"/>
      <c r="Y240" s="0"/>
      <c r="Z240" s="0"/>
      <c r="AA240" s="0"/>
      <c r="AB240" s="0"/>
    </row>
    <row r="241" customFormat="false" ht="15" hidden="true" customHeight="false" outlineLevel="0" collapsed="false">
      <c r="A241" s="68" t="s">
        <v>970</v>
      </c>
      <c r="B241" s="68" t="s">
        <v>1243</v>
      </c>
      <c r="C241" s="0" t="s">
        <v>252</v>
      </c>
      <c r="D241" s="0" t="s">
        <v>969</v>
      </c>
      <c r="E241" s="68" t="n">
        <v>3</v>
      </c>
      <c r="F241" s="115" t="n">
        <f aca="false">Yield_Originals!G241</f>
        <v>0.9</v>
      </c>
      <c r="G241" s="116" t="n">
        <v>0.9</v>
      </c>
      <c r="H241" s="116" t="n">
        <v>0.9</v>
      </c>
      <c r="I241" s="116" t="n">
        <v>0.9</v>
      </c>
      <c r="J241" s="116" t="n">
        <v>0.9</v>
      </c>
      <c r="K241" s="107" t="n">
        <v>1</v>
      </c>
      <c r="L241" s="108" t="n">
        <f aca="false">(Yield_Originals!$G241*Yield_Originals!L$1)/Yield_Originals!$K241</f>
        <v>1.08</v>
      </c>
      <c r="M241" s="108" t="n">
        <f aca="false">(Yield_Originals!$G241*Yield_Originals!M$1)/Yield_Originals!$K241</f>
        <v>1.11375</v>
      </c>
      <c r="N241" s="108" t="n">
        <f aca="false">(Yield_Originals!$G241*Yield_Originals!N$1)/Yield_Originals!$K241</f>
        <v>1.1475</v>
      </c>
      <c r="O241" s="108" t="n">
        <f aca="false">(Yield_Originals!$G241*Yield_Originals!O$1)/Yield_Originals!$K241</f>
        <v>1.18125</v>
      </c>
      <c r="P241" s="109" t="n">
        <f aca="false">(Yield_Originals!$H241*Yield_Originals!P$1)/Yield_Originals!$K241</f>
        <v>1.215</v>
      </c>
      <c r="Q241" s="109" t="n">
        <f aca="false">(Yield_Originals!$H241*Yield_Originals!Q$1)/Yield_Originals!$K241</f>
        <v>1.24875</v>
      </c>
      <c r="R241" s="109" t="n">
        <f aca="false">(Yield_Originals!$H241*Yield_Originals!R$1)/Yield_Originals!$K241</f>
        <v>1.2825</v>
      </c>
      <c r="S241" s="109" t="n">
        <f aca="false">(Yield_Originals!$H241*Yield_Originals!S$1)/Yield_Originals!$K241</f>
        <v>1.31625</v>
      </c>
      <c r="T241" s="111" t="n">
        <f aca="false">(Yield_Originals!$I241*Yield_Originals!T$1)/Yield_Originals!$K241</f>
        <v>1.35</v>
      </c>
      <c r="U241" s="111" t="n">
        <f aca="false">(Yield_Originals!$I241*Yield_Originals!U$1)/Yield_Originals!$K241</f>
        <v>1.38375</v>
      </c>
      <c r="V241" s="111" t="n">
        <f aca="false">(Yield_Originals!$I241*Yield_Originals!V$1)/Yield_Originals!$K241</f>
        <v>1.4175</v>
      </c>
      <c r="W241" s="111" t="n">
        <f aca="false">(Yield_Originals!$I241*Yield_Originals!W$1)/Yield_Originals!$K241</f>
        <v>1.45125</v>
      </c>
      <c r="X241" s="0"/>
      <c r="Y241" s="0"/>
      <c r="Z241" s="0"/>
      <c r="AA241" s="0"/>
      <c r="AB241" s="0"/>
    </row>
    <row r="242" customFormat="false" ht="15" hidden="true" customHeight="false" outlineLevel="0" collapsed="false">
      <c r="A242" s="68" t="s">
        <v>970</v>
      </c>
      <c r="B242" s="68" t="s">
        <v>1243</v>
      </c>
      <c r="C242" s="0" t="s">
        <v>946</v>
      </c>
      <c r="D242" s="0" t="s">
        <v>969</v>
      </c>
      <c r="E242" s="68" t="n">
        <v>3</v>
      </c>
      <c r="F242" s="115" t="n">
        <f aca="false">Yield_Originals!G242</f>
        <v>0.9</v>
      </c>
      <c r="G242" s="116" t="n">
        <v>0.9</v>
      </c>
      <c r="H242" s="116" t="n">
        <v>0.9</v>
      </c>
      <c r="I242" s="116" t="n">
        <v>0.9</v>
      </c>
      <c r="J242" s="116" t="n">
        <v>0.9</v>
      </c>
      <c r="K242" s="107" t="n">
        <v>1</v>
      </c>
      <c r="L242" s="108" t="n">
        <f aca="false">(Yield_Originals!$G242*Yield_Originals!L$1)/Yield_Originals!$K242</f>
        <v>1.08</v>
      </c>
      <c r="M242" s="108" t="n">
        <f aca="false">(Yield_Originals!$G242*Yield_Originals!M$1)/Yield_Originals!$K242</f>
        <v>1.11375</v>
      </c>
      <c r="N242" s="108" t="n">
        <f aca="false">(Yield_Originals!$G242*Yield_Originals!N$1)/Yield_Originals!$K242</f>
        <v>1.1475</v>
      </c>
      <c r="O242" s="108" t="n">
        <f aca="false">(Yield_Originals!$G242*Yield_Originals!O$1)/Yield_Originals!$K242</f>
        <v>1.18125</v>
      </c>
      <c r="P242" s="109" t="n">
        <f aca="false">(Yield_Originals!$H242*Yield_Originals!P$1)/Yield_Originals!$K242</f>
        <v>1.215</v>
      </c>
      <c r="Q242" s="109" t="n">
        <f aca="false">(Yield_Originals!$H242*Yield_Originals!Q$1)/Yield_Originals!$K242</f>
        <v>1.24875</v>
      </c>
      <c r="R242" s="109" t="n">
        <f aca="false">(Yield_Originals!$H242*Yield_Originals!R$1)/Yield_Originals!$K242</f>
        <v>1.2825</v>
      </c>
      <c r="S242" s="109" t="n">
        <f aca="false">(Yield_Originals!$H242*Yield_Originals!S$1)/Yield_Originals!$K242</f>
        <v>1.31625</v>
      </c>
      <c r="T242" s="111" t="n">
        <f aca="false">(Yield_Originals!$I242*Yield_Originals!T$1)/Yield_Originals!$K242</f>
        <v>1.35</v>
      </c>
      <c r="U242" s="111" t="n">
        <f aca="false">(Yield_Originals!$I242*Yield_Originals!U$1)/Yield_Originals!$K242</f>
        <v>1.38375</v>
      </c>
      <c r="V242" s="111" t="n">
        <f aca="false">(Yield_Originals!$I242*Yield_Originals!V$1)/Yield_Originals!$K242</f>
        <v>1.4175</v>
      </c>
      <c r="W242" s="111" t="n">
        <f aca="false">(Yield_Originals!$I242*Yield_Originals!W$1)/Yield_Originals!$K242</f>
        <v>1.45125</v>
      </c>
      <c r="X242" s="0"/>
      <c r="Y242" s="0"/>
      <c r="Z242" s="0"/>
      <c r="AA242" s="0"/>
      <c r="AB242" s="0"/>
    </row>
    <row r="243" customFormat="false" ht="15" hidden="true" customHeight="false" outlineLevel="0" collapsed="false">
      <c r="A243" s="68" t="s">
        <v>970</v>
      </c>
      <c r="B243" s="68" t="s">
        <v>1243</v>
      </c>
      <c r="C243" s="0" t="s">
        <v>949</v>
      </c>
      <c r="D243" s="0" t="s">
        <v>969</v>
      </c>
      <c r="E243" s="68" t="n">
        <v>3</v>
      </c>
      <c r="F243" s="115" t="n">
        <f aca="false">Yield_Originals!G243</f>
        <v>0.9</v>
      </c>
      <c r="G243" s="116" t="n">
        <v>0.9</v>
      </c>
      <c r="H243" s="116" t="n">
        <v>0.9</v>
      </c>
      <c r="I243" s="116" t="n">
        <v>0.9</v>
      </c>
      <c r="J243" s="116" t="n">
        <v>0.9</v>
      </c>
      <c r="K243" s="107" t="n">
        <v>1</v>
      </c>
      <c r="L243" s="108" t="n">
        <f aca="false">(Yield_Originals!$G243*Yield_Originals!L$1)/Yield_Originals!$K243</f>
        <v>1.08</v>
      </c>
      <c r="M243" s="108" t="n">
        <f aca="false">(Yield_Originals!$G243*Yield_Originals!M$1)/Yield_Originals!$K243</f>
        <v>1.11375</v>
      </c>
      <c r="N243" s="108" t="n">
        <f aca="false">(Yield_Originals!$G243*Yield_Originals!N$1)/Yield_Originals!$K243</f>
        <v>1.1475</v>
      </c>
      <c r="O243" s="108" t="n">
        <f aca="false">(Yield_Originals!$G243*Yield_Originals!O$1)/Yield_Originals!$K243</f>
        <v>1.18125</v>
      </c>
      <c r="P243" s="109" t="n">
        <f aca="false">(Yield_Originals!$H243*Yield_Originals!P$1)/Yield_Originals!$K243</f>
        <v>1.215</v>
      </c>
      <c r="Q243" s="109" t="n">
        <f aca="false">(Yield_Originals!$H243*Yield_Originals!Q$1)/Yield_Originals!$K243</f>
        <v>1.24875</v>
      </c>
      <c r="R243" s="109" t="n">
        <f aca="false">(Yield_Originals!$H243*Yield_Originals!R$1)/Yield_Originals!$K243</f>
        <v>1.2825</v>
      </c>
      <c r="S243" s="109" t="n">
        <f aca="false">(Yield_Originals!$H243*Yield_Originals!S$1)/Yield_Originals!$K243</f>
        <v>1.31625</v>
      </c>
      <c r="T243" s="111" t="n">
        <f aca="false">(Yield_Originals!$I243*Yield_Originals!T$1)/Yield_Originals!$K243</f>
        <v>1.35</v>
      </c>
      <c r="U243" s="111" t="n">
        <f aca="false">(Yield_Originals!$I243*Yield_Originals!U$1)/Yield_Originals!$K243</f>
        <v>1.38375</v>
      </c>
      <c r="V243" s="111" t="n">
        <f aca="false">(Yield_Originals!$I243*Yield_Originals!V$1)/Yield_Originals!$K243</f>
        <v>1.4175</v>
      </c>
      <c r="W243" s="111" t="n">
        <f aca="false">(Yield_Originals!$I243*Yield_Originals!W$1)/Yield_Originals!$K243</f>
        <v>1.45125</v>
      </c>
      <c r="X243" s="0"/>
      <c r="Y243" s="0"/>
      <c r="Z243" s="0"/>
      <c r="AA243" s="0"/>
      <c r="AB243" s="0"/>
    </row>
    <row r="244" customFormat="false" ht="15" hidden="false" customHeight="false" outlineLevel="0" collapsed="false">
      <c r="A244" s="68" t="s">
        <v>868</v>
      </c>
      <c r="B244" s="68" t="n">
        <v>3</v>
      </c>
      <c r="C244" s="103" t="s">
        <v>140</v>
      </c>
      <c r="D244" s="103" t="s">
        <v>1001</v>
      </c>
      <c r="E244" s="104" t="n">
        <v>26</v>
      </c>
      <c r="F244" s="115" t="n">
        <f aca="false">Yield_Originals!G244</f>
        <v>0.148112988969661</v>
      </c>
      <c r="G244" s="106" t="n">
        <v>0.148112988969661</v>
      </c>
      <c r="H244" s="106" t="n">
        <v>0.148112988969661</v>
      </c>
      <c r="I244" s="106" t="n">
        <f aca="false">+(Yield_Originals!H244+Yield_Originals!J244)/2</f>
        <v>0.154056494484831</v>
      </c>
      <c r="J244" s="106" t="n">
        <v>0.16</v>
      </c>
      <c r="K244" s="107" t="n">
        <v>2</v>
      </c>
      <c r="L244" s="108" t="n">
        <f aca="false">(Yield_Originals!$G244*Yield_Originals!L$1)/Yield_Originals!$K244</f>
        <v>0.0888677933817966</v>
      </c>
      <c r="M244" s="108" t="n">
        <f aca="false">(Yield_Originals!$G244*Yield_Originals!M$1)/Yield_Originals!$K244</f>
        <v>0.0916449119249778</v>
      </c>
      <c r="N244" s="108" t="n">
        <f aca="false">(Yield_Originals!$G244*Yield_Originals!N$1)/Yield_Originals!$K244</f>
        <v>0.0944220304681589</v>
      </c>
      <c r="O244" s="108" t="n">
        <f aca="false">(Yield_Originals!$G244*Yield_Originals!O$1)/Yield_Originals!$K244</f>
        <v>0.0971991490113401</v>
      </c>
      <c r="P244" s="109" t="n">
        <f aca="false">(Yield_Originals!$H244*Yield_Originals!P$1)/Yield_Originals!$K244</f>
        <v>0.0999762675545212</v>
      </c>
      <c r="Q244" s="109" t="n">
        <f aca="false">(Yield_Originals!$H244*Yield_Originals!Q$1)/Yield_Originals!$K244</f>
        <v>0.102753386097702</v>
      </c>
      <c r="R244" s="109" t="n">
        <f aca="false">(Yield_Originals!$H244*Yield_Originals!R$1)/Yield_Originals!$K244</f>
        <v>0.105530504640884</v>
      </c>
      <c r="S244" s="109" t="n">
        <f aca="false">(Yield_Originals!$H244*Yield_Originals!S$1)/Yield_Originals!$K244</f>
        <v>0.108307623184065</v>
      </c>
      <c r="T244" s="111"/>
      <c r="U244" s="111"/>
      <c r="V244" s="111"/>
      <c r="W244" s="111"/>
      <c r="X244" s="112"/>
      <c r="Y244" s="112"/>
      <c r="Z244" s="0"/>
      <c r="AA244" s="0"/>
      <c r="AB244" s="0"/>
    </row>
    <row r="245" customFormat="false" ht="15" hidden="false" customHeight="false" outlineLevel="0" collapsed="false">
      <c r="A245" s="68" t="s">
        <v>868</v>
      </c>
      <c r="B245" s="68" t="n">
        <v>3</v>
      </c>
      <c r="C245" s="103" t="s">
        <v>140</v>
      </c>
      <c r="D245" s="103" t="s">
        <v>1001</v>
      </c>
      <c r="E245" s="104" t="n">
        <v>30</v>
      </c>
      <c r="F245" s="115" t="n">
        <f aca="false">Yield_Originals!G245</f>
        <v>0.148112988969661</v>
      </c>
      <c r="G245" s="106" t="n">
        <v>0.148112988969661</v>
      </c>
      <c r="H245" s="106" t="n">
        <v>0.148112988969661</v>
      </c>
      <c r="I245" s="106" t="n">
        <f aca="false">+(Yield_Originals!H245+Yield_Originals!J245)/2</f>
        <v>0.154056494484831</v>
      </c>
      <c r="J245" s="106" t="n">
        <v>0.16</v>
      </c>
      <c r="K245" s="107" t="n">
        <v>2</v>
      </c>
      <c r="L245" s="108" t="n">
        <f aca="false">(Yield_Originals!$G245*Yield_Originals!L$1)/Yield_Originals!$K245</f>
        <v>0.0888677933817966</v>
      </c>
      <c r="M245" s="108" t="n">
        <f aca="false">(Yield_Originals!$G245*Yield_Originals!M$1)/Yield_Originals!$K245</f>
        <v>0.0916449119249778</v>
      </c>
      <c r="N245" s="108" t="n">
        <f aca="false">(Yield_Originals!$G245*Yield_Originals!N$1)/Yield_Originals!$K245</f>
        <v>0.0944220304681589</v>
      </c>
      <c r="O245" s="108" t="n">
        <f aca="false">(Yield_Originals!$G245*Yield_Originals!O$1)/Yield_Originals!$K245</f>
        <v>0.0971991490113401</v>
      </c>
      <c r="P245" s="109" t="n">
        <f aca="false">(Yield_Originals!$H245*Yield_Originals!P$1)/Yield_Originals!$K245</f>
        <v>0.0999762675545212</v>
      </c>
      <c r="Q245" s="109" t="n">
        <f aca="false">(Yield_Originals!$H245*Yield_Originals!Q$1)/Yield_Originals!$K245</f>
        <v>0.102753386097702</v>
      </c>
      <c r="R245" s="109" t="n">
        <f aca="false">(Yield_Originals!$H245*Yield_Originals!R$1)/Yield_Originals!$K245</f>
        <v>0.105530504640884</v>
      </c>
      <c r="S245" s="109" t="n">
        <f aca="false">(Yield_Originals!$H245*Yield_Originals!S$1)/Yield_Originals!$K245</f>
        <v>0.108307623184065</v>
      </c>
      <c r="T245" s="111"/>
      <c r="U245" s="111"/>
      <c r="V245" s="111"/>
      <c r="W245" s="111"/>
      <c r="X245" s="112"/>
      <c r="Y245" s="112"/>
      <c r="Z245" s="0"/>
      <c r="AA245" s="0"/>
      <c r="AB245" s="0"/>
    </row>
    <row r="246" customFormat="false" ht="15" hidden="false" customHeight="false" outlineLevel="0" collapsed="false">
      <c r="A246" s="68" t="s">
        <v>868</v>
      </c>
      <c r="B246" s="68" t="n">
        <v>3</v>
      </c>
      <c r="C246" s="103" t="s">
        <v>140</v>
      </c>
      <c r="D246" s="103" t="s">
        <v>1001</v>
      </c>
      <c r="E246" s="104" t="n">
        <v>31</v>
      </c>
      <c r="F246" s="115" t="n">
        <f aca="false">Yield_Originals!G246</f>
        <v>0.148112988969661</v>
      </c>
      <c r="G246" s="106" t="n">
        <v>0.148112988969661</v>
      </c>
      <c r="H246" s="106" t="n">
        <v>0.148112988969661</v>
      </c>
      <c r="I246" s="106" t="n">
        <f aca="false">+(Yield_Originals!H246+Yield_Originals!J246)/2</f>
        <v>0.154056494484831</v>
      </c>
      <c r="J246" s="106" t="n">
        <v>0.16</v>
      </c>
      <c r="K246" s="107" t="n">
        <v>2</v>
      </c>
      <c r="L246" s="108" t="n">
        <f aca="false">(Yield_Originals!$G246*Yield_Originals!L$1)/Yield_Originals!$K246</f>
        <v>0.0888677933817966</v>
      </c>
      <c r="M246" s="108" t="n">
        <f aca="false">(Yield_Originals!$G246*Yield_Originals!M$1)/Yield_Originals!$K246</f>
        <v>0.0916449119249778</v>
      </c>
      <c r="N246" s="108" t="n">
        <f aca="false">(Yield_Originals!$G246*Yield_Originals!N$1)/Yield_Originals!$K246</f>
        <v>0.0944220304681589</v>
      </c>
      <c r="O246" s="108" t="n">
        <f aca="false">(Yield_Originals!$G246*Yield_Originals!O$1)/Yield_Originals!$K246</f>
        <v>0.0971991490113401</v>
      </c>
      <c r="P246" s="109" t="n">
        <f aca="false">(Yield_Originals!$H246*Yield_Originals!P$1)/Yield_Originals!$K246</f>
        <v>0.0999762675545212</v>
      </c>
      <c r="Q246" s="109" t="n">
        <f aca="false">(Yield_Originals!$H246*Yield_Originals!Q$1)/Yield_Originals!$K246</f>
        <v>0.102753386097702</v>
      </c>
      <c r="R246" s="109" t="n">
        <f aca="false">(Yield_Originals!$H246*Yield_Originals!R$1)/Yield_Originals!$K246</f>
        <v>0.105530504640884</v>
      </c>
      <c r="S246" s="109" t="n">
        <f aca="false">(Yield_Originals!$H246*Yield_Originals!S$1)/Yield_Originals!$K246</f>
        <v>0.108307623184065</v>
      </c>
      <c r="T246" s="111"/>
      <c r="U246" s="111"/>
      <c r="V246" s="111"/>
      <c r="W246" s="111"/>
      <c r="X246" s="112"/>
      <c r="Y246" s="112"/>
      <c r="Z246" s="0"/>
      <c r="AA246" s="0"/>
      <c r="AB246" s="0"/>
    </row>
    <row r="247" customFormat="false" ht="15" hidden="false" customHeight="false" outlineLevel="0" collapsed="false">
      <c r="A247" s="68" t="s">
        <v>868</v>
      </c>
      <c r="B247" s="68" t="n">
        <v>3</v>
      </c>
      <c r="C247" s="0" t="s">
        <v>140</v>
      </c>
      <c r="D247" s="0" t="s">
        <v>1001</v>
      </c>
      <c r="E247" s="104" t="n">
        <v>1</v>
      </c>
      <c r="F247" s="115" t="n">
        <f aca="false">Yield_Originals!G247</f>
        <v>0.148112988969661</v>
      </c>
      <c r="G247" s="106" t="n">
        <v>0.148112988969661</v>
      </c>
      <c r="H247" s="106" t="n">
        <v>0.148112988969661</v>
      </c>
      <c r="I247" s="106" t="n">
        <f aca="false">+(Yield_Originals!H247+Yield_Originals!J247)/2</f>
        <v>0.154056494484831</v>
      </c>
      <c r="J247" s="106" t="n">
        <v>0.16</v>
      </c>
      <c r="K247" s="107" t="n">
        <v>2</v>
      </c>
      <c r="L247" s="108" t="n">
        <f aca="false">(Yield_Originals!$G247*Yield_Originals!L$1)/Yield_Originals!$K247</f>
        <v>0.0888677933817966</v>
      </c>
      <c r="M247" s="108" t="n">
        <f aca="false">(Yield_Originals!$G247*Yield_Originals!M$1)/Yield_Originals!$K247</f>
        <v>0.0916449119249778</v>
      </c>
      <c r="N247" s="108" t="n">
        <f aca="false">(Yield_Originals!$G247*Yield_Originals!N$1)/Yield_Originals!$K247</f>
        <v>0.0944220304681589</v>
      </c>
      <c r="O247" s="108" t="n">
        <f aca="false">(Yield_Originals!$G247*Yield_Originals!O$1)/Yield_Originals!$K247</f>
        <v>0.0971991490113401</v>
      </c>
      <c r="P247" s="109" t="n">
        <f aca="false">(Yield_Originals!$H247*Yield_Originals!P$1)/Yield_Originals!$K247</f>
        <v>0.0999762675545212</v>
      </c>
      <c r="Q247" s="109" t="n">
        <f aca="false">(Yield_Originals!$H247*Yield_Originals!Q$1)/Yield_Originals!$K247</f>
        <v>0.102753386097702</v>
      </c>
      <c r="R247" s="109" t="n">
        <f aca="false">(Yield_Originals!$H247*Yield_Originals!R$1)/Yield_Originals!$K247</f>
        <v>0.105530504640884</v>
      </c>
      <c r="S247" s="109" t="n">
        <f aca="false">(Yield_Originals!$H247*Yield_Originals!S$1)/Yield_Originals!$K247</f>
        <v>0.108307623184065</v>
      </c>
      <c r="T247" s="111"/>
      <c r="U247" s="111"/>
      <c r="V247" s="111"/>
      <c r="W247" s="111"/>
      <c r="X247" s="112"/>
      <c r="Y247" s="112"/>
      <c r="Z247" s="0"/>
      <c r="AA247" s="0"/>
      <c r="AB247" s="0"/>
    </row>
    <row r="248" customFormat="false" ht="15" hidden="false" customHeight="false" outlineLevel="0" collapsed="false">
      <c r="A248" s="68" t="s">
        <v>868</v>
      </c>
      <c r="B248" s="68" t="n">
        <v>3</v>
      </c>
      <c r="C248" s="0" t="s">
        <v>140</v>
      </c>
      <c r="D248" s="0" t="s">
        <v>1001</v>
      </c>
      <c r="E248" s="104" t="n">
        <v>2</v>
      </c>
      <c r="F248" s="115" t="n">
        <f aca="false">Yield_Originals!G248</f>
        <v>0.148112988969661</v>
      </c>
      <c r="G248" s="106" t="n">
        <v>0.148112988969661</v>
      </c>
      <c r="H248" s="106" t="n">
        <v>0.148112988969661</v>
      </c>
      <c r="I248" s="106" t="n">
        <f aca="false">+(Yield_Originals!H248+Yield_Originals!J248)/2</f>
        <v>0.154056494484831</v>
      </c>
      <c r="J248" s="106" t="n">
        <v>0.16</v>
      </c>
      <c r="K248" s="107" t="n">
        <v>2</v>
      </c>
      <c r="L248" s="108" t="n">
        <f aca="false">(Yield_Originals!$G248*Yield_Originals!L$1)/Yield_Originals!$K248</f>
        <v>0.0888677933817966</v>
      </c>
      <c r="M248" s="108" t="n">
        <f aca="false">(Yield_Originals!$G248*Yield_Originals!M$1)/Yield_Originals!$K248</f>
        <v>0.0916449119249778</v>
      </c>
      <c r="N248" s="108" t="n">
        <f aca="false">(Yield_Originals!$G248*Yield_Originals!N$1)/Yield_Originals!$K248</f>
        <v>0.0944220304681589</v>
      </c>
      <c r="O248" s="108" t="n">
        <f aca="false">(Yield_Originals!$G248*Yield_Originals!O$1)/Yield_Originals!$K248</f>
        <v>0.0971991490113401</v>
      </c>
      <c r="P248" s="109" t="n">
        <f aca="false">(Yield_Originals!$H248*Yield_Originals!P$1)/Yield_Originals!$K248</f>
        <v>0.0999762675545212</v>
      </c>
      <c r="Q248" s="109" t="n">
        <f aca="false">(Yield_Originals!$H248*Yield_Originals!Q$1)/Yield_Originals!$K248</f>
        <v>0.102753386097702</v>
      </c>
      <c r="R248" s="109" t="n">
        <f aca="false">(Yield_Originals!$H248*Yield_Originals!R$1)/Yield_Originals!$K248</f>
        <v>0.105530504640884</v>
      </c>
      <c r="S248" s="109" t="n">
        <f aca="false">(Yield_Originals!$H248*Yield_Originals!S$1)/Yield_Originals!$K248</f>
        <v>0.108307623184065</v>
      </c>
      <c r="T248" s="111"/>
      <c r="U248" s="111"/>
      <c r="V248" s="111"/>
      <c r="W248" s="111"/>
      <c r="X248" s="112"/>
      <c r="Y248" s="112"/>
      <c r="Z248" s="0"/>
      <c r="AA248" s="0"/>
      <c r="AB248" s="0"/>
    </row>
    <row r="249" customFormat="false" ht="15" hidden="false" customHeight="false" outlineLevel="0" collapsed="false">
      <c r="A249" s="68" t="s">
        <v>868</v>
      </c>
      <c r="B249" s="68" t="n">
        <v>3</v>
      </c>
      <c r="C249" s="103" t="s">
        <v>253</v>
      </c>
      <c r="D249" s="103" t="s">
        <v>1001</v>
      </c>
      <c r="E249" s="104" t="n">
        <v>26</v>
      </c>
      <c r="F249" s="115" t="n">
        <f aca="false">Yield_Originals!G249</f>
        <v>0.148112988969661</v>
      </c>
      <c r="G249" s="106" t="n">
        <v>0.148112988969661</v>
      </c>
      <c r="H249" s="106" t="n">
        <v>0.148112988969661</v>
      </c>
      <c r="I249" s="106" t="n">
        <f aca="false">+(Yield_Originals!H249+Yield_Originals!J249)/2</f>
        <v>0.154056494484831</v>
      </c>
      <c r="J249" s="106" t="n">
        <v>0.16</v>
      </c>
      <c r="K249" s="107" t="n">
        <v>2</v>
      </c>
      <c r="L249" s="108" t="n">
        <f aca="false">(Yield_Originals!$G249*Yield_Originals!L$1)/Yield_Originals!$K249</f>
        <v>0.0888677933817966</v>
      </c>
      <c r="M249" s="108" t="n">
        <f aca="false">(Yield_Originals!$G249*Yield_Originals!M$1)/Yield_Originals!$K249</f>
        <v>0.0916449119249778</v>
      </c>
      <c r="N249" s="108" t="n">
        <f aca="false">(Yield_Originals!$G249*Yield_Originals!N$1)/Yield_Originals!$K249</f>
        <v>0.0944220304681589</v>
      </c>
      <c r="O249" s="108" t="n">
        <f aca="false">(Yield_Originals!$G249*Yield_Originals!O$1)/Yield_Originals!$K249</f>
        <v>0.0971991490113401</v>
      </c>
      <c r="P249" s="109" t="n">
        <f aca="false">(Yield_Originals!$H249*Yield_Originals!P$1)/Yield_Originals!$K249</f>
        <v>0.0999762675545212</v>
      </c>
      <c r="Q249" s="109" t="n">
        <f aca="false">(Yield_Originals!$H249*Yield_Originals!Q$1)/Yield_Originals!$K249</f>
        <v>0.102753386097702</v>
      </c>
      <c r="R249" s="109" t="n">
        <f aca="false">(Yield_Originals!$H249*Yield_Originals!R$1)/Yield_Originals!$K249</f>
        <v>0.105530504640884</v>
      </c>
      <c r="S249" s="109" t="n">
        <f aca="false">(Yield_Originals!$H249*Yield_Originals!S$1)/Yield_Originals!$K249</f>
        <v>0.108307623184065</v>
      </c>
      <c r="T249" s="111"/>
      <c r="U249" s="111"/>
      <c r="V249" s="111"/>
      <c r="W249" s="111"/>
      <c r="X249" s="112"/>
      <c r="Y249" s="112"/>
      <c r="Z249" s="0"/>
      <c r="AA249" s="0"/>
      <c r="AB249" s="0"/>
    </row>
    <row r="250" customFormat="false" ht="15" hidden="false" customHeight="false" outlineLevel="0" collapsed="false">
      <c r="A250" s="68" t="s">
        <v>868</v>
      </c>
      <c r="B250" s="68" t="n">
        <v>3</v>
      </c>
      <c r="C250" s="103" t="s">
        <v>253</v>
      </c>
      <c r="D250" s="103" t="s">
        <v>1001</v>
      </c>
      <c r="E250" s="104" t="n">
        <v>30</v>
      </c>
      <c r="F250" s="115" t="n">
        <f aca="false">Yield_Originals!G250</f>
        <v>0.148112988969661</v>
      </c>
      <c r="G250" s="106" t="n">
        <v>0.148112988969661</v>
      </c>
      <c r="H250" s="106" t="n">
        <v>0.148112988969661</v>
      </c>
      <c r="I250" s="106" t="n">
        <f aca="false">+(Yield_Originals!H250+Yield_Originals!J250)/2</f>
        <v>0.154056494484831</v>
      </c>
      <c r="J250" s="106" t="n">
        <v>0.16</v>
      </c>
      <c r="K250" s="107" t="n">
        <v>2</v>
      </c>
      <c r="L250" s="108" t="n">
        <f aca="false">(Yield_Originals!$G250*Yield_Originals!L$1)/Yield_Originals!$K250</f>
        <v>0.0888677933817966</v>
      </c>
      <c r="M250" s="108" t="n">
        <f aca="false">(Yield_Originals!$G250*Yield_Originals!M$1)/Yield_Originals!$K250</f>
        <v>0.0916449119249778</v>
      </c>
      <c r="N250" s="108" t="n">
        <f aca="false">(Yield_Originals!$G250*Yield_Originals!N$1)/Yield_Originals!$K250</f>
        <v>0.0944220304681589</v>
      </c>
      <c r="O250" s="108" t="n">
        <f aca="false">(Yield_Originals!$G250*Yield_Originals!O$1)/Yield_Originals!$K250</f>
        <v>0.0971991490113401</v>
      </c>
      <c r="P250" s="109" t="n">
        <f aca="false">(Yield_Originals!$H250*Yield_Originals!P$1)/Yield_Originals!$K250</f>
        <v>0.0999762675545212</v>
      </c>
      <c r="Q250" s="109" t="n">
        <f aca="false">(Yield_Originals!$H250*Yield_Originals!Q$1)/Yield_Originals!$K250</f>
        <v>0.102753386097702</v>
      </c>
      <c r="R250" s="109" t="n">
        <f aca="false">(Yield_Originals!$H250*Yield_Originals!R$1)/Yield_Originals!$K250</f>
        <v>0.105530504640884</v>
      </c>
      <c r="S250" s="109" t="n">
        <f aca="false">(Yield_Originals!$H250*Yield_Originals!S$1)/Yield_Originals!$K250</f>
        <v>0.108307623184065</v>
      </c>
      <c r="T250" s="111"/>
      <c r="U250" s="111"/>
      <c r="V250" s="111"/>
      <c r="W250" s="111"/>
      <c r="X250" s="112"/>
      <c r="Y250" s="112"/>
      <c r="Z250" s="0"/>
      <c r="AA250" s="0"/>
      <c r="AB250" s="0"/>
    </row>
    <row r="251" customFormat="false" ht="15" hidden="false" customHeight="false" outlineLevel="0" collapsed="false">
      <c r="A251" s="68" t="s">
        <v>868</v>
      </c>
      <c r="B251" s="68" t="n">
        <v>3</v>
      </c>
      <c r="C251" s="103" t="s">
        <v>253</v>
      </c>
      <c r="D251" s="103" t="s">
        <v>1001</v>
      </c>
      <c r="E251" s="104" t="n">
        <v>31</v>
      </c>
      <c r="F251" s="115" t="n">
        <f aca="false">Yield_Originals!G251</f>
        <v>0.148112988969661</v>
      </c>
      <c r="G251" s="106" t="n">
        <v>0.148112988969661</v>
      </c>
      <c r="H251" s="106" t="n">
        <v>0.148112988969661</v>
      </c>
      <c r="I251" s="106" t="n">
        <f aca="false">+(Yield_Originals!H251+Yield_Originals!J251)/2</f>
        <v>0.154056494484831</v>
      </c>
      <c r="J251" s="106" t="n">
        <v>0.16</v>
      </c>
      <c r="K251" s="107" t="n">
        <v>2</v>
      </c>
      <c r="L251" s="108" t="n">
        <f aca="false">(Yield_Originals!$G251*Yield_Originals!L$1)/Yield_Originals!$K251</f>
        <v>0.0888677933817966</v>
      </c>
      <c r="M251" s="108" t="n">
        <f aca="false">(Yield_Originals!$G251*Yield_Originals!M$1)/Yield_Originals!$K251</f>
        <v>0.0916449119249778</v>
      </c>
      <c r="N251" s="108" t="n">
        <f aca="false">(Yield_Originals!$G251*Yield_Originals!N$1)/Yield_Originals!$K251</f>
        <v>0.0944220304681589</v>
      </c>
      <c r="O251" s="108" t="n">
        <f aca="false">(Yield_Originals!$G251*Yield_Originals!O$1)/Yield_Originals!$K251</f>
        <v>0.0971991490113401</v>
      </c>
      <c r="P251" s="109" t="n">
        <f aca="false">(Yield_Originals!$H251*Yield_Originals!P$1)/Yield_Originals!$K251</f>
        <v>0.0999762675545212</v>
      </c>
      <c r="Q251" s="109" t="n">
        <f aca="false">(Yield_Originals!$H251*Yield_Originals!Q$1)/Yield_Originals!$K251</f>
        <v>0.102753386097702</v>
      </c>
      <c r="R251" s="109" t="n">
        <f aca="false">(Yield_Originals!$H251*Yield_Originals!R$1)/Yield_Originals!$K251</f>
        <v>0.105530504640884</v>
      </c>
      <c r="S251" s="109" t="n">
        <f aca="false">(Yield_Originals!$H251*Yield_Originals!S$1)/Yield_Originals!$K251</f>
        <v>0.108307623184065</v>
      </c>
      <c r="T251" s="111"/>
      <c r="U251" s="111"/>
      <c r="V251" s="111"/>
      <c r="W251" s="111"/>
      <c r="X251" s="112"/>
      <c r="Y251" s="112"/>
      <c r="Z251" s="0"/>
      <c r="AA251" s="0"/>
      <c r="AB251" s="0"/>
    </row>
    <row r="252" customFormat="false" ht="15" hidden="false" customHeight="false" outlineLevel="0" collapsed="false">
      <c r="A252" s="68" t="s">
        <v>868</v>
      </c>
      <c r="B252" s="68" t="n">
        <v>3</v>
      </c>
      <c r="C252" s="0" t="s">
        <v>253</v>
      </c>
      <c r="D252" s="0" t="s">
        <v>1001</v>
      </c>
      <c r="E252" s="104" t="n">
        <v>1</v>
      </c>
      <c r="F252" s="115" t="n">
        <f aca="false">Yield_Originals!G252</f>
        <v>0.148112988969661</v>
      </c>
      <c r="G252" s="106" t="n">
        <v>0.148112988969661</v>
      </c>
      <c r="H252" s="106" t="n">
        <v>0.148112988969661</v>
      </c>
      <c r="I252" s="106" t="n">
        <f aca="false">+(Yield_Originals!H252+Yield_Originals!J252)/2</f>
        <v>0.154056494484831</v>
      </c>
      <c r="J252" s="106" t="n">
        <v>0.16</v>
      </c>
      <c r="K252" s="107" t="n">
        <v>2</v>
      </c>
      <c r="L252" s="108" t="n">
        <f aca="false">(Yield_Originals!$G252*Yield_Originals!L$1)/Yield_Originals!$K252</f>
        <v>0.0888677933817966</v>
      </c>
      <c r="M252" s="108" t="n">
        <f aca="false">(Yield_Originals!$G252*Yield_Originals!M$1)/Yield_Originals!$K252</f>
        <v>0.0916449119249778</v>
      </c>
      <c r="N252" s="108" t="n">
        <f aca="false">(Yield_Originals!$G252*Yield_Originals!N$1)/Yield_Originals!$K252</f>
        <v>0.0944220304681589</v>
      </c>
      <c r="O252" s="108" t="n">
        <f aca="false">(Yield_Originals!$G252*Yield_Originals!O$1)/Yield_Originals!$K252</f>
        <v>0.0971991490113401</v>
      </c>
      <c r="P252" s="109" t="n">
        <f aca="false">(Yield_Originals!$H252*Yield_Originals!P$1)/Yield_Originals!$K252</f>
        <v>0.0999762675545212</v>
      </c>
      <c r="Q252" s="109" t="n">
        <f aca="false">(Yield_Originals!$H252*Yield_Originals!Q$1)/Yield_Originals!$K252</f>
        <v>0.102753386097702</v>
      </c>
      <c r="R252" s="109" t="n">
        <f aca="false">(Yield_Originals!$H252*Yield_Originals!R$1)/Yield_Originals!$K252</f>
        <v>0.105530504640884</v>
      </c>
      <c r="S252" s="109" t="n">
        <f aca="false">(Yield_Originals!$H252*Yield_Originals!S$1)/Yield_Originals!$K252</f>
        <v>0.108307623184065</v>
      </c>
      <c r="T252" s="111"/>
      <c r="U252" s="111"/>
      <c r="V252" s="111"/>
      <c r="W252" s="111"/>
      <c r="X252" s="112"/>
      <c r="Y252" s="112"/>
      <c r="Z252" s="0"/>
      <c r="AA252" s="0"/>
      <c r="AB252" s="0"/>
    </row>
    <row r="253" customFormat="false" ht="15" hidden="false" customHeight="false" outlineLevel="0" collapsed="false">
      <c r="A253" s="68" t="s">
        <v>868</v>
      </c>
      <c r="B253" s="68" t="n">
        <v>3</v>
      </c>
      <c r="C253" s="0" t="s">
        <v>253</v>
      </c>
      <c r="D253" s="0" t="s">
        <v>1001</v>
      </c>
      <c r="E253" s="104" t="n">
        <v>2</v>
      </c>
      <c r="F253" s="115" t="n">
        <f aca="false">Yield_Originals!G253</f>
        <v>0.148112988969661</v>
      </c>
      <c r="G253" s="106" t="n">
        <v>0.148112988969661</v>
      </c>
      <c r="H253" s="106" t="n">
        <v>0.148112988969661</v>
      </c>
      <c r="I253" s="106" t="n">
        <f aca="false">+(Yield_Originals!H253+Yield_Originals!J253)/2</f>
        <v>0.154056494484831</v>
      </c>
      <c r="J253" s="106" t="n">
        <v>0.16</v>
      </c>
      <c r="K253" s="107" t="n">
        <v>2</v>
      </c>
      <c r="L253" s="108" t="n">
        <f aca="false">(Yield_Originals!$G253*Yield_Originals!L$1)/Yield_Originals!$K253</f>
        <v>0.0888677933817966</v>
      </c>
      <c r="M253" s="108" t="n">
        <f aca="false">(Yield_Originals!$G253*Yield_Originals!M$1)/Yield_Originals!$K253</f>
        <v>0.0916449119249778</v>
      </c>
      <c r="N253" s="108" t="n">
        <f aca="false">(Yield_Originals!$G253*Yield_Originals!N$1)/Yield_Originals!$K253</f>
        <v>0.0944220304681589</v>
      </c>
      <c r="O253" s="108" t="n">
        <f aca="false">(Yield_Originals!$G253*Yield_Originals!O$1)/Yield_Originals!$K253</f>
        <v>0.0971991490113401</v>
      </c>
      <c r="P253" s="109" t="n">
        <f aca="false">(Yield_Originals!$H253*Yield_Originals!P$1)/Yield_Originals!$K253</f>
        <v>0.0999762675545212</v>
      </c>
      <c r="Q253" s="109" t="n">
        <f aca="false">(Yield_Originals!$H253*Yield_Originals!Q$1)/Yield_Originals!$K253</f>
        <v>0.102753386097702</v>
      </c>
      <c r="R253" s="109" t="n">
        <f aca="false">(Yield_Originals!$H253*Yield_Originals!R$1)/Yield_Originals!$K253</f>
        <v>0.105530504640884</v>
      </c>
      <c r="S253" s="109" t="n">
        <f aca="false">(Yield_Originals!$H253*Yield_Originals!S$1)/Yield_Originals!$K253</f>
        <v>0.108307623184065</v>
      </c>
      <c r="T253" s="111"/>
      <c r="U253" s="111"/>
      <c r="V253" s="111"/>
      <c r="W253" s="111"/>
      <c r="X253" s="112"/>
      <c r="Y253" s="112"/>
      <c r="Z253" s="0"/>
      <c r="AA253" s="0"/>
      <c r="AB253" s="0"/>
    </row>
    <row r="254" customFormat="false" ht="15" hidden="false" customHeight="false" outlineLevel="0" collapsed="false">
      <c r="A254" s="113" t="s">
        <v>868</v>
      </c>
      <c r="B254" s="68" t="n">
        <v>3</v>
      </c>
      <c r="C254" s="114" t="s">
        <v>955</v>
      </c>
      <c r="D254" s="114" t="s">
        <v>867</v>
      </c>
      <c r="E254" s="104" t="n">
        <v>26</v>
      </c>
      <c r="F254" s="106" t="n">
        <v>0.142003083639678</v>
      </c>
      <c r="G254" s="106" t="n">
        <v>0.142003083639678</v>
      </c>
      <c r="H254" s="106" t="n">
        <f aca="false">+(Yield_Originals!I254+Yield_Originals!G254)/2</f>
        <v>0.13793956115311</v>
      </c>
      <c r="I254" s="106" t="n">
        <v>0.133876038666542</v>
      </c>
      <c r="J254" s="106" t="n">
        <v>0.136590471202138</v>
      </c>
      <c r="K254" s="107" t="n">
        <v>2</v>
      </c>
      <c r="L254" s="108" t="n">
        <f aca="false">(Yield_Originals!$G254*Yield_Originals!L$1)/Yield_Originals!$K254</f>
        <v>0.0852018501838068</v>
      </c>
      <c r="M254" s="108" t="n">
        <f aca="false">(Yield_Originals!$G254*Yield_Originals!M$1)/Yield_Originals!$K254</f>
        <v>0.0878644080020508</v>
      </c>
      <c r="N254" s="108" t="n">
        <f aca="false">(Yield_Originals!$G254*Yield_Originals!N$1)/Yield_Originals!$K254</f>
        <v>0.0905269658202947</v>
      </c>
      <c r="O254" s="108" t="n">
        <f aca="false">(Yield_Originals!$G254*Yield_Originals!O$1)/Yield_Originals!$K254</f>
        <v>0.0931895236385387</v>
      </c>
      <c r="P254" s="109" t="n">
        <f aca="false">(Yield_Originals!$H254*Yield_Originals!P$1)/Yield_Originals!$K254</f>
        <v>0.0931092037783493</v>
      </c>
      <c r="Q254" s="109" t="n">
        <f aca="false">(Yield_Originals!$H254*Yield_Originals!Q$1)/Yield_Originals!$K254</f>
        <v>0.0956955705499701</v>
      </c>
      <c r="R254" s="109" t="n">
        <f aca="false">(Yield_Originals!$H254*Yield_Originals!R$1)/Yield_Originals!$K254</f>
        <v>0.0982819373215909</v>
      </c>
      <c r="S254" s="109" t="n">
        <f aca="false">(Yield_Originals!$H254*Yield_Originals!S$1)/Yield_Originals!$K254</f>
        <v>0.100868304093212</v>
      </c>
      <c r="T254" s="111" t="n">
        <f aca="false">(Yield_Originals!$I254*Yield_Originals!T$1)/Yield_Originals!$K254</f>
        <v>0.100407028999907</v>
      </c>
      <c r="U254" s="111" t="n">
        <f aca="false">(Yield_Originals!$I254*Yield_Originals!U$1)/Yield_Originals!$K254</f>
        <v>0.102917204724904</v>
      </c>
      <c r="V254" s="111" t="n">
        <f aca="false">(Yield_Originals!$I254*Yield_Originals!V$1)/Yield_Originals!$K254</f>
        <v>0.105427380449902</v>
      </c>
      <c r="W254" s="111" t="n">
        <f aca="false">(Yield_Originals!$I254*Yield_Originals!W$1)/Yield_Originals!$K254</f>
        <v>0.107937556174899</v>
      </c>
      <c r="X254" s="112" t="n">
        <f aca="false">(Yield_Originals!$J254*Yield_Originals!X$1)/Yield_Originals!$K254</f>
        <v>0.112687138741764</v>
      </c>
      <c r="Y254" s="112" t="n">
        <f aca="false">(Yield_Originals!$J254*Yield_Originals!Y$1)/Yield_Originals!$K254</f>
        <v>0.115248210076804</v>
      </c>
      <c r="Z254" s="112" t="n">
        <f aca="false">(Yield_Originals!$J254*Yield_Originals!Z$1)/Yield_Originals!$K254</f>
        <v>0.117809281411844</v>
      </c>
      <c r="AA254" s="112" t="n">
        <f aca="false">(Yield_Originals!$J254*Yield_Originals!AA$1)/Yield_Originals!$K254</f>
        <v>0.120370352746884</v>
      </c>
      <c r="AB254" s="112" t="n">
        <f aca="false">(Yield_Originals!$J254*Yield_Originals!AB$1)/Yield_Originals!$K254</f>
        <v>0.122931424081924</v>
      </c>
    </row>
    <row r="255" customFormat="false" ht="15" hidden="false" customHeight="false" outlineLevel="0" collapsed="false">
      <c r="A255" s="113" t="s">
        <v>868</v>
      </c>
      <c r="B255" s="68" t="n">
        <v>3</v>
      </c>
      <c r="C255" s="114" t="s">
        <v>955</v>
      </c>
      <c r="D255" s="114" t="s">
        <v>867</v>
      </c>
      <c r="E255" s="104" t="n">
        <v>30</v>
      </c>
      <c r="F255" s="106" t="n">
        <v>0.142003083639678</v>
      </c>
      <c r="G255" s="106" t="n">
        <v>0.142003083639678</v>
      </c>
      <c r="H255" s="106" t="n">
        <f aca="false">+(Yield_Originals!I255+Yield_Originals!G255)/2</f>
        <v>0.13793956115311</v>
      </c>
      <c r="I255" s="106" t="n">
        <v>0.133876038666542</v>
      </c>
      <c r="J255" s="106" t="n">
        <v>0.136590471202138</v>
      </c>
      <c r="K255" s="107" t="n">
        <v>2</v>
      </c>
      <c r="L255" s="108" t="n">
        <f aca="false">(Yield_Originals!$G255*Yield_Originals!L$1)/Yield_Originals!$K255</f>
        <v>0.0852018501838068</v>
      </c>
      <c r="M255" s="108" t="n">
        <f aca="false">(Yield_Originals!$G255*Yield_Originals!M$1)/Yield_Originals!$K255</f>
        <v>0.0878644080020508</v>
      </c>
      <c r="N255" s="108" t="n">
        <f aca="false">(Yield_Originals!$G255*Yield_Originals!N$1)/Yield_Originals!$K255</f>
        <v>0.0905269658202947</v>
      </c>
      <c r="O255" s="108" t="n">
        <f aca="false">(Yield_Originals!$G255*Yield_Originals!O$1)/Yield_Originals!$K255</f>
        <v>0.0931895236385387</v>
      </c>
      <c r="P255" s="109" t="n">
        <f aca="false">(Yield_Originals!$H255*Yield_Originals!P$1)/Yield_Originals!$K255</f>
        <v>0.0931092037783493</v>
      </c>
      <c r="Q255" s="109" t="n">
        <f aca="false">(Yield_Originals!$H255*Yield_Originals!Q$1)/Yield_Originals!$K255</f>
        <v>0.0956955705499701</v>
      </c>
      <c r="R255" s="109" t="n">
        <f aca="false">(Yield_Originals!$H255*Yield_Originals!R$1)/Yield_Originals!$K255</f>
        <v>0.0982819373215909</v>
      </c>
      <c r="S255" s="109" t="n">
        <f aca="false">(Yield_Originals!$H255*Yield_Originals!S$1)/Yield_Originals!$K255</f>
        <v>0.100868304093212</v>
      </c>
      <c r="T255" s="111" t="n">
        <f aca="false">(Yield_Originals!$I255*Yield_Originals!T$1)/Yield_Originals!$K255</f>
        <v>0.100407028999907</v>
      </c>
      <c r="U255" s="111" t="n">
        <f aca="false">(Yield_Originals!$I255*Yield_Originals!U$1)/Yield_Originals!$K255</f>
        <v>0.102917204724904</v>
      </c>
      <c r="V255" s="111" t="n">
        <f aca="false">(Yield_Originals!$I255*Yield_Originals!V$1)/Yield_Originals!$K255</f>
        <v>0.105427380449902</v>
      </c>
      <c r="W255" s="111" t="n">
        <f aca="false">(Yield_Originals!$I255*Yield_Originals!W$1)/Yield_Originals!$K255</f>
        <v>0.107937556174899</v>
      </c>
      <c r="X255" s="112" t="n">
        <f aca="false">(Yield_Originals!$J255*Yield_Originals!X$1)/Yield_Originals!$K255</f>
        <v>0.112687138741764</v>
      </c>
      <c r="Y255" s="112" t="n">
        <f aca="false">(Yield_Originals!$J255*Yield_Originals!Y$1)/Yield_Originals!$K255</f>
        <v>0.115248210076804</v>
      </c>
      <c r="Z255" s="112" t="n">
        <f aca="false">(Yield_Originals!$J255*Yield_Originals!Z$1)/Yield_Originals!$K255</f>
        <v>0.117809281411844</v>
      </c>
      <c r="AA255" s="112" t="n">
        <f aca="false">(Yield_Originals!$J255*Yield_Originals!AA$1)/Yield_Originals!$K255</f>
        <v>0.120370352746884</v>
      </c>
      <c r="AB255" s="112" t="n">
        <f aca="false">(Yield_Originals!$J255*Yield_Originals!AB$1)/Yield_Originals!$K255</f>
        <v>0.122931424081924</v>
      </c>
    </row>
    <row r="256" customFormat="false" ht="15" hidden="false" customHeight="false" outlineLevel="0" collapsed="false">
      <c r="A256" s="113" t="s">
        <v>868</v>
      </c>
      <c r="B256" s="68" t="n">
        <v>3</v>
      </c>
      <c r="C256" s="114" t="s">
        <v>955</v>
      </c>
      <c r="D256" s="114" t="s">
        <v>867</v>
      </c>
      <c r="E256" s="104" t="n">
        <v>31</v>
      </c>
      <c r="F256" s="106" t="n">
        <v>0.142003083639678</v>
      </c>
      <c r="G256" s="106" t="n">
        <v>0.142003083639678</v>
      </c>
      <c r="H256" s="106" t="n">
        <f aca="false">+(Yield_Originals!I256+Yield_Originals!G256)/2</f>
        <v>0.13793956115311</v>
      </c>
      <c r="I256" s="106" t="n">
        <v>0.133876038666542</v>
      </c>
      <c r="J256" s="106" t="n">
        <v>0.136590471202138</v>
      </c>
      <c r="K256" s="107" t="n">
        <v>2</v>
      </c>
      <c r="L256" s="108" t="n">
        <f aca="false">(Yield_Originals!$G256*Yield_Originals!L$1)/Yield_Originals!$K256</f>
        <v>0.0852018501838068</v>
      </c>
      <c r="M256" s="108" t="n">
        <f aca="false">(Yield_Originals!$G256*Yield_Originals!M$1)/Yield_Originals!$K256</f>
        <v>0.0878644080020508</v>
      </c>
      <c r="N256" s="108" t="n">
        <f aca="false">(Yield_Originals!$G256*Yield_Originals!N$1)/Yield_Originals!$K256</f>
        <v>0.0905269658202947</v>
      </c>
      <c r="O256" s="108" t="n">
        <f aca="false">(Yield_Originals!$G256*Yield_Originals!O$1)/Yield_Originals!$K256</f>
        <v>0.0931895236385387</v>
      </c>
      <c r="P256" s="109" t="n">
        <f aca="false">(Yield_Originals!$H256*Yield_Originals!P$1)/Yield_Originals!$K256</f>
        <v>0.0931092037783493</v>
      </c>
      <c r="Q256" s="109" t="n">
        <f aca="false">(Yield_Originals!$H256*Yield_Originals!Q$1)/Yield_Originals!$K256</f>
        <v>0.0956955705499701</v>
      </c>
      <c r="R256" s="109" t="n">
        <f aca="false">(Yield_Originals!$H256*Yield_Originals!R$1)/Yield_Originals!$K256</f>
        <v>0.0982819373215909</v>
      </c>
      <c r="S256" s="109" t="n">
        <f aca="false">(Yield_Originals!$H256*Yield_Originals!S$1)/Yield_Originals!$K256</f>
        <v>0.100868304093212</v>
      </c>
      <c r="T256" s="111" t="n">
        <f aca="false">(Yield_Originals!$I256*Yield_Originals!T$1)/Yield_Originals!$K256</f>
        <v>0.100407028999907</v>
      </c>
      <c r="U256" s="111" t="n">
        <f aca="false">(Yield_Originals!$I256*Yield_Originals!U$1)/Yield_Originals!$K256</f>
        <v>0.102917204724904</v>
      </c>
      <c r="V256" s="111" t="n">
        <f aca="false">(Yield_Originals!$I256*Yield_Originals!V$1)/Yield_Originals!$K256</f>
        <v>0.105427380449902</v>
      </c>
      <c r="W256" s="111" t="n">
        <f aca="false">(Yield_Originals!$I256*Yield_Originals!W$1)/Yield_Originals!$K256</f>
        <v>0.107937556174899</v>
      </c>
      <c r="X256" s="112" t="n">
        <f aca="false">(Yield_Originals!$J256*Yield_Originals!X$1)/Yield_Originals!$K256</f>
        <v>0.112687138741764</v>
      </c>
      <c r="Y256" s="112" t="n">
        <f aca="false">(Yield_Originals!$J256*Yield_Originals!Y$1)/Yield_Originals!$K256</f>
        <v>0.115248210076804</v>
      </c>
      <c r="Z256" s="112" t="n">
        <f aca="false">(Yield_Originals!$J256*Yield_Originals!Z$1)/Yield_Originals!$K256</f>
        <v>0.117809281411844</v>
      </c>
      <c r="AA256" s="112" t="n">
        <f aca="false">(Yield_Originals!$J256*Yield_Originals!AA$1)/Yield_Originals!$K256</f>
        <v>0.120370352746884</v>
      </c>
      <c r="AB256" s="112" t="n">
        <f aca="false">(Yield_Originals!$J256*Yield_Originals!AB$1)/Yield_Originals!$K256</f>
        <v>0.122931424081924</v>
      </c>
    </row>
    <row r="257" customFormat="false" ht="15" hidden="false" customHeight="false" outlineLevel="0" collapsed="false">
      <c r="A257" s="68" t="s">
        <v>868</v>
      </c>
      <c r="B257" s="68" t="n">
        <v>3</v>
      </c>
      <c r="C257" s="103" t="s">
        <v>958</v>
      </c>
      <c r="D257" s="103" t="s">
        <v>1007</v>
      </c>
      <c r="E257" s="104" t="n">
        <v>26</v>
      </c>
      <c r="F257" s="115" t="n">
        <f aca="false">Yield_Originals!G257</f>
        <v>0.148112988969661</v>
      </c>
      <c r="G257" s="106" t="n">
        <v>0.148112988969661</v>
      </c>
      <c r="H257" s="106" t="n">
        <v>0.148112988969661</v>
      </c>
      <c r="I257" s="106" t="n">
        <f aca="false">+(Yield_Originals!H257+Yield_Originals!J257)/2</f>
        <v>0.154056494484831</v>
      </c>
      <c r="J257" s="106" t="n">
        <v>0.16</v>
      </c>
      <c r="K257" s="107" t="n">
        <v>2</v>
      </c>
      <c r="L257" s="108" t="n">
        <f aca="false">(Yield_Originals!$G257*Yield_Originals!L$1)/Yield_Originals!$K257</f>
        <v>0.0888677933817966</v>
      </c>
      <c r="M257" s="108" t="n">
        <f aca="false">(Yield_Originals!$G257*Yield_Originals!M$1)/Yield_Originals!$K257</f>
        <v>0.0916449119249778</v>
      </c>
      <c r="N257" s="108" t="n">
        <f aca="false">(Yield_Originals!$G257*Yield_Originals!N$1)/Yield_Originals!$K257</f>
        <v>0.0944220304681589</v>
      </c>
      <c r="O257" s="108" t="n">
        <f aca="false">(Yield_Originals!$G257*Yield_Originals!O$1)/Yield_Originals!$K257</f>
        <v>0.0971991490113401</v>
      </c>
      <c r="P257" s="109" t="n">
        <f aca="false">(Yield_Originals!$H257*Yield_Originals!P$1)/Yield_Originals!$K257</f>
        <v>0.0999762675545212</v>
      </c>
      <c r="Q257" s="109" t="n">
        <f aca="false">(Yield_Originals!$H257*Yield_Originals!Q$1)/Yield_Originals!$K257</f>
        <v>0.102753386097702</v>
      </c>
      <c r="R257" s="109" t="n">
        <f aca="false">(Yield_Originals!$H257*Yield_Originals!R$1)/Yield_Originals!$K257</f>
        <v>0.105530504640884</v>
      </c>
      <c r="S257" s="109" t="n">
        <f aca="false">(Yield_Originals!$H257*Yield_Originals!S$1)/Yield_Originals!$K257</f>
        <v>0.108307623184065</v>
      </c>
      <c r="T257" s="111" t="n">
        <f aca="false">(Yield_Originals!$I257*Yield_Originals!T$1)/Yield_Originals!$K257</f>
        <v>0.115542370863623</v>
      </c>
      <c r="U257" s="111" t="n">
        <f aca="false">(Yield_Originals!$I257*Yield_Originals!U$1)/Yield_Originals!$K257</f>
        <v>0.118430930135213</v>
      </c>
      <c r="V257" s="111" t="n">
        <f aca="false">(Yield_Originals!$I257*Yield_Originals!V$1)/Yield_Originals!$K257</f>
        <v>0.121319489406804</v>
      </c>
      <c r="W257" s="111" t="n">
        <f aca="false">(Yield_Originals!$I257*Yield_Originals!W$1)/Yield_Originals!$K257</f>
        <v>0.124208048678395</v>
      </c>
      <c r="X257" s="112" t="n">
        <f aca="false">(Yield_Originals!$I257*Yield_Originals!X$1)/Yield_Originals!$K257</f>
        <v>0.127096607949985</v>
      </c>
      <c r="Y257" s="112" t="n">
        <f aca="false">(Yield_Originals!$I257*Yield_Originals!Y$1)/Yield_Originals!$K257</f>
        <v>0.129985167221576</v>
      </c>
      <c r="Z257" s="0"/>
      <c r="AA257" s="0"/>
      <c r="AB257" s="0"/>
    </row>
    <row r="258" customFormat="false" ht="15" hidden="false" customHeight="false" outlineLevel="0" collapsed="false">
      <c r="A258" s="68" t="s">
        <v>868</v>
      </c>
      <c r="B258" s="68" t="n">
        <v>3</v>
      </c>
      <c r="C258" s="103" t="s">
        <v>958</v>
      </c>
      <c r="D258" s="103" t="s">
        <v>1007</v>
      </c>
      <c r="E258" s="104" t="n">
        <v>30</v>
      </c>
      <c r="F258" s="115" t="n">
        <f aca="false">Yield_Originals!G258</f>
        <v>0.148112988969661</v>
      </c>
      <c r="G258" s="106" t="n">
        <v>0.148112988969661</v>
      </c>
      <c r="H258" s="106" t="n">
        <v>0.148112988969661</v>
      </c>
      <c r="I258" s="106" t="n">
        <f aca="false">+(Yield_Originals!H258+Yield_Originals!J258)/2</f>
        <v>0.154056494484831</v>
      </c>
      <c r="J258" s="106" t="n">
        <v>0.16</v>
      </c>
      <c r="K258" s="107" t="n">
        <v>2</v>
      </c>
      <c r="L258" s="108" t="n">
        <f aca="false">(Yield_Originals!$G258*Yield_Originals!L$1)/Yield_Originals!$K258</f>
        <v>0.0888677933817966</v>
      </c>
      <c r="M258" s="108" t="n">
        <f aca="false">(Yield_Originals!$G258*Yield_Originals!M$1)/Yield_Originals!$K258</f>
        <v>0.0916449119249778</v>
      </c>
      <c r="N258" s="108" t="n">
        <f aca="false">(Yield_Originals!$G258*Yield_Originals!N$1)/Yield_Originals!$K258</f>
        <v>0.0944220304681589</v>
      </c>
      <c r="O258" s="108" t="n">
        <f aca="false">(Yield_Originals!$G258*Yield_Originals!O$1)/Yield_Originals!$K258</f>
        <v>0.0971991490113401</v>
      </c>
      <c r="P258" s="109" t="n">
        <f aca="false">(Yield_Originals!$H258*Yield_Originals!P$1)/Yield_Originals!$K258</f>
        <v>0.0999762675545212</v>
      </c>
      <c r="Q258" s="109" t="n">
        <f aca="false">(Yield_Originals!$H258*Yield_Originals!Q$1)/Yield_Originals!$K258</f>
        <v>0.102753386097702</v>
      </c>
      <c r="R258" s="109" t="n">
        <f aca="false">(Yield_Originals!$H258*Yield_Originals!R$1)/Yield_Originals!$K258</f>
        <v>0.105530504640884</v>
      </c>
      <c r="S258" s="109" t="n">
        <f aca="false">(Yield_Originals!$H258*Yield_Originals!S$1)/Yield_Originals!$K258</f>
        <v>0.108307623184065</v>
      </c>
      <c r="T258" s="111" t="n">
        <f aca="false">(Yield_Originals!$I258*Yield_Originals!T$1)/Yield_Originals!$K258</f>
        <v>0.115542370863623</v>
      </c>
      <c r="U258" s="111" t="n">
        <f aca="false">(Yield_Originals!$I258*Yield_Originals!U$1)/Yield_Originals!$K258</f>
        <v>0.118430930135213</v>
      </c>
      <c r="V258" s="111" t="n">
        <f aca="false">(Yield_Originals!$I258*Yield_Originals!V$1)/Yield_Originals!$K258</f>
        <v>0.121319489406804</v>
      </c>
      <c r="W258" s="111" t="n">
        <f aca="false">(Yield_Originals!$I258*Yield_Originals!W$1)/Yield_Originals!$K258</f>
        <v>0.124208048678395</v>
      </c>
      <c r="X258" s="112" t="n">
        <f aca="false">(Yield_Originals!$I258*Yield_Originals!X$1)/Yield_Originals!$K258</f>
        <v>0.127096607949985</v>
      </c>
      <c r="Y258" s="112" t="n">
        <f aca="false">(Yield_Originals!$I258*Yield_Originals!Y$1)/Yield_Originals!$K258</f>
        <v>0.129985167221576</v>
      </c>
      <c r="Z258" s="0"/>
      <c r="AA258" s="0"/>
      <c r="AB258" s="0"/>
    </row>
    <row r="259" customFormat="false" ht="15" hidden="false" customHeight="false" outlineLevel="0" collapsed="false">
      <c r="A259" s="68" t="s">
        <v>868</v>
      </c>
      <c r="B259" s="68" t="n">
        <v>3</v>
      </c>
      <c r="C259" s="103" t="s">
        <v>958</v>
      </c>
      <c r="D259" s="103" t="s">
        <v>1007</v>
      </c>
      <c r="E259" s="104" t="n">
        <v>31</v>
      </c>
      <c r="F259" s="115" t="n">
        <f aca="false">Yield_Originals!G259</f>
        <v>0.148112988969661</v>
      </c>
      <c r="G259" s="106" t="n">
        <v>0.148112988969661</v>
      </c>
      <c r="H259" s="106" t="n">
        <v>0.148112988969661</v>
      </c>
      <c r="I259" s="106" t="n">
        <f aca="false">+(Yield_Originals!H259+Yield_Originals!J259)/2</f>
        <v>0.154056494484831</v>
      </c>
      <c r="J259" s="106" t="n">
        <v>0.16</v>
      </c>
      <c r="K259" s="107" t="n">
        <v>2</v>
      </c>
      <c r="L259" s="108" t="n">
        <f aca="false">(Yield_Originals!$G259*Yield_Originals!L$1)/Yield_Originals!$K259</f>
        <v>0.0888677933817966</v>
      </c>
      <c r="M259" s="108" t="n">
        <f aca="false">(Yield_Originals!$G259*Yield_Originals!M$1)/Yield_Originals!$K259</f>
        <v>0.0916449119249778</v>
      </c>
      <c r="N259" s="108" t="n">
        <f aca="false">(Yield_Originals!$G259*Yield_Originals!N$1)/Yield_Originals!$K259</f>
        <v>0.0944220304681589</v>
      </c>
      <c r="O259" s="108" t="n">
        <f aca="false">(Yield_Originals!$G259*Yield_Originals!O$1)/Yield_Originals!$K259</f>
        <v>0.0971991490113401</v>
      </c>
      <c r="P259" s="109" t="n">
        <f aca="false">(Yield_Originals!$H259*Yield_Originals!P$1)/Yield_Originals!$K259</f>
        <v>0.0999762675545212</v>
      </c>
      <c r="Q259" s="109" t="n">
        <f aca="false">(Yield_Originals!$H259*Yield_Originals!Q$1)/Yield_Originals!$K259</f>
        <v>0.102753386097702</v>
      </c>
      <c r="R259" s="109" t="n">
        <f aca="false">(Yield_Originals!$H259*Yield_Originals!R$1)/Yield_Originals!$K259</f>
        <v>0.105530504640884</v>
      </c>
      <c r="S259" s="109" t="n">
        <f aca="false">(Yield_Originals!$H259*Yield_Originals!S$1)/Yield_Originals!$K259</f>
        <v>0.108307623184065</v>
      </c>
      <c r="T259" s="111" t="n">
        <f aca="false">(Yield_Originals!$I259*Yield_Originals!T$1)/Yield_Originals!$K259</f>
        <v>0.115542370863623</v>
      </c>
      <c r="U259" s="111" t="n">
        <f aca="false">(Yield_Originals!$I259*Yield_Originals!U$1)/Yield_Originals!$K259</f>
        <v>0.118430930135213</v>
      </c>
      <c r="V259" s="111" t="n">
        <f aca="false">(Yield_Originals!$I259*Yield_Originals!V$1)/Yield_Originals!$K259</f>
        <v>0.121319489406804</v>
      </c>
      <c r="W259" s="111" t="n">
        <f aca="false">(Yield_Originals!$I259*Yield_Originals!W$1)/Yield_Originals!$K259</f>
        <v>0.124208048678395</v>
      </c>
      <c r="X259" s="112" t="n">
        <f aca="false">(Yield_Originals!$I259*Yield_Originals!X$1)/Yield_Originals!$K259</f>
        <v>0.127096607949985</v>
      </c>
      <c r="Y259" s="112" t="n">
        <f aca="false">(Yield_Originals!$I259*Yield_Originals!Y$1)/Yield_Originals!$K259</f>
        <v>0.129985167221576</v>
      </c>
      <c r="Z259" s="0"/>
      <c r="AA259" s="0"/>
      <c r="AB259" s="0"/>
    </row>
    <row r="260" customFormat="false" ht="15" hidden="false" customHeight="false" outlineLevel="0" collapsed="false">
      <c r="A260" s="68" t="s">
        <v>868</v>
      </c>
      <c r="B260" s="68" t="n">
        <v>3</v>
      </c>
      <c r="C260" s="103" t="s">
        <v>141</v>
      </c>
      <c r="D260" s="103" t="s">
        <v>985</v>
      </c>
      <c r="E260" s="104" t="n">
        <v>26</v>
      </c>
      <c r="F260" s="115" t="n">
        <f aca="false">Yield_Originals!G260</f>
        <v>0.148112988969661</v>
      </c>
      <c r="G260" s="106" t="n">
        <v>0.148112988969661</v>
      </c>
      <c r="H260" s="106" t="n">
        <v>0.148112988969661</v>
      </c>
      <c r="I260" s="106" t="n">
        <f aca="false">+(Yield_Originals!H260+Yield_Originals!J260)/2</f>
        <v>0.154056494484831</v>
      </c>
      <c r="J260" s="106" t="n">
        <v>0.16</v>
      </c>
      <c r="K260" s="107" t="n">
        <v>2</v>
      </c>
      <c r="L260" s="108"/>
      <c r="M260" s="108"/>
      <c r="N260" s="108"/>
      <c r="O260" s="108"/>
      <c r="P260" s="109" t="n">
        <f aca="false">(Yield_Originals!$H260*Yield_Originals!P$1)/Yield_Originals!$K260</f>
        <v>0.0999762675545212</v>
      </c>
      <c r="Q260" s="109" t="n">
        <f aca="false">(Yield_Originals!$H260*Yield_Originals!Q$1)/Yield_Originals!$K260</f>
        <v>0.102753386097702</v>
      </c>
      <c r="R260" s="109" t="n">
        <f aca="false">(Yield_Originals!$H260*Yield_Originals!R$1)/Yield_Originals!$K260</f>
        <v>0.105530504640884</v>
      </c>
      <c r="S260" s="109" t="n">
        <f aca="false">(Yield_Originals!$H260*Yield_Originals!S$1)/Yield_Originals!$K260</f>
        <v>0.108307623184065</v>
      </c>
      <c r="T260" s="111" t="n">
        <f aca="false">(Yield_Originals!$I260*Yield_Originals!T$1)/Yield_Originals!$K260</f>
        <v>0.115542370863623</v>
      </c>
      <c r="U260" s="111" t="n">
        <f aca="false">(Yield_Originals!$I260*Yield_Originals!U$1)/Yield_Originals!$K260</f>
        <v>0.118430930135213</v>
      </c>
      <c r="V260" s="111" t="n">
        <f aca="false">(Yield_Originals!$I260*Yield_Originals!V$1)/Yield_Originals!$K260</f>
        <v>0.121319489406804</v>
      </c>
      <c r="W260" s="111" t="n">
        <f aca="false">(Yield_Originals!$I260*Yield_Originals!W$1)/Yield_Originals!$K260</f>
        <v>0.124208048678395</v>
      </c>
      <c r="X260" s="112" t="n">
        <f aca="false">(Yield_Originals!$I260*Yield_Originals!X$1)/Yield_Originals!$K260</f>
        <v>0.127096607949985</v>
      </c>
      <c r="Y260" s="112" t="n">
        <f aca="false">(Yield_Originals!$I260*Yield_Originals!Y$1)/Yield_Originals!$K260</f>
        <v>0.129985167221576</v>
      </c>
      <c r="Z260" s="0"/>
      <c r="AA260" s="0"/>
      <c r="AB260" s="0"/>
    </row>
    <row r="261" customFormat="false" ht="15" hidden="false" customHeight="false" outlineLevel="0" collapsed="false">
      <c r="A261" s="68" t="s">
        <v>868</v>
      </c>
      <c r="B261" s="68" t="n">
        <v>3</v>
      </c>
      <c r="C261" s="103" t="s">
        <v>141</v>
      </c>
      <c r="D261" s="103" t="s">
        <v>985</v>
      </c>
      <c r="E261" s="104" t="n">
        <v>30</v>
      </c>
      <c r="F261" s="115" t="n">
        <f aca="false">Yield_Originals!G261</f>
        <v>0.148112988969661</v>
      </c>
      <c r="G261" s="106" t="n">
        <v>0.148112988969661</v>
      </c>
      <c r="H261" s="106" t="n">
        <v>0.148112988969661</v>
      </c>
      <c r="I261" s="106" t="n">
        <f aca="false">+(Yield_Originals!H261+Yield_Originals!J261)/2</f>
        <v>0.154056494484831</v>
      </c>
      <c r="J261" s="106" t="n">
        <v>0.16</v>
      </c>
      <c r="K261" s="107" t="n">
        <v>2</v>
      </c>
      <c r="L261" s="108"/>
      <c r="M261" s="108"/>
      <c r="N261" s="108"/>
      <c r="O261" s="108"/>
      <c r="P261" s="109" t="n">
        <f aca="false">(Yield_Originals!$H261*Yield_Originals!P$1)/Yield_Originals!$K261</f>
        <v>0.0999762675545212</v>
      </c>
      <c r="Q261" s="109" t="n">
        <f aca="false">(Yield_Originals!$H261*Yield_Originals!Q$1)/Yield_Originals!$K261</f>
        <v>0.102753386097702</v>
      </c>
      <c r="R261" s="109" t="n">
        <f aca="false">(Yield_Originals!$H261*Yield_Originals!R$1)/Yield_Originals!$K261</f>
        <v>0.105530504640884</v>
      </c>
      <c r="S261" s="109" t="n">
        <f aca="false">(Yield_Originals!$H261*Yield_Originals!S$1)/Yield_Originals!$K261</f>
        <v>0.108307623184065</v>
      </c>
      <c r="T261" s="111" t="n">
        <f aca="false">(Yield_Originals!$I261*Yield_Originals!T$1)/Yield_Originals!$K261</f>
        <v>0.115542370863623</v>
      </c>
      <c r="U261" s="111" t="n">
        <f aca="false">(Yield_Originals!$I261*Yield_Originals!U$1)/Yield_Originals!$K261</f>
        <v>0.118430930135213</v>
      </c>
      <c r="V261" s="111" t="n">
        <f aca="false">(Yield_Originals!$I261*Yield_Originals!V$1)/Yield_Originals!$K261</f>
        <v>0.121319489406804</v>
      </c>
      <c r="W261" s="111" t="n">
        <f aca="false">(Yield_Originals!$I261*Yield_Originals!W$1)/Yield_Originals!$K261</f>
        <v>0.124208048678395</v>
      </c>
      <c r="X261" s="112" t="n">
        <f aca="false">(Yield_Originals!$I261*Yield_Originals!X$1)/Yield_Originals!$K261</f>
        <v>0.127096607949985</v>
      </c>
      <c r="Y261" s="112" t="n">
        <f aca="false">(Yield_Originals!$I261*Yield_Originals!Y$1)/Yield_Originals!$K261</f>
        <v>0.129985167221576</v>
      </c>
      <c r="Z261" s="0"/>
      <c r="AA261" s="0"/>
      <c r="AB261" s="0"/>
    </row>
    <row r="262" customFormat="false" ht="15" hidden="false" customHeight="false" outlineLevel="0" collapsed="false">
      <c r="A262" s="68" t="s">
        <v>868</v>
      </c>
      <c r="B262" s="68" t="n">
        <v>3</v>
      </c>
      <c r="C262" s="103" t="s">
        <v>141</v>
      </c>
      <c r="D262" s="103" t="s">
        <v>985</v>
      </c>
      <c r="E262" s="104" t="n">
        <v>31</v>
      </c>
      <c r="F262" s="115" t="n">
        <f aca="false">Yield_Originals!G262</f>
        <v>0.148112988969661</v>
      </c>
      <c r="G262" s="106" t="n">
        <v>0.148112988969661</v>
      </c>
      <c r="H262" s="106" t="n">
        <v>0.148112988969661</v>
      </c>
      <c r="I262" s="106" t="n">
        <f aca="false">+(Yield_Originals!H262+Yield_Originals!J262)/2</f>
        <v>0.154056494484831</v>
      </c>
      <c r="J262" s="106" t="n">
        <v>0.16</v>
      </c>
      <c r="K262" s="107" t="n">
        <v>2</v>
      </c>
      <c r="L262" s="108"/>
      <c r="M262" s="108"/>
      <c r="N262" s="108"/>
      <c r="O262" s="108"/>
      <c r="P262" s="109" t="n">
        <f aca="false">(Yield_Originals!$H262*Yield_Originals!P$1)/Yield_Originals!$K262</f>
        <v>0.0999762675545212</v>
      </c>
      <c r="Q262" s="109" t="n">
        <f aca="false">(Yield_Originals!$H262*Yield_Originals!Q$1)/Yield_Originals!$K262</f>
        <v>0.102753386097702</v>
      </c>
      <c r="R262" s="109" t="n">
        <f aca="false">(Yield_Originals!$H262*Yield_Originals!R$1)/Yield_Originals!$K262</f>
        <v>0.105530504640884</v>
      </c>
      <c r="S262" s="109" t="n">
        <f aca="false">(Yield_Originals!$H262*Yield_Originals!S$1)/Yield_Originals!$K262</f>
        <v>0.108307623184065</v>
      </c>
      <c r="T262" s="111" t="n">
        <f aca="false">(Yield_Originals!$I262*Yield_Originals!T$1)/Yield_Originals!$K262</f>
        <v>0.115542370863623</v>
      </c>
      <c r="U262" s="111" t="n">
        <f aca="false">(Yield_Originals!$I262*Yield_Originals!U$1)/Yield_Originals!$K262</f>
        <v>0.118430930135213</v>
      </c>
      <c r="V262" s="111" t="n">
        <f aca="false">(Yield_Originals!$I262*Yield_Originals!V$1)/Yield_Originals!$K262</f>
        <v>0.121319489406804</v>
      </c>
      <c r="W262" s="111" t="n">
        <f aca="false">(Yield_Originals!$I262*Yield_Originals!W$1)/Yield_Originals!$K262</f>
        <v>0.124208048678395</v>
      </c>
      <c r="X262" s="112" t="n">
        <f aca="false">(Yield_Originals!$I262*Yield_Originals!X$1)/Yield_Originals!$K262</f>
        <v>0.127096607949985</v>
      </c>
      <c r="Y262" s="112" t="n">
        <f aca="false">(Yield_Originals!$I262*Yield_Originals!Y$1)/Yield_Originals!$K262</f>
        <v>0.129985167221576</v>
      </c>
      <c r="Z262" s="0"/>
      <c r="AA262" s="0"/>
      <c r="AB262" s="0"/>
    </row>
    <row r="263" customFormat="false" ht="15" hidden="false" customHeight="false" outlineLevel="0" collapsed="false">
      <c r="A263" s="68" t="s">
        <v>868</v>
      </c>
      <c r="B263" s="68" t="n">
        <v>3</v>
      </c>
      <c r="C263" s="103" t="s">
        <v>254</v>
      </c>
      <c r="D263" s="103" t="s">
        <v>985</v>
      </c>
      <c r="E263" s="104" t="n">
        <v>26</v>
      </c>
      <c r="F263" s="115" t="n">
        <f aca="false">Yield_Originals!G263</f>
        <v>0.148112988969661</v>
      </c>
      <c r="G263" s="106" t="n">
        <v>0.148112988969661</v>
      </c>
      <c r="H263" s="106" t="n">
        <v>0.148112988969661</v>
      </c>
      <c r="I263" s="106" t="n">
        <f aca="false">+(Yield_Originals!H263+Yield_Originals!J263)/2</f>
        <v>0.154056494484831</v>
      </c>
      <c r="J263" s="106" t="n">
        <v>0.16</v>
      </c>
      <c r="K263" s="107" t="n">
        <v>2</v>
      </c>
      <c r="L263" s="108"/>
      <c r="M263" s="108"/>
      <c r="N263" s="108"/>
      <c r="O263" s="108"/>
      <c r="P263" s="109" t="n">
        <f aca="false">(Yield_Originals!$H263*Yield_Originals!P$1)/Yield_Originals!$K263</f>
        <v>0.0999762675545212</v>
      </c>
      <c r="Q263" s="109" t="n">
        <f aca="false">(Yield_Originals!$H263*Yield_Originals!Q$1)/Yield_Originals!$K263</f>
        <v>0.102753386097702</v>
      </c>
      <c r="R263" s="109" t="n">
        <f aca="false">(Yield_Originals!$H263*Yield_Originals!R$1)/Yield_Originals!$K263</f>
        <v>0.105530504640884</v>
      </c>
      <c r="S263" s="109" t="n">
        <f aca="false">(Yield_Originals!$H263*Yield_Originals!S$1)/Yield_Originals!$K263</f>
        <v>0.108307623184065</v>
      </c>
      <c r="T263" s="111" t="n">
        <f aca="false">(Yield_Originals!$I263*Yield_Originals!T$1)/Yield_Originals!$K263</f>
        <v>0.115542370863623</v>
      </c>
      <c r="U263" s="111" t="n">
        <f aca="false">(Yield_Originals!$I263*Yield_Originals!U$1)/Yield_Originals!$K263</f>
        <v>0.118430930135213</v>
      </c>
      <c r="V263" s="111" t="n">
        <f aca="false">(Yield_Originals!$I263*Yield_Originals!V$1)/Yield_Originals!$K263</f>
        <v>0.121319489406804</v>
      </c>
      <c r="W263" s="111" t="n">
        <f aca="false">(Yield_Originals!$I263*Yield_Originals!W$1)/Yield_Originals!$K263</f>
        <v>0.124208048678395</v>
      </c>
      <c r="X263" s="112" t="n">
        <f aca="false">(Yield_Originals!$I263*Yield_Originals!X$1)/Yield_Originals!$K263</f>
        <v>0.127096607949985</v>
      </c>
      <c r="Y263" s="112" t="n">
        <f aca="false">(Yield_Originals!$I263*Yield_Originals!Y$1)/Yield_Originals!$K263</f>
        <v>0.129985167221576</v>
      </c>
      <c r="Z263" s="0"/>
      <c r="AA263" s="0"/>
      <c r="AB263" s="0"/>
    </row>
    <row r="264" customFormat="false" ht="15" hidden="false" customHeight="false" outlineLevel="0" collapsed="false">
      <c r="A264" s="68" t="s">
        <v>868</v>
      </c>
      <c r="B264" s="68" t="n">
        <v>3</v>
      </c>
      <c r="C264" s="103" t="s">
        <v>254</v>
      </c>
      <c r="D264" s="103" t="s">
        <v>985</v>
      </c>
      <c r="E264" s="104" t="n">
        <v>30</v>
      </c>
      <c r="F264" s="115" t="n">
        <f aca="false">Yield_Originals!G264</f>
        <v>0.148112988969661</v>
      </c>
      <c r="G264" s="106" t="n">
        <v>0.148112988969661</v>
      </c>
      <c r="H264" s="106" t="n">
        <v>0.148112988969661</v>
      </c>
      <c r="I264" s="106" t="n">
        <f aca="false">+(Yield_Originals!H264+Yield_Originals!J264)/2</f>
        <v>0.154056494484831</v>
      </c>
      <c r="J264" s="106" t="n">
        <v>0.16</v>
      </c>
      <c r="K264" s="107" t="n">
        <v>2</v>
      </c>
      <c r="L264" s="108"/>
      <c r="M264" s="108"/>
      <c r="N264" s="108"/>
      <c r="O264" s="108"/>
      <c r="P264" s="109" t="n">
        <f aca="false">(Yield_Originals!$H264*Yield_Originals!P$1)/Yield_Originals!$K264</f>
        <v>0.0999762675545212</v>
      </c>
      <c r="Q264" s="109" t="n">
        <f aca="false">(Yield_Originals!$H264*Yield_Originals!Q$1)/Yield_Originals!$K264</f>
        <v>0.102753386097702</v>
      </c>
      <c r="R264" s="109" t="n">
        <f aca="false">(Yield_Originals!$H264*Yield_Originals!R$1)/Yield_Originals!$K264</f>
        <v>0.105530504640884</v>
      </c>
      <c r="S264" s="109" t="n">
        <f aca="false">(Yield_Originals!$H264*Yield_Originals!S$1)/Yield_Originals!$K264</f>
        <v>0.108307623184065</v>
      </c>
      <c r="T264" s="111" t="n">
        <f aca="false">(Yield_Originals!$I264*Yield_Originals!T$1)/Yield_Originals!$K264</f>
        <v>0.115542370863623</v>
      </c>
      <c r="U264" s="111" t="n">
        <f aca="false">(Yield_Originals!$I264*Yield_Originals!U$1)/Yield_Originals!$K264</f>
        <v>0.118430930135213</v>
      </c>
      <c r="V264" s="111" t="n">
        <f aca="false">(Yield_Originals!$I264*Yield_Originals!V$1)/Yield_Originals!$K264</f>
        <v>0.121319489406804</v>
      </c>
      <c r="W264" s="111" t="n">
        <f aca="false">(Yield_Originals!$I264*Yield_Originals!W$1)/Yield_Originals!$K264</f>
        <v>0.124208048678395</v>
      </c>
      <c r="X264" s="112" t="n">
        <f aca="false">(Yield_Originals!$I264*Yield_Originals!X$1)/Yield_Originals!$K264</f>
        <v>0.127096607949985</v>
      </c>
      <c r="Y264" s="112" t="n">
        <f aca="false">(Yield_Originals!$I264*Yield_Originals!Y$1)/Yield_Originals!$K264</f>
        <v>0.129985167221576</v>
      </c>
      <c r="Z264" s="0"/>
      <c r="AA264" s="0"/>
      <c r="AB264" s="0"/>
    </row>
    <row r="265" customFormat="false" ht="15" hidden="false" customHeight="false" outlineLevel="0" collapsed="false">
      <c r="A265" s="68" t="s">
        <v>868</v>
      </c>
      <c r="B265" s="68" t="n">
        <v>3</v>
      </c>
      <c r="C265" s="103" t="s">
        <v>254</v>
      </c>
      <c r="D265" s="103" t="s">
        <v>985</v>
      </c>
      <c r="E265" s="104" t="n">
        <v>31</v>
      </c>
      <c r="F265" s="115" t="n">
        <f aca="false">Yield_Originals!G265</f>
        <v>0.148112988969661</v>
      </c>
      <c r="G265" s="106" t="n">
        <v>0.148112988969661</v>
      </c>
      <c r="H265" s="106" t="n">
        <v>0.148112988969661</v>
      </c>
      <c r="I265" s="106" t="n">
        <f aca="false">+(Yield_Originals!H265+Yield_Originals!J265)/2</f>
        <v>0.154056494484831</v>
      </c>
      <c r="J265" s="106" t="n">
        <v>0.16</v>
      </c>
      <c r="K265" s="107" t="n">
        <v>2</v>
      </c>
      <c r="L265" s="108"/>
      <c r="M265" s="108"/>
      <c r="N265" s="108"/>
      <c r="O265" s="108"/>
      <c r="P265" s="109" t="n">
        <f aca="false">(Yield_Originals!$H265*Yield_Originals!P$1)/Yield_Originals!$K265</f>
        <v>0.0999762675545212</v>
      </c>
      <c r="Q265" s="109" t="n">
        <f aca="false">(Yield_Originals!$H265*Yield_Originals!Q$1)/Yield_Originals!$K265</f>
        <v>0.102753386097702</v>
      </c>
      <c r="R265" s="109" t="n">
        <f aca="false">(Yield_Originals!$H265*Yield_Originals!R$1)/Yield_Originals!$K265</f>
        <v>0.105530504640884</v>
      </c>
      <c r="S265" s="109" t="n">
        <f aca="false">(Yield_Originals!$H265*Yield_Originals!S$1)/Yield_Originals!$K265</f>
        <v>0.108307623184065</v>
      </c>
      <c r="T265" s="111" t="n">
        <f aca="false">(Yield_Originals!$I265*Yield_Originals!T$1)/Yield_Originals!$K265</f>
        <v>0.115542370863623</v>
      </c>
      <c r="U265" s="111" t="n">
        <f aca="false">(Yield_Originals!$I265*Yield_Originals!U$1)/Yield_Originals!$K265</f>
        <v>0.118430930135213</v>
      </c>
      <c r="V265" s="111" t="n">
        <f aca="false">(Yield_Originals!$I265*Yield_Originals!V$1)/Yield_Originals!$K265</f>
        <v>0.121319489406804</v>
      </c>
      <c r="W265" s="111" t="n">
        <f aca="false">(Yield_Originals!$I265*Yield_Originals!W$1)/Yield_Originals!$K265</f>
        <v>0.124208048678395</v>
      </c>
      <c r="X265" s="112" t="n">
        <f aca="false">(Yield_Originals!$I265*Yield_Originals!X$1)/Yield_Originals!$K265</f>
        <v>0.127096607949985</v>
      </c>
      <c r="Y265" s="112" t="n">
        <f aca="false">(Yield_Originals!$I265*Yield_Originals!Y$1)/Yield_Originals!$K265</f>
        <v>0.129985167221576</v>
      </c>
      <c r="Z265" s="0"/>
      <c r="AA265" s="0"/>
      <c r="AB265" s="0"/>
    </row>
    <row r="266" customFormat="false" ht="15" hidden="false" customHeight="false" outlineLevel="0" collapsed="false">
      <c r="A266" s="68" t="s">
        <v>868</v>
      </c>
      <c r="B266" s="68" t="n">
        <v>3</v>
      </c>
      <c r="C266" s="103" t="s">
        <v>142</v>
      </c>
      <c r="D266" s="103" t="s">
        <v>990</v>
      </c>
      <c r="E266" s="104" t="n">
        <v>26</v>
      </c>
      <c r="F266" s="115" t="n">
        <f aca="false">Yield_Originals!G266</f>
        <v>0.148112988969661</v>
      </c>
      <c r="G266" s="106" t="n">
        <v>0.148112988969661</v>
      </c>
      <c r="H266" s="106" t="n">
        <v>0.148112988969661</v>
      </c>
      <c r="I266" s="106" t="n">
        <f aca="false">+(Yield_Originals!H266+Yield_Originals!J266)/2</f>
        <v>0.154056494484831</v>
      </c>
      <c r="J266" s="106" t="n">
        <v>0.16</v>
      </c>
      <c r="K266" s="107" t="n">
        <v>2</v>
      </c>
      <c r="L266" s="108"/>
      <c r="M266" s="108"/>
      <c r="N266" s="108"/>
      <c r="O266" s="108"/>
      <c r="P266" s="109" t="n">
        <f aca="false">(Yield_Originals!$H266*Yield_Originals!P$1)/Yield_Originals!$K266</f>
        <v>0.0999762675545212</v>
      </c>
      <c r="Q266" s="109" t="n">
        <f aca="false">(Yield_Originals!$H266*Yield_Originals!Q$1)/Yield_Originals!$K266</f>
        <v>0.102753386097702</v>
      </c>
      <c r="R266" s="109" t="n">
        <f aca="false">(Yield_Originals!$H266*Yield_Originals!R$1)/Yield_Originals!$K266</f>
        <v>0.105530504640884</v>
      </c>
      <c r="S266" s="109" t="n">
        <f aca="false">(Yield_Originals!$H266*Yield_Originals!S$1)/Yield_Originals!$K266</f>
        <v>0.108307623184065</v>
      </c>
      <c r="T266" s="111" t="n">
        <f aca="false">(Yield_Originals!$I266*Yield_Originals!T$1)/Yield_Originals!$K266</f>
        <v>0.115542370863623</v>
      </c>
      <c r="U266" s="111" t="n">
        <f aca="false">(Yield_Originals!$I266*Yield_Originals!U$1)/Yield_Originals!$K266</f>
        <v>0.118430930135213</v>
      </c>
      <c r="V266" s="111" t="n">
        <f aca="false">(Yield_Originals!$I266*Yield_Originals!V$1)/Yield_Originals!$K266</f>
        <v>0.121319489406804</v>
      </c>
      <c r="W266" s="111" t="n">
        <f aca="false">(Yield_Originals!$I266*Yield_Originals!W$1)/Yield_Originals!$K266</f>
        <v>0.124208048678395</v>
      </c>
      <c r="X266" s="112" t="n">
        <f aca="false">(Yield_Originals!$I266*Yield_Originals!X$1)/Yield_Originals!$K266</f>
        <v>0.127096607949985</v>
      </c>
      <c r="Y266" s="112" t="n">
        <f aca="false">(Yield_Originals!$I266*Yield_Originals!Y$1)/Yield_Originals!$K266</f>
        <v>0.129985167221576</v>
      </c>
      <c r="Z266" s="0"/>
      <c r="AA266" s="0"/>
      <c r="AB266" s="0"/>
    </row>
    <row r="267" customFormat="false" ht="15" hidden="false" customHeight="false" outlineLevel="0" collapsed="false">
      <c r="A267" s="68" t="s">
        <v>868</v>
      </c>
      <c r="B267" s="68" t="n">
        <v>3</v>
      </c>
      <c r="C267" s="103" t="s">
        <v>142</v>
      </c>
      <c r="D267" s="103" t="s">
        <v>990</v>
      </c>
      <c r="E267" s="104" t="n">
        <v>30</v>
      </c>
      <c r="F267" s="115" t="n">
        <f aca="false">Yield_Originals!G267</f>
        <v>0.148112988969661</v>
      </c>
      <c r="G267" s="106" t="n">
        <v>0.148112988969661</v>
      </c>
      <c r="H267" s="106" t="n">
        <v>0.148112988969661</v>
      </c>
      <c r="I267" s="106" t="n">
        <f aca="false">+(Yield_Originals!H267+Yield_Originals!J267)/2</f>
        <v>0.154056494484831</v>
      </c>
      <c r="J267" s="106" t="n">
        <v>0.16</v>
      </c>
      <c r="K267" s="107" t="n">
        <v>2</v>
      </c>
      <c r="L267" s="108"/>
      <c r="M267" s="108"/>
      <c r="N267" s="108"/>
      <c r="O267" s="108"/>
      <c r="P267" s="109" t="n">
        <f aca="false">(Yield_Originals!$H267*Yield_Originals!P$1)/Yield_Originals!$K267</f>
        <v>0.0999762675545212</v>
      </c>
      <c r="Q267" s="109" t="n">
        <f aca="false">(Yield_Originals!$H267*Yield_Originals!Q$1)/Yield_Originals!$K267</f>
        <v>0.102753386097702</v>
      </c>
      <c r="R267" s="109" t="n">
        <f aca="false">(Yield_Originals!$H267*Yield_Originals!R$1)/Yield_Originals!$K267</f>
        <v>0.105530504640884</v>
      </c>
      <c r="S267" s="109" t="n">
        <f aca="false">(Yield_Originals!$H267*Yield_Originals!S$1)/Yield_Originals!$K267</f>
        <v>0.108307623184065</v>
      </c>
      <c r="T267" s="111" t="n">
        <f aca="false">(Yield_Originals!$I267*Yield_Originals!T$1)/Yield_Originals!$K267</f>
        <v>0.115542370863623</v>
      </c>
      <c r="U267" s="111" t="n">
        <f aca="false">(Yield_Originals!$I267*Yield_Originals!U$1)/Yield_Originals!$K267</f>
        <v>0.118430930135213</v>
      </c>
      <c r="V267" s="111" t="n">
        <f aca="false">(Yield_Originals!$I267*Yield_Originals!V$1)/Yield_Originals!$K267</f>
        <v>0.121319489406804</v>
      </c>
      <c r="W267" s="111" t="n">
        <f aca="false">(Yield_Originals!$I267*Yield_Originals!W$1)/Yield_Originals!$K267</f>
        <v>0.124208048678395</v>
      </c>
      <c r="X267" s="112" t="n">
        <f aca="false">(Yield_Originals!$I267*Yield_Originals!X$1)/Yield_Originals!$K267</f>
        <v>0.127096607949985</v>
      </c>
      <c r="Y267" s="112" t="n">
        <f aca="false">(Yield_Originals!$I267*Yield_Originals!Y$1)/Yield_Originals!$K267</f>
        <v>0.129985167221576</v>
      </c>
      <c r="Z267" s="0"/>
      <c r="AA267" s="0"/>
      <c r="AB267" s="0"/>
    </row>
    <row r="268" customFormat="false" ht="15" hidden="false" customHeight="false" outlineLevel="0" collapsed="false">
      <c r="A268" s="68" t="s">
        <v>868</v>
      </c>
      <c r="B268" s="68" t="n">
        <v>3</v>
      </c>
      <c r="C268" s="103" t="s">
        <v>142</v>
      </c>
      <c r="D268" s="103" t="s">
        <v>990</v>
      </c>
      <c r="E268" s="104" t="n">
        <v>31</v>
      </c>
      <c r="F268" s="115" t="n">
        <f aca="false">Yield_Originals!G268</f>
        <v>0.148112988969661</v>
      </c>
      <c r="G268" s="106" t="n">
        <v>0.148112988969661</v>
      </c>
      <c r="H268" s="106" t="n">
        <v>0.148112988969661</v>
      </c>
      <c r="I268" s="106" t="n">
        <f aca="false">+(Yield_Originals!H268+Yield_Originals!J268)/2</f>
        <v>0.154056494484831</v>
      </c>
      <c r="J268" s="106" t="n">
        <v>0.16</v>
      </c>
      <c r="K268" s="107" t="n">
        <v>2</v>
      </c>
      <c r="L268" s="108"/>
      <c r="M268" s="108"/>
      <c r="N268" s="108"/>
      <c r="O268" s="108"/>
      <c r="P268" s="109" t="n">
        <f aca="false">(Yield_Originals!$H268*Yield_Originals!P$1)/Yield_Originals!$K268</f>
        <v>0.0999762675545212</v>
      </c>
      <c r="Q268" s="109" t="n">
        <f aca="false">(Yield_Originals!$H268*Yield_Originals!Q$1)/Yield_Originals!$K268</f>
        <v>0.102753386097702</v>
      </c>
      <c r="R268" s="109" t="n">
        <f aca="false">(Yield_Originals!$H268*Yield_Originals!R$1)/Yield_Originals!$K268</f>
        <v>0.105530504640884</v>
      </c>
      <c r="S268" s="109" t="n">
        <f aca="false">(Yield_Originals!$H268*Yield_Originals!S$1)/Yield_Originals!$K268</f>
        <v>0.108307623184065</v>
      </c>
      <c r="T268" s="111" t="n">
        <f aca="false">(Yield_Originals!$I268*Yield_Originals!T$1)/Yield_Originals!$K268</f>
        <v>0.115542370863623</v>
      </c>
      <c r="U268" s="111" t="n">
        <f aca="false">(Yield_Originals!$I268*Yield_Originals!U$1)/Yield_Originals!$K268</f>
        <v>0.118430930135213</v>
      </c>
      <c r="V268" s="111" t="n">
        <f aca="false">(Yield_Originals!$I268*Yield_Originals!V$1)/Yield_Originals!$K268</f>
        <v>0.121319489406804</v>
      </c>
      <c r="W268" s="111" t="n">
        <f aca="false">(Yield_Originals!$I268*Yield_Originals!W$1)/Yield_Originals!$K268</f>
        <v>0.124208048678395</v>
      </c>
      <c r="X268" s="112" t="n">
        <f aca="false">(Yield_Originals!$I268*Yield_Originals!X$1)/Yield_Originals!$K268</f>
        <v>0.127096607949985</v>
      </c>
      <c r="Y268" s="112" t="n">
        <f aca="false">(Yield_Originals!$I268*Yield_Originals!Y$1)/Yield_Originals!$K268</f>
        <v>0.129985167221576</v>
      </c>
      <c r="Z268" s="0"/>
      <c r="AA268" s="0"/>
      <c r="AB268" s="0"/>
    </row>
    <row r="269" customFormat="false" ht="15" hidden="false" customHeight="false" outlineLevel="0" collapsed="false">
      <c r="A269" s="68" t="s">
        <v>868</v>
      </c>
      <c r="B269" s="68" t="n">
        <v>3</v>
      </c>
      <c r="C269" s="103" t="s">
        <v>255</v>
      </c>
      <c r="D269" s="103" t="s">
        <v>992</v>
      </c>
      <c r="E269" s="104" t="n">
        <v>26</v>
      </c>
      <c r="F269" s="115" t="n">
        <f aca="false">Yield_Originals!G269</f>
        <v>0.148112988969661</v>
      </c>
      <c r="G269" s="106" t="n">
        <v>0.148112988969661</v>
      </c>
      <c r="H269" s="106" t="n">
        <v>0.148112988969661</v>
      </c>
      <c r="I269" s="106" t="n">
        <f aca="false">+(Yield_Originals!H269+Yield_Originals!J269)/2</f>
        <v>0.154056494484831</v>
      </c>
      <c r="J269" s="106" t="n">
        <v>0.16</v>
      </c>
      <c r="K269" s="107" t="n">
        <v>2</v>
      </c>
      <c r="L269" s="108"/>
      <c r="M269" s="108"/>
      <c r="N269" s="108"/>
      <c r="O269" s="108"/>
      <c r="P269" s="109" t="n">
        <f aca="false">(Yield_Originals!$H269*Yield_Originals!P$1)/Yield_Originals!$K269</f>
        <v>0.0999762675545212</v>
      </c>
      <c r="Q269" s="109" t="n">
        <f aca="false">(Yield_Originals!$H269*Yield_Originals!Q$1)/Yield_Originals!$K269</f>
        <v>0.102753386097702</v>
      </c>
      <c r="R269" s="109" t="n">
        <f aca="false">(Yield_Originals!$H269*Yield_Originals!R$1)/Yield_Originals!$K269</f>
        <v>0.105530504640884</v>
      </c>
      <c r="S269" s="109" t="n">
        <f aca="false">(Yield_Originals!$H269*Yield_Originals!S$1)/Yield_Originals!$K269</f>
        <v>0.108307623184065</v>
      </c>
      <c r="T269" s="111" t="n">
        <f aca="false">(Yield_Originals!$I269*Yield_Originals!T$1)/Yield_Originals!$K269</f>
        <v>0.115542370863623</v>
      </c>
      <c r="U269" s="111" t="n">
        <f aca="false">(Yield_Originals!$I269*Yield_Originals!U$1)/Yield_Originals!$K269</f>
        <v>0.118430930135213</v>
      </c>
      <c r="V269" s="111" t="n">
        <f aca="false">(Yield_Originals!$I269*Yield_Originals!V$1)/Yield_Originals!$K269</f>
        <v>0.121319489406804</v>
      </c>
      <c r="W269" s="111" t="n">
        <f aca="false">(Yield_Originals!$I269*Yield_Originals!W$1)/Yield_Originals!$K269</f>
        <v>0.124208048678395</v>
      </c>
      <c r="X269" s="112" t="n">
        <f aca="false">(Yield_Originals!$I269*Yield_Originals!X$1)/Yield_Originals!$K269</f>
        <v>0.127096607949985</v>
      </c>
      <c r="Y269" s="112" t="n">
        <f aca="false">(Yield_Originals!$I269*Yield_Originals!Y$1)/Yield_Originals!$K269</f>
        <v>0.129985167221576</v>
      </c>
      <c r="Z269" s="0"/>
      <c r="AA269" s="0"/>
      <c r="AB269" s="0"/>
    </row>
    <row r="270" customFormat="false" ht="15" hidden="false" customHeight="false" outlineLevel="0" collapsed="false">
      <c r="A270" s="68" t="s">
        <v>868</v>
      </c>
      <c r="B270" s="68" t="n">
        <v>3</v>
      </c>
      <c r="C270" s="103" t="s">
        <v>255</v>
      </c>
      <c r="D270" s="103" t="s">
        <v>992</v>
      </c>
      <c r="E270" s="104" t="n">
        <v>30</v>
      </c>
      <c r="F270" s="115" t="n">
        <f aca="false">Yield_Originals!G270</f>
        <v>0.148112988969661</v>
      </c>
      <c r="G270" s="106" t="n">
        <v>0.148112988969661</v>
      </c>
      <c r="H270" s="106" t="n">
        <v>0.148112988969661</v>
      </c>
      <c r="I270" s="106" t="n">
        <f aca="false">+(Yield_Originals!H270+Yield_Originals!J270)/2</f>
        <v>0.154056494484831</v>
      </c>
      <c r="J270" s="106" t="n">
        <v>0.16</v>
      </c>
      <c r="K270" s="107" t="n">
        <v>2</v>
      </c>
      <c r="L270" s="108"/>
      <c r="M270" s="108"/>
      <c r="N270" s="108"/>
      <c r="O270" s="108"/>
      <c r="P270" s="109" t="n">
        <f aca="false">(Yield_Originals!$H270*Yield_Originals!P$1)/Yield_Originals!$K270</f>
        <v>0.0999762675545212</v>
      </c>
      <c r="Q270" s="109" t="n">
        <f aca="false">(Yield_Originals!$H270*Yield_Originals!Q$1)/Yield_Originals!$K270</f>
        <v>0.102753386097702</v>
      </c>
      <c r="R270" s="109" t="n">
        <f aca="false">(Yield_Originals!$H270*Yield_Originals!R$1)/Yield_Originals!$K270</f>
        <v>0.105530504640884</v>
      </c>
      <c r="S270" s="109" t="n">
        <f aca="false">(Yield_Originals!$H270*Yield_Originals!S$1)/Yield_Originals!$K270</f>
        <v>0.108307623184065</v>
      </c>
      <c r="T270" s="111" t="n">
        <f aca="false">(Yield_Originals!$I270*Yield_Originals!T$1)/Yield_Originals!$K270</f>
        <v>0.115542370863623</v>
      </c>
      <c r="U270" s="111" t="n">
        <f aca="false">(Yield_Originals!$I270*Yield_Originals!U$1)/Yield_Originals!$K270</f>
        <v>0.118430930135213</v>
      </c>
      <c r="V270" s="111" t="n">
        <f aca="false">(Yield_Originals!$I270*Yield_Originals!V$1)/Yield_Originals!$K270</f>
        <v>0.121319489406804</v>
      </c>
      <c r="W270" s="111" t="n">
        <f aca="false">(Yield_Originals!$I270*Yield_Originals!W$1)/Yield_Originals!$K270</f>
        <v>0.124208048678395</v>
      </c>
      <c r="X270" s="112" t="n">
        <f aca="false">(Yield_Originals!$I270*Yield_Originals!X$1)/Yield_Originals!$K270</f>
        <v>0.127096607949985</v>
      </c>
      <c r="Y270" s="112" t="n">
        <f aca="false">(Yield_Originals!$I270*Yield_Originals!Y$1)/Yield_Originals!$K270</f>
        <v>0.129985167221576</v>
      </c>
      <c r="Z270" s="0"/>
      <c r="AA270" s="0"/>
      <c r="AB270" s="0"/>
    </row>
    <row r="271" customFormat="false" ht="15" hidden="false" customHeight="false" outlineLevel="0" collapsed="false">
      <c r="A271" s="68" t="s">
        <v>868</v>
      </c>
      <c r="B271" s="68" t="n">
        <v>3</v>
      </c>
      <c r="C271" s="103" t="s">
        <v>255</v>
      </c>
      <c r="D271" s="103" t="s">
        <v>992</v>
      </c>
      <c r="E271" s="104" t="n">
        <v>31</v>
      </c>
      <c r="F271" s="115" t="n">
        <f aca="false">Yield_Originals!G271</f>
        <v>0.148112988969661</v>
      </c>
      <c r="G271" s="106" t="n">
        <v>0.148112988969661</v>
      </c>
      <c r="H271" s="106" t="n">
        <v>0.148112988969661</v>
      </c>
      <c r="I271" s="106" t="n">
        <f aca="false">+(Yield_Originals!H271+Yield_Originals!J271)/2</f>
        <v>0.154056494484831</v>
      </c>
      <c r="J271" s="106" t="n">
        <v>0.16</v>
      </c>
      <c r="K271" s="107" t="n">
        <v>2</v>
      </c>
      <c r="L271" s="108"/>
      <c r="M271" s="108"/>
      <c r="N271" s="108"/>
      <c r="O271" s="108"/>
      <c r="P271" s="109" t="n">
        <f aca="false">(Yield_Originals!$H271*Yield_Originals!P$1)/Yield_Originals!$K271</f>
        <v>0.0999762675545212</v>
      </c>
      <c r="Q271" s="109" t="n">
        <f aca="false">(Yield_Originals!$H271*Yield_Originals!Q$1)/Yield_Originals!$K271</f>
        <v>0.102753386097702</v>
      </c>
      <c r="R271" s="109" t="n">
        <f aca="false">(Yield_Originals!$H271*Yield_Originals!R$1)/Yield_Originals!$K271</f>
        <v>0.105530504640884</v>
      </c>
      <c r="S271" s="109" t="n">
        <f aca="false">(Yield_Originals!$H271*Yield_Originals!S$1)/Yield_Originals!$K271</f>
        <v>0.108307623184065</v>
      </c>
      <c r="T271" s="111" t="n">
        <f aca="false">(Yield_Originals!$I271*Yield_Originals!T$1)/Yield_Originals!$K271</f>
        <v>0.115542370863623</v>
      </c>
      <c r="U271" s="111" t="n">
        <f aca="false">(Yield_Originals!$I271*Yield_Originals!U$1)/Yield_Originals!$K271</f>
        <v>0.118430930135213</v>
      </c>
      <c r="V271" s="111" t="n">
        <f aca="false">(Yield_Originals!$I271*Yield_Originals!V$1)/Yield_Originals!$K271</f>
        <v>0.121319489406804</v>
      </c>
      <c r="W271" s="111" t="n">
        <f aca="false">(Yield_Originals!$I271*Yield_Originals!W$1)/Yield_Originals!$K271</f>
        <v>0.124208048678395</v>
      </c>
      <c r="X271" s="112" t="n">
        <f aca="false">(Yield_Originals!$I271*Yield_Originals!X$1)/Yield_Originals!$K271</f>
        <v>0.127096607949985</v>
      </c>
      <c r="Y271" s="112" t="n">
        <f aca="false">(Yield_Originals!$I271*Yield_Originals!Y$1)/Yield_Originals!$K271</f>
        <v>0.129985167221576</v>
      </c>
      <c r="Z271" s="0"/>
      <c r="AA271" s="0"/>
      <c r="AB271" s="0"/>
    </row>
    <row r="272" customFormat="false" ht="15" hidden="false" customHeight="false" outlineLevel="0" collapsed="false">
      <c r="A272" s="68" t="s">
        <v>868</v>
      </c>
      <c r="B272" s="68" t="n">
        <v>3</v>
      </c>
      <c r="C272" s="103" t="s">
        <v>968</v>
      </c>
      <c r="D272" s="103" t="s">
        <v>996</v>
      </c>
      <c r="E272" s="104" t="n">
        <v>26</v>
      </c>
      <c r="F272" s="115" t="n">
        <f aca="false">Yield_Originals!G272</f>
        <v>0.148112988969661</v>
      </c>
      <c r="G272" s="106" t="n">
        <v>0.148112988969661</v>
      </c>
      <c r="H272" s="106" t="n">
        <v>0.148112988969661</v>
      </c>
      <c r="I272" s="106" t="n">
        <f aca="false">+(Yield_Originals!H272+Yield_Originals!J272)/2</f>
        <v>0.154056494484831</v>
      </c>
      <c r="J272" s="106" t="n">
        <v>0.16</v>
      </c>
      <c r="K272" s="107" t="n">
        <v>2</v>
      </c>
      <c r="L272" s="108"/>
      <c r="M272" s="108"/>
      <c r="N272" s="108"/>
      <c r="O272" s="108"/>
      <c r="P272" s="109" t="n">
        <f aca="false">(Yield_Originals!$H272*Yield_Originals!P$1)/Yield_Originals!$K272</f>
        <v>0.0999762675545212</v>
      </c>
      <c r="Q272" s="109" t="n">
        <f aca="false">(Yield_Originals!$H272*Yield_Originals!Q$1)/Yield_Originals!$K272</f>
        <v>0.102753386097702</v>
      </c>
      <c r="R272" s="109" t="n">
        <f aca="false">(Yield_Originals!$H272*Yield_Originals!R$1)/Yield_Originals!$K272</f>
        <v>0.105530504640884</v>
      </c>
      <c r="S272" s="109" t="n">
        <f aca="false">(Yield_Originals!$H272*Yield_Originals!S$1)/Yield_Originals!$K272</f>
        <v>0.108307623184065</v>
      </c>
      <c r="T272" s="111" t="n">
        <f aca="false">(Yield_Originals!$I272*Yield_Originals!T$1)/Yield_Originals!$K272</f>
        <v>0.115542370863623</v>
      </c>
      <c r="U272" s="111" t="n">
        <f aca="false">(Yield_Originals!$I272*Yield_Originals!U$1)/Yield_Originals!$K272</f>
        <v>0.118430930135213</v>
      </c>
      <c r="V272" s="111" t="n">
        <f aca="false">(Yield_Originals!$I272*Yield_Originals!V$1)/Yield_Originals!$K272</f>
        <v>0.121319489406804</v>
      </c>
      <c r="W272" s="111" t="n">
        <f aca="false">(Yield_Originals!$I272*Yield_Originals!W$1)/Yield_Originals!$K272</f>
        <v>0.124208048678395</v>
      </c>
      <c r="X272" s="112" t="n">
        <f aca="false">(Yield_Originals!$I272*Yield_Originals!X$1)/Yield_Originals!$K272</f>
        <v>0.127096607949985</v>
      </c>
      <c r="Y272" s="112" t="n">
        <f aca="false">(Yield_Originals!$I272*Yield_Originals!Y$1)/Yield_Originals!$K272</f>
        <v>0.129985167221576</v>
      </c>
      <c r="Z272" s="0"/>
      <c r="AA272" s="0"/>
      <c r="AB272" s="0"/>
    </row>
    <row r="273" customFormat="false" ht="15" hidden="false" customHeight="false" outlineLevel="0" collapsed="false">
      <c r="A273" s="68" t="s">
        <v>868</v>
      </c>
      <c r="B273" s="68" t="n">
        <v>3</v>
      </c>
      <c r="C273" s="103" t="s">
        <v>968</v>
      </c>
      <c r="D273" s="103" t="s">
        <v>996</v>
      </c>
      <c r="E273" s="104" t="n">
        <v>30</v>
      </c>
      <c r="F273" s="115" t="n">
        <f aca="false">Yield_Originals!G273</f>
        <v>0.148112988969661</v>
      </c>
      <c r="G273" s="106" t="n">
        <v>0.148112988969661</v>
      </c>
      <c r="H273" s="106" t="n">
        <v>0.148112988969661</v>
      </c>
      <c r="I273" s="106" t="n">
        <f aca="false">+(Yield_Originals!H273+Yield_Originals!J273)/2</f>
        <v>0.154056494484831</v>
      </c>
      <c r="J273" s="106" t="n">
        <v>0.16</v>
      </c>
      <c r="K273" s="107" t="n">
        <v>2</v>
      </c>
      <c r="L273" s="108"/>
      <c r="M273" s="108"/>
      <c r="N273" s="108"/>
      <c r="O273" s="108"/>
      <c r="P273" s="109" t="n">
        <f aca="false">(Yield_Originals!$H273*Yield_Originals!P$1)/Yield_Originals!$K273</f>
        <v>0.0999762675545212</v>
      </c>
      <c r="Q273" s="109" t="n">
        <f aca="false">(Yield_Originals!$H273*Yield_Originals!Q$1)/Yield_Originals!$K273</f>
        <v>0.102753386097702</v>
      </c>
      <c r="R273" s="109" t="n">
        <f aca="false">(Yield_Originals!$H273*Yield_Originals!R$1)/Yield_Originals!$K273</f>
        <v>0.105530504640884</v>
      </c>
      <c r="S273" s="109" t="n">
        <f aca="false">(Yield_Originals!$H273*Yield_Originals!S$1)/Yield_Originals!$K273</f>
        <v>0.108307623184065</v>
      </c>
      <c r="T273" s="111" t="n">
        <f aca="false">(Yield_Originals!$I273*Yield_Originals!T$1)/Yield_Originals!$K273</f>
        <v>0.115542370863623</v>
      </c>
      <c r="U273" s="111" t="n">
        <f aca="false">(Yield_Originals!$I273*Yield_Originals!U$1)/Yield_Originals!$K273</f>
        <v>0.118430930135213</v>
      </c>
      <c r="V273" s="111" t="n">
        <f aca="false">(Yield_Originals!$I273*Yield_Originals!V$1)/Yield_Originals!$K273</f>
        <v>0.121319489406804</v>
      </c>
      <c r="W273" s="111" t="n">
        <f aca="false">(Yield_Originals!$I273*Yield_Originals!W$1)/Yield_Originals!$K273</f>
        <v>0.124208048678395</v>
      </c>
      <c r="X273" s="112" t="n">
        <f aca="false">(Yield_Originals!$I273*Yield_Originals!X$1)/Yield_Originals!$K273</f>
        <v>0.127096607949985</v>
      </c>
      <c r="Y273" s="112" t="n">
        <f aca="false">(Yield_Originals!$I273*Yield_Originals!Y$1)/Yield_Originals!$K273</f>
        <v>0.129985167221576</v>
      </c>
      <c r="Z273" s="0"/>
      <c r="AA273" s="0"/>
      <c r="AB273" s="0"/>
    </row>
    <row r="274" customFormat="false" ht="15" hidden="false" customHeight="false" outlineLevel="0" collapsed="false">
      <c r="A274" s="68" t="s">
        <v>868</v>
      </c>
      <c r="B274" s="68" t="n">
        <v>3</v>
      </c>
      <c r="C274" s="103" t="s">
        <v>968</v>
      </c>
      <c r="D274" s="103" t="s">
        <v>996</v>
      </c>
      <c r="E274" s="104" t="n">
        <v>31</v>
      </c>
      <c r="F274" s="115" t="n">
        <f aca="false">Yield_Originals!G274</f>
        <v>0.148112988969661</v>
      </c>
      <c r="G274" s="106" t="n">
        <v>0.148112988969661</v>
      </c>
      <c r="H274" s="106" t="n">
        <v>0.148112988969661</v>
      </c>
      <c r="I274" s="106" t="n">
        <f aca="false">+(Yield_Originals!H274+Yield_Originals!J274)/2</f>
        <v>0.154056494484831</v>
      </c>
      <c r="J274" s="106" t="n">
        <v>0.16</v>
      </c>
      <c r="K274" s="107" t="n">
        <v>2</v>
      </c>
      <c r="L274" s="108"/>
      <c r="M274" s="108"/>
      <c r="N274" s="108"/>
      <c r="O274" s="108"/>
      <c r="P274" s="109" t="n">
        <f aca="false">(Yield_Originals!$H274*Yield_Originals!P$1)/Yield_Originals!$K274</f>
        <v>0.0999762675545212</v>
      </c>
      <c r="Q274" s="109" t="n">
        <f aca="false">(Yield_Originals!$H274*Yield_Originals!Q$1)/Yield_Originals!$K274</f>
        <v>0.102753386097702</v>
      </c>
      <c r="R274" s="109" t="n">
        <f aca="false">(Yield_Originals!$H274*Yield_Originals!R$1)/Yield_Originals!$K274</f>
        <v>0.105530504640884</v>
      </c>
      <c r="S274" s="109" t="n">
        <f aca="false">(Yield_Originals!$H274*Yield_Originals!S$1)/Yield_Originals!$K274</f>
        <v>0.108307623184065</v>
      </c>
      <c r="T274" s="111" t="n">
        <f aca="false">(Yield_Originals!$I274*Yield_Originals!T$1)/Yield_Originals!$K274</f>
        <v>0.115542370863623</v>
      </c>
      <c r="U274" s="111" t="n">
        <f aca="false">(Yield_Originals!$I274*Yield_Originals!U$1)/Yield_Originals!$K274</f>
        <v>0.118430930135213</v>
      </c>
      <c r="V274" s="111" t="n">
        <f aca="false">(Yield_Originals!$I274*Yield_Originals!V$1)/Yield_Originals!$K274</f>
        <v>0.121319489406804</v>
      </c>
      <c r="W274" s="111" t="n">
        <f aca="false">(Yield_Originals!$I274*Yield_Originals!W$1)/Yield_Originals!$K274</f>
        <v>0.124208048678395</v>
      </c>
      <c r="X274" s="112" t="n">
        <f aca="false">(Yield_Originals!$I274*Yield_Originals!X$1)/Yield_Originals!$K274</f>
        <v>0.127096607949985</v>
      </c>
      <c r="Y274" s="112" t="n">
        <f aca="false">(Yield_Originals!$I274*Yield_Originals!Y$1)/Yield_Originals!$K274</f>
        <v>0.129985167221576</v>
      </c>
      <c r="Z274" s="0"/>
      <c r="AA274" s="0"/>
      <c r="AB274" s="0"/>
    </row>
    <row r="275" customFormat="false" ht="15" hidden="false" customHeight="false" outlineLevel="0" collapsed="false">
      <c r="A275" s="68" t="s">
        <v>868</v>
      </c>
      <c r="B275" s="68" t="n">
        <v>3</v>
      </c>
      <c r="C275" s="103" t="s">
        <v>256</v>
      </c>
      <c r="D275" s="103" t="s">
        <v>996</v>
      </c>
      <c r="E275" s="104" t="n">
        <v>26</v>
      </c>
      <c r="F275" s="115" t="n">
        <f aca="false">Yield_Originals!G275</f>
        <v>0.148112988969661</v>
      </c>
      <c r="G275" s="106" t="n">
        <v>0.148112988969661</v>
      </c>
      <c r="H275" s="106" t="n">
        <v>0.148112988969661</v>
      </c>
      <c r="I275" s="106" t="n">
        <f aca="false">+(Yield_Originals!H275+Yield_Originals!J275)/2</f>
        <v>0.154056494484831</v>
      </c>
      <c r="J275" s="106" t="n">
        <v>0.16</v>
      </c>
      <c r="K275" s="107" t="n">
        <v>2</v>
      </c>
      <c r="L275" s="108"/>
      <c r="M275" s="108"/>
      <c r="N275" s="108"/>
      <c r="O275" s="108"/>
      <c r="P275" s="109" t="n">
        <f aca="false">(Yield_Originals!$H275*Yield_Originals!P$1)/Yield_Originals!$K275</f>
        <v>0.0999762675545212</v>
      </c>
      <c r="Q275" s="109" t="n">
        <f aca="false">(Yield_Originals!$H275*Yield_Originals!Q$1)/Yield_Originals!$K275</f>
        <v>0.102753386097702</v>
      </c>
      <c r="R275" s="109" t="n">
        <f aca="false">(Yield_Originals!$H275*Yield_Originals!R$1)/Yield_Originals!$K275</f>
        <v>0.105530504640884</v>
      </c>
      <c r="S275" s="109" t="n">
        <f aca="false">(Yield_Originals!$H275*Yield_Originals!S$1)/Yield_Originals!$K275</f>
        <v>0.108307623184065</v>
      </c>
      <c r="T275" s="111" t="n">
        <f aca="false">(Yield_Originals!$I275*Yield_Originals!T$1)/Yield_Originals!$K275</f>
        <v>0.115542370863623</v>
      </c>
      <c r="U275" s="111" t="n">
        <f aca="false">(Yield_Originals!$I275*Yield_Originals!U$1)/Yield_Originals!$K275</f>
        <v>0.118430930135213</v>
      </c>
      <c r="V275" s="111" t="n">
        <f aca="false">(Yield_Originals!$I275*Yield_Originals!V$1)/Yield_Originals!$K275</f>
        <v>0.121319489406804</v>
      </c>
      <c r="W275" s="111" t="n">
        <f aca="false">(Yield_Originals!$I275*Yield_Originals!W$1)/Yield_Originals!$K275</f>
        <v>0.124208048678395</v>
      </c>
      <c r="X275" s="112" t="n">
        <f aca="false">(Yield_Originals!$I275*Yield_Originals!X$1)/Yield_Originals!$K275</f>
        <v>0.127096607949985</v>
      </c>
      <c r="Y275" s="112" t="n">
        <f aca="false">(Yield_Originals!$I275*Yield_Originals!Y$1)/Yield_Originals!$K275</f>
        <v>0.129985167221576</v>
      </c>
      <c r="Z275" s="0"/>
      <c r="AA275" s="0"/>
      <c r="AB275" s="0"/>
    </row>
    <row r="276" customFormat="false" ht="15" hidden="false" customHeight="false" outlineLevel="0" collapsed="false">
      <c r="A276" s="68" t="s">
        <v>868</v>
      </c>
      <c r="B276" s="68" t="n">
        <v>3</v>
      </c>
      <c r="C276" s="103" t="s">
        <v>256</v>
      </c>
      <c r="D276" s="103" t="s">
        <v>996</v>
      </c>
      <c r="E276" s="104" t="n">
        <v>30</v>
      </c>
      <c r="F276" s="115" t="n">
        <f aca="false">Yield_Originals!G276</f>
        <v>0.148112988969661</v>
      </c>
      <c r="G276" s="106" t="n">
        <v>0.148112988969661</v>
      </c>
      <c r="H276" s="106" t="n">
        <v>0.148112988969661</v>
      </c>
      <c r="I276" s="106" t="n">
        <f aca="false">+(Yield_Originals!H276+Yield_Originals!J276)/2</f>
        <v>0.154056494484831</v>
      </c>
      <c r="J276" s="106" t="n">
        <v>0.16</v>
      </c>
      <c r="K276" s="107" t="n">
        <v>2</v>
      </c>
      <c r="L276" s="108" t="n">
        <f aca="false">(Yield_Originals!$G276*Yield_Originals!L$1)/Yield_Originals!$K276</f>
        <v>0.0888677933817966</v>
      </c>
      <c r="M276" s="108" t="n">
        <f aca="false">(Yield_Originals!$G276*Yield_Originals!M$1)/Yield_Originals!$K276</f>
        <v>0.0916449119249778</v>
      </c>
      <c r="N276" s="108" t="n">
        <f aca="false">(Yield_Originals!$G276*Yield_Originals!N$1)/Yield_Originals!$K276</f>
        <v>0.0944220304681589</v>
      </c>
      <c r="O276" s="108" t="n">
        <f aca="false">(Yield_Originals!$G276*Yield_Originals!O$1)/Yield_Originals!$K276</f>
        <v>0.0971991490113401</v>
      </c>
      <c r="P276" s="109" t="n">
        <f aca="false">(Yield_Originals!$H276*Yield_Originals!P$1)/Yield_Originals!$K276</f>
        <v>0.0999762675545212</v>
      </c>
      <c r="Q276" s="109" t="n">
        <f aca="false">(Yield_Originals!$H276*Yield_Originals!Q$1)/Yield_Originals!$K276</f>
        <v>0.102753386097702</v>
      </c>
      <c r="R276" s="109" t="n">
        <f aca="false">(Yield_Originals!$H276*Yield_Originals!R$1)/Yield_Originals!$K276</f>
        <v>0.105530504640884</v>
      </c>
      <c r="S276" s="109" t="n">
        <f aca="false">(Yield_Originals!$H276*Yield_Originals!S$1)/Yield_Originals!$K276</f>
        <v>0.108307623184065</v>
      </c>
      <c r="T276" s="111" t="n">
        <f aca="false">(Yield_Originals!$I276*Yield_Originals!T$1)/Yield_Originals!$K276</f>
        <v>0.115542370863623</v>
      </c>
      <c r="U276" s="111" t="n">
        <f aca="false">(Yield_Originals!$I276*Yield_Originals!U$1)/Yield_Originals!$K276</f>
        <v>0.118430930135213</v>
      </c>
      <c r="V276" s="111" t="n">
        <f aca="false">(Yield_Originals!$I276*Yield_Originals!V$1)/Yield_Originals!$K276</f>
        <v>0.121319489406804</v>
      </c>
      <c r="W276" s="111" t="n">
        <f aca="false">(Yield_Originals!$I276*Yield_Originals!W$1)/Yield_Originals!$K276</f>
        <v>0.124208048678395</v>
      </c>
      <c r="X276" s="112" t="n">
        <f aca="false">(Yield_Originals!$I276*Yield_Originals!X$1)/Yield_Originals!$K276</f>
        <v>0.127096607949985</v>
      </c>
      <c r="Y276" s="112" t="n">
        <f aca="false">(Yield_Originals!$I276*Yield_Originals!Y$1)/Yield_Originals!$K276</f>
        <v>0.129985167221576</v>
      </c>
      <c r="Z276" s="0"/>
      <c r="AA276" s="0"/>
      <c r="AB276" s="0"/>
    </row>
    <row r="277" customFormat="false" ht="15" hidden="false" customHeight="false" outlineLevel="0" collapsed="false">
      <c r="A277" s="68" t="s">
        <v>868</v>
      </c>
      <c r="B277" s="68" t="n">
        <v>3</v>
      </c>
      <c r="C277" s="103" t="s">
        <v>256</v>
      </c>
      <c r="D277" s="103" t="s">
        <v>996</v>
      </c>
      <c r="E277" s="104" t="n">
        <v>31</v>
      </c>
      <c r="F277" s="115" t="n">
        <f aca="false">Yield_Originals!G277</f>
        <v>0.148112988969661</v>
      </c>
      <c r="G277" s="106" t="n">
        <v>0.148112988969661</v>
      </c>
      <c r="H277" s="106" t="n">
        <v>0.148112988969661</v>
      </c>
      <c r="I277" s="106" t="n">
        <f aca="false">+(Yield_Originals!H277+Yield_Originals!J277)/2</f>
        <v>0.154056494484831</v>
      </c>
      <c r="J277" s="106" t="n">
        <v>0.16</v>
      </c>
      <c r="K277" s="107" t="n">
        <v>2</v>
      </c>
      <c r="L277" s="108"/>
      <c r="M277" s="108"/>
      <c r="N277" s="108"/>
      <c r="O277" s="108"/>
      <c r="P277" s="109" t="n">
        <f aca="false">(Yield_Originals!$H277*Yield_Originals!P$1)/Yield_Originals!$K277</f>
        <v>0.0999762675545212</v>
      </c>
      <c r="Q277" s="109" t="n">
        <f aca="false">(Yield_Originals!$H277*Yield_Originals!Q$1)/Yield_Originals!$K277</f>
        <v>0.102753386097702</v>
      </c>
      <c r="R277" s="109" t="n">
        <f aca="false">(Yield_Originals!$H277*Yield_Originals!R$1)/Yield_Originals!$K277</f>
        <v>0.105530504640884</v>
      </c>
      <c r="S277" s="109" t="n">
        <f aca="false">(Yield_Originals!$H277*Yield_Originals!S$1)/Yield_Originals!$K277</f>
        <v>0.108307623184065</v>
      </c>
      <c r="T277" s="111" t="n">
        <f aca="false">(Yield_Originals!$I277*Yield_Originals!T$1)/Yield_Originals!$K277</f>
        <v>0.115542370863623</v>
      </c>
      <c r="U277" s="111" t="n">
        <f aca="false">(Yield_Originals!$I277*Yield_Originals!U$1)/Yield_Originals!$K277</f>
        <v>0.118430930135213</v>
      </c>
      <c r="V277" s="111" t="n">
        <f aca="false">(Yield_Originals!$I277*Yield_Originals!V$1)/Yield_Originals!$K277</f>
        <v>0.121319489406804</v>
      </c>
      <c r="W277" s="111" t="n">
        <f aca="false">(Yield_Originals!$I277*Yield_Originals!W$1)/Yield_Originals!$K277</f>
        <v>0.124208048678395</v>
      </c>
      <c r="X277" s="112" t="n">
        <f aca="false">(Yield_Originals!$I277*Yield_Originals!X$1)/Yield_Originals!$K277</f>
        <v>0.127096607949985</v>
      </c>
      <c r="Y277" s="112" t="n">
        <f aca="false">(Yield_Originals!$I277*Yield_Originals!Y$1)/Yield_Originals!$K277</f>
        <v>0.129985167221576</v>
      </c>
      <c r="Z277" s="0"/>
      <c r="AA277" s="0"/>
      <c r="AB277" s="0"/>
    </row>
    <row r="278" customFormat="false" ht="15" hidden="false" customHeight="false" outlineLevel="0" collapsed="false">
      <c r="A278" s="68" t="s">
        <v>970</v>
      </c>
      <c r="B278" s="68" t="n">
        <v>3</v>
      </c>
      <c r="C278" s="0" t="s">
        <v>143</v>
      </c>
      <c r="D278" s="0" t="s">
        <v>980</v>
      </c>
      <c r="E278" s="68" t="n">
        <v>3</v>
      </c>
      <c r="F278" s="115" t="n">
        <f aca="false">Yield_Originals!G278</f>
        <v>0.13</v>
      </c>
      <c r="G278" s="116" t="n">
        <v>0.13</v>
      </c>
      <c r="H278" s="116" t="n">
        <v>0.13</v>
      </c>
      <c r="I278" s="116" t="n">
        <v>0.13</v>
      </c>
      <c r="J278" s="116" t="n">
        <v>0.13</v>
      </c>
      <c r="K278" s="107" t="n">
        <v>1</v>
      </c>
      <c r="L278" s="108" t="n">
        <f aca="false">(Yield_Originals!$G278*Yield_Originals!L$1)/Yield_Originals!$K278</f>
        <v>0.156</v>
      </c>
      <c r="M278" s="108" t="n">
        <f aca="false">(Yield_Originals!$G278*Yield_Originals!M$1)/Yield_Originals!$K278</f>
        <v>0.160875</v>
      </c>
      <c r="N278" s="108" t="n">
        <f aca="false">(Yield_Originals!$G278*Yield_Originals!N$1)/Yield_Originals!$K278</f>
        <v>0.16575</v>
      </c>
      <c r="O278" s="108" t="n">
        <f aca="false">(Yield_Originals!$G278*Yield_Originals!O$1)/Yield_Originals!$K278</f>
        <v>0.170625</v>
      </c>
      <c r="P278" s="109" t="n">
        <f aca="false">(Yield_Originals!$H278*Yield_Originals!P$1)/Yield_Originals!$K278</f>
        <v>0.1755</v>
      </c>
      <c r="Q278" s="109" t="n">
        <f aca="false">(Yield_Originals!$H278*Yield_Originals!Q$1)/Yield_Originals!$K278</f>
        <v>0.180375</v>
      </c>
      <c r="R278" s="109" t="n">
        <f aca="false">(Yield_Originals!$H278*Yield_Originals!R$1)/Yield_Originals!$K278</f>
        <v>0.18525</v>
      </c>
      <c r="S278" s="109" t="n">
        <f aca="false">(Yield_Originals!$H278*Yield_Originals!S$1)/Yield_Originals!$K278</f>
        <v>0.190125</v>
      </c>
      <c r="T278" s="111" t="n">
        <f aca="false">(Yield_Originals!$I278*Yield_Originals!T$1)/Yield_Originals!$K278</f>
        <v>0.195</v>
      </c>
      <c r="U278" s="111" t="n">
        <f aca="false">(Yield_Originals!$I278*Yield_Originals!U$1)/Yield_Originals!$K278</f>
        <v>0.199875</v>
      </c>
      <c r="V278" s="111" t="n">
        <f aca="false">(Yield_Originals!$I278*Yield_Originals!V$1)/Yield_Originals!$K278</f>
        <v>0.20475</v>
      </c>
      <c r="W278" s="111" t="n">
        <f aca="false">(Yield_Originals!$I278*Yield_Originals!W$1)/Yield_Originals!$K278</f>
        <v>0.209625</v>
      </c>
      <c r="X278" s="0"/>
      <c r="Y278" s="0"/>
      <c r="Z278" s="0"/>
      <c r="AA278" s="0"/>
      <c r="AB278" s="0"/>
    </row>
    <row r="279" customFormat="false" ht="15" hidden="false" customHeight="false" outlineLevel="0" collapsed="false">
      <c r="A279" s="68" t="s">
        <v>970</v>
      </c>
      <c r="B279" s="68" t="n">
        <v>3</v>
      </c>
      <c r="C279" s="0" t="s">
        <v>257</v>
      </c>
      <c r="D279" s="0" t="s">
        <v>983</v>
      </c>
      <c r="E279" s="68" t="n">
        <v>3</v>
      </c>
      <c r="F279" s="115" t="n">
        <f aca="false">Yield_Originals!G279</f>
        <v>0.13</v>
      </c>
      <c r="G279" s="116" t="n">
        <v>0.13</v>
      </c>
      <c r="H279" s="116" t="n">
        <v>0.13</v>
      </c>
      <c r="I279" s="116" t="n">
        <v>0.13</v>
      </c>
      <c r="J279" s="116" t="n">
        <v>0.13</v>
      </c>
      <c r="K279" s="107" t="n">
        <v>1</v>
      </c>
      <c r="L279" s="108" t="n">
        <f aca="false">(Yield_Originals!$G279*Yield_Originals!L$1)/Yield_Originals!$K279</f>
        <v>0.156</v>
      </c>
      <c r="M279" s="108" t="n">
        <f aca="false">(Yield_Originals!$G279*Yield_Originals!M$1)/Yield_Originals!$K279</f>
        <v>0.160875</v>
      </c>
      <c r="N279" s="108" t="n">
        <f aca="false">(Yield_Originals!$G279*Yield_Originals!N$1)/Yield_Originals!$K279</f>
        <v>0.16575</v>
      </c>
      <c r="O279" s="108" t="n">
        <f aca="false">(Yield_Originals!$G279*Yield_Originals!O$1)/Yield_Originals!$K279</f>
        <v>0.170625</v>
      </c>
      <c r="P279" s="109" t="n">
        <f aca="false">(Yield_Originals!$H279*Yield_Originals!P$1)/Yield_Originals!$K279</f>
        <v>0.1755</v>
      </c>
      <c r="Q279" s="109" t="n">
        <f aca="false">(Yield_Originals!$H279*Yield_Originals!Q$1)/Yield_Originals!$K279</f>
        <v>0.180375</v>
      </c>
      <c r="R279" s="109" t="n">
        <f aca="false">(Yield_Originals!$H279*Yield_Originals!R$1)/Yield_Originals!$K279</f>
        <v>0.18525</v>
      </c>
      <c r="S279" s="109" t="n">
        <f aca="false">(Yield_Originals!$H279*Yield_Originals!S$1)/Yield_Originals!$K279</f>
        <v>0.190125</v>
      </c>
      <c r="T279" s="111" t="n">
        <f aca="false">(Yield_Originals!$I279*Yield_Originals!T$1)/Yield_Originals!$K279</f>
        <v>0.195</v>
      </c>
      <c r="U279" s="111" t="n">
        <f aca="false">(Yield_Originals!$I279*Yield_Originals!U$1)/Yield_Originals!$K279</f>
        <v>0.199875</v>
      </c>
      <c r="V279" s="111" t="n">
        <f aca="false">(Yield_Originals!$I279*Yield_Originals!V$1)/Yield_Originals!$K279</f>
        <v>0.20475</v>
      </c>
      <c r="W279" s="111" t="n">
        <f aca="false">(Yield_Originals!$I279*Yield_Originals!W$1)/Yield_Originals!$K279</f>
        <v>0.209625</v>
      </c>
      <c r="X279" s="0"/>
      <c r="Y279" s="0"/>
      <c r="Z279" s="0"/>
      <c r="AA279" s="0"/>
      <c r="AB279" s="0"/>
    </row>
    <row r="280" customFormat="false" ht="15" hidden="false" customHeight="false" outlineLevel="0" collapsed="false">
      <c r="A280" s="68" t="s">
        <v>868</v>
      </c>
      <c r="B280" s="68" t="n">
        <v>3</v>
      </c>
      <c r="C280" s="103" t="s">
        <v>258</v>
      </c>
      <c r="D280" s="103" t="s">
        <v>1013</v>
      </c>
      <c r="E280" s="104" t="n">
        <v>26</v>
      </c>
      <c r="F280" s="115" t="n">
        <f aca="false">Yield_Originals!G280</f>
        <v>0.148112988969661</v>
      </c>
      <c r="G280" s="106" t="n">
        <v>0.148112988969661</v>
      </c>
      <c r="H280" s="106" t="n">
        <v>0.148112988969661</v>
      </c>
      <c r="I280" s="106" t="n">
        <f aca="false">+(Yield_Originals!H280+Yield_Originals!J280)/2</f>
        <v>0.154056494484831</v>
      </c>
      <c r="J280" s="106" t="n">
        <v>0.16</v>
      </c>
      <c r="K280" s="107" t="n">
        <v>2</v>
      </c>
      <c r="L280" s="108"/>
      <c r="M280" s="108"/>
      <c r="N280" s="108"/>
      <c r="O280" s="108"/>
      <c r="P280" s="109" t="n">
        <f aca="false">(Yield_Originals!$H280*Yield_Originals!P$1)/Yield_Originals!$K280</f>
        <v>0.0999762675545212</v>
      </c>
      <c r="Q280" s="109" t="n">
        <f aca="false">(Yield_Originals!$H280*Yield_Originals!Q$1)/Yield_Originals!$K280</f>
        <v>0.102753386097702</v>
      </c>
      <c r="R280" s="109" t="n">
        <f aca="false">(Yield_Originals!$H280*Yield_Originals!R$1)/Yield_Originals!$K280</f>
        <v>0.105530504640884</v>
      </c>
      <c r="S280" s="109" t="n">
        <f aca="false">(Yield_Originals!$H280*Yield_Originals!S$1)/Yield_Originals!$K280</f>
        <v>0.108307623184065</v>
      </c>
      <c r="T280" s="111" t="n">
        <f aca="false">(Yield_Originals!$I280*Yield_Originals!T$1)/Yield_Originals!$K280</f>
        <v>0.115542370863623</v>
      </c>
      <c r="U280" s="111" t="n">
        <f aca="false">(Yield_Originals!$I280*Yield_Originals!U$1)/Yield_Originals!$K280</f>
        <v>0.118430930135213</v>
      </c>
      <c r="V280" s="111" t="n">
        <f aca="false">(Yield_Originals!$I280*Yield_Originals!V$1)/Yield_Originals!$K280</f>
        <v>0.121319489406804</v>
      </c>
      <c r="W280" s="111" t="n">
        <f aca="false">(Yield_Originals!$I280*Yield_Originals!W$1)/Yield_Originals!$K280</f>
        <v>0.124208048678395</v>
      </c>
      <c r="X280" s="112" t="n">
        <f aca="false">(Yield_Originals!$I280*Yield_Originals!X$1)/Yield_Originals!$K280</f>
        <v>0.127096607949985</v>
      </c>
      <c r="Y280" s="112" t="n">
        <f aca="false">(Yield_Originals!$I280*Yield_Originals!Y$1)/Yield_Originals!$K280</f>
        <v>0.129985167221576</v>
      </c>
      <c r="Z280" s="0"/>
      <c r="AA280" s="0"/>
      <c r="AB280" s="0"/>
    </row>
    <row r="281" customFormat="false" ht="15" hidden="false" customHeight="false" outlineLevel="0" collapsed="false">
      <c r="A281" s="68" t="s">
        <v>868</v>
      </c>
      <c r="B281" s="68" t="n">
        <v>3</v>
      </c>
      <c r="C281" s="103" t="s">
        <v>258</v>
      </c>
      <c r="D281" s="103" t="s">
        <v>1013</v>
      </c>
      <c r="E281" s="104" t="n">
        <v>30</v>
      </c>
      <c r="F281" s="115" t="n">
        <f aca="false">Yield_Originals!G281</f>
        <v>0.148112988969661</v>
      </c>
      <c r="G281" s="106" t="n">
        <v>0.148112988969661</v>
      </c>
      <c r="H281" s="106" t="n">
        <v>0.148112988969661</v>
      </c>
      <c r="I281" s="106" t="n">
        <f aca="false">+(Yield_Originals!H281+Yield_Originals!J281)/2</f>
        <v>0.154056494484831</v>
      </c>
      <c r="J281" s="106" t="n">
        <v>0.16</v>
      </c>
      <c r="K281" s="107" t="n">
        <v>2</v>
      </c>
      <c r="L281" s="108" t="n">
        <f aca="false">(Yield_Originals!$G281*Yield_Originals!L$1)/Yield_Originals!$K281</f>
        <v>0.0888677933817966</v>
      </c>
      <c r="M281" s="108" t="n">
        <f aca="false">(Yield_Originals!$G281*Yield_Originals!M$1)/Yield_Originals!$K281</f>
        <v>0.0916449119249778</v>
      </c>
      <c r="N281" s="108" t="n">
        <f aca="false">(Yield_Originals!$G281*Yield_Originals!N$1)/Yield_Originals!$K281</f>
        <v>0.0944220304681589</v>
      </c>
      <c r="O281" s="108" t="n">
        <f aca="false">(Yield_Originals!$G281*Yield_Originals!O$1)/Yield_Originals!$K281</f>
        <v>0.0971991490113401</v>
      </c>
      <c r="P281" s="109" t="n">
        <f aca="false">(Yield_Originals!$H281*Yield_Originals!P$1)/Yield_Originals!$K281</f>
        <v>0.0999762675545212</v>
      </c>
      <c r="Q281" s="109" t="n">
        <f aca="false">(Yield_Originals!$H281*Yield_Originals!Q$1)/Yield_Originals!$K281</f>
        <v>0.102753386097702</v>
      </c>
      <c r="R281" s="109" t="n">
        <f aca="false">(Yield_Originals!$H281*Yield_Originals!R$1)/Yield_Originals!$K281</f>
        <v>0.105530504640884</v>
      </c>
      <c r="S281" s="109" t="n">
        <f aca="false">(Yield_Originals!$H281*Yield_Originals!S$1)/Yield_Originals!$K281</f>
        <v>0.108307623184065</v>
      </c>
      <c r="T281" s="111" t="n">
        <f aca="false">(Yield_Originals!$I281*Yield_Originals!T$1)/Yield_Originals!$K281</f>
        <v>0.115542370863623</v>
      </c>
      <c r="U281" s="111" t="n">
        <f aca="false">(Yield_Originals!$I281*Yield_Originals!U$1)/Yield_Originals!$K281</f>
        <v>0.118430930135213</v>
      </c>
      <c r="V281" s="111" t="n">
        <f aca="false">(Yield_Originals!$I281*Yield_Originals!V$1)/Yield_Originals!$K281</f>
        <v>0.121319489406804</v>
      </c>
      <c r="W281" s="111" t="n">
        <f aca="false">(Yield_Originals!$I281*Yield_Originals!W$1)/Yield_Originals!$K281</f>
        <v>0.124208048678395</v>
      </c>
      <c r="X281" s="112" t="n">
        <f aca="false">(Yield_Originals!$I281*Yield_Originals!X$1)/Yield_Originals!$K281</f>
        <v>0.127096607949985</v>
      </c>
      <c r="Y281" s="112" t="n">
        <f aca="false">(Yield_Originals!$I281*Yield_Originals!Y$1)/Yield_Originals!$K281</f>
        <v>0.129985167221576</v>
      </c>
      <c r="Z281" s="0"/>
      <c r="AA281" s="0"/>
      <c r="AB281" s="0"/>
    </row>
    <row r="282" customFormat="false" ht="15" hidden="false" customHeight="false" outlineLevel="0" collapsed="false">
      <c r="A282" s="68" t="s">
        <v>868</v>
      </c>
      <c r="B282" s="68" t="n">
        <v>3</v>
      </c>
      <c r="C282" s="103" t="s">
        <v>258</v>
      </c>
      <c r="D282" s="103" t="s">
        <v>1013</v>
      </c>
      <c r="E282" s="104" t="n">
        <v>31</v>
      </c>
      <c r="F282" s="115" t="n">
        <f aca="false">Yield_Originals!G282</f>
        <v>0.148112988969661</v>
      </c>
      <c r="G282" s="106" t="n">
        <v>0.148112988969661</v>
      </c>
      <c r="H282" s="106" t="n">
        <v>0.148112988969661</v>
      </c>
      <c r="I282" s="106" t="n">
        <f aca="false">+(Yield_Originals!H282+Yield_Originals!J282)/2</f>
        <v>0.154056494484831</v>
      </c>
      <c r="J282" s="106" t="n">
        <v>0.16</v>
      </c>
      <c r="K282" s="107" t="n">
        <v>2</v>
      </c>
      <c r="L282" s="108"/>
      <c r="M282" s="108"/>
      <c r="N282" s="108"/>
      <c r="O282" s="108"/>
      <c r="P282" s="109"/>
      <c r="Q282" s="109"/>
      <c r="R282" s="109"/>
      <c r="S282" s="109"/>
      <c r="T282" s="111"/>
      <c r="U282" s="111"/>
      <c r="V282" s="111"/>
      <c r="W282" s="111"/>
      <c r="X282" s="112"/>
      <c r="Y282" s="112"/>
      <c r="Z282" s="112"/>
      <c r="AA282" s="112" t="n">
        <f aca="false">(Yield_Originals!$I282*Yield_Originals!AA$1)/Yield_Originals!$K282</f>
        <v>0.135762285764757</v>
      </c>
      <c r="AB282" s="112" t="n">
        <f aca="false">(Yield_Originals!$I282*Yield_Originals!AB$1)/Yield_Originals!$K282</f>
        <v>0.138650845036347</v>
      </c>
    </row>
    <row r="283" customFormat="false" ht="15" hidden="false" customHeight="false" outlineLevel="0" collapsed="false">
      <c r="A283" s="68" t="s">
        <v>868</v>
      </c>
      <c r="B283" s="68" t="n">
        <v>3</v>
      </c>
      <c r="C283" s="103" t="s">
        <v>977</v>
      </c>
      <c r="D283" s="103" t="s">
        <v>1005</v>
      </c>
      <c r="E283" s="104" t="n">
        <v>26</v>
      </c>
      <c r="F283" s="115" t="n">
        <f aca="false">Yield_Originals!G283</f>
        <v>0.148112988969661</v>
      </c>
      <c r="G283" s="106" t="n">
        <v>0.148112988969661</v>
      </c>
      <c r="H283" s="106" t="n">
        <v>0.148112988969661</v>
      </c>
      <c r="I283" s="106" t="n">
        <f aca="false">+(Yield_Originals!H283+Yield_Originals!J283)/2</f>
        <v>0.154056494484831</v>
      </c>
      <c r="J283" s="106" t="n">
        <v>0.16</v>
      </c>
      <c r="K283" s="107" t="n">
        <v>2</v>
      </c>
      <c r="L283" s="108"/>
      <c r="M283" s="108"/>
      <c r="N283" s="108"/>
      <c r="O283" s="108"/>
      <c r="P283" s="109" t="n">
        <f aca="false">(Yield_Originals!$H283*Yield_Originals!P$1)/Yield_Originals!$K283</f>
        <v>0.0999762675545212</v>
      </c>
      <c r="Q283" s="109" t="n">
        <f aca="false">(Yield_Originals!$H283*Yield_Originals!Q$1)/Yield_Originals!$K283</f>
        <v>0.102753386097702</v>
      </c>
      <c r="R283" s="109" t="n">
        <f aca="false">(Yield_Originals!$H283*Yield_Originals!R$1)/Yield_Originals!$K283</f>
        <v>0.105530504640884</v>
      </c>
      <c r="S283" s="109" t="n">
        <f aca="false">(Yield_Originals!$H283*Yield_Originals!S$1)/Yield_Originals!$K283</f>
        <v>0.108307623184065</v>
      </c>
      <c r="T283" s="111" t="n">
        <f aca="false">(Yield_Originals!$I283*Yield_Originals!T$1)/Yield_Originals!$K283</f>
        <v>0.115542370863623</v>
      </c>
      <c r="U283" s="111" t="n">
        <f aca="false">(Yield_Originals!$I283*Yield_Originals!U$1)/Yield_Originals!$K283</f>
        <v>0.118430930135213</v>
      </c>
      <c r="V283" s="111" t="n">
        <f aca="false">(Yield_Originals!$I283*Yield_Originals!V$1)/Yield_Originals!$K283</f>
        <v>0.121319489406804</v>
      </c>
      <c r="W283" s="111" t="n">
        <f aca="false">(Yield_Originals!$I283*Yield_Originals!W$1)/Yield_Originals!$K283</f>
        <v>0.124208048678395</v>
      </c>
      <c r="X283" s="112" t="n">
        <f aca="false">(Yield_Originals!$I283*Yield_Originals!X$1)/Yield_Originals!$K283</f>
        <v>0.127096607949985</v>
      </c>
      <c r="Y283" s="112" t="n">
        <f aca="false">(Yield_Originals!$I283*Yield_Originals!Y$1)/Yield_Originals!$K283</f>
        <v>0.129985167221576</v>
      </c>
      <c r="Z283" s="0"/>
      <c r="AA283" s="0"/>
      <c r="AB283" s="0"/>
    </row>
    <row r="284" customFormat="false" ht="15" hidden="false" customHeight="false" outlineLevel="0" collapsed="false">
      <c r="A284" s="68" t="s">
        <v>868</v>
      </c>
      <c r="B284" s="68" t="n">
        <v>3</v>
      </c>
      <c r="C284" s="103" t="s">
        <v>977</v>
      </c>
      <c r="D284" s="103" t="s">
        <v>1005</v>
      </c>
      <c r="E284" s="104" t="n">
        <v>30</v>
      </c>
      <c r="F284" s="115" t="n">
        <f aca="false">Yield_Originals!G284</f>
        <v>0.148112988969661</v>
      </c>
      <c r="G284" s="106" t="n">
        <v>0.148112988969661</v>
      </c>
      <c r="H284" s="106" t="n">
        <v>0.148112988969661</v>
      </c>
      <c r="I284" s="106" t="n">
        <f aca="false">+(Yield_Originals!H284+Yield_Originals!J284)/2</f>
        <v>0.154056494484831</v>
      </c>
      <c r="J284" s="106" t="n">
        <v>0.16</v>
      </c>
      <c r="K284" s="107" t="n">
        <v>2</v>
      </c>
      <c r="L284" s="108"/>
      <c r="M284" s="108"/>
      <c r="N284" s="108"/>
      <c r="O284" s="108"/>
      <c r="P284" s="109"/>
      <c r="Q284" s="109"/>
      <c r="R284" s="109"/>
      <c r="S284" s="109"/>
      <c r="T284" s="111" t="n">
        <f aca="false">(Yield_Originals!$I284*Yield_Originals!T$1)/Yield_Originals!$K284</f>
        <v>0.115542370863623</v>
      </c>
      <c r="U284" s="111" t="n">
        <f aca="false">(Yield_Originals!$I284*Yield_Originals!U$1)/Yield_Originals!$K284</f>
        <v>0.118430930135213</v>
      </c>
      <c r="V284" s="111" t="n">
        <f aca="false">(Yield_Originals!$I284*Yield_Originals!V$1)/Yield_Originals!$K284</f>
        <v>0.121319489406804</v>
      </c>
      <c r="W284" s="111" t="n">
        <f aca="false">(Yield_Originals!$I284*Yield_Originals!W$1)/Yield_Originals!$K284</f>
        <v>0.124208048678395</v>
      </c>
      <c r="X284" s="112" t="n">
        <f aca="false">(Yield_Originals!$I284*Yield_Originals!X$1)/Yield_Originals!$K284</f>
        <v>0.127096607949985</v>
      </c>
      <c r="Y284" s="112" t="n">
        <f aca="false">(Yield_Originals!$I284*Yield_Originals!Y$1)/Yield_Originals!$K284</f>
        <v>0.129985167221576</v>
      </c>
      <c r="Z284" s="0"/>
      <c r="AA284" s="0"/>
      <c r="AB284" s="0"/>
    </row>
    <row r="285" customFormat="false" ht="15" hidden="false" customHeight="false" outlineLevel="0" collapsed="false">
      <c r="A285" s="68" t="s">
        <v>868</v>
      </c>
      <c r="B285" s="68" t="n">
        <v>3</v>
      </c>
      <c r="C285" s="103" t="s">
        <v>977</v>
      </c>
      <c r="D285" s="103" t="s">
        <v>1005</v>
      </c>
      <c r="E285" s="104" t="n">
        <v>31</v>
      </c>
      <c r="F285" s="115" t="n">
        <f aca="false">Yield_Originals!G285</f>
        <v>0.148112988969661</v>
      </c>
      <c r="G285" s="106" t="n">
        <v>0.148112988969661</v>
      </c>
      <c r="H285" s="106" t="n">
        <v>0.148112988969661</v>
      </c>
      <c r="I285" s="106" t="n">
        <f aca="false">+(Yield_Originals!H285+Yield_Originals!J285)/2</f>
        <v>0.154056494484831</v>
      </c>
      <c r="J285" s="106" t="n">
        <v>0.16</v>
      </c>
      <c r="K285" s="107" t="n">
        <v>2</v>
      </c>
      <c r="L285" s="108"/>
      <c r="M285" s="108"/>
      <c r="N285" s="108"/>
      <c r="O285" s="108"/>
      <c r="P285" s="109" t="n">
        <f aca="false">(Yield_Originals!$H285*Yield_Originals!P$1)/Yield_Originals!$K285</f>
        <v>0.0999762675545212</v>
      </c>
      <c r="Q285" s="109" t="n">
        <f aca="false">(Yield_Originals!$H285*Yield_Originals!Q$1)/Yield_Originals!$K285</f>
        <v>0.102753386097702</v>
      </c>
      <c r="R285" s="109" t="n">
        <f aca="false">(Yield_Originals!$H285*Yield_Originals!R$1)/Yield_Originals!$K285</f>
        <v>0.105530504640884</v>
      </c>
      <c r="S285" s="109" t="n">
        <f aca="false">(Yield_Originals!$H285*Yield_Originals!S$1)/Yield_Originals!$K285</f>
        <v>0.108307623184065</v>
      </c>
      <c r="T285" s="111" t="n">
        <f aca="false">(Yield_Originals!$I285*Yield_Originals!T$1)/Yield_Originals!$K285</f>
        <v>0.115542370863623</v>
      </c>
      <c r="U285" s="111" t="n">
        <f aca="false">(Yield_Originals!$I285*Yield_Originals!U$1)/Yield_Originals!$K285</f>
        <v>0.118430930135213</v>
      </c>
      <c r="V285" s="111" t="n">
        <f aca="false">(Yield_Originals!$I285*Yield_Originals!V$1)/Yield_Originals!$K285</f>
        <v>0.121319489406804</v>
      </c>
      <c r="W285" s="111" t="n">
        <f aca="false">(Yield_Originals!$I285*Yield_Originals!W$1)/Yield_Originals!$K285</f>
        <v>0.124208048678395</v>
      </c>
      <c r="X285" s="112" t="n">
        <f aca="false">(Yield_Originals!$I285*Yield_Originals!X$1)/Yield_Originals!$K285</f>
        <v>0.127096607949985</v>
      </c>
      <c r="Y285" s="112" t="n">
        <f aca="false">(Yield_Originals!$I285*Yield_Originals!Y$1)/Yield_Originals!$K285</f>
        <v>0.129985167221576</v>
      </c>
      <c r="Z285" s="0"/>
      <c r="AA285" s="0"/>
      <c r="AB285" s="0"/>
    </row>
    <row r="286" customFormat="false" ht="15" hidden="false" customHeight="false" outlineLevel="0" collapsed="false">
      <c r="A286" s="68" t="s">
        <v>868</v>
      </c>
      <c r="B286" s="68" t="n">
        <v>3</v>
      </c>
      <c r="C286" s="103" t="s">
        <v>979</v>
      </c>
      <c r="D286" s="103" t="s">
        <v>994</v>
      </c>
      <c r="E286" s="104" t="n">
        <v>26</v>
      </c>
      <c r="F286" s="115" t="n">
        <f aca="false">Yield_Originals!G286</f>
        <v>0.148112988969661</v>
      </c>
      <c r="G286" s="106" t="n">
        <v>0.148112988969661</v>
      </c>
      <c r="H286" s="106" t="n">
        <v>0.148112988969661</v>
      </c>
      <c r="I286" s="106" t="n">
        <f aca="false">+(Yield_Originals!H286+Yield_Originals!J286)/2</f>
        <v>0.154056494484831</v>
      </c>
      <c r="J286" s="106" t="n">
        <v>0.16</v>
      </c>
      <c r="K286" s="107" t="n">
        <v>2</v>
      </c>
      <c r="L286" s="108" t="n">
        <f aca="false">(Yield_Originals!$G286*Yield_Originals!L$1)/Yield_Originals!$K286</f>
        <v>0.0888677933817966</v>
      </c>
      <c r="M286" s="108" t="n">
        <f aca="false">(Yield_Originals!$G286*Yield_Originals!M$1)/Yield_Originals!$K286</f>
        <v>0.0916449119249778</v>
      </c>
      <c r="N286" s="108" t="n">
        <f aca="false">(Yield_Originals!$G286*Yield_Originals!N$1)/Yield_Originals!$K286</f>
        <v>0.0944220304681589</v>
      </c>
      <c r="O286" s="108" t="n">
        <f aca="false">(Yield_Originals!$G286*Yield_Originals!O$1)/Yield_Originals!$K286</f>
        <v>0.0971991490113401</v>
      </c>
      <c r="P286" s="109" t="n">
        <f aca="false">(Yield_Originals!$H286*Yield_Originals!P$1)/Yield_Originals!$K286</f>
        <v>0.0999762675545212</v>
      </c>
      <c r="Q286" s="109" t="n">
        <f aca="false">(Yield_Originals!$H286*Yield_Originals!Q$1)/Yield_Originals!$K286</f>
        <v>0.102753386097702</v>
      </c>
      <c r="R286" s="109" t="n">
        <f aca="false">(Yield_Originals!$H286*Yield_Originals!R$1)/Yield_Originals!$K286</f>
        <v>0.105530504640884</v>
      </c>
      <c r="S286" s="109" t="n">
        <f aca="false">(Yield_Originals!$H286*Yield_Originals!S$1)/Yield_Originals!$K286</f>
        <v>0.108307623184065</v>
      </c>
      <c r="T286" s="111"/>
      <c r="U286" s="111"/>
      <c r="V286" s="111"/>
      <c r="W286" s="111"/>
      <c r="X286" s="112"/>
      <c r="Y286" s="112"/>
      <c r="Z286" s="0"/>
      <c r="AA286" s="0"/>
      <c r="AB286" s="0"/>
    </row>
    <row r="287" customFormat="false" ht="15" hidden="false" customHeight="false" outlineLevel="0" collapsed="false">
      <c r="A287" s="68" t="s">
        <v>868</v>
      </c>
      <c r="B287" s="68" t="n">
        <v>3</v>
      </c>
      <c r="C287" s="103" t="s">
        <v>979</v>
      </c>
      <c r="D287" s="103" t="s">
        <v>994</v>
      </c>
      <c r="E287" s="104" t="n">
        <v>30</v>
      </c>
      <c r="F287" s="115" t="n">
        <f aca="false">Yield_Originals!G287</f>
        <v>0.148112988969661</v>
      </c>
      <c r="G287" s="106" t="n">
        <v>0.148112988969661</v>
      </c>
      <c r="H287" s="106" t="n">
        <v>0.148112988969661</v>
      </c>
      <c r="I287" s="106" t="n">
        <f aca="false">+(Yield_Originals!H287+Yield_Originals!J287)/2</f>
        <v>0.154056494484831</v>
      </c>
      <c r="J287" s="106" t="n">
        <v>0.16</v>
      </c>
      <c r="K287" s="107" t="n">
        <v>2</v>
      </c>
      <c r="L287" s="108" t="n">
        <f aca="false">(Yield_Originals!$G287*Yield_Originals!L$1)/Yield_Originals!$K287</f>
        <v>0.0888677933817966</v>
      </c>
      <c r="M287" s="108" t="n">
        <f aca="false">(Yield_Originals!$G287*Yield_Originals!M$1)/Yield_Originals!$K287</f>
        <v>0.0916449119249778</v>
      </c>
      <c r="N287" s="108" t="n">
        <f aca="false">(Yield_Originals!$G287*Yield_Originals!N$1)/Yield_Originals!$K287</f>
        <v>0.0944220304681589</v>
      </c>
      <c r="O287" s="108" t="n">
        <f aca="false">(Yield_Originals!$G287*Yield_Originals!O$1)/Yield_Originals!$K287</f>
        <v>0.0971991490113401</v>
      </c>
      <c r="P287" s="109" t="n">
        <f aca="false">(Yield_Originals!$H287*Yield_Originals!P$1)/Yield_Originals!$K287</f>
        <v>0.0999762675545212</v>
      </c>
      <c r="Q287" s="109" t="n">
        <f aca="false">(Yield_Originals!$H287*Yield_Originals!Q$1)/Yield_Originals!$K287</f>
        <v>0.102753386097702</v>
      </c>
      <c r="R287" s="109" t="n">
        <f aca="false">(Yield_Originals!$H287*Yield_Originals!R$1)/Yield_Originals!$K287</f>
        <v>0.105530504640884</v>
      </c>
      <c r="S287" s="109" t="n">
        <f aca="false">(Yield_Originals!$H287*Yield_Originals!S$1)/Yield_Originals!$K287</f>
        <v>0.108307623184065</v>
      </c>
      <c r="T287" s="111"/>
      <c r="U287" s="111"/>
      <c r="V287" s="111"/>
      <c r="W287" s="111"/>
      <c r="X287" s="112"/>
      <c r="Y287" s="112"/>
      <c r="Z287" s="0"/>
      <c r="AA287" s="0"/>
      <c r="AB287" s="0"/>
    </row>
    <row r="288" customFormat="false" ht="15" hidden="false" customHeight="false" outlineLevel="0" collapsed="false">
      <c r="A288" s="68" t="s">
        <v>868</v>
      </c>
      <c r="B288" s="68" t="n">
        <v>3</v>
      </c>
      <c r="C288" s="103" t="s">
        <v>979</v>
      </c>
      <c r="D288" s="103" t="s">
        <v>994</v>
      </c>
      <c r="E288" s="104" t="n">
        <v>31</v>
      </c>
      <c r="F288" s="115" t="n">
        <f aca="false">Yield_Originals!G288</f>
        <v>0.148112988969661</v>
      </c>
      <c r="G288" s="106" t="n">
        <v>0.148112988969661</v>
      </c>
      <c r="H288" s="106" t="n">
        <v>0.148112988969661</v>
      </c>
      <c r="I288" s="106" t="n">
        <f aca="false">+(Yield_Originals!H288+Yield_Originals!J288)/2</f>
        <v>0.154056494484831</v>
      </c>
      <c r="J288" s="106" t="n">
        <v>0.16</v>
      </c>
      <c r="K288" s="107" t="n">
        <v>2</v>
      </c>
      <c r="L288" s="108" t="n">
        <f aca="false">(Yield_Originals!$G288*Yield_Originals!L$1)/Yield_Originals!$K288</f>
        <v>0.0888677933817966</v>
      </c>
      <c r="M288" s="108" t="n">
        <f aca="false">(Yield_Originals!$G288*Yield_Originals!M$1)/Yield_Originals!$K288</f>
        <v>0.0916449119249778</v>
      </c>
      <c r="N288" s="108" t="n">
        <f aca="false">(Yield_Originals!$G288*Yield_Originals!N$1)/Yield_Originals!$K288</f>
        <v>0.0944220304681589</v>
      </c>
      <c r="O288" s="108" t="n">
        <f aca="false">(Yield_Originals!$G288*Yield_Originals!O$1)/Yield_Originals!$K288</f>
        <v>0.0971991490113401</v>
      </c>
      <c r="P288" s="109" t="n">
        <f aca="false">(Yield_Originals!$H288*Yield_Originals!P$1)/Yield_Originals!$K288</f>
        <v>0.0999762675545212</v>
      </c>
      <c r="Q288" s="109" t="n">
        <f aca="false">(Yield_Originals!$H288*Yield_Originals!Q$1)/Yield_Originals!$K288</f>
        <v>0.102753386097702</v>
      </c>
      <c r="R288" s="109" t="n">
        <f aca="false">(Yield_Originals!$H288*Yield_Originals!R$1)/Yield_Originals!$K288</f>
        <v>0.105530504640884</v>
      </c>
      <c r="S288" s="109" t="n">
        <f aca="false">(Yield_Originals!$H288*Yield_Originals!S$1)/Yield_Originals!$K288</f>
        <v>0.108307623184065</v>
      </c>
      <c r="T288" s="111"/>
      <c r="U288" s="111"/>
      <c r="V288" s="111"/>
      <c r="W288" s="111"/>
      <c r="X288" s="112"/>
      <c r="Y288" s="112"/>
      <c r="Z288" s="0"/>
      <c r="AA288" s="0"/>
      <c r="AB288" s="0"/>
    </row>
    <row r="289" customFormat="false" ht="15" hidden="false" customHeight="false" outlineLevel="0" collapsed="false">
      <c r="A289" s="68" t="s">
        <v>868</v>
      </c>
      <c r="B289" s="68" t="n">
        <v>3</v>
      </c>
      <c r="C289" s="0" t="s">
        <v>979</v>
      </c>
      <c r="D289" s="0" t="s">
        <v>994</v>
      </c>
      <c r="E289" s="104" t="n">
        <v>1</v>
      </c>
      <c r="F289" s="115" t="n">
        <f aca="false">Yield_Originals!G289</f>
        <v>0.148112988969661</v>
      </c>
      <c r="G289" s="106" t="n">
        <v>0.148112988969661</v>
      </c>
      <c r="H289" s="106" t="n">
        <v>0.148112988969661</v>
      </c>
      <c r="I289" s="106" t="n">
        <f aca="false">+(Yield_Originals!H289+Yield_Originals!J289)/2</f>
        <v>0.154056494484831</v>
      </c>
      <c r="J289" s="106" t="n">
        <v>0.16</v>
      </c>
      <c r="K289" s="107" t="n">
        <v>2</v>
      </c>
      <c r="L289" s="108" t="n">
        <f aca="false">(Yield_Originals!$G289*Yield_Originals!L$1)/Yield_Originals!$K289</f>
        <v>0.0888677933817966</v>
      </c>
      <c r="M289" s="108" t="n">
        <f aca="false">(Yield_Originals!$G289*Yield_Originals!M$1)/Yield_Originals!$K289</f>
        <v>0.0916449119249778</v>
      </c>
      <c r="N289" s="108" t="n">
        <f aca="false">(Yield_Originals!$G289*Yield_Originals!N$1)/Yield_Originals!$K289</f>
        <v>0.0944220304681589</v>
      </c>
      <c r="O289" s="108" t="n">
        <f aca="false">(Yield_Originals!$G289*Yield_Originals!O$1)/Yield_Originals!$K289</f>
        <v>0.0971991490113401</v>
      </c>
      <c r="P289" s="109" t="n">
        <f aca="false">(Yield_Originals!$H289*Yield_Originals!P$1)/Yield_Originals!$K289</f>
        <v>0.0999762675545212</v>
      </c>
      <c r="Q289" s="109" t="n">
        <f aca="false">(Yield_Originals!$H289*Yield_Originals!Q$1)/Yield_Originals!$K289</f>
        <v>0.102753386097702</v>
      </c>
      <c r="R289" s="109" t="n">
        <f aca="false">(Yield_Originals!$H289*Yield_Originals!R$1)/Yield_Originals!$K289</f>
        <v>0.105530504640884</v>
      </c>
      <c r="S289" s="109" t="n">
        <f aca="false">(Yield_Originals!$H289*Yield_Originals!S$1)/Yield_Originals!$K289</f>
        <v>0.108307623184065</v>
      </c>
      <c r="T289" s="111"/>
      <c r="U289" s="111"/>
      <c r="V289" s="111"/>
      <c r="W289" s="111"/>
      <c r="X289" s="112"/>
      <c r="Y289" s="112"/>
      <c r="Z289" s="0"/>
      <c r="AA289" s="0"/>
      <c r="AB289" s="0"/>
    </row>
    <row r="290" customFormat="false" ht="15" hidden="false" customHeight="false" outlineLevel="0" collapsed="false">
      <c r="A290" s="68" t="s">
        <v>868</v>
      </c>
      <c r="B290" s="68" t="n">
        <v>3</v>
      </c>
      <c r="C290" s="0" t="s">
        <v>979</v>
      </c>
      <c r="D290" s="0" t="s">
        <v>994</v>
      </c>
      <c r="E290" s="104" t="n">
        <v>2</v>
      </c>
      <c r="F290" s="115" t="n">
        <f aca="false">Yield_Originals!G290</f>
        <v>0.148112988969661</v>
      </c>
      <c r="G290" s="106" t="n">
        <v>0.148112988969661</v>
      </c>
      <c r="H290" s="106" t="n">
        <v>0.148112988969661</v>
      </c>
      <c r="I290" s="106" t="n">
        <f aca="false">+(Yield_Originals!H290+Yield_Originals!J290)/2</f>
        <v>0.154056494484831</v>
      </c>
      <c r="J290" s="106" t="n">
        <v>0.16</v>
      </c>
      <c r="K290" s="107" t="n">
        <v>2</v>
      </c>
      <c r="L290" s="108" t="n">
        <f aca="false">(Yield_Originals!$G290*Yield_Originals!L$1)/Yield_Originals!$K290</f>
        <v>0.0888677933817966</v>
      </c>
      <c r="M290" s="108" t="n">
        <f aca="false">(Yield_Originals!$G290*Yield_Originals!M$1)/Yield_Originals!$K290</f>
        <v>0.0916449119249778</v>
      </c>
      <c r="N290" s="108" t="n">
        <f aca="false">(Yield_Originals!$G290*Yield_Originals!N$1)/Yield_Originals!$K290</f>
        <v>0.0944220304681589</v>
      </c>
      <c r="O290" s="108" t="n">
        <f aca="false">(Yield_Originals!$G290*Yield_Originals!O$1)/Yield_Originals!$K290</f>
        <v>0.0971991490113401</v>
      </c>
      <c r="P290" s="109" t="n">
        <f aca="false">(Yield_Originals!$H290*Yield_Originals!P$1)/Yield_Originals!$K290</f>
        <v>0.0999762675545212</v>
      </c>
      <c r="Q290" s="109" t="n">
        <f aca="false">(Yield_Originals!$H290*Yield_Originals!Q$1)/Yield_Originals!$K290</f>
        <v>0.102753386097702</v>
      </c>
      <c r="R290" s="109" t="n">
        <f aca="false">(Yield_Originals!$H290*Yield_Originals!R$1)/Yield_Originals!$K290</f>
        <v>0.105530504640884</v>
      </c>
      <c r="S290" s="109" t="n">
        <f aca="false">(Yield_Originals!$H290*Yield_Originals!S$1)/Yield_Originals!$K290</f>
        <v>0.108307623184065</v>
      </c>
      <c r="T290" s="111"/>
      <c r="U290" s="111"/>
      <c r="V290" s="111"/>
      <c r="W290" s="111"/>
      <c r="X290" s="112"/>
      <c r="Y290" s="112"/>
      <c r="Z290" s="0"/>
      <c r="AA290" s="0"/>
      <c r="AB290" s="0"/>
    </row>
    <row r="291" customFormat="false" ht="15" hidden="false" customHeight="false" outlineLevel="0" collapsed="false">
      <c r="A291" s="68" t="s">
        <v>868</v>
      </c>
      <c r="B291" s="68" t="n">
        <v>3</v>
      </c>
      <c r="C291" s="103" t="s">
        <v>982</v>
      </c>
      <c r="D291" s="103" t="s">
        <v>1009</v>
      </c>
      <c r="E291" s="104" t="n">
        <v>26</v>
      </c>
      <c r="F291" s="115" t="n">
        <f aca="false">Yield_Originals!G291</f>
        <v>0.148112988969661</v>
      </c>
      <c r="G291" s="106" t="n">
        <v>0.148112988969661</v>
      </c>
      <c r="H291" s="106" t="n">
        <v>0.148112988969661</v>
      </c>
      <c r="I291" s="106" t="n">
        <f aca="false">+(Yield_Originals!H291+Yield_Originals!J291)/2</f>
        <v>0.154056494484831</v>
      </c>
      <c r="J291" s="106" t="n">
        <v>0.16</v>
      </c>
      <c r="K291" s="107" t="n">
        <v>2</v>
      </c>
      <c r="L291" s="108" t="n">
        <f aca="false">(Yield_Originals!$G291*Yield_Originals!L$1)/Yield_Originals!$K291</f>
        <v>0.0888677933817966</v>
      </c>
      <c r="M291" s="108" t="n">
        <f aca="false">(Yield_Originals!$G291*Yield_Originals!M$1)/Yield_Originals!$K291</f>
        <v>0.0916449119249778</v>
      </c>
      <c r="N291" s="108"/>
      <c r="O291" s="108"/>
      <c r="P291" s="109"/>
      <c r="Q291" s="109"/>
      <c r="R291" s="109"/>
      <c r="S291" s="109"/>
      <c r="T291" s="111"/>
      <c r="U291" s="111"/>
      <c r="V291" s="111"/>
      <c r="W291" s="111"/>
      <c r="X291" s="112"/>
      <c r="Y291" s="112"/>
      <c r="Z291" s="0"/>
      <c r="AA291" s="0"/>
      <c r="AB291" s="0"/>
    </row>
    <row r="292" customFormat="false" ht="15" hidden="false" customHeight="false" outlineLevel="0" collapsed="false">
      <c r="A292" s="68" t="s">
        <v>868</v>
      </c>
      <c r="B292" s="68" t="n">
        <v>3</v>
      </c>
      <c r="C292" s="103" t="s">
        <v>982</v>
      </c>
      <c r="D292" s="103" t="s">
        <v>1009</v>
      </c>
      <c r="E292" s="104" t="n">
        <v>30</v>
      </c>
      <c r="F292" s="115" t="n">
        <f aca="false">Yield_Originals!G292</f>
        <v>0.148112988969661</v>
      </c>
      <c r="G292" s="106" t="n">
        <v>0.148112988969661</v>
      </c>
      <c r="H292" s="106" t="n">
        <v>0.148112988969661</v>
      </c>
      <c r="I292" s="106" t="n">
        <f aca="false">+(Yield_Originals!H292+Yield_Originals!J292)/2</f>
        <v>0.154056494484831</v>
      </c>
      <c r="J292" s="106" t="n">
        <v>0.16</v>
      </c>
      <c r="K292" s="107" t="n">
        <v>2</v>
      </c>
      <c r="L292" s="108" t="n">
        <f aca="false">(Yield_Originals!$G292*Yield_Originals!L$1)/Yield_Originals!$K292</f>
        <v>0.0888677933817966</v>
      </c>
      <c r="M292" s="108" t="n">
        <f aca="false">(Yield_Originals!$G292*Yield_Originals!M$1)/Yield_Originals!$K292</f>
        <v>0.0916449119249778</v>
      </c>
      <c r="N292" s="108"/>
      <c r="O292" s="108"/>
      <c r="P292" s="109"/>
      <c r="Q292" s="109"/>
      <c r="R292" s="109"/>
      <c r="S292" s="109"/>
      <c r="T292" s="111"/>
      <c r="U292" s="111"/>
      <c r="V292" s="111"/>
      <c r="W292" s="111"/>
      <c r="X292" s="112"/>
      <c r="Y292" s="112"/>
      <c r="Z292" s="0"/>
      <c r="AA292" s="0"/>
      <c r="AB292" s="0"/>
    </row>
    <row r="293" customFormat="false" ht="15" hidden="false" customHeight="false" outlineLevel="0" collapsed="false">
      <c r="A293" s="68" t="s">
        <v>868</v>
      </c>
      <c r="B293" s="68" t="n">
        <v>3</v>
      </c>
      <c r="C293" s="103" t="s">
        <v>982</v>
      </c>
      <c r="D293" s="103" t="s">
        <v>1009</v>
      </c>
      <c r="E293" s="104" t="n">
        <v>31</v>
      </c>
      <c r="F293" s="115" t="n">
        <f aca="false">Yield_Originals!G293</f>
        <v>0.148112988969661</v>
      </c>
      <c r="G293" s="106" t="n">
        <v>0.148112988969661</v>
      </c>
      <c r="H293" s="106" t="n">
        <v>0.148112988969661</v>
      </c>
      <c r="I293" s="106" t="n">
        <f aca="false">+(Yield_Originals!H293+Yield_Originals!J293)/2</f>
        <v>0.154056494484831</v>
      </c>
      <c r="J293" s="106" t="n">
        <v>0.16</v>
      </c>
      <c r="K293" s="107" t="n">
        <v>2</v>
      </c>
      <c r="L293" s="108" t="n">
        <f aca="false">(Yield_Originals!$G293*Yield_Originals!L$1)/Yield_Originals!$K293</f>
        <v>0.0888677933817966</v>
      </c>
      <c r="M293" s="108" t="n">
        <f aca="false">(Yield_Originals!$G293*Yield_Originals!M$1)/Yield_Originals!$K293</f>
        <v>0.0916449119249778</v>
      </c>
      <c r="N293" s="108"/>
      <c r="O293" s="108"/>
      <c r="P293" s="109"/>
      <c r="Q293" s="109"/>
      <c r="R293" s="109"/>
      <c r="S293" s="109"/>
      <c r="T293" s="111"/>
      <c r="U293" s="111"/>
      <c r="V293" s="111"/>
      <c r="W293" s="111" t="n">
        <f aca="false">(Yield_Originals!$I293*Yield_Originals!W$1)/Yield_Originals!$K293</f>
        <v>0.124208048678395</v>
      </c>
      <c r="X293" s="112" t="n">
        <f aca="false">(Yield_Originals!$I293*Yield_Originals!X$1)/Yield_Originals!$K293</f>
        <v>0.127096607949985</v>
      </c>
      <c r="Y293" s="112" t="n">
        <f aca="false">(Yield_Originals!$I293*Yield_Originals!Y$1)/Yield_Originals!$K293</f>
        <v>0.129985167221576</v>
      </c>
      <c r="Z293" s="0"/>
      <c r="AA293" s="0"/>
      <c r="AB293" s="0"/>
    </row>
    <row r="294" customFormat="false" ht="15" hidden="false" customHeight="false" outlineLevel="0" collapsed="false">
      <c r="A294" s="68" t="s">
        <v>868</v>
      </c>
      <c r="B294" s="68" t="n">
        <v>3</v>
      </c>
      <c r="C294" s="103" t="s">
        <v>259</v>
      </c>
      <c r="D294" s="103" t="s">
        <v>1009</v>
      </c>
      <c r="E294" s="104" t="n">
        <v>26</v>
      </c>
      <c r="F294" s="115" t="n">
        <f aca="false">Yield_Originals!G294</f>
        <v>0.148112988969661</v>
      </c>
      <c r="G294" s="106" t="n">
        <v>0.148112988969661</v>
      </c>
      <c r="H294" s="106" t="n">
        <v>0.148112988969661</v>
      </c>
      <c r="I294" s="106" t="n">
        <f aca="false">+(Yield_Originals!H294+Yield_Originals!J294)/2</f>
        <v>0.154056494484831</v>
      </c>
      <c r="J294" s="106" t="n">
        <v>0.16</v>
      </c>
      <c r="K294" s="107" t="n">
        <v>2</v>
      </c>
      <c r="L294" s="108" t="n">
        <f aca="false">(Yield_Originals!$G294*Yield_Originals!L$1)/Yield_Originals!$K294</f>
        <v>0.0888677933817966</v>
      </c>
      <c r="M294" s="108" t="n">
        <f aca="false">(Yield_Originals!$G294*Yield_Originals!M$1)/Yield_Originals!$K294</f>
        <v>0.0916449119249778</v>
      </c>
      <c r="N294" s="108"/>
      <c r="O294" s="108"/>
      <c r="P294" s="109"/>
      <c r="Q294" s="109"/>
      <c r="R294" s="109"/>
      <c r="S294" s="109"/>
      <c r="T294" s="111"/>
      <c r="U294" s="111"/>
      <c r="V294" s="111"/>
      <c r="W294" s="111"/>
      <c r="X294" s="112"/>
      <c r="Y294" s="112"/>
      <c r="Z294" s="0"/>
      <c r="AA294" s="0"/>
      <c r="AB294" s="0"/>
    </row>
    <row r="295" customFormat="false" ht="15" hidden="false" customHeight="false" outlineLevel="0" collapsed="false">
      <c r="A295" s="68" t="s">
        <v>868</v>
      </c>
      <c r="B295" s="68" t="n">
        <v>3</v>
      </c>
      <c r="C295" s="103" t="s">
        <v>259</v>
      </c>
      <c r="D295" s="103" t="s">
        <v>1009</v>
      </c>
      <c r="E295" s="104" t="n">
        <v>30</v>
      </c>
      <c r="F295" s="115" t="n">
        <f aca="false">Yield_Originals!G295</f>
        <v>0.148112988969661</v>
      </c>
      <c r="G295" s="106" t="n">
        <v>0.148112988969661</v>
      </c>
      <c r="H295" s="106" t="n">
        <v>0.148112988969661</v>
      </c>
      <c r="I295" s="106" t="n">
        <f aca="false">+(Yield_Originals!H295+Yield_Originals!J295)/2</f>
        <v>0.154056494484831</v>
      </c>
      <c r="J295" s="106" t="n">
        <v>0.16</v>
      </c>
      <c r="K295" s="107" t="n">
        <v>2</v>
      </c>
      <c r="L295" s="108" t="n">
        <f aca="false">(Yield_Originals!$G295*Yield_Originals!L$1)/Yield_Originals!$K295</f>
        <v>0.0888677933817966</v>
      </c>
      <c r="M295" s="108" t="n">
        <f aca="false">(Yield_Originals!$G295*Yield_Originals!M$1)/Yield_Originals!$K295</f>
        <v>0.0916449119249778</v>
      </c>
      <c r="N295" s="108"/>
      <c r="O295" s="108"/>
      <c r="P295" s="109"/>
      <c r="Q295" s="109"/>
      <c r="R295" s="109"/>
      <c r="S295" s="109"/>
      <c r="T295" s="111"/>
      <c r="U295" s="111"/>
      <c r="V295" s="111"/>
      <c r="W295" s="111"/>
      <c r="X295" s="112"/>
      <c r="Y295" s="112"/>
      <c r="Z295" s="0"/>
      <c r="AA295" s="0"/>
      <c r="AB295" s="0"/>
    </row>
    <row r="296" customFormat="false" ht="15" hidden="false" customHeight="false" outlineLevel="0" collapsed="false">
      <c r="A296" s="68" t="s">
        <v>868</v>
      </c>
      <c r="B296" s="68" t="n">
        <v>3</v>
      </c>
      <c r="C296" s="103" t="s">
        <v>259</v>
      </c>
      <c r="D296" s="103" t="s">
        <v>1009</v>
      </c>
      <c r="E296" s="104" t="n">
        <v>31</v>
      </c>
      <c r="F296" s="115" t="n">
        <f aca="false">Yield_Originals!G296</f>
        <v>0.148112988969661</v>
      </c>
      <c r="G296" s="106" t="n">
        <v>0.148112988969661</v>
      </c>
      <c r="H296" s="106" t="n">
        <v>0.148112988969661</v>
      </c>
      <c r="I296" s="106" t="n">
        <f aca="false">+(Yield_Originals!H296+Yield_Originals!J296)/2</f>
        <v>0.154056494484831</v>
      </c>
      <c r="J296" s="106" t="n">
        <v>0.16</v>
      </c>
      <c r="K296" s="107" t="n">
        <v>2</v>
      </c>
      <c r="L296" s="108" t="n">
        <f aca="false">(Yield_Originals!$G296*Yield_Originals!L$1)/Yield_Originals!$K296</f>
        <v>0.0888677933817966</v>
      </c>
      <c r="M296" s="108" t="n">
        <f aca="false">(Yield_Originals!$G296*Yield_Originals!M$1)/Yield_Originals!$K296</f>
        <v>0.0916449119249778</v>
      </c>
      <c r="N296" s="108"/>
      <c r="O296" s="108"/>
      <c r="P296" s="109"/>
      <c r="Q296" s="109"/>
      <c r="R296" s="109"/>
      <c r="S296" s="109"/>
      <c r="T296" s="111"/>
      <c r="U296" s="111"/>
      <c r="V296" s="111"/>
      <c r="W296" s="111" t="n">
        <f aca="false">(Yield_Originals!$I296*Yield_Originals!W$1)/Yield_Originals!$K296</f>
        <v>0.124208048678395</v>
      </c>
      <c r="X296" s="112" t="n">
        <f aca="false">(Yield_Originals!$I296*Yield_Originals!X$1)/Yield_Originals!$K296</f>
        <v>0.127096607949985</v>
      </c>
      <c r="Y296" s="112" t="n">
        <f aca="false">(Yield_Originals!$I296*Yield_Originals!Y$1)/Yield_Originals!$K296</f>
        <v>0.129985167221576</v>
      </c>
      <c r="Z296" s="112"/>
      <c r="AA296" s="112"/>
      <c r="AB296" s="112"/>
    </row>
    <row r="297" customFormat="false" ht="15" hidden="false" customHeight="false" outlineLevel="0" collapsed="false">
      <c r="A297" s="68" t="s">
        <v>1017</v>
      </c>
      <c r="B297" s="70" t="n">
        <v>2</v>
      </c>
      <c r="C297" s="103" t="s">
        <v>987</v>
      </c>
      <c r="D297" s="103" t="s">
        <v>1026</v>
      </c>
      <c r="E297" s="104" t="n">
        <v>1</v>
      </c>
      <c r="F297" s="115" t="n">
        <f aca="false">Yield_Originals!G297</f>
        <v>0.120350988019851</v>
      </c>
      <c r="G297" s="106" t="n">
        <v>0.120350988019851</v>
      </c>
      <c r="H297" s="106" t="n">
        <v>0.120350988019851</v>
      </c>
      <c r="I297" s="106" t="n">
        <v>0.120350988019851</v>
      </c>
      <c r="J297" s="106" t="n">
        <v>0.120350988019851</v>
      </c>
      <c r="K297" s="107" t="n">
        <v>1</v>
      </c>
      <c r="L297" s="108" t="n">
        <f aca="false">(Yield_Originals!$G297*Yield_Originals!L$1)/Yield_Originals!$K297</f>
        <v>0.144421185623821</v>
      </c>
      <c r="M297" s="108" t="n">
        <f aca="false">(Yield_Originals!$G297*Yield_Originals!M$1)/Yield_Originals!$K297</f>
        <v>0.148934347674566</v>
      </c>
      <c r="N297" s="108" t="n">
        <f aca="false">(Yield_Originals!$G297*Yield_Originals!N$1)/Yield_Originals!$K297</f>
        <v>0.15344750972531</v>
      </c>
      <c r="O297" s="108" t="n">
        <f aca="false">(Yield_Originals!$G297*Yield_Originals!O$1)/Yield_Originals!$K297</f>
        <v>0.157960671776054</v>
      </c>
      <c r="P297" s="109" t="n">
        <f aca="false">(Yield_Originals!$H297*Yield_Originals!P$1)/Yield_Originals!$K297</f>
        <v>0.162473833826799</v>
      </c>
      <c r="Q297" s="109" t="n">
        <f aca="false">(Yield_Originals!$H297*Yield_Originals!Q$1)/Yield_Originals!$K297</f>
        <v>0.166986995877543</v>
      </c>
      <c r="R297" s="109" t="n">
        <f aca="false">(Yield_Originals!$H297*Yield_Originals!R$1)/Yield_Originals!$K297</f>
        <v>0.171500157928288</v>
      </c>
      <c r="S297" s="109" t="n">
        <f aca="false">(Yield_Originals!$H297*Yield_Originals!S$1)/Yield_Originals!$K297</f>
        <v>0.176013319979032</v>
      </c>
      <c r="T297" s="111" t="n">
        <f aca="false">(Yield_Originals!$I297*Yield_Originals!T$1)/Yield_Originals!$K297</f>
        <v>0.180526482029777</v>
      </c>
      <c r="U297" s="111" t="n">
        <f aca="false">(Yield_Originals!$I297*Yield_Originals!U$1)/Yield_Originals!$K297</f>
        <v>0.185039644080521</v>
      </c>
      <c r="V297" s="111" t="n">
        <f aca="false">(Yield_Originals!$I297*Yield_Originals!V$1)/Yield_Originals!$K297</f>
        <v>0.189552806131265</v>
      </c>
      <c r="W297" s="111" t="n">
        <f aca="false">(Yield_Originals!$I297*Yield_Originals!W$1)/Yield_Originals!$K297</f>
        <v>0.19406596818201</v>
      </c>
      <c r="X297" s="112" t="n">
        <f aca="false">(Yield_Originals!$I297*Yield_Originals!X$1)/Yield_Originals!$K297</f>
        <v>0.198579130232754</v>
      </c>
      <c r="Y297" s="112" t="n">
        <f aca="false">(Yield_Originals!$I297*Yield_Originals!Y$1)/Yield_Originals!$K297</f>
        <v>0.203092292283499</v>
      </c>
      <c r="Z297" s="0"/>
      <c r="AA297" s="0"/>
      <c r="AB297" s="0"/>
    </row>
    <row r="298" customFormat="false" ht="15" hidden="false" customHeight="false" outlineLevel="0" collapsed="false">
      <c r="A298" s="68" t="s">
        <v>1017</v>
      </c>
      <c r="B298" s="70" t="n">
        <v>2</v>
      </c>
      <c r="C298" s="103" t="s">
        <v>989</v>
      </c>
      <c r="D298" s="103" t="s">
        <v>1022</v>
      </c>
      <c r="E298" s="104" t="n">
        <v>1</v>
      </c>
      <c r="F298" s="115" t="n">
        <f aca="false">Yield_Originals!G298</f>
        <v>0.120350988019851</v>
      </c>
      <c r="G298" s="106" t="n">
        <v>0.120350988019851</v>
      </c>
      <c r="H298" s="106" t="n">
        <v>0.120350988019851</v>
      </c>
      <c r="I298" s="106" t="n">
        <v>0.120350988019851</v>
      </c>
      <c r="J298" s="106" t="n">
        <v>0.120350988019851</v>
      </c>
      <c r="K298" s="107" t="n">
        <v>1</v>
      </c>
      <c r="L298" s="108" t="n">
        <f aca="false">(Yield_Originals!$G298*Yield_Originals!L$1)/Yield_Originals!$K298</f>
        <v>0.144421185623821</v>
      </c>
      <c r="M298" s="108" t="n">
        <f aca="false">(Yield_Originals!$G298*Yield_Originals!M$1)/Yield_Originals!$K298</f>
        <v>0.148934347674566</v>
      </c>
      <c r="N298" s="108" t="n">
        <f aca="false">(Yield_Originals!$G298*Yield_Originals!N$1)/Yield_Originals!$K298</f>
        <v>0.15344750972531</v>
      </c>
      <c r="O298" s="108" t="n">
        <f aca="false">(Yield_Originals!$G298*Yield_Originals!O$1)/Yield_Originals!$K298</f>
        <v>0.157960671776054</v>
      </c>
      <c r="P298" s="109" t="n">
        <f aca="false">(Yield_Originals!$H298*Yield_Originals!P$1)/Yield_Originals!$K298</f>
        <v>0.162473833826799</v>
      </c>
      <c r="Q298" s="109" t="n">
        <f aca="false">(Yield_Originals!$H298*Yield_Originals!Q$1)/Yield_Originals!$K298</f>
        <v>0.166986995877543</v>
      </c>
      <c r="R298" s="109" t="n">
        <f aca="false">(Yield_Originals!$H298*Yield_Originals!R$1)/Yield_Originals!$K298</f>
        <v>0.171500157928288</v>
      </c>
      <c r="S298" s="109" t="n">
        <f aca="false">(Yield_Originals!$H298*Yield_Originals!S$1)/Yield_Originals!$K298</f>
        <v>0.176013319979032</v>
      </c>
      <c r="T298" s="111" t="n">
        <f aca="false">(Yield_Originals!$I298*Yield_Originals!T$1)/Yield_Originals!$K298</f>
        <v>0.180526482029777</v>
      </c>
      <c r="U298" s="111"/>
      <c r="V298" s="111"/>
      <c r="W298" s="111"/>
      <c r="X298" s="112"/>
      <c r="Y298" s="112"/>
      <c r="Z298" s="0"/>
      <c r="AA298" s="0"/>
      <c r="AB298" s="0"/>
    </row>
    <row r="299" customFormat="false" ht="15" hidden="false" customHeight="false" outlineLevel="0" collapsed="false">
      <c r="A299" s="68" t="s">
        <v>1017</v>
      </c>
      <c r="B299" s="70" t="n">
        <v>2</v>
      </c>
      <c r="C299" s="103" t="s">
        <v>260</v>
      </c>
      <c r="D299" s="103" t="s">
        <v>1022</v>
      </c>
      <c r="E299" s="104" t="n">
        <v>1</v>
      </c>
      <c r="F299" s="115" t="n">
        <f aca="false">Yield_Originals!G299</f>
        <v>0.120350988019851</v>
      </c>
      <c r="G299" s="106" t="n">
        <v>0.120350988019851</v>
      </c>
      <c r="H299" s="106" t="n">
        <v>0.120350988019851</v>
      </c>
      <c r="I299" s="106" t="n">
        <v>0.120350988019851</v>
      </c>
      <c r="J299" s="106" t="n">
        <v>0.120350988019851</v>
      </c>
      <c r="K299" s="107" t="n">
        <v>1</v>
      </c>
      <c r="L299" s="108" t="n">
        <f aca="false">(Yield_Originals!$G299*Yield_Originals!L$1)/Yield_Originals!$K299</f>
        <v>0.144421185623821</v>
      </c>
      <c r="M299" s="108" t="n">
        <f aca="false">(Yield_Originals!$G299*Yield_Originals!M$1)/Yield_Originals!$K299</f>
        <v>0.148934347674566</v>
      </c>
      <c r="N299" s="108" t="n">
        <f aca="false">(Yield_Originals!$G299*Yield_Originals!N$1)/Yield_Originals!$K299</f>
        <v>0.15344750972531</v>
      </c>
      <c r="O299" s="108" t="n">
        <f aca="false">(Yield_Originals!$G299*Yield_Originals!O$1)/Yield_Originals!$K299</f>
        <v>0.157960671776054</v>
      </c>
      <c r="P299" s="109" t="n">
        <f aca="false">(Yield_Originals!$H299*Yield_Originals!P$1)/Yield_Originals!$K299</f>
        <v>0.162473833826799</v>
      </c>
      <c r="Q299" s="109" t="n">
        <f aca="false">(Yield_Originals!$H299*Yield_Originals!Q$1)/Yield_Originals!$K299</f>
        <v>0.166986995877543</v>
      </c>
      <c r="R299" s="109" t="n">
        <f aca="false">(Yield_Originals!$H299*Yield_Originals!R$1)/Yield_Originals!$K299</f>
        <v>0.171500157928288</v>
      </c>
      <c r="S299" s="109" t="n">
        <f aca="false">(Yield_Originals!$H299*Yield_Originals!S$1)/Yield_Originals!$K299</f>
        <v>0.176013319979032</v>
      </c>
      <c r="T299" s="111" t="n">
        <f aca="false">(Yield_Originals!$I299*Yield_Originals!T$1)/Yield_Originals!$K299</f>
        <v>0.180526482029777</v>
      </c>
      <c r="U299" s="111"/>
      <c r="V299" s="111"/>
      <c r="W299" s="111"/>
      <c r="X299" s="112"/>
      <c r="Y299" s="112"/>
      <c r="Z299" s="0"/>
      <c r="AA299" s="0"/>
      <c r="AB299" s="0"/>
    </row>
    <row r="300" customFormat="false" ht="15" hidden="false" customHeight="false" outlineLevel="0" collapsed="false">
      <c r="A300" s="68" t="s">
        <v>1017</v>
      </c>
      <c r="B300" s="70" t="n">
        <v>2</v>
      </c>
      <c r="C300" s="103" t="s">
        <v>144</v>
      </c>
      <c r="D300" s="103" t="s">
        <v>1017</v>
      </c>
      <c r="E300" s="104" t="n">
        <v>1</v>
      </c>
      <c r="F300" s="115" t="n">
        <f aca="false">Yield_Originals!G300</f>
        <v>0.120350988019851</v>
      </c>
      <c r="G300" s="106" t="n">
        <v>0.120350988019851</v>
      </c>
      <c r="H300" s="106" t="n">
        <v>0.120350988019851</v>
      </c>
      <c r="I300" s="106" t="n">
        <v>0.120350988019851</v>
      </c>
      <c r="J300" s="106" t="n">
        <v>0.120350988019851</v>
      </c>
      <c r="K300" s="107" t="n">
        <v>1</v>
      </c>
      <c r="L300" s="108" t="n">
        <f aca="false">(Yield_Originals!$G300*Yield_Originals!L$1)/Yield_Originals!$K300</f>
        <v>0.144421185623821</v>
      </c>
      <c r="M300" s="108" t="n">
        <f aca="false">(Yield_Originals!$G300*Yield_Originals!M$1)/Yield_Originals!$K300</f>
        <v>0.148934347674566</v>
      </c>
      <c r="N300" s="108" t="n">
        <f aca="false">(Yield_Originals!$G300*Yield_Originals!N$1)/Yield_Originals!$K300</f>
        <v>0.15344750972531</v>
      </c>
      <c r="O300" s="108" t="n">
        <f aca="false">(Yield_Originals!$G300*Yield_Originals!O$1)/Yield_Originals!$K300</f>
        <v>0.157960671776054</v>
      </c>
      <c r="P300" s="109" t="n">
        <f aca="false">(Yield_Originals!$H300*Yield_Originals!P$1)/Yield_Originals!$K300</f>
        <v>0.162473833826799</v>
      </c>
      <c r="Q300" s="109" t="n">
        <f aca="false">(Yield_Originals!$H300*Yield_Originals!Q$1)/Yield_Originals!$K300</f>
        <v>0.166986995877543</v>
      </c>
      <c r="R300" s="109" t="n">
        <f aca="false">(Yield_Originals!$H300*Yield_Originals!R$1)/Yield_Originals!$K300</f>
        <v>0.171500157928288</v>
      </c>
      <c r="S300" s="109" t="n">
        <f aca="false">(Yield_Originals!$H300*Yield_Originals!S$1)/Yield_Originals!$K300</f>
        <v>0.176013319979032</v>
      </c>
      <c r="T300" s="111" t="n">
        <f aca="false">(Yield_Originals!$I300*Yield_Originals!T$1)/Yield_Originals!$K300</f>
        <v>0.180526482029777</v>
      </c>
      <c r="U300" s="111" t="n">
        <f aca="false">(Yield_Originals!$I300*Yield_Originals!U$1)/Yield_Originals!$K300</f>
        <v>0.185039644080521</v>
      </c>
      <c r="V300" s="111" t="n">
        <f aca="false">(Yield_Originals!$I300*Yield_Originals!V$1)/Yield_Originals!$K300</f>
        <v>0.189552806131265</v>
      </c>
      <c r="W300" s="111" t="n">
        <f aca="false">(Yield_Originals!$I300*Yield_Originals!W$1)/Yield_Originals!$K300</f>
        <v>0.19406596818201</v>
      </c>
      <c r="X300" s="112" t="n">
        <f aca="false">(Yield_Originals!$I300*Yield_Originals!X$1)/Yield_Originals!$K300</f>
        <v>0.198579130232754</v>
      </c>
      <c r="Y300" s="112" t="n">
        <f aca="false">(Yield_Originals!$I300*Yield_Originals!Y$1)/Yield_Originals!$K300</f>
        <v>0.203092292283499</v>
      </c>
      <c r="Z300" s="0"/>
      <c r="AA300" s="0"/>
      <c r="AB300" s="0"/>
    </row>
    <row r="301" customFormat="false" ht="15" hidden="false" customHeight="false" outlineLevel="0" collapsed="false">
      <c r="A301" s="68" t="s">
        <v>1017</v>
      </c>
      <c r="B301" s="70" t="n">
        <v>2</v>
      </c>
      <c r="C301" s="103" t="s">
        <v>261</v>
      </c>
      <c r="D301" s="103" t="s">
        <v>1017</v>
      </c>
      <c r="E301" s="104" t="n">
        <v>1</v>
      </c>
      <c r="F301" s="115" t="n">
        <f aca="false">Yield_Originals!G301</f>
        <v>0.120350988019851</v>
      </c>
      <c r="G301" s="106" t="n">
        <v>0.120350988019851</v>
      </c>
      <c r="H301" s="106" t="n">
        <v>0.120350988019851</v>
      </c>
      <c r="I301" s="106" t="n">
        <v>0.120350988019851</v>
      </c>
      <c r="J301" s="106" t="n">
        <v>0.120350988019851</v>
      </c>
      <c r="K301" s="107" t="n">
        <v>1</v>
      </c>
      <c r="L301" s="108" t="n">
        <f aca="false">(Yield_Originals!$G301*Yield_Originals!L$1)/Yield_Originals!$K301</f>
        <v>0.144421185623821</v>
      </c>
      <c r="M301" s="108" t="n">
        <f aca="false">(Yield_Originals!$G301*Yield_Originals!M$1)/Yield_Originals!$K301</f>
        <v>0.148934347674566</v>
      </c>
      <c r="N301" s="108" t="n">
        <f aca="false">(Yield_Originals!$G301*Yield_Originals!N$1)/Yield_Originals!$K301</f>
        <v>0.15344750972531</v>
      </c>
      <c r="O301" s="108" t="n">
        <f aca="false">(Yield_Originals!$G301*Yield_Originals!O$1)/Yield_Originals!$K301</f>
        <v>0.157960671776054</v>
      </c>
      <c r="P301" s="109" t="n">
        <f aca="false">(Yield_Originals!$H301*Yield_Originals!P$1)/Yield_Originals!$K301</f>
        <v>0.162473833826799</v>
      </c>
      <c r="Q301" s="109" t="n">
        <f aca="false">(Yield_Originals!$H301*Yield_Originals!Q$1)/Yield_Originals!$K301</f>
        <v>0.166986995877543</v>
      </c>
      <c r="R301" s="109" t="n">
        <f aca="false">(Yield_Originals!$H301*Yield_Originals!R$1)/Yield_Originals!$K301</f>
        <v>0.171500157928288</v>
      </c>
      <c r="S301" s="109" t="n">
        <f aca="false">(Yield_Originals!$H301*Yield_Originals!S$1)/Yield_Originals!$K301</f>
        <v>0.176013319979032</v>
      </c>
      <c r="T301" s="111" t="n">
        <f aca="false">(Yield_Originals!$I301*Yield_Originals!T$1)/Yield_Originals!$K301</f>
        <v>0.180526482029777</v>
      </c>
      <c r="U301" s="111" t="n">
        <f aca="false">(Yield_Originals!$I301*Yield_Originals!U$1)/Yield_Originals!$K301</f>
        <v>0.185039644080521</v>
      </c>
      <c r="V301" s="111" t="n">
        <f aca="false">(Yield_Originals!$I301*Yield_Originals!V$1)/Yield_Originals!$K301</f>
        <v>0.189552806131265</v>
      </c>
      <c r="W301" s="111" t="n">
        <f aca="false">(Yield_Originals!$I301*Yield_Originals!W$1)/Yield_Originals!$K301</f>
        <v>0.19406596818201</v>
      </c>
      <c r="X301" s="112" t="n">
        <f aca="false">(Yield_Originals!$I301*Yield_Originals!X$1)/Yield_Originals!$K301</f>
        <v>0.198579130232754</v>
      </c>
      <c r="Y301" s="112" t="n">
        <f aca="false">(Yield_Originals!$I301*Yield_Originals!Y$1)/Yield_Originals!$K301</f>
        <v>0.203092292283499</v>
      </c>
      <c r="Z301" s="0"/>
      <c r="AA301" s="0"/>
      <c r="AB301" s="0"/>
    </row>
    <row r="302" customFormat="false" ht="15" hidden="false" customHeight="false" outlineLevel="0" collapsed="false">
      <c r="A302" s="68" t="s">
        <v>1017</v>
      </c>
      <c r="B302" s="70" t="n">
        <v>2</v>
      </c>
      <c r="C302" s="103" t="s">
        <v>998</v>
      </c>
      <c r="D302" s="103" t="s">
        <v>1016</v>
      </c>
      <c r="E302" s="104" t="n">
        <v>1</v>
      </c>
      <c r="F302" s="115" t="n">
        <f aca="false">Yield_Originals!G302</f>
        <v>0.120350988019851</v>
      </c>
      <c r="G302" s="106" t="n">
        <v>0.120350988019851</v>
      </c>
      <c r="H302" s="106" t="n">
        <v>0.120350988019851</v>
      </c>
      <c r="I302" s="106" t="n">
        <v>0.120350988019851</v>
      </c>
      <c r="J302" s="106" t="n">
        <v>0.120350988019851</v>
      </c>
      <c r="K302" s="107" t="n">
        <v>1</v>
      </c>
      <c r="L302" s="108" t="n">
        <f aca="false">(Yield_Originals!$G302*Yield_Originals!L$1)/Yield_Originals!$K302</f>
        <v>0.144421185623821</v>
      </c>
      <c r="M302" s="108" t="n">
        <f aca="false">(Yield_Originals!$G302*Yield_Originals!M$1)/Yield_Originals!$K302</f>
        <v>0.148934347674566</v>
      </c>
      <c r="N302" s="108" t="n">
        <f aca="false">(Yield_Originals!$G302*Yield_Originals!N$1)/Yield_Originals!$K302</f>
        <v>0.15344750972531</v>
      </c>
      <c r="O302" s="108" t="n">
        <f aca="false">(Yield_Originals!$G302*Yield_Originals!O$1)/Yield_Originals!$K302</f>
        <v>0.157960671776054</v>
      </c>
      <c r="P302" s="109" t="n">
        <f aca="false">(Yield_Originals!$H302*Yield_Originals!P$1)/Yield_Originals!$K302</f>
        <v>0.162473833826799</v>
      </c>
      <c r="Q302" s="109" t="n">
        <f aca="false">(Yield_Originals!$H302*Yield_Originals!Q$1)/Yield_Originals!$K302</f>
        <v>0.166986995877543</v>
      </c>
      <c r="R302" s="109" t="n">
        <f aca="false">(Yield_Originals!$H302*Yield_Originals!R$1)/Yield_Originals!$K302</f>
        <v>0.171500157928288</v>
      </c>
      <c r="S302" s="109" t="n">
        <f aca="false">(Yield_Originals!$H302*Yield_Originals!S$1)/Yield_Originals!$K302</f>
        <v>0.176013319979032</v>
      </c>
      <c r="T302" s="111" t="n">
        <f aca="false">(Yield_Originals!$I302*Yield_Originals!T$1)/Yield_Originals!$K302</f>
        <v>0.180526482029777</v>
      </c>
      <c r="U302" s="111" t="n">
        <f aca="false">(Yield_Originals!$I302*Yield_Originals!U$1)/Yield_Originals!$K302</f>
        <v>0.185039644080521</v>
      </c>
      <c r="V302" s="111" t="n">
        <f aca="false">(Yield_Originals!$I302*Yield_Originals!V$1)/Yield_Originals!$K302</f>
        <v>0.189552806131265</v>
      </c>
      <c r="W302" s="111" t="n">
        <f aca="false">(Yield_Originals!$I302*Yield_Originals!W$1)/Yield_Originals!$K302</f>
        <v>0.19406596818201</v>
      </c>
      <c r="X302" s="112" t="n">
        <f aca="false">(Yield_Originals!$I302*Yield_Originals!X$1)/Yield_Originals!$K302</f>
        <v>0.198579130232754</v>
      </c>
      <c r="Y302" s="112" t="n">
        <f aca="false">(Yield_Originals!$I302*Yield_Originals!Y$1)/Yield_Originals!$K302</f>
        <v>0.203092292283499</v>
      </c>
      <c r="Z302" s="0"/>
      <c r="AA302" s="0"/>
      <c r="AB302" s="0"/>
    </row>
    <row r="303" customFormat="false" ht="15" hidden="false" customHeight="false" outlineLevel="0" collapsed="false">
      <c r="A303" s="68" t="s">
        <v>1245</v>
      </c>
      <c r="B303" s="68" t="n">
        <v>3</v>
      </c>
      <c r="C303" s="103" t="s">
        <v>1000</v>
      </c>
      <c r="D303" s="103" t="s">
        <v>1088</v>
      </c>
      <c r="E303" s="104" t="n">
        <v>25</v>
      </c>
      <c r="F303" s="115" t="n">
        <f aca="false">Yield_Originals!G303</f>
        <v>0.364</v>
      </c>
      <c r="G303" s="106" t="n">
        <v>0.364</v>
      </c>
      <c r="H303" s="106" t="n">
        <v>0.364</v>
      </c>
      <c r="I303" s="106" t="n">
        <f aca="false">+(Yield_Originals!H303+Yield_Originals!J303)/2</f>
        <v>0.387</v>
      </c>
      <c r="J303" s="106" t="n">
        <v>0.41</v>
      </c>
      <c r="K303" s="107" t="n">
        <v>2</v>
      </c>
      <c r="L303" s="108"/>
      <c r="M303" s="108"/>
      <c r="N303" s="108"/>
      <c r="O303" s="108"/>
      <c r="P303" s="109"/>
      <c r="Q303" s="109"/>
      <c r="R303" s="109"/>
      <c r="S303" s="109"/>
      <c r="T303" s="111"/>
      <c r="U303" s="111" t="n">
        <f aca="false">(Yield_Originals!$I303*Yield_Originals!U$1)/Yield_Originals!$K303</f>
        <v>0.29750625</v>
      </c>
      <c r="V303" s="111" t="n">
        <f aca="false">(Yield_Originals!$I303*Yield_Originals!V$1)/Yield_Originals!$K303</f>
        <v>0.3047625</v>
      </c>
      <c r="W303" s="111" t="n">
        <f aca="false">(Yield_Originals!$I303*Yield_Originals!W$1)/Yield_Originals!$K303</f>
        <v>0.31201875</v>
      </c>
      <c r="X303" s="112" t="n">
        <f aca="false">(Yield_Originals!$I303*Yield_Originals!X$1)/Yield_Originals!$K303</f>
        <v>0.319275</v>
      </c>
      <c r="Y303" s="112" t="n">
        <f aca="false">(Yield_Originals!$I303*Yield_Originals!Y$1)/Yield_Originals!$K303</f>
        <v>0.32653125</v>
      </c>
      <c r="Z303" s="0"/>
      <c r="AA303" s="0"/>
      <c r="AB303" s="0"/>
    </row>
    <row r="304" customFormat="false" ht="15" hidden="false" customHeight="false" outlineLevel="0" collapsed="false">
      <c r="A304" s="68" t="s">
        <v>1245</v>
      </c>
      <c r="B304" s="68" t="n">
        <v>3</v>
      </c>
      <c r="C304" s="103" t="s">
        <v>1003</v>
      </c>
      <c r="D304" s="103" t="s">
        <v>1069</v>
      </c>
      <c r="E304" s="104" t="n">
        <v>25</v>
      </c>
      <c r="F304" s="115" t="n">
        <f aca="false">Yield_Originals!G304</f>
        <v>0.364</v>
      </c>
      <c r="G304" s="106" t="n">
        <v>0.364</v>
      </c>
      <c r="H304" s="106" t="n">
        <v>0.364</v>
      </c>
      <c r="I304" s="106" t="n">
        <f aca="false">+(Yield_Originals!H304+Yield_Originals!J304)/2</f>
        <v>0.387</v>
      </c>
      <c r="J304" s="106" t="n">
        <v>0.41</v>
      </c>
      <c r="K304" s="107" t="n">
        <v>2</v>
      </c>
      <c r="L304" s="108" t="n">
        <f aca="false">(Yield_Originals!$G304*Yield_Originals!L$1)/Yield_Originals!$K304</f>
        <v>0.2184</v>
      </c>
      <c r="M304" s="108" t="n">
        <f aca="false">(Yield_Originals!$G304*Yield_Originals!M$1)/Yield_Originals!$K304</f>
        <v>0.225225</v>
      </c>
      <c r="N304" s="108" t="n">
        <f aca="false">(Yield_Originals!$G304*Yield_Originals!N$1)/Yield_Originals!$K304</f>
        <v>0.23205</v>
      </c>
      <c r="O304" s="108" t="n">
        <f aca="false">(Yield_Originals!$G304*Yield_Originals!O$1)/Yield_Originals!$K304</f>
        <v>0.238875</v>
      </c>
      <c r="P304" s="109" t="n">
        <f aca="false">(Yield_Originals!$H304*Yield_Originals!P$1)/Yield_Originals!$K304</f>
        <v>0.2457</v>
      </c>
      <c r="Q304" s="109" t="n">
        <f aca="false">(Yield_Originals!$H304*Yield_Originals!Q$1)/Yield_Originals!$K304</f>
        <v>0.252525</v>
      </c>
      <c r="R304" s="109" t="n">
        <f aca="false">(Yield_Originals!$H304*Yield_Originals!R$1)/Yield_Originals!$K304</f>
        <v>0.25935</v>
      </c>
      <c r="S304" s="109" t="n">
        <f aca="false">(Yield_Originals!$H304*Yield_Originals!S$1)/Yield_Originals!$K304</f>
        <v>0.266175</v>
      </c>
      <c r="T304" s="111" t="n">
        <f aca="false">(Yield_Originals!$I304*Yield_Originals!T$1)/Yield_Originals!$K304</f>
        <v>0.29025</v>
      </c>
      <c r="U304" s="111" t="n">
        <f aca="false">(Yield_Originals!$I304*Yield_Originals!U$1)/Yield_Originals!$K304</f>
        <v>0.29750625</v>
      </c>
      <c r="V304" s="111" t="n">
        <f aca="false">(Yield_Originals!$I304*Yield_Originals!V$1)/Yield_Originals!$K304</f>
        <v>0.3047625</v>
      </c>
      <c r="W304" s="111" t="n">
        <f aca="false">(Yield_Originals!$I304*Yield_Originals!W$1)/Yield_Originals!$K304</f>
        <v>0.31201875</v>
      </c>
      <c r="X304" s="112" t="n">
        <f aca="false">(Yield_Originals!$I304*Yield_Originals!X$1)/Yield_Originals!$K304</f>
        <v>0.319275</v>
      </c>
      <c r="Y304" s="112" t="n">
        <f aca="false">(Yield_Originals!$I304*Yield_Originals!Y$1)/Yield_Originals!$K304</f>
        <v>0.32653125</v>
      </c>
      <c r="Z304" s="0"/>
      <c r="AA304" s="0"/>
      <c r="AB304" s="0"/>
    </row>
    <row r="305" customFormat="false" ht="15" hidden="false" customHeight="false" outlineLevel="0" collapsed="false">
      <c r="A305" s="68" t="s">
        <v>1245</v>
      </c>
      <c r="B305" s="68" t="n">
        <v>3</v>
      </c>
      <c r="C305" s="103" t="s">
        <v>145</v>
      </c>
      <c r="D305" s="103" t="s">
        <v>1073</v>
      </c>
      <c r="E305" s="104" t="n">
        <v>25</v>
      </c>
      <c r="F305" s="115" t="n">
        <f aca="false">Yield_Originals!G305</f>
        <v>0.364</v>
      </c>
      <c r="G305" s="106" t="n">
        <v>0.364</v>
      </c>
      <c r="H305" s="106" t="n">
        <v>0.364</v>
      </c>
      <c r="I305" s="106" t="n">
        <f aca="false">+(Yield_Originals!H305+Yield_Originals!J305)/2</f>
        <v>0.387</v>
      </c>
      <c r="J305" s="106" t="n">
        <v>0.41</v>
      </c>
      <c r="K305" s="107" t="n">
        <v>2</v>
      </c>
      <c r="L305" s="108"/>
      <c r="M305" s="108" t="n">
        <f aca="false">(Yield_Originals!$G305*Yield_Originals!M$1)/Yield_Originals!$K305</f>
        <v>0.225225</v>
      </c>
      <c r="N305" s="108" t="n">
        <f aca="false">(Yield_Originals!$G305*Yield_Originals!N$1)/Yield_Originals!$K305</f>
        <v>0.23205</v>
      </c>
      <c r="O305" s="108" t="n">
        <f aca="false">(Yield_Originals!$G305*Yield_Originals!O$1)/Yield_Originals!$K305</f>
        <v>0.238875</v>
      </c>
      <c r="P305" s="109" t="n">
        <f aca="false">(Yield_Originals!$H305*Yield_Originals!P$1)/Yield_Originals!$K305</f>
        <v>0.2457</v>
      </c>
      <c r="Q305" s="109" t="n">
        <f aca="false">(Yield_Originals!$H305*Yield_Originals!Q$1)/Yield_Originals!$K305</f>
        <v>0.252525</v>
      </c>
      <c r="R305" s="109" t="n">
        <f aca="false">(Yield_Originals!$H305*Yield_Originals!R$1)/Yield_Originals!$K305</f>
        <v>0.25935</v>
      </c>
      <c r="S305" s="109" t="n">
        <f aca="false">(Yield_Originals!$H305*Yield_Originals!S$1)/Yield_Originals!$K305</f>
        <v>0.266175</v>
      </c>
      <c r="T305" s="111"/>
      <c r="U305" s="111"/>
      <c r="V305" s="111"/>
      <c r="W305" s="111"/>
      <c r="X305" s="112"/>
      <c r="Y305" s="112"/>
      <c r="Z305" s="0"/>
      <c r="AA305" s="0"/>
      <c r="AB305" s="0"/>
    </row>
    <row r="306" customFormat="false" ht="15" hidden="false" customHeight="false" outlineLevel="0" collapsed="false">
      <c r="A306" s="68" t="s">
        <v>1245</v>
      </c>
      <c r="B306" s="68" t="n">
        <v>3</v>
      </c>
      <c r="C306" s="103" t="s">
        <v>262</v>
      </c>
      <c r="D306" s="103" t="s">
        <v>1073</v>
      </c>
      <c r="E306" s="104" t="n">
        <v>25</v>
      </c>
      <c r="F306" s="115" t="n">
        <f aca="false">Yield_Originals!G306</f>
        <v>0.364</v>
      </c>
      <c r="G306" s="106" t="n">
        <v>0.364</v>
      </c>
      <c r="H306" s="106" t="n">
        <v>0.364</v>
      </c>
      <c r="I306" s="106" t="n">
        <f aca="false">+(Yield_Originals!H306+Yield_Originals!J306)/2</f>
        <v>0.387</v>
      </c>
      <c r="J306" s="106" t="n">
        <v>0.41</v>
      </c>
      <c r="K306" s="107" t="n">
        <v>2</v>
      </c>
      <c r="L306" s="108"/>
      <c r="M306" s="108" t="n">
        <f aca="false">(Yield_Originals!$G306*Yield_Originals!M$1)/Yield_Originals!$K306</f>
        <v>0.225225</v>
      </c>
      <c r="N306" s="108" t="n">
        <f aca="false">(Yield_Originals!$G306*Yield_Originals!N$1)/Yield_Originals!$K306</f>
        <v>0.23205</v>
      </c>
      <c r="O306" s="108" t="n">
        <f aca="false">(Yield_Originals!$G306*Yield_Originals!O$1)/Yield_Originals!$K306</f>
        <v>0.238875</v>
      </c>
      <c r="P306" s="109" t="n">
        <f aca="false">(Yield_Originals!$H306*Yield_Originals!P$1)/Yield_Originals!$K306</f>
        <v>0.2457</v>
      </c>
      <c r="Q306" s="109" t="n">
        <f aca="false">(Yield_Originals!$H306*Yield_Originals!Q$1)/Yield_Originals!$K306</f>
        <v>0.252525</v>
      </c>
      <c r="R306" s="109" t="n">
        <f aca="false">(Yield_Originals!$H306*Yield_Originals!R$1)/Yield_Originals!$K306</f>
        <v>0.25935</v>
      </c>
      <c r="S306" s="109" t="n">
        <f aca="false">(Yield_Originals!$H306*Yield_Originals!S$1)/Yield_Originals!$K306</f>
        <v>0.266175</v>
      </c>
      <c r="T306" s="111"/>
      <c r="U306" s="111"/>
      <c r="V306" s="111"/>
      <c r="W306" s="111"/>
      <c r="X306" s="112"/>
      <c r="Y306" s="112"/>
      <c r="Z306" s="0"/>
      <c r="AA306" s="0"/>
      <c r="AB306" s="0"/>
    </row>
    <row r="307" customFormat="false" ht="15" hidden="false" customHeight="false" outlineLevel="0" collapsed="false">
      <c r="A307" s="68" t="s">
        <v>1245</v>
      </c>
      <c r="B307" s="68" t="n">
        <v>3</v>
      </c>
      <c r="C307" s="103" t="s">
        <v>146</v>
      </c>
      <c r="D307" s="103" t="s">
        <v>1077</v>
      </c>
      <c r="E307" s="104" t="n">
        <v>25</v>
      </c>
      <c r="F307" s="115" t="n">
        <f aca="false">Yield_Originals!G307</f>
        <v>0.364</v>
      </c>
      <c r="G307" s="106" t="n">
        <v>0.364</v>
      </c>
      <c r="H307" s="106" t="n">
        <v>0.364</v>
      </c>
      <c r="I307" s="106" t="n">
        <f aca="false">+(Yield_Originals!H307+Yield_Originals!J307)/2</f>
        <v>0.387</v>
      </c>
      <c r="J307" s="106" t="n">
        <v>0.41</v>
      </c>
      <c r="K307" s="107" t="n">
        <v>2</v>
      </c>
      <c r="L307" s="108"/>
      <c r="M307" s="108" t="n">
        <f aca="false">(Yield_Originals!$G307*Yield_Originals!M$1)/Yield_Originals!$K307</f>
        <v>0.225225</v>
      </c>
      <c r="N307" s="108" t="n">
        <f aca="false">(Yield_Originals!$G307*Yield_Originals!N$1)/Yield_Originals!$K307</f>
        <v>0.23205</v>
      </c>
      <c r="O307" s="108" t="n">
        <f aca="false">(Yield_Originals!$G307*Yield_Originals!O$1)/Yield_Originals!$K307</f>
        <v>0.238875</v>
      </c>
      <c r="P307" s="109" t="n">
        <f aca="false">(Yield_Originals!$H307*Yield_Originals!P$1)/Yield_Originals!$K307</f>
        <v>0.2457</v>
      </c>
      <c r="Q307" s="109" t="n">
        <f aca="false">(Yield_Originals!$H307*Yield_Originals!Q$1)/Yield_Originals!$K307</f>
        <v>0.252525</v>
      </c>
      <c r="R307" s="109" t="n">
        <f aca="false">(Yield_Originals!$H307*Yield_Originals!R$1)/Yield_Originals!$K307</f>
        <v>0.25935</v>
      </c>
      <c r="S307" s="109" t="n">
        <f aca="false">(Yield_Originals!$H307*Yield_Originals!S$1)/Yield_Originals!$K307</f>
        <v>0.266175</v>
      </c>
      <c r="T307" s="111"/>
      <c r="U307" s="111"/>
      <c r="V307" s="111"/>
      <c r="W307" s="111"/>
      <c r="X307" s="112"/>
      <c r="Y307" s="112"/>
      <c r="Z307" s="0"/>
      <c r="AA307" s="0"/>
      <c r="AB307" s="0"/>
    </row>
    <row r="308" customFormat="false" ht="15" hidden="false" customHeight="false" outlineLevel="0" collapsed="false">
      <c r="A308" s="68" t="s">
        <v>1245</v>
      </c>
      <c r="B308" s="68" t="n">
        <v>3</v>
      </c>
      <c r="C308" s="103" t="s">
        <v>263</v>
      </c>
      <c r="D308" s="103" t="s">
        <v>1080</v>
      </c>
      <c r="E308" s="104" t="n">
        <v>25</v>
      </c>
      <c r="F308" s="115" t="n">
        <f aca="false">Yield_Originals!G308</f>
        <v>0.364</v>
      </c>
      <c r="G308" s="106" t="n">
        <v>0.364</v>
      </c>
      <c r="H308" s="106" t="n">
        <v>0.364</v>
      </c>
      <c r="I308" s="106" t="n">
        <f aca="false">+(Yield_Originals!H308+Yield_Originals!J308)/2</f>
        <v>0.387</v>
      </c>
      <c r="J308" s="106" t="n">
        <v>0.41</v>
      </c>
      <c r="K308" s="107" t="n">
        <v>2</v>
      </c>
      <c r="L308" s="108"/>
      <c r="M308" s="108" t="n">
        <f aca="false">(Yield_Originals!$G308*Yield_Originals!M$1)/Yield_Originals!$K308</f>
        <v>0.225225</v>
      </c>
      <c r="N308" s="108" t="n">
        <f aca="false">(Yield_Originals!$G308*Yield_Originals!N$1)/Yield_Originals!$K308</f>
        <v>0.23205</v>
      </c>
      <c r="O308" s="108" t="n">
        <f aca="false">(Yield_Originals!$G308*Yield_Originals!O$1)/Yield_Originals!$K308</f>
        <v>0.238875</v>
      </c>
      <c r="P308" s="109" t="n">
        <f aca="false">(Yield_Originals!$H308*Yield_Originals!P$1)/Yield_Originals!$K308</f>
        <v>0.2457</v>
      </c>
      <c r="Q308" s="109" t="n">
        <f aca="false">(Yield_Originals!$H308*Yield_Originals!Q$1)/Yield_Originals!$K308</f>
        <v>0.252525</v>
      </c>
      <c r="R308" s="109" t="n">
        <f aca="false">(Yield_Originals!$H308*Yield_Originals!R$1)/Yield_Originals!$K308</f>
        <v>0.25935</v>
      </c>
      <c r="S308" s="109" t="n">
        <f aca="false">(Yield_Originals!$H308*Yield_Originals!S$1)/Yield_Originals!$K308</f>
        <v>0.266175</v>
      </c>
      <c r="T308" s="111"/>
      <c r="U308" s="111"/>
      <c r="V308" s="111"/>
      <c r="W308" s="111"/>
      <c r="X308" s="112"/>
      <c r="Y308" s="112"/>
      <c r="Z308" s="0"/>
      <c r="AA308" s="0"/>
      <c r="AB308" s="0"/>
    </row>
    <row r="309" customFormat="false" ht="15" hidden="false" customHeight="false" outlineLevel="0" collapsed="false">
      <c r="A309" s="68" t="s">
        <v>1245</v>
      </c>
      <c r="B309" s="68" t="n">
        <v>3</v>
      </c>
      <c r="C309" s="103" t="s">
        <v>1012</v>
      </c>
      <c r="D309" s="103" t="s">
        <v>1094</v>
      </c>
      <c r="E309" s="104" t="n">
        <v>25</v>
      </c>
      <c r="F309" s="115" t="n">
        <f aca="false">Yield_Originals!G309</f>
        <v>0.364</v>
      </c>
      <c r="G309" s="106" t="n">
        <v>0.364</v>
      </c>
      <c r="H309" s="106" t="n">
        <v>0.364</v>
      </c>
      <c r="I309" s="106" t="n">
        <f aca="false">+(Yield_Originals!H309+Yield_Originals!J309)/2</f>
        <v>0.387</v>
      </c>
      <c r="J309" s="106" t="n">
        <v>0.41</v>
      </c>
      <c r="K309" s="107" t="n">
        <v>2</v>
      </c>
      <c r="L309" s="108"/>
      <c r="M309" s="108" t="n">
        <f aca="false">(Yield_Originals!$G309*Yield_Originals!M$1)/Yield_Originals!$K309</f>
        <v>0.225225</v>
      </c>
      <c r="N309" s="108" t="n">
        <f aca="false">(Yield_Originals!$G309*Yield_Originals!N$1)/Yield_Originals!$K309</f>
        <v>0.23205</v>
      </c>
      <c r="O309" s="108" t="n">
        <f aca="false">(Yield_Originals!$G309*Yield_Originals!O$1)/Yield_Originals!$K309</f>
        <v>0.238875</v>
      </c>
      <c r="P309" s="109" t="n">
        <f aca="false">(Yield_Originals!$H309*Yield_Originals!P$1)/Yield_Originals!$K309</f>
        <v>0.2457</v>
      </c>
      <c r="Q309" s="109" t="n">
        <f aca="false">(Yield_Originals!$H309*Yield_Originals!Q$1)/Yield_Originals!$K309</f>
        <v>0.252525</v>
      </c>
      <c r="R309" s="109" t="n">
        <f aca="false">(Yield_Originals!$H309*Yield_Originals!R$1)/Yield_Originals!$K309</f>
        <v>0.25935</v>
      </c>
      <c r="S309" s="109" t="n">
        <f aca="false">(Yield_Originals!$H309*Yield_Originals!S$1)/Yield_Originals!$K309</f>
        <v>0.266175</v>
      </c>
      <c r="T309" s="111"/>
      <c r="U309" s="111"/>
      <c r="V309" s="111"/>
      <c r="W309" s="111"/>
      <c r="X309" s="112"/>
      <c r="Y309" s="112"/>
      <c r="Z309" s="0"/>
      <c r="AA309" s="0"/>
      <c r="AB309" s="0"/>
    </row>
    <row r="310" customFormat="false" ht="15" hidden="false" customHeight="false" outlineLevel="0" collapsed="false">
      <c r="A310" s="68" t="s">
        <v>1245</v>
      </c>
      <c r="B310" s="68" t="n">
        <v>3</v>
      </c>
      <c r="C310" s="103" t="s">
        <v>1015</v>
      </c>
      <c r="D310" s="103" t="s">
        <v>1092</v>
      </c>
      <c r="E310" s="104" t="n">
        <v>25</v>
      </c>
      <c r="F310" s="115" t="n">
        <f aca="false">Yield_Originals!G310</f>
        <v>0.364</v>
      </c>
      <c r="G310" s="106" t="n">
        <v>0.364</v>
      </c>
      <c r="H310" s="106" t="n">
        <v>0.364</v>
      </c>
      <c r="I310" s="106" t="n">
        <f aca="false">+(Yield_Originals!H310+Yield_Originals!J310)/2</f>
        <v>0.387</v>
      </c>
      <c r="J310" s="106" t="n">
        <v>0.41</v>
      </c>
      <c r="K310" s="107" t="n">
        <v>2</v>
      </c>
      <c r="L310" s="108"/>
      <c r="M310" s="108"/>
      <c r="N310" s="108"/>
      <c r="O310" s="108"/>
      <c r="P310" s="109"/>
      <c r="Q310" s="109" t="n">
        <f aca="false">(Yield_Originals!$H310*Yield_Originals!Q$1)/Yield_Originals!$K310</f>
        <v>0.252525</v>
      </c>
      <c r="R310" s="109" t="n">
        <f aca="false">(Yield_Originals!$H310*Yield_Originals!R$1)/Yield_Originals!$K310</f>
        <v>0.25935</v>
      </c>
      <c r="S310" s="109" t="n">
        <f aca="false">(Yield_Originals!$H310*Yield_Originals!S$1)/Yield_Originals!$K310</f>
        <v>0.266175</v>
      </c>
      <c r="T310" s="111"/>
      <c r="U310" s="111"/>
      <c r="V310" s="111"/>
      <c r="W310" s="111"/>
      <c r="X310" s="112"/>
      <c r="Y310" s="112"/>
      <c r="Z310" s="0"/>
      <c r="AA310" s="0"/>
      <c r="AB310" s="0"/>
    </row>
    <row r="311" customFormat="false" ht="15" hidden="false" customHeight="false" outlineLevel="0" collapsed="false">
      <c r="A311" s="68" t="s">
        <v>1245</v>
      </c>
      <c r="B311" s="68" t="n">
        <v>3</v>
      </c>
      <c r="C311" s="103" t="s">
        <v>147</v>
      </c>
      <c r="D311" s="103" t="s">
        <v>1083</v>
      </c>
      <c r="E311" s="104" t="n">
        <v>25</v>
      </c>
      <c r="F311" s="115" t="n">
        <f aca="false">Yield_Originals!G311</f>
        <v>0.364</v>
      </c>
      <c r="G311" s="106" t="n">
        <v>0.364</v>
      </c>
      <c r="H311" s="106" t="n">
        <v>0.364</v>
      </c>
      <c r="I311" s="106" t="n">
        <f aca="false">+(Yield_Originals!H311+Yield_Originals!J311)/2</f>
        <v>0.387</v>
      </c>
      <c r="J311" s="106" t="n">
        <v>0.41</v>
      </c>
      <c r="K311" s="107" t="n">
        <v>2</v>
      </c>
      <c r="L311" s="108"/>
      <c r="M311" s="108"/>
      <c r="N311" s="108"/>
      <c r="O311" s="108"/>
      <c r="P311" s="109"/>
      <c r="Q311" s="109"/>
      <c r="R311" s="109" t="n">
        <f aca="false">(Yield_Originals!$H311*Yield_Originals!R$1)/Yield_Originals!$K311</f>
        <v>0.25935</v>
      </c>
      <c r="S311" s="109" t="n">
        <f aca="false">(Yield_Originals!$H311*Yield_Originals!S$1)/Yield_Originals!$K311</f>
        <v>0.266175</v>
      </c>
      <c r="T311" s="111" t="n">
        <f aca="false">(Yield_Originals!$I311*Yield_Originals!T$1)/Yield_Originals!$K311</f>
        <v>0.29025</v>
      </c>
      <c r="U311" s="111" t="n">
        <f aca="false">(Yield_Originals!$I311*Yield_Originals!U$1)/Yield_Originals!$K311</f>
        <v>0.29750625</v>
      </c>
      <c r="V311" s="111" t="n">
        <f aca="false">(Yield_Originals!$I311*Yield_Originals!V$1)/Yield_Originals!$K311</f>
        <v>0.3047625</v>
      </c>
      <c r="W311" s="111" t="n">
        <f aca="false">(Yield_Originals!$I311*Yield_Originals!W$1)/Yield_Originals!$K311</f>
        <v>0.31201875</v>
      </c>
      <c r="X311" s="112" t="n">
        <f aca="false">(Yield_Originals!$I311*Yield_Originals!X$1)/Yield_Originals!$K311</f>
        <v>0.319275</v>
      </c>
      <c r="Y311" s="112" t="n">
        <f aca="false">(Yield_Originals!$I311*Yield_Originals!Y$1)/Yield_Originals!$K311</f>
        <v>0.32653125</v>
      </c>
      <c r="Z311" s="0"/>
      <c r="AA311" s="0"/>
      <c r="AB311" s="0"/>
    </row>
    <row r="312" customFormat="false" ht="15" hidden="false" customHeight="false" outlineLevel="0" collapsed="false">
      <c r="A312" s="68" t="s">
        <v>1245</v>
      </c>
      <c r="B312" s="68" t="n">
        <v>3</v>
      </c>
      <c r="C312" s="103" t="s">
        <v>264</v>
      </c>
      <c r="D312" s="103" t="s">
        <v>1083</v>
      </c>
      <c r="E312" s="104" t="n">
        <v>25</v>
      </c>
      <c r="F312" s="115" t="n">
        <f aca="false">Yield_Originals!G312</f>
        <v>0.364</v>
      </c>
      <c r="G312" s="106" t="n">
        <v>0.364</v>
      </c>
      <c r="H312" s="106" t="n">
        <v>0.364</v>
      </c>
      <c r="I312" s="106" t="n">
        <f aca="false">+(Yield_Originals!H312+Yield_Originals!J312)/2</f>
        <v>0.387</v>
      </c>
      <c r="J312" s="106" t="n">
        <v>0.41</v>
      </c>
      <c r="K312" s="107" t="n">
        <v>2</v>
      </c>
      <c r="L312" s="108"/>
      <c r="M312" s="108"/>
      <c r="N312" s="108"/>
      <c r="O312" s="108"/>
      <c r="P312" s="109"/>
      <c r="Q312" s="109"/>
      <c r="R312" s="109" t="n">
        <f aca="false">(Yield_Originals!$H312*Yield_Originals!R$1)/Yield_Originals!$K312</f>
        <v>0.25935</v>
      </c>
      <c r="S312" s="109" t="n">
        <f aca="false">(Yield_Originals!$H312*Yield_Originals!S$1)/Yield_Originals!$K312</f>
        <v>0.266175</v>
      </c>
      <c r="T312" s="111" t="n">
        <f aca="false">(Yield_Originals!$I312*Yield_Originals!T$1)/Yield_Originals!$K312</f>
        <v>0.29025</v>
      </c>
      <c r="U312" s="111" t="n">
        <f aca="false">(Yield_Originals!$I312*Yield_Originals!U$1)/Yield_Originals!$K312</f>
        <v>0.29750625</v>
      </c>
      <c r="V312" s="111" t="n">
        <f aca="false">(Yield_Originals!$I312*Yield_Originals!V$1)/Yield_Originals!$K312</f>
        <v>0.3047625</v>
      </c>
      <c r="W312" s="111" t="n">
        <f aca="false">(Yield_Originals!$I312*Yield_Originals!W$1)/Yield_Originals!$K312</f>
        <v>0.31201875</v>
      </c>
      <c r="X312" s="112" t="n">
        <f aca="false">(Yield_Originals!$I312*Yield_Originals!X$1)/Yield_Originals!$K312</f>
        <v>0.319275</v>
      </c>
      <c r="Y312" s="112" t="n">
        <f aca="false">(Yield_Originals!$I312*Yield_Originals!Y$1)/Yield_Originals!$K312</f>
        <v>0.32653125</v>
      </c>
      <c r="Z312" s="0"/>
      <c r="AA312" s="0"/>
      <c r="AB312" s="0"/>
    </row>
    <row r="313" customFormat="false" ht="15" hidden="false" customHeight="false" outlineLevel="0" collapsed="false">
      <c r="A313" s="68" t="s">
        <v>1245</v>
      </c>
      <c r="B313" s="68" t="n">
        <v>3</v>
      </c>
      <c r="C313" s="103" t="s">
        <v>1021</v>
      </c>
      <c r="D313" s="103" t="s">
        <v>1090</v>
      </c>
      <c r="E313" s="104" t="n">
        <v>25</v>
      </c>
      <c r="F313" s="115" t="n">
        <f aca="false">Yield_Originals!G313</f>
        <v>0.364</v>
      </c>
      <c r="G313" s="106" t="n">
        <v>0.364</v>
      </c>
      <c r="H313" s="106" t="n">
        <v>0.364</v>
      </c>
      <c r="I313" s="106" t="n">
        <f aca="false">+(Yield_Originals!H313+Yield_Originals!J313)/2</f>
        <v>0.387</v>
      </c>
      <c r="J313" s="106" t="n">
        <v>0.41</v>
      </c>
      <c r="K313" s="107" t="n">
        <v>2</v>
      </c>
      <c r="L313" s="108"/>
      <c r="M313" s="108" t="n">
        <f aca="false">(Yield_Originals!$G313*Yield_Originals!M$1)/Yield_Originals!$K313</f>
        <v>0.225225</v>
      </c>
      <c r="N313" s="108" t="n">
        <f aca="false">(Yield_Originals!$G313*Yield_Originals!N$1)/Yield_Originals!$K313</f>
        <v>0.23205</v>
      </c>
      <c r="O313" s="108" t="n">
        <f aca="false">(Yield_Originals!$G313*Yield_Originals!O$1)/Yield_Originals!$K313</f>
        <v>0.238875</v>
      </c>
      <c r="P313" s="109" t="n">
        <f aca="false">(Yield_Originals!$H313*Yield_Originals!P$1)/Yield_Originals!$K313</f>
        <v>0.2457</v>
      </c>
      <c r="Q313" s="109" t="n">
        <f aca="false">(Yield_Originals!$H313*Yield_Originals!Q$1)/Yield_Originals!$K313</f>
        <v>0.252525</v>
      </c>
      <c r="R313" s="109" t="n">
        <f aca="false">(Yield_Originals!$H313*Yield_Originals!R$1)/Yield_Originals!$K313</f>
        <v>0.25935</v>
      </c>
      <c r="S313" s="109" t="n">
        <f aca="false">(Yield_Originals!$H313*Yield_Originals!S$1)/Yield_Originals!$K313</f>
        <v>0.266175</v>
      </c>
      <c r="T313" s="111"/>
      <c r="U313" s="111"/>
      <c r="V313" s="111"/>
      <c r="W313" s="111"/>
      <c r="X313" s="112"/>
      <c r="Y313" s="112"/>
      <c r="Z313" s="0"/>
      <c r="AA313" s="0"/>
      <c r="AB313" s="0"/>
    </row>
    <row r="314" customFormat="false" ht="15" hidden="false" customHeight="false" outlineLevel="0" collapsed="false">
      <c r="A314" s="70" t="s">
        <v>1099</v>
      </c>
      <c r="B314" s="70" t="n">
        <v>2</v>
      </c>
      <c r="C314" s="103" t="s">
        <v>1024</v>
      </c>
      <c r="D314" s="103" t="s">
        <v>1098</v>
      </c>
      <c r="E314" s="104" t="n">
        <v>1</v>
      </c>
      <c r="F314" s="115" t="n">
        <f aca="false">Yield_Originals!G314</f>
        <v>0.277594728171334</v>
      </c>
      <c r="G314" s="106" t="n">
        <v>0.277594728171334</v>
      </c>
      <c r="H314" s="106" t="n">
        <v>0.277594728171334</v>
      </c>
      <c r="I314" s="106" t="n">
        <f aca="false">+(Yield_Originals!H314+Yield_Originals!J314)/2</f>
        <v>0.283797364085667</v>
      </c>
      <c r="J314" s="106" t="n">
        <v>0.29</v>
      </c>
      <c r="K314" s="107" t="n">
        <v>2</v>
      </c>
      <c r="L314" s="108" t="n">
        <f aca="false">(Yield_Originals!$G314*Yield_Originals!L$1)/Yield_Originals!$K314</f>
        <v>0.1665568369028</v>
      </c>
      <c r="M314" s="108" t="n">
        <f aca="false">(Yield_Originals!$G314*Yield_Originals!M$1)/Yield_Originals!$K314</f>
        <v>0.171761738056013</v>
      </c>
      <c r="N314" s="108" t="n">
        <f aca="false">(Yield_Originals!$G314*Yield_Originals!N$1)/Yield_Originals!$K314</f>
        <v>0.176966639209225</v>
      </c>
      <c r="O314" s="108" t="n">
        <f aca="false">(Yield_Originals!$G314*Yield_Originals!O$1)/Yield_Originals!$K314</f>
        <v>0.182171540362438</v>
      </c>
      <c r="P314" s="109" t="n">
        <f aca="false">(Yield_Originals!$H314*Yield_Originals!P$1)/Yield_Originals!$K314</f>
        <v>0.18737644151565</v>
      </c>
      <c r="Q314" s="109" t="n">
        <f aca="false">(Yield_Originals!$H314*Yield_Originals!Q$1)/Yield_Originals!$K314</f>
        <v>0.192581342668863</v>
      </c>
      <c r="R314" s="109" t="n">
        <f aca="false">(Yield_Originals!$H314*Yield_Originals!R$1)/Yield_Originals!$K314</f>
        <v>0.197786243822076</v>
      </c>
      <c r="S314" s="109" t="n">
        <f aca="false">(Yield_Originals!$H314*Yield_Originals!S$1)/Yield_Originals!$K314</f>
        <v>0.202991144975288</v>
      </c>
      <c r="T314" s="111" t="n">
        <f aca="false">(Yield_Originals!$I314*Yield_Originals!T$1)/Yield_Originals!$K314</f>
        <v>0.21284802306425</v>
      </c>
      <c r="U314" s="111" t="n">
        <f aca="false">(Yield_Originals!$I314*Yield_Originals!U$1)/Yield_Originals!$K314</f>
        <v>0.218169223640857</v>
      </c>
      <c r="V314" s="111" t="n">
        <f aca="false">(Yield_Originals!$I314*Yield_Originals!V$1)/Yield_Originals!$K314</f>
        <v>0.223490424217463</v>
      </c>
      <c r="W314" s="111" t="n">
        <f aca="false">(Yield_Originals!$I314*Yield_Originals!W$1)/Yield_Originals!$K314</f>
        <v>0.228811624794069</v>
      </c>
      <c r="X314" s="112" t="n">
        <f aca="false">(Yield_Originals!$I314*Yield_Originals!X$1)/Yield_Originals!$K314</f>
        <v>0.234132825370675</v>
      </c>
      <c r="Y314" s="112" t="n">
        <f aca="false">(Yield_Originals!$I314*Yield_Originals!Y$1)/Yield_Originals!$K314</f>
        <v>0.239454025947281</v>
      </c>
      <c r="Z314" s="0"/>
      <c r="AA314" s="0"/>
      <c r="AB314" s="0"/>
    </row>
    <row r="315" customFormat="false" ht="15" hidden="false" customHeight="false" outlineLevel="0" collapsed="false">
      <c r="A315" s="70" t="s">
        <v>1099</v>
      </c>
      <c r="B315" s="70" t="n">
        <v>2</v>
      </c>
      <c r="C315" s="103" t="s">
        <v>148</v>
      </c>
      <c r="D315" s="103" t="s">
        <v>1102</v>
      </c>
      <c r="E315" s="104" t="n">
        <v>1</v>
      </c>
      <c r="F315" s="115" t="n">
        <f aca="false">Yield_Originals!G315</f>
        <v>0.277594728171334</v>
      </c>
      <c r="G315" s="106" t="n">
        <v>0.277594728171334</v>
      </c>
      <c r="H315" s="106" t="n">
        <v>0.277594728171334</v>
      </c>
      <c r="I315" s="106" t="n">
        <f aca="false">+(Yield_Originals!H315+Yield_Originals!J315)/2</f>
        <v>0.283797364085667</v>
      </c>
      <c r="J315" s="106" t="n">
        <v>0.29</v>
      </c>
      <c r="K315" s="107" t="n">
        <v>2</v>
      </c>
      <c r="L315" s="108" t="n">
        <f aca="false">(Yield_Originals!$G315*Yield_Originals!L$1)/Yield_Originals!$K315</f>
        <v>0.1665568369028</v>
      </c>
      <c r="M315" s="108" t="n">
        <f aca="false">(Yield_Originals!$G315*Yield_Originals!M$1)/Yield_Originals!$K315</f>
        <v>0.171761738056013</v>
      </c>
      <c r="N315" s="108" t="n">
        <f aca="false">(Yield_Originals!$G315*Yield_Originals!N$1)/Yield_Originals!$K315</f>
        <v>0.176966639209225</v>
      </c>
      <c r="O315" s="108" t="n">
        <f aca="false">(Yield_Originals!$G315*Yield_Originals!O$1)/Yield_Originals!$K315</f>
        <v>0.182171540362438</v>
      </c>
      <c r="P315" s="109" t="n">
        <f aca="false">(Yield_Originals!$H315*Yield_Originals!P$1)/Yield_Originals!$K315</f>
        <v>0.18737644151565</v>
      </c>
      <c r="Q315" s="109"/>
      <c r="R315" s="109"/>
      <c r="S315" s="109"/>
      <c r="T315" s="111"/>
      <c r="U315" s="111"/>
      <c r="V315" s="111"/>
      <c r="W315" s="111"/>
      <c r="X315" s="112"/>
      <c r="Y315" s="112"/>
      <c r="Z315" s="0"/>
      <c r="AA315" s="0"/>
      <c r="AB315" s="0"/>
    </row>
    <row r="316" customFormat="false" ht="15" hidden="false" customHeight="false" outlineLevel="0" collapsed="false">
      <c r="A316" s="70" t="s">
        <v>1099</v>
      </c>
      <c r="B316" s="70" t="n">
        <v>2</v>
      </c>
      <c r="C316" s="103" t="s">
        <v>265</v>
      </c>
      <c r="D316" s="103" t="s">
        <v>1102</v>
      </c>
      <c r="E316" s="104" t="n">
        <v>1</v>
      </c>
      <c r="F316" s="115" t="n">
        <f aca="false">Yield_Originals!G316</f>
        <v>0.277594728171334</v>
      </c>
      <c r="G316" s="106" t="n">
        <v>0.277594728171334</v>
      </c>
      <c r="H316" s="106" t="n">
        <v>0.277594728171334</v>
      </c>
      <c r="I316" s="106" t="n">
        <f aca="false">+(Yield_Originals!H316+Yield_Originals!J316)/2</f>
        <v>0.283797364085667</v>
      </c>
      <c r="J316" s="106" t="n">
        <v>0.29</v>
      </c>
      <c r="K316" s="107" t="n">
        <v>2</v>
      </c>
      <c r="L316" s="108" t="n">
        <f aca="false">(Yield_Originals!$G316*Yield_Originals!L$1)/Yield_Originals!$K316</f>
        <v>0.1665568369028</v>
      </c>
      <c r="M316" s="108" t="n">
        <f aca="false">(Yield_Originals!$G316*Yield_Originals!M$1)/Yield_Originals!$K316</f>
        <v>0.171761738056013</v>
      </c>
      <c r="N316" s="108" t="n">
        <f aca="false">(Yield_Originals!$G316*Yield_Originals!N$1)/Yield_Originals!$K316</f>
        <v>0.176966639209225</v>
      </c>
      <c r="O316" s="108" t="n">
        <f aca="false">(Yield_Originals!$G316*Yield_Originals!O$1)/Yield_Originals!$K316</f>
        <v>0.182171540362438</v>
      </c>
      <c r="P316" s="109" t="n">
        <f aca="false">(Yield_Originals!$H316*Yield_Originals!P$1)/Yield_Originals!$K316</f>
        <v>0.18737644151565</v>
      </c>
      <c r="Q316" s="109"/>
      <c r="R316" s="109"/>
      <c r="S316" s="109"/>
      <c r="T316" s="111"/>
      <c r="U316" s="111"/>
      <c r="V316" s="111"/>
      <c r="W316" s="111"/>
      <c r="X316" s="112"/>
      <c r="Y316" s="112"/>
      <c r="Z316" s="0"/>
      <c r="AA316" s="0"/>
      <c r="AB316" s="0"/>
    </row>
    <row r="317" customFormat="false" ht="15" hidden="false" customHeight="false" outlineLevel="0" collapsed="false">
      <c r="A317" s="70" t="s">
        <v>1099</v>
      </c>
      <c r="B317" s="70" t="n">
        <v>2</v>
      </c>
      <c r="C317" s="103" t="s">
        <v>149</v>
      </c>
      <c r="D317" s="103" t="s">
        <v>1102</v>
      </c>
      <c r="E317" s="104" t="n">
        <v>1</v>
      </c>
      <c r="F317" s="115" t="n">
        <f aca="false">Yield_Originals!G317</f>
        <v>0.277594728171334</v>
      </c>
      <c r="G317" s="106" t="n">
        <v>0.277594728171334</v>
      </c>
      <c r="H317" s="106" t="n">
        <v>0.277594728171334</v>
      </c>
      <c r="I317" s="106" t="n">
        <f aca="false">+(Yield_Originals!H317+Yield_Originals!J317)/2</f>
        <v>0.283797364085667</v>
      </c>
      <c r="J317" s="106" t="n">
        <v>0.29</v>
      </c>
      <c r="K317" s="107" t="n">
        <v>2</v>
      </c>
      <c r="L317" s="108" t="n">
        <f aca="false">(Yield_Originals!$G317*Yield_Originals!L$1)/Yield_Originals!$K317</f>
        <v>0.1665568369028</v>
      </c>
      <c r="M317" s="108" t="n">
        <f aca="false">(Yield_Originals!$G317*Yield_Originals!M$1)/Yield_Originals!$K317</f>
        <v>0.171761738056013</v>
      </c>
      <c r="N317" s="108" t="n">
        <f aca="false">(Yield_Originals!$G317*Yield_Originals!N$1)/Yield_Originals!$K317</f>
        <v>0.176966639209225</v>
      </c>
      <c r="O317" s="108" t="n">
        <f aca="false">(Yield_Originals!$G317*Yield_Originals!O$1)/Yield_Originals!$K317</f>
        <v>0.182171540362438</v>
      </c>
      <c r="P317" s="109" t="n">
        <f aca="false">(Yield_Originals!$H317*Yield_Originals!P$1)/Yield_Originals!$K317</f>
        <v>0.18737644151565</v>
      </c>
      <c r="Q317" s="109"/>
      <c r="R317" s="109"/>
      <c r="S317" s="109"/>
      <c r="T317" s="111"/>
      <c r="U317" s="111"/>
      <c r="V317" s="111"/>
      <c r="W317" s="111"/>
      <c r="X317" s="112"/>
      <c r="Y317" s="112"/>
      <c r="Z317" s="0"/>
      <c r="AA317" s="0"/>
      <c r="AB317" s="0"/>
    </row>
    <row r="318" customFormat="false" ht="15" hidden="false" customHeight="false" outlineLevel="0" collapsed="false">
      <c r="A318" s="70" t="s">
        <v>1099</v>
      </c>
      <c r="B318" s="70" t="n">
        <v>2</v>
      </c>
      <c r="C318" s="103" t="s">
        <v>150</v>
      </c>
      <c r="D318" s="103" t="s">
        <v>1107</v>
      </c>
      <c r="E318" s="104" t="n">
        <v>1</v>
      </c>
      <c r="F318" s="115" t="n">
        <f aca="false">Yield_Originals!G318</f>
        <v>0.277594728171334</v>
      </c>
      <c r="G318" s="106" t="n">
        <v>0.277594728171334</v>
      </c>
      <c r="H318" s="106" t="n">
        <v>0.277594728171334</v>
      </c>
      <c r="I318" s="106" t="n">
        <f aca="false">+(Yield_Originals!H318+Yield_Originals!J318)/2</f>
        <v>0.283797364085667</v>
      </c>
      <c r="J318" s="106" t="n">
        <v>0.29</v>
      </c>
      <c r="K318" s="107" t="n">
        <v>2</v>
      </c>
      <c r="L318" s="108"/>
      <c r="M318" s="108"/>
      <c r="N318" s="108"/>
      <c r="O318" s="108"/>
      <c r="P318" s="109"/>
      <c r="Q318" s="109" t="n">
        <f aca="false">(Yield_Originals!$H318*Yield_Originals!Q$1)/Yield_Originals!$K318</f>
        <v>0.192581342668863</v>
      </c>
      <c r="R318" s="109" t="n">
        <f aca="false">(Yield_Originals!$H318*Yield_Originals!R$1)/Yield_Originals!$K318</f>
        <v>0.197786243822076</v>
      </c>
      <c r="S318" s="109" t="n">
        <f aca="false">(Yield_Originals!$H318*Yield_Originals!S$1)/Yield_Originals!$K318</f>
        <v>0.202991144975288</v>
      </c>
      <c r="T318" s="111" t="n">
        <f aca="false">(Yield_Originals!$I318*Yield_Originals!T$1)/Yield_Originals!$K318</f>
        <v>0.21284802306425</v>
      </c>
      <c r="U318" s="111" t="n">
        <f aca="false">(Yield_Originals!$I318*Yield_Originals!U$1)/Yield_Originals!$K318</f>
        <v>0.218169223640857</v>
      </c>
      <c r="V318" s="111" t="n">
        <f aca="false">(Yield_Originals!$I318*Yield_Originals!V$1)/Yield_Originals!$K318</f>
        <v>0.223490424217463</v>
      </c>
      <c r="W318" s="111" t="n">
        <f aca="false">(Yield_Originals!$I318*Yield_Originals!W$1)/Yield_Originals!$K318</f>
        <v>0.228811624794069</v>
      </c>
      <c r="X318" s="112" t="n">
        <f aca="false">(Yield_Originals!$I318*Yield_Originals!X$1)/Yield_Originals!$K318</f>
        <v>0.234132825370675</v>
      </c>
      <c r="Y318" s="112" t="n">
        <f aca="false">(Yield_Originals!$I318*Yield_Originals!Y$1)/Yield_Originals!$K318</f>
        <v>0.239454025947281</v>
      </c>
      <c r="Z318" s="0"/>
      <c r="AA318" s="0"/>
      <c r="AB318" s="0"/>
    </row>
    <row r="319" customFormat="false" ht="15" hidden="false" customHeight="false" outlineLevel="0" collapsed="false">
      <c r="A319" s="70" t="s">
        <v>1099</v>
      </c>
      <c r="B319" s="70" t="n">
        <v>2</v>
      </c>
      <c r="C319" s="103" t="s">
        <v>266</v>
      </c>
      <c r="D319" s="103" t="s">
        <v>1107</v>
      </c>
      <c r="E319" s="104" t="n">
        <v>1</v>
      </c>
      <c r="F319" s="115" t="n">
        <f aca="false">Yield_Originals!G319</f>
        <v>0.277594728171334</v>
      </c>
      <c r="G319" s="106" t="n">
        <v>0.277594728171334</v>
      </c>
      <c r="H319" s="106" t="n">
        <v>0.277594728171334</v>
      </c>
      <c r="I319" s="106" t="n">
        <f aca="false">+(Yield_Originals!H319+Yield_Originals!J319)/2</f>
        <v>0.283797364085667</v>
      </c>
      <c r="J319" s="106" t="n">
        <v>0.29</v>
      </c>
      <c r="K319" s="107" t="n">
        <v>2</v>
      </c>
      <c r="L319" s="108"/>
      <c r="M319" s="108"/>
      <c r="N319" s="108"/>
      <c r="O319" s="108"/>
      <c r="P319" s="109"/>
      <c r="Q319" s="109" t="n">
        <f aca="false">(Yield_Originals!$H319*Yield_Originals!Q$1)/Yield_Originals!$K319</f>
        <v>0.192581342668863</v>
      </c>
      <c r="R319" s="109" t="n">
        <f aca="false">(Yield_Originals!$H319*Yield_Originals!R$1)/Yield_Originals!$K319</f>
        <v>0.197786243822076</v>
      </c>
      <c r="S319" s="109" t="n">
        <f aca="false">(Yield_Originals!$H319*Yield_Originals!S$1)/Yield_Originals!$K319</f>
        <v>0.202991144975288</v>
      </c>
      <c r="T319" s="111" t="n">
        <f aca="false">(Yield_Originals!$I319*Yield_Originals!T$1)/Yield_Originals!$K319</f>
        <v>0.21284802306425</v>
      </c>
      <c r="U319" s="111" t="n">
        <f aca="false">(Yield_Originals!$I319*Yield_Originals!U$1)/Yield_Originals!$K319</f>
        <v>0.218169223640857</v>
      </c>
      <c r="V319" s="111" t="n">
        <f aca="false">(Yield_Originals!$I319*Yield_Originals!V$1)/Yield_Originals!$K319</f>
        <v>0.223490424217463</v>
      </c>
      <c r="W319" s="111" t="n">
        <f aca="false">(Yield_Originals!$I319*Yield_Originals!W$1)/Yield_Originals!$K319</f>
        <v>0.228811624794069</v>
      </c>
      <c r="X319" s="112" t="n">
        <f aca="false">(Yield_Originals!$I319*Yield_Originals!X$1)/Yield_Originals!$K319</f>
        <v>0.234132825370675</v>
      </c>
      <c r="Y319" s="112" t="n">
        <f aca="false">(Yield_Originals!$I319*Yield_Originals!Y$1)/Yield_Originals!$K319</f>
        <v>0.239454025947281</v>
      </c>
      <c r="Z319" s="0"/>
      <c r="AA319" s="0"/>
      <c r="AB319" s="0"/>
    </row>
    <row r="320" customFormat="false" ht="15" hidden="false" customHeight="false" outlineLevel="0" collapsed="false">
      <c r="A320" s="70" t="s">
        <v>1099</v>
      </c>
      <c r="B320" s="70" t="n">
        <v>2</v>
      </c>
      <c r="C320" s="103" t="s">
        <v>151</v>
      </c>
      <c r="D320" s="103" t="s">
        <v>1107</v>
      </c>
      <c r="E320" s="104" t="n">
        <v>1</v>
      </c>
      <c r="F320" s="115" t="n">
        <f aca="false">Yield_Originals!G320</f>
        <v>0.277594728171334</v>
      </c>
      <c r="G320" s="106" t="n">
        <v>0.277594728171334</v>
      </c>
      <c r="H320" s="106" t="n">
        <v>0.277594728171334</v>
      </c>
      <c r="I320" s="106" t="n">
        <f aca="false">+(Yield_Originals!H320+Yield_Originals!J320)/2</f>
        <v>0.283797364085667</v>
      </c>
      <c r="J320" s="106" t="n">
        <v>0.29</v>
      </c>
      <c r="K320" s="107" t="n">
        <v>2</v>
      </c>
      <c r="L320" s="108" t="n">
        <f aca="false">(Yield_Originals!$G320*Yield_Originals!L$1)/Yield_Originals!$K320</f>
        <v>0.1665568369028</v>
      </c>
      <c r="M320" s="108" t="n">
        <f aca="false">(Yield_Originals!$G320*Yield_Originals!M$1)/Yield_Originals!$K320</f>
        <v>0.171761738056013</v>
      </c>
      <c r="N320" s="108" t="n">
        <f aca="false">(Yield_Originals!$G320*Yield_Originals!N$1)/Yield_Originals!$K320</f>
        <v>0.176966639209225</v>
      </c>
      <c r="O320" s="108" t="n">
        <f aca="false">(Yield_Originals!$G320*Yield_Originals!O$1)/Yield_Originals!$K320</f>
        <v>0.182171540362438</v>
      </c>
      <c r="P320" s="109" t="n">
        <f aca="false">(Yield_Originals!$H320*Yield_Originals!P$1)/Yield_Originals!$K320</f>
        <v>0.18737644151565</v>
      </c>
      <c r="Q320" s="109"/>
      <c r="R320" s="109"/>
      <c r="S320" s="109"/>
      <c r="T320" s="111"/>
      <c r="U320" s="111"/>
      <c r="V320" s="111"/>
      <c r="W320" s="111"/>
      <c r="X320" s="112"/>
      <c r="Y320" s="112"/>
      <c r="Z320" s="0"/>
      <c r="AA320" s="0"/>
      <c r="AB320" s="0"/>
    </row>
    <row r="321" customFormat="false" ht="15" hidden="false" customHeight="false" outlineLevel="0" collapsed="false">
      <c r="A321" s="70" t="s">
        <v>1099</v>
      </c>
      <c r="B321" s="70" t="n">
        <v>2</v>
      </c>
      <c r="C321" s="103" t="s">
        <v>1039</v>
      </c>
      <c r="D321" s="103" t="s">
        <v>1112</v>
      </c>
      <c r="E321" s="104" t="n">
        <v>1</v>
      </c>
      <c r="F321" s="115" t="n">
        <f aca="false">Yield_Originals!G321</f>
        <v>0.277594728171334</v>
      </c>
      <c r="G321" s="106" t="n">
        <v>0.277594728171334</v>
      </c>
      <c r="H321" s="106" t="n">
        <v>0.277594728171334</v>
      </c>
      <c r="I321" s="106" t="n">
        <f aca="false">+(Yield_Originals!H321+Yield_Originals!J321)/2</f>
        <v>0.283797364085667</v>
      </c>
      <c r="J321" s="106" t="n">
        <v>0.29</v>
      </c>
      <c r="K321" s="107" t="n">
        <v>2</v>
      </c>
      <c r="L321" s="108"/>
      <c r="M321" s="108"/>
      <c r="N321" s="108"/>
      <c r="O321" s="108"/>
      <c r="P321" s="109"/>
      <c r="Q321" s="109" t="n">
        <f aca="false">(Yield_Originals!$H321*Yield_Originals!Q$1)/Yield_Originals!$K321</f>
        <v>0.192581342668863</v>
      </c>
      <c r="R321" s="109" t="n">
        <f aca="false">(Yield_Originals!$H321*Yield_Originals!R$1)/Yield_Originals!$K321</f>
        <v>0.197786243822076</v>
      </c>
      <c r="S321" s="109" t="n">
        <f aca="false">(Yield_Originals!$H321*Yield_Originals!S$1)/Yield_Originals!$K321</f>
        <v>0.202991144975288</v>
      </c>
      <c r="T321" s="111" t="n">
        <f aca="false">(Yield_Originals!$I321*Yield_Originals!T$1)/Yield_Originals!$K321</f>
        <v>0.21284802306425</v>
      </c>
      <c r="U321" s="111" t="n">
        <f aca="false">(Yield_Originals!$I321*Yield_Originals!U$1)/Yield_Originals!$K321</f>
        <v>0.218169223640857</v>
      </c>
      <c r="V321" s="111" t="n">
        <f aca="false">(Yield_Originals!$I321*Yield_Originals!V$1)/Yield_Originals!$K321</f>
        <v>0.223490424217463</v>
      </c>
      <c r="W321" s="111" t="n">
        <f aca="false">(Yield_Originals!$I321*Yield_Originals!W$1)/Yield_Originals!$K321</f>
        <v>0.228811624794069</v>
      </c>
      <c r="X321" s="112" t="n">
        <f aca="false">(Yield_Originals!$I321*Yield_Originals!X$1)/Yield_Originals!$K321</f>
        <v>0.234132825370675</v>
      </c>
      <c r="Y321" s="112" t="n">
        <f aca="false">(Yield_Originals!$I321*Yield_Originals!Y$1)/Yield_Originals!$K321</f>
        <v>0.239454025947281</v>
      </c>
      <c r="Z321" s="0"/>
      <c r="AA321" s="0"/>
      <c r="AB321" s="0"/>
    </row>
    <row r="322" customFormat="false" ht="15" hidden="false" customHeight="false" outlineLevel="0" collapsed="false">
      <c r="A322" s="70" t="s">
        <v>1099</v>
      </c>
      <c r="B322" s="70" t="n">
        <v>2</v>
      </c>
      <c r="C322" s="103" t="s">
        <v>267</v>
      </c>
      <c r="D322" s="103" t="s">
        <v>1112</v>
      </c>
      <c r="E322" s="104" t="n">
        <v>1</v>
      </c>
      <c r="F322" s="115" t="n">
        <f aca="false">Yield_Originals!G322</f>
        <v>0.277594728171334</v>
      </c>
      <c r="G322" s="106" t="n">
        <v>0.277594728171334</v>
      </c>
      <c r="H322" s="106" t="n">
        <v>0.277594728171334</v>
      </c>
      <c r="I322" s="106" t="n">
        <f aca="false">+(Yield_Originals!H322+Yield_Originals!J322)/2</f>
        <v>0.283797364085667</v>
      </c>
      <c r="J322" s="106" t="n">
        <v>0.29</v>
      </c>
      <c r="K322" s="107" t="n">
        <v>2</v>
      </c>
      <c r="L322" s="108"/>
      <c r="M322" s="108"/>
      <c r="N322" s="108"/>
      <c r="O322" s="108"/>
      <c r="P322" s="109"/>
      <c r="Q322" s="109" t="n">
        <f aca="false">(Yield_Originals!$H322*Yield_Originals!Q$1)/Yield_Originals!$K322</f>
        <v>0.192581342668863</v>
      </c>
      <c r="R322" s="109" t="n">
        <f aca="false">(Yield_Originals!$H322*Yield_Originals!R$1)/Yield_Originals!$K322</f>
        <v>0.197786243822076</v>
      </c>
      <c r="S322" s="109" t="n">
        <f aca="false">(Yield_Originals!$H322*Yield_Originals!S$1)/Yield_Originals!$K322</f>
        <v>0.202991144975288</v>
      </c>
      <c r="T322" s="111" t="n">
        <f aca="false">(Yield_Originals!$I322*Yield_Originals!T$1)/Yield_Originals!$K322</f>
        <v>0.21284802306425</v>
      </c>
      <c r="U322" s="111" t="n">
        <f aca="false">(Yield_Originals!$I322*Yield_Originals!U$1)/Yield_Originals!$K322</f>
        <v>0.218169223640857</v>
      </c>
      <c r="V322" s="111" t="n">
        <f aca="false">(Yield_Originals!$I322*Yield_Originals!V$1)/Yield_Originals!$K322</f>
        <v>0.223490424217463</v>
      </c>
      <c r="W322" s="111" t="n">
        <f aca="false">(Yield_Originals!$I322*Yield_Originals!W$1)/Yield_Originals!$K322</f>
        <v>0.228811624794069</v>
      </c>
      <c r="X322" s="112" t="n">
        <f aca="false">(Yield_Originals!$I322*Yield_Originals!X$1)/Yield_Originals!$K322</f>
        <v>0.234132825370675</v>
      </c>
      <c r="Y322" s="112" t="n">
        <f aca="false">(Yield_Originals!$I322*Yield_Originals!Y$1)/Yield_Originals!$K322</f>
        <v>0.239454025947281</v>
      </c>
      <c r="Z322" s="0"/>
      <c r="AA322" s="0"/>
      <c r="AB322" s="0"/>
    </row>
    <row r="323" customFormat="false" ht="15" hidden="false" customHeight="false" outlineLevel="0" collapsed="false">
      <c r="A323" s="68" t="s">
        <v>1245</v>
      </c>
      <c r="B323" s="68" t="n">
        <v>3</v>
      </c>
      <c r="C323" s="103" t="s">
        <v>1043</v>
      </c>
      <c r="D323" s="103" t="s">
        <v>1096</v>
      </c>
      <c r="E323" s="104" t="n">
        <v>25</v>
      </c>
      <c r="F323" s="115" t="n">
        <f aca="false">Yield_Originals!G323</f>
        <v>0.364</v>
      </c>
      <c r="G323" s="106" t="n">
        <v>0.364</v>
      </c>
      <c r="H323" s="106" t="n">
        <v>0.364</v>
      </c>
      <c r="I323" s="106" t="n">
        <f aca="false">+(Yield_Originals!H323+Yield_Originals!J323)/2</f>
        <v>0.387</v>
      </c>
      <c r="J323" s="106" t="n">
        <v>0.41</v>
      </c>
      <c r="K323" s="107" t="n">
        <v>2</v>
      </c>
      <c r="L323" s="108"/>
      <c r="M323" s="108"/>
      <c r="N323" s="108"/>
      <c r="O323" s="108"/>
      <c r="P323" s="109"/>
      <c r="Q323" s="109"/>
      <c r="R323" s="109" t="n">
        <f aca="false">(Yield_Originals!$H323*Yield_Originals!R$1)/Yield_Originals!$K323</f>
        <v>0.25935</v>
      </c>
      <c r="S323" s="109" t="n">
        <f aca="false">(Yield_Originals!$H323*Yield_Originals!S$1)/Yield_Originals!$K323</f>
        <v>0.266175</v>
      </c>
      <c r="T323" s="111" t="n">
        <f aca="false">(Yield_Originals!$I323*Yield_Originals!T$1)/Yield_Originals!$K323</f>
        <v>0.29025</v>
      </c>
      <c r="U323" s="111" t="n">
        <f aca="false">(Yield_Originals!$I323*Yield_Originals!U$1)/Yield_Originals!$K323</f>
        <v>0.29750625</v>
      </c>
      <c r="V323" s="111" t="n">
        <f aca="false">(Yield_Originals!$I323*Yield_Originals!V$1)/Yield_Originals!$K323</f>
        <v>0.3047625</v>
      </c>
      <c r="W323" s="111" t="n">
        <f aca="false">(Yield_Originals!$I323*Yield_Originals!W$1)/Yield_Originals!$K323</f>
        <v>0.31201875</v>
      </c>
      <c r="X323" s="112" t="n">
        <f aca="false">(Yield_Originals!$I323*Yield_Originals!X$1)/Yield_Originals!$K323</f>
        <v>0.319275</v>
      </c>
      <c r="Y323" s="112" t="n">
        <f aca="false">(Yield_Originals!$I323*Yield_Originals!Y$1)/Yield_Originals!$K323</f>
        <v>0.32653125</v>
      </c>
      <c r="Z323" s="0"/>
      <c r="AA323" s="0"/>
      <c r="AB323" s="0"/>
    </row>
    <row r="324" customFormat="false" ht="15" hidden="false" customHeight="false" outlineLevel="0" collapsed="false">
      <c r="A324" s="68" t="s">
        <v>1246</v>
      </c>
      <c r="B324" s="68" t="n">
        <v>3</v>
      </c>
      <c r="C324" s="103" t="s">
        <v>1046</v>
      </c>
      <c r="D324" s="103" t="s">
        <v>1132</v>
      </c>
      <c r="E324" s="104" t="n">
        <v>26</v>
      </c>
      <c r="F324" s="115" t="n">
        <f aca="false">Yield_Originals!G324</f>
        <v>0.212</v>
      </c>
      <c r="G324" s="106" t="n">
        <v>0.212</v>
      </c>
      <c r="H324" s="106" t="n">
        <v>0.212</v>
      </c>
      <c r="I324" s="106" t="n">
        <f aca="false">+(Yield_Originals!H324+Yield_Originals!J324)/2</f>
        <v>0.231</v>
      </c>
      <c r="J324" s="106" t="n">
        <v>0.25</v>
      </c>
      <c r="K324" s="107" t="n">
        <v>2</v>
      </c>
      <c r="L324" s="108" t="n">
        <f aca="false">(Yield_Originals!$G324*Yield_Originals!L$1)/Yield_Originals!$K324</f>
        <v>0.1272</v>
      </c>
      <c r="M324" s="108" t="n">
        <f aca="false">(Yield_Originals!$G324*Yield_Originals!M$1)/Yield_Originals!$K324</f>
        <v>0.131175</v>
      </c>
      <c r="N324" s="108" t="n">
        <f aca="false">(Yield_Originals!$G324*Yield_Originals!N$1)/Yield_Originals!$K324</f>
        <v>0.13515</v>
      </c>
      <c r="O324" s="108" t="n">
        <f aca="false">(Yield_Originals!$G324*Yield_Originals!O$1)/Yield_Originals!$K324</f>
        <v>0.139125</v>
      </c>
      <c r="P324" s="109" t="n">
        <f aca="false">(Yield_Originals!$H324*Yield_Originals!P$1)/Yield_Originals!$K324</f>
        <v>0.1431</v>
      </c>
      <c r="Q324" s="109" t="n">
        <f aca="false">(Yield_Originals!$H324*Yield_Originals!Q$1)/Yield_Originals!$K324</f>
        <v>0.147075</v>
      </c>
      <c r="R324" s="109" t="n">
        <f aca="false">(Yield_Originals!$H324*Yield_Originals!R$1)/Yield_Originals!$K324</f>
        <v>0.15105</v>
      </c>
      <c r="S324" s="109" t="n">
        <f aca="false">(Yield_Originals!$H324*Yield_Originals!S$1)/Yield_Originals!$K324</f>
        <v>0.155025</v>
      </c>
      <c r="T324" s="111" t="n">
        <f aca="false">(Yield_Originals!$I324*Yield_Originals!T$1)/Yield_Originals!$K324</f>
        <v>0.17325</v>
      </c>
      <c r="U324" s="111" t="n">
        <f aca="false">(Yield_Originals!$I324*Yield_Originals!U$1)/Yield_Originals!$K324</f>
        <v>0.17758125</v>
      </c>
      <c r="V324" s="111" t="n">
        <f aca="false">(Yield_Originals!$I324*Yield_Originals!V$1)/Yield_Originals!$K324</f>
        <v>0.1819125</v>
      </c>
      <c r="W324" s="111" t="n">
        <f aca="false">(Yield_Originals!$I324*Yield_Originals!W$1)/Yield_Originals!$K324</f>
        <v>0.18624375</v>
      </c>
      <c r="X324" s="112" t="n">
        <f aca="false">(Yield_Originals!$I324*Yield_Originals!X$1)/Yield_Originals!$K324</f>
        <v>0.190575</v>
      </c>
      <c r="Y324" s="112" t="n">
        <f aca="false">(Yield_Originals!$I324*Yield_Originals!Y$1)/Yield_Originals!$K324</f>
        <v>0.19490625</v>
      </c>
      <c r="Z324" s="0"/>
      <c r="AA324" s="0"/>
      <c r="AB324" s="0"/>
    </row>
    <row r="325" customFormat="false" ht="15" hidden="false" customHeight="false" outlineLevel="0" collapsed="false">
      <c r="A325" s="68" t="s">
        <v>1246</v>
      </c>
      <c r="B325" s="68" t="n">
        <v>3</v>
      </c>
      <c r="C325" s="103" t="s">
        <v>152</v>
      </c>
      <c r="D325" s="103" t="s">
        <v>1135</v>
      </c>
      <c r="E325" s="104" t="n">
        <v>26</v>
      </c>
      <c r="F325" s="115" t="n">
        <f aca="false">Yield_Originals!G325</f>
        <v>0.212</v>
      </c>
      <c r="G325" s="106" t="n">
        <v>0.212</v>
      </c>
      <c r="H325" s="106" t="n">
        <v>0.212</v>
      </c>
      <c r="I325" s="106" t="n">
        <f aca="false">+(Yield_Originals!H325+Yield_Originals!J325)/2</f>
        <v>0.231</v>
      </c>
      <c r="J325" s="106" t="n">
        <v>0.25</v>
      </c>
      <c r="K325" s="107" t="n">
        <v>2</v>
      </c>
      <c r="L325" s="108"/>
      <c r="M325" s="108" t="n">
        <f aca="false">(Yield_Originals!$G325*Yield_Originals!M$1)/Yield_Originals!$K325</f>
        <v>0.131175</v>
      </c>
      <c r="N325" s="108" t="n">
        <f aca="false">(Yield_Originals!$G325*Yield_Originals!N$1)/Yield_Originals!$K325</f>
        <v>0.13515</v>
      </c>
      <c r="O325" s="108" t="n">
        <f aca="false">(Yield_Originals!$G325*Yield_Originals!O$1)/Yield_Originals!$K325</f>
        <v>0.139125</v>
      </c>
      <c r="P325" s="109" t="n">
        <f aca="false">(Yield_Originals!$H325*Yield_Originals!P$1)/Yield_Originals!$K325</f>
        <v>0.1431</v>
      </c>
      <c r="Q325" s="109" t="n">
        <f aca="false">(Yield_Originals!$H325*Yield_Originals!Q$1)/Yield_Originals!$K325</f>
        <v>0.147075</v>
      </c>
      <c r="R325" s="109" t="n">
        <f aca="false">(Yield_Originals!$H325*Yield_Originals!R$1)/Yield_Originals!$K325</f>
        <v>0.15105</v>
      </c>
      <c r="S325" s="109" t="n">
        <f aca="false">(Yield_Originals!$H325*Yield_Originals!S$1)/Yield_Originals!$K325</f>
        <v>0.155025</v>
      </c>
      <c r="T325" s="111"/>
      <c r="U325" s="111"/>
      <c r="V325" s="111"/>
      <c r="W325" s="111"/>
      <c r="X325" s="112"/>
      <c r="Y325" s="112"/>
      <c r="Z325" s="0"/>
      <c r="AA325" s="0"/>
      <c r="AB325" s="0"/>
    </row>
    <row r="326" customFormat="false" ht="15" hidden="false" customHeight="false" outlineLevel="0" collapsed="false">
      <c r="A326" s="68" t="s">
        <v>1246</v>
      </c>
      <c r="B326" s="68" t="n">
        <v>3</v>
      </c>
      <c r="C326" s="0" t="s">
        <v>152</v>
      </c>
      <c r="D326" s="0" t="s">
        <v>1135</v>
      </c>
      <c r="E326" s="104" t="n">
        <v>1</v>
      </c>
      <c r="F326" s="115" t="n">
        <f aca="false">Yield_Originals!G326</f>
        <v>0.212</v>
      </c>
      <c r="G326" s="106" t="n">
        <v>0.212</v>
      </c>
      <c r="H326" s="106" t="n">
        <v>0.212</v>
      </c>
      <c r="I326" s="106" t="n">
        <f aca="false">+(Yield_Originals!H326+Yield_Originals!J326)/2</f>
        <v>0.231</v>
      </c>
      <c r="J326" s="106" t="n">
        <v>0.25</v>
      </c>
      <c r="K326" s="107" t="n">
        <v>2</v>
      </c>
      <c r="L326" s="108"/>
      <c r="M326" s="108" t="n">
        <f aca="false">(Yield_Originals!$G326*Yield_Originals!M$1)/Yield_Originals!$K326</f>
        <v>0.131175</v>
      </c>
      <c r="N326" s="108" t="n">
        <f aca="false">(Yield_Originals!$G326*Yield_Originals!N$1)/Yield_Originals!$K326</f>
        <v>0.13515</v>
      </c>
      <c r="O326" s="108" t="n">
        <f aca="false">(Yield_Originals!$G326*Yield_Originals!O$1)/Yield_Originals!$K326</f>
        <v>0.139125</v>
      </c>
      <c r="P326" s="109" t="n">
        <f aca="false">(Yield_Originals!$H326*Yield_Originals!P$1)/Yield_Originals!$K326</f>
        <v>0.1431</v>
      </c>
      <c r="Q326" s="109" t="n">
        <f aca="false">(Yield_Originals!$H326*Yield_Originals!Q$1)/Yield_Originals!$K326</f>
        <v>0.147075</v>
      </c>
      <c r="R326" s="109" t="n">
        <f aca="false">(Yield_Originals!$H326*Yield_Originals!R$1)/Yield_Originals!$K326</f>
        <v>0.15105</v>
      </c>
      <c r="S326" s="109" t="n">
        <f aca="false">(Yield_Originals!$H326*Yield_Originals!S$1)/Yield_Originals!$K326</f>
        <v>0.155025</v>
      </c>
      <c r="T326" s="111"/>
      <c r="U326" s="111"/>
      <c r="V326" s="111"/>
      <c r="W326" s="111"/>
      <c r="X326" s="112"/>
      <c r="Y326" s="112"/>
      <c r="Z326" s="0"/>
      <c r="AA326" s="0"/>
      <c r="AB326" s="0"/>
    </row>
    <row r="327" customFormat="false" ht="15" hidden="false" customHeight="false" outlineLevel="0" collapsed="false">
      <c r="A327" s="68" t="s">
        <v>1246</v>
      </c>
      <c r="B327" s="68" t="n">
        <v>3</v>
      </c>
      <c r="C327" s="0" t="s">
        <v>152</v>
      </c>
      <c r="D327" s="0" t="s">
        <v>1135</v>
      </c>
      <c r="E327" s="104" t="n">
        <v>2</v>
      </c>
      <c r="F327" s="115" t="n">
        <f aca="false">Yield_Originals!G327</f>
        <v>0.212</v>
      </c>
      <c r="G327" s="106" t="n">
        <v>0.212</v>
      </c>
      <c r="H327" s="106" t="n">
        <v>0.212</v>
      </c>
      <c r="I327" s="106" t="n">
        <f aca="false">+(Yield_Originals!H327+Yield_Originals!J327)/2</f>
        <v>0.231</v>
      </c>
      <c r="J327" s="106" t="n">
        <v>0.25</v>
      </c>
      <c r="K327" s="107" t="n">
        <v>2</v>
      </c>
      <c r="L327" s="108"/>
      <c r="M327" s="108" t="n">
        <f aca="false">(Yield_Originals!$G327*Yield_Originals!M$1)/Yield_Originals!$K327</f>
        <v>0.131175</v>
      </c>
      <c r="N327" s="108" t="n">
        <f aca="false">(Yield_Originals!$G327*Yield_Originals!N$1)/Yield_Originals!$K327</f>
        <v>0.13515</v>
      </c>
      <c r="O327" s="108" t="n">
        <f aca="false">(Yield_Originals!$G327*Yield_Originals!O$1)/Yield_Originals!$K327</f>
        <v>0.139125</v>
      </c>
      <c r="P327" s="109" t="n">
        <f aca="false">(Yield_Originals!$H327*Yield_Originals!P$1)/Yield_Originals!$K327</f>
        <v>0.1431</v>
      </c>
      <c r="Q327" s="109" t="n">
        <f aca="false">(Yield_Originals!$H327*Yield_Originals!Q$1)/Yield_Originals!$K327</f>
        <v>0.147075</v>
      </c>
      <c r="R327" s="109" t="n">
        <f aca="false">(Yield_Originals!$H327*Yield_Originals!R$1)/Yield_Originals!$K327</f>
        <v>0.15105</v>
      </c>
      <c r="S327" s="109" t="n">
        <f aca="false">(Yield_Originals!$H327*Yield_Originals!S$1)/Yield_Originals!$K327</f>
        <v>0.155025</v>
      </c>
      <c r="T327" s="111"/>
      <c r="U327" s="111"/>
      <c r="V327" s="111"/>
      <c r="W327" s="111"/>
      <c r="X327" s="112"/>
      <c r="Y327" s="112"/>
      <c r="Z327" s="0"/>
      <c r="AA327" s="0"/>
      <c r="AB327" s="0"/>
    </row>
    <row r="328" customFormat="false" ht="15" hidden="false" customHeight="false" outlineLevel="0" collapsed="false">
      <c r="A328" s="68" t="s">
        <v>1246</v>
      </c>
      <c r="B328" s="68" t="n">
        <v>3</v>
      </c>
      <c r="C328" s="103" t="s">
        <v>268</v>
      </c>
      <c r="D328" s="103" t="s">
        <v>1135</v>
      </c>
      <c r="E328" s="104" t="n">
        <v>26</v>
      </c>
      <c r="F328" s="115" t="n">
        <f aca="false">Yield_Originals!G328</f>
        <v>0.212</v>
      </c>
      <c r="G328" s="106" t="n">
        <v>0.212</v>
      </c>
      <c r="H328" s="106" t="n">
        <v>0.212</v>
      </c>
      <c r="I328" s="106" t="n">
        <f aca="false">+(Yield_Originals!H328+Yield_Originals!J328)/2</f>
        <v>0.231</v>
      </c>
      <c r="J328" s="106" t="n">
        <v>0.25</v>
      </c>
      <c r="K328" s="107" t="n">
        <v>2</v>
      </c>
      <c r="L328" s="108"/>
      <c r="M328" s="108" t="n">
        <f aca="false">(Yield_Originals!$G328*Yield_Originals!M$1)/Yield_Originals!$K328</f>
        <v>0.131175</v>
      </c>
      <c r="N328" s="108" t="n">
        <f aca="false">(Yield_Originals!$G328*Yield_Originals!N$1)/Yield_Originals!$K328</f>
        <v>0.13515</v>
      </c>
      <c r="O328" s="108" t="n">
        <f aca="false">(Yield_Originals!$G328*Yield_Originals!O$1)/Yield_Originals!$K328</f>
        <v>0.139125</v>
      </c>
      <c r="P328" s="109" t="n">
        <f aca="false">(Yield_Originals!$H328*Yield_Originals!P$1)/Yield_Originals!$K328</f>
        <v>0.1431</v>
      </c>
      <c r="Q328" s="109" t="n">
        <f aca="false">(Yield_Originals!$H328*Yield_Originals!Q$1)/Yield_Originals!$K328</f>
        <v>0.147075</v>
      </c>
      <c r="R328" s="109" t="n">
        <f aca="false">(Yield_Originals!$H328*Yield_Originals!R$1)/Yield_Originals!$K328</f>
        <v>0.15105</v>
      </c>
      <c r="S328" s="109" t="n">
        <f aca="false">(Yield_Originals!$H328*Yield_Originals!S$1)/Yield_Originals!$K328</f>
        <v>0.155025</v>
      </c>
      <c r="T328" s="111"/>
      <c r="U328" s="111"/>
      <c r="V328" s="111"/>
      <c r="W328" s="111"/>
      <c r="X328" s="112"/>
      <c r="Y328" s="112"/>
      <c r="Z328" s="0"/>
      <c r="AA328" s="0"/>
      <c r="AB328" s="0"/>
    </row>
    <row r="329" customFormat="false" ht="15" hidden="false" customHeight="false" outlineLevel="0" collapsed="false">
      <c r="A329" s="68" t="s">
        <v>1246</v>
      </c>
      <c r="B329" s="68" t="n">
        <v>3</v>
      </c>
      <c r="C329" s="0" t="s">
        <v>268</v>
      </c>
      <c r="D329" s="0" t="s">
        <v>1135</v>
      </c>
      <c r="E329" s="104" t="n">
        <v>1</v>
      </c>
      <c r="F329" s="115" t="n">
        <f aca="false">Yield_Originals!G329</f>
        <v>0.212</v>
      </c>
      <c r="G329" s="106" t="n">
        <v>0.212</v>
      </c>
      <c r="H329" s="106" t="n">
        <v>0.212</v>
      </c>
      <c r="I329" s="106" t="n">
        <f aca="false">+(Yield_Originals!H329+Yield_Originals!J329)/2</f>
        <v>0.231</v>
      </c>
      <c r="J329" s="106" t="n">
        <v>0.25</v>
      </c>
      <c r="K329" s="107" t="n">
        <v>2</v>
      </c>
      <c r="L329" s="108"/>
      <c r="M329" s="108" t="n">
        <f aca="false">(Yield_Originals!$G329*Yield_Originals!M$1)/Yield_Originals!$K329</f>
        <v>0.131175</v>
      </c>
      <c r="N329" s="108" t="n">
        <f aca="false">(Yield_Originals!$G329*Yield_Originals!N$1)/Yield_Originals!$K329</f>
        <v>0.13515</v>
      </c>
      <c r="O329" s="108" t="n">
        <f aca="false">(Yield_Originals!$G329*Yield_Originals!O$1)/Yield_Originals!$K329</f>
        <v>0.139125</v>
      </c>
      <c r="P329" s="109" t="n">
        <f aca="false">(Yield_Originals!$H329*Yield_Originals!P$1)/Yield_Originals!$K329</f>
        <v>0.1431</v>
      </c>
      <c r="Q329" s="109" t="n">
        <f aca="false">(Yield_Originals!$H329*Yield_Originals!Q$1)/Yield_Originals!$K329</f>
        <v>0.147075</v>
      </c>
      <c r="R329" s="109" t="n">
        <f aca="false">(Yield_Originals!$H329*Yield_Originals!R$1)/Yield_Originals!$K329</f>
        <v>0.15105</v>
      </c>
      <c r="S329" s="109" t="n">
        <f aca="false">(Yield_Originals!$H329*Yield_Originals!S$1)/Yield_Originals!$K329</f>
        <v>0.155025</v>
      </c>
      <c r="T329" s="111"/>
      <c r="U329" s="111"/>
      <c r="V329" s="111"/>
      <c r="W329" s="111"/>
      <c r="X329" s="112"/>
      <c r="Y329" s="112"/>
      <c r="Z329" s="0"/>
      <c r="AA329" s="0"/>
      <c r="AB329" s="0"/>
    </row>
    <row r="330" customFormat="false" ht="15" hidden="false" customHeight="false" outlineLevel="0" collapsed="false">
      <c r="A330" s="68" t="s">
        <v>1246</v>
      </c>
      <c r="B330" s="68" t="n">
        <v>3</v>
      </c>
      <c r="C330" s="0" t="s">
        <v>268</v>
      </c>
      <c r="D330" s="0" t="s">
        <v>1135</v>
      </c>
      <c r="E330" s="104" t="n">
        <v>2</v>
      </c>
      <c r="F330" s="115" t="n">
        <f aca="false">Yield_Originals!G330</f>
        <v>0.212</v>
      </c>
      <c r="G330" s="106" t="n">
        <v>0.212</v>
      </c>
      <c r="H330" s="106" t="n">
        <v>0.212</v>
      </c>
      <c r="I330" s="106" t="n">
        <f aca="false">+(Yield_Originals!H330+Yield_Originals!J330)/2</f>
        <v>0.231</v>
      </c>
      <c r="J330" s="106" t="n">
        <v>0.25</v>
      </c>
      <c r="K330" s="107" t="n">
        <v>2</v>
      </c>
      <c r="L330" s="108"/>
      <c r="M330" s="108" t="n">
        <f aca="false">(Yield_Originals!$G330*Yield_Originals!M$1)/Yield_Originals!$K330</f>
        <v>0.131175</v>
      </c>
      <c r="N330" s="108" t="n">
        <f aca="false">(Yield_Originals!$G330*Yield_Originals!N$1)/Yield_Originals!$K330</f>
        <v>0.13515</v>
      </c>
      <c r="O330" s="108" t="n">
        <f aca="false">(Yield_Originals!$G330*Yield_Originals!O$1)/Yield_Originals!$K330</f>
        <v>0.139125</v>
      </c>
      <c r="P330" s="109" t="n">
        <f aca="false">(Yield_Originals!$H330*Yield_Originals!P$1)/Yield_Originals!$K330</f>
        <v>0.1431</v>
      </c>
      <c r="Q330" s="109" t="n">
        <f aca="false">(Yield_Originals!$H330*Yield_Originals!Q$1)/Yield_Originals!$K330</f>
        <v>0.147075</v>
      </c>
      <c r="R330" s="109" t="n">
        <f aca="false">(Yield_Originals!$H330*Yield_Originals!R$1)/Yield_Originals!$K330</f>
        <v>0.15105</v>
      </c>
      <c r="S330" s="109" t="n">
        <f aca="false">(Yield_Originals!$H330*Yield_Originals!S$1)/Yield_Originals!$K330</f>
        <v>0.155025</v>
      </c>
      <c r="T330" s="111"/>
      <c r="U330" s="111"/>
      <c r="V330" s="111"/>
      <c r="W330" s="111"/>
      <c r="X330" s="112"/>
      <c r="Y330" s="112"/>
      <c r="Z330" s="0"/>
      <c r="AA330" s="0"/>
      <c r="AB330" s="0"/>
    </row>
    <row r="331" customFormat="false" ht="15" hidden="false" customHeight="false" outlineLevel="0" collapsed="false">
      <c r="A331" s="68" t="s">
        <v>1246</v>
      </c>
      <c r="B331" s="68" t="n">
        <v>3</v>
      </c>
      <c r="C331" s="103" t="s">
        <v>1050</v>
      </c>
      <c r="D331" s="103" t="s">
        <v>1140</v>
      </c>
      <c r="E331" s="104" t="n">
        <v>26</v>
      </c>
      <c r="F331" s="115" t="n">
        <f aca="false">Yield_Originals!G331</f>
        <v>0.212</v>
      </c>
      <c r="G331" s="106" t="n">
        <v>0.212</v>
      </c>
      <c r="H331" s="106" t="n">
        <v>0.212</v>
      </c>
      <c r="I331" s="106" t="n">
        <f aca="false">+(Yield_Originals!H331+Yield_Originals!J331)/2</f>
        <v>0.231</v>
      </c>
      <c r="J331" s="106" t="n">
        <v>0.25</v>
      </c>
      <c r="K331" s="107" t="n">
        <v>2</v>
      </c>
      <c r="L331" s="108"/>
      <c r="M331" s="108" t="n">
        <f aca="false">(Yield_Originals!$G331*Yield_Originals!M$1)/Yield_Originals!$K331</f>
        <v>0.131175</v>
      </c>
      <c r="N331" s="108" t="n">
        <f aca="false">(Yield_Originals!$G331*Yield_Originals!N$1)/Yield_Originals!$K331</f>
        <v>0.13515</v>
      </c>
      <c r="O331" s="108" t="n">
        <f aca="false">(Yield_Originals!$G331*Yield_Originals!O$1)/Yield_Originals!$K331</f>
        <v>0.139125</v>
      </c>
      <c r="P331" s="109" t="n">
        <f aca="false">(Yield_Originals!$H331*Yield_Originals!P$1)/Yield_Originals!$K331</f>
        <v>0.1431</v>
      </c>
      <c r="Q331" s="109" t="n">
        <f aca="false">(Yield_Originals!$H331*Yield_Originals!Q$1)/Yield_Originals!$K331</f>
        <v>0.147075</v>
      </c>
      <c r="R331" s="109" t="n">
        <f aca="false">(Yield_Originals!$H331*Yield_Originals!R$1)/Yield_Originals!$K331</f>
        <v>0.15105</v>
      </c>
      <c r="S331" s="109" t="n">
        <f aca="false">(Yield_Originals!$H331*Yield_Originals!S$1)/Yield_Originals!$K331</f>
        <v>0.155025</v>
      </c>
      <c r="T331" s="111"/>
      <c r="U331" s="111"/>
      <c r="V331" s="111"/>
      <c r="W331" s="111"/>
      <c r="X331" s="112"/>
      <c r="Y331" s="112"/>
      <c r="Z331" s="0"/>
      <c r="AA331" s="0"/>
      <c r="AB331" s="0"/>
    </row>
    <row r="332" customFormat="false" ht="15" hidden="false" customHeight="false" outlineLevel="0" collapsed="false">
      <c r="A332" s="68" t="s">
        <v>1246</v>
      </c>
      <c r="B332" s="68" t="n">
        <v>3</v>
      </c>
      <c r="C332" s="0" t="s">
        <v>1050</v>
      </c>
      <c r="D332" s="0" t="s">
        <v>1140</v>
      </c>
      <c r="E332" s="104" t="n">
        <v>1</v>
      </c>
      <c r="F332" s="115" t="n">
        <f aca="false">Yield_Originals!G332</f>
        <v>0.212</v>
      </c>
      <c r="G332" s="106" t="n">
        <v>0.212</v>
      </c>
      <c r="H332" s="106" t="n">
        <v>0.212</v>
      </c>
      <c r="I332" s="106" t="n">
        <f aca="false">+(Yield_Originals!H332+Yield_Originals!J332)/2</f>
        <v>0.231</v>
      </c>
      <c r="J332" s="106" t="n">
        <v>0.25</v>
      </c>
      <c r="K332" s="107" t="n">
        <v>2</v>
      </c>
      <c r="L332" s="108"/>
      <c r="M332" s="108" t="n">
        <f aca="false">(Yield_Originals!$G332*Yield_Originals!M$1)/Yield_Originals!$K332</f>
        <v>0.131175</v>
      </c>
      <c r="N332" s="108" t="n">
        <f aca="false">(Yield_Originals!$G332*Yield_Originals!N$1)/Yield_Originals!$K332</f>
        <v>0.13515</v>
      </c>
      <c r="O332" s="108" t="n">
        <f aca="false">(Yield_Originals!$G332*Yield_Originals!O$1)/Yield_Originals!$K332</f>
        <v>0.139125</v>
      </c>
      <c r="P332" s="109" t="n">
        <f aca="false">(Yield_Originals!$H332*Yield_Originals!P$1)/Yield_Originals!$K332</f>
        <v>0.1431</v>
      </c>
      <c r="Q332" s="109" t="n">
        <f aca="false">(Yield_Originals!$H332*Yield_Originals!Q$1)/Yield_Originals!$K332</f>
        <v>0.147075</v>
      </c>
      <c r="R332" s="109" t="n">
        <f aca="false">(Yield_Originals!$H332*Yield_Originals!R$1)/Yield_Originals!$K332</f>
        <v>0.15105</v>
      </c>
      <c r="S332" s="109" t="n">
        <f aca="false">(Yield_Originals!$H332*Yield_Originals!S$1)/Yield_Originals!$K332</f>
        <v>0.155025</v>
      </c>
      <c r="T332" s="111"/>
      <c r="U332" s="111"/>
      <c r="V332" s="111"/>
      <c r="W332" s="111"/>
      <c r="X332" s="112"/>
      <c r="Y332" s="112"/>
      <c r="Z332" s="0"/>
      <c r="AA332" s="0"/>
      <c r="AB332" s="0"/>
    </row>
    <row r="333" customFormat="false" ht="15" hidden="false" customHeight="false" outlineLevel="0" collapsed="false">
      <c r="A333" s="68" t="s">
        <v>1246</v>
      </c>
      <c r="B333" s="68" t="n">
        <v>3</v>
      </c>
      <c r="C333" s="0" t="s">
        <v>1050</v>
      </c>
      <c r="D333" s="0" t="s">
        <v>1140</v>
      </c>
      <c r="E333" s="104" t="n">
        <v>2</v>
      </c>
      <c r="F333" s="115" t="n">
        <f aca="false">Yield_Originals!G333</f>
        <v>0.212</v>
      </c>
      <c r="G333" s="106" t="n">
        <v>0.212</v>
      </c>
      <c r="H333" s="106" t="n">
        <v>0.212</v>
      </c>
      <c r="I333" s="106" t="n">
        <f aca="false">+(Yield_Originals!H333+Yield_Originals!J333)/2</f>
        <v>0.231</v>
      </c>
      <c r="J333" s="106" t="n">
        <v>0.25</v>
      </c>
      <c r="K333" s="107" t="n">
        <v>2</v>
      </c>
      <c r="L333" s="108"/>
      <c r="M333" s="108" t="n">
        <f aca="false">(Yield_Originals!$G333*Yield_Originals!M$1)/Yield_Originals!$K333</f>
        <v>0.131175</v>
      </c>
      <c r="N333" s="108" t="n">
        <f aca="false">(Yield_Originals!$G333*Yield_Originals!N$1)/Yield_Originals!$K333</f>
        <v>0.13515</v>
      </c>
      <c r="O333" s="108" t="n">
        <f aca="false">(Yield_Originals!$G333*Yield_Originals!O$1)/Yield_Originals!$K333</f>
        <v>0.139125</v>
      </c>
      <c r="P333" s="109" t="n">
        <f aca="false">(Yield_Originals!$H333*Yield_Originals!P$1)/Yield_Originals!$K333</f>
        <v>0.1431</v>
      </c>
      <c r="Q333" s="109" t="n">
        <f aca="false">(Yield_Originals!$H333*Yield_Originals!Q$1)/Yield_Originals!$K333</f>
        <v>0.147075</v>
      </c>
      <c r="R333" s="109" t="n">
        <f aca="false">(Yield_Originals!$H333*Yield_Originals!R$1)/Yield_Originals!$K333</f>
        <v>0.15105</v>
      </c>
      <c r="S333" s="109" t="n">
        <f aca="false">(Yield_Originals!$H333*Yield_Originals!S$1)/Yield_Originals!$K333</f>
        <v>0.155025</v>
      </c>
      <c r="T333" s="111"/>
      <c r="U333" s="111"/>
      <c r="V333" s="111"/>
      <c r="W333" s="111"/>
      <c r="X333" s="112"/>
      <c r="Y333" s="112"/>
      <c r="Z333" s="0"/>
      <c r="AA333" s="0"/>
      <c r="AB333" s="0"/>
    </row>
    <row r="334" customFormat="false" ht="15" hidden="false" customHeight="false" outlineLevel="0" collapsed="false">
      <c r="A334" s="68" t="s">
        <v>1246</v>
      </c>
      <c r="B334" s="68" t="n">
        <v>3</v>
      </c>
      <c r="C334" s="103" t="s">
        <v>1053</v>
      </c>
      <c r="D334" s="103" t="s">
        <v>1159</v>
      </c>
      <c r="E334" s="104" t="n">
        <v>26</v>
      </c>
      <c r="F334" s="115" t="n">
        <f aca="false">Yield_Originals!G334</f>
        <v>0.212</v>
      </c>
      <c r="G334" s="106" t="n">
        <v>0.212</v>
      </c>
      <c r="H334" s="106" t="n">
        <v>0.212</v>
      </c>
      <c r="I334" s="106" t="n">
        <f aca="false">+(Yield_Originals!H334+Yield_Originals!J334)/2</f>
        <v>0.231</v>
      </c>
      <c r="J334" s="106" t="n">
        <v>0.25</v>
      </c>
      <c r="K334" s="107" t="n">
        <v>2</v>
      </c>
      <c r="L334" s="108"/>
      <c r="M334" s="108" t="n">
        <f aca="false">(Yield_Originals!$G334*Yield_Originals!M$1)/Yield_Originals!$K334</f>
        <v>0.131175</v>
      </c>
      <c r="N334" s="108" t="n">
        <f aca="false">(Yield_Originals!$G334*Yield_Originals!N$1)/Yield_Originals!$K334</f>
        <v>0.13515</v>
      </c>
      <c r="O334" s="108" t="n">
        <f aca="false">(Yield_Originals!$G334*Yield_Originals!O$1)/Yield_Originals!$K334</f>
        <v>0.139125</v>
      </c>
      <c r="P334" s="109" t="n">
        <f aca="false">(Yield_Originals!$H334*Yield_Originals!P$1)/Yield_Originals!$K334</f>
        <v>0.1431</v>
      </c>
      <c r="Q334" s="109" t="n">
        <f aca="false">(Yield_Originals!$H334*Yield_Originals!Q$1)/Yield_Originals!$K334</f>
        <v>0.147075</v>
      </c>
      <c r="R334" s="109" t="n">
        <f aca="false">(Yield_Originals!$H334*Yield_Originals!R$1)/Yield_Originals!$K334</f>
        <v>0.15105</v>
      </c>
      <c r="S334" s="109" t="n">
        <f aca="false">(Yield_Originals!$H334*Yield_Originals!S$1)/Yield_Originals!$K334</f>
        <v>0.155025</v>
      </c>
      <c r="T334" s="111"/>
      <c r="U334" s="111"/>
      <c r="V334" s="111"/>
      <c r="W334" s="111"/>
      <c r="X334" s="112"/>
      <c r="Y334" s="112"/>
      <c r="Z334" s="0"/>
      <c r="AA334" s="0"/>
      <c r="AB334" s="0"/>
    </row>
    <row r="335" customFormat="false" ht="15" hidden="false" customHeight="false" outlineLevel="0" collapsed="false">
      <c r="A335" s="68" t="s">
        <v>1246</v>
      </c>
      <c r="B335" s="68" t="n">
        <v>3</v>
      </c>
      <c r="C335" s="0" t="s">
        <v>1053</v>
      </c>
      <c r="D335" s="0" t="s">
        <v>1159</v>
      </c>
      <c r="E335" s="104" t="n">
        <v>1</v>
      </c>
      <c r="F335" s="115" t="n">
        <f aca="false">Yield_Originals!G335</f>
        <v>0.212</v>
      </c>
      <c r="G335" s="106" t="n">
        <v>0.212</v>
      </c>
      <c r="H335" s="106" t="n">
        <v>0.212</v>
      </c>
      <c r="I335" s="106" t="n">
        <f aca="false">+(Yield_Originals!H335+Yield_Originals!J335)/2</f>
        <v>0.231</v>
      </c>
      <c r="J335" s="106" t="n">
        <v>0.25</v>
      </c>
      <c r="K335" s="107" t="n">
        <v>2</v>
      </c>
      <c r="L335" s="108"/>
      <c r="M335" s="108" t="n">
        <f aca="false">(Yield_Originals!$G335*Yield_Originals!M$1)/Yield_Originals!$K335</f>
        <v>0.131175</v>
      </c>
      <c r="N335" s="108" t="n">
        <f aca="false">(Yield_Originals!$G335*Yield_Originals!N$1)/Yield_Originals!$K335</f>
        <v>0.13515</v>
      </c>
      <c r="O335" s="108" t="n">
        <f aca="false">(Yield_Originals!$G335*Yield_Originals!O$1)/Yield_Originals!$K335</f>
        <v>0.139125</v>
      </c>
      <c r="P335" s="109" t="n">
        <f aca="false">(Yield_Originals!$H335*Yield_Originals!P$1)/Yield_Originals!$K335</f>
        <v>0.1431</v>
      </c>
      <c r="Q335" s="109" t="n">
        <f aca="false">(Yield_Originals!$H335*Yield_Originals!Q$1)/Yield_Originals!$K335</f>
        <v>0.147075</v>
      </c>
      <c r="R335" s="109" t="n">
        <f aca="false">(Yield_Originals!$H335*Yield_Originals!R$1)/Yield_Originals!$K335</f>
        <v>0.15105</v>
      </c>
      <c r="S335" s="109" t="n">
        <f aca="false">(Yield_Originals!$H335*Yield_Originals!S$1)/Yield_Originals!$K335</f>
        <v>0.155025</v>
      </c>
      <c r="T335" s="111"/>
      <c r="U335" s="111"/>
      <c r="V335" s="111"/>
      <c r="W335" s="111"/>
      <c r="X335" s="112"/>
      <c r="Y335" s="112"/>
      <c r="Z335" s="0"/>
      <c r="AA335" s="0"/>
      <c r="AB335" s="0"/>
    </row>
    <row r="336" customFormat="false" ht="15" hidden="false" customHeight="false" outlineLevel="0" collapsed="false">
      <c r="A336" s="68" t="s">
        <v>1246</v>
      </c>
      <c r="B336" s="68" t="n">
        <v>3</v>
      </c>
      <c r="C336" s="0" t="s">
        <v>1053</v>
      </c>
      <c r="D336" s="0" t="s">
        <v>1159</v>
      </c>
      <c r="E336" s="104" t="n">
        <v>2</v>
      </c>
      <c r="F336" s="115" t="n">
        <f aca="false">Yield_Originals!G336</f>
        <v>0.212</v>
      </c>
      <c r="G336" s="106" t="n">
        <v>0.212</v>
      </c>
      <c r="H336" s="106" t="n">
        <v>0.212</v>
      </c>
      <c r="I336" s="106" t="n">
        <f aca="false">+(Yield_Originals!H336+Yield_Originals!J336)/2</f>
        <v>0.231</v>
      </c>
      <c r="J336" s="106" t="n">
        <v>0.25</v>
      </c>
      <c r="K336" s="107" t="n">
        <v>2</v>
      </c>
      <c r="L336" s="108"/>
      <c r="M336" s="108" t="n">
        <f aca="false">(Yield_Originals!$G336*Yield_Originals!M$1)/Yield_Originals!$K336</f>
        <v>0.131175</v>
      </c>
      <c r="N336" s="108" t="n">
        <f aca="false">(Yield_Originals!$G336*Yield_Originals!N$1)/Yield_Originals!$K336</f>
        <v>0.13515</v>
      </c>
      <c r="O336" s="108" t="n">
        <f aca="false">(Yield_Originals!$G336*Yield_Originals!O$1)/Yield_Originals!$K336</f>
        <v>0.139125</v>
      </c>
      <c r="P336" s="109" t="n">
        <f aca="false">(Yield_Originals!$H336*Yield_Originals!P$1)/Yield_Originals!$K336</f>
        <v>0.1431</v>
      </c>
      <c r="Q336" s="109" t="n">
        <f aca="false">(Yield_Originals!$H336*Yield_Originals!Q$1)/Yield_Originals!$K336</f>
        <v>0.147075</v>
      </c>
      <c r="R336" s="109" t="n">
        <f aca="false">(Yield_Originals!$H336*Yield_Originals!R$1)/Yield_Originals!$K336</f>
        <v>0.15105</v>
      </c>
      <c r="S336" s="109" t="n">
        <f aca="false">(Yield_Originals!$H336*Yield_Originals!S$1)/Yield_Originals!$K336</f>
        <v>0.155025</v>
      </c>
      <c r="T336" s="111"/>
      <c r="U336" s="111"/>
      <c r="V336" s="111"/>
      <c r="W336" s="111"/>
      <c r="X336" s="112"/>
      <c r="Y336" s="112"/>
      <c r="Z336" s="0"/>
      <c r="AA336" s="0"/>
      <c r="AB336" s="0"/>
    </row>
    <row r="337" customFormat="false" ht="15" hidden="false" customHeight="false" outlineLevel="0" collapsed="false">
      <c r="A337" s="68" t="s">
        <v>1246</v>
      </c>
      <c r="B337" s="68" t="n">
        <v>3</v>
      </c>
      <c r="C337" s="103" t="s">
        <v>1056</v>
      </c>
      <c r="D337" s="103" t="s">
        <v>1162</v>
      </c>
      <c r="E337" s="104" t="n">
        <v>26</v>
      </c>
      <c r="F337" s="115" t="n">
        <f aca="false">Yield_Originals!G337</f>
        <v>0.212</v>
      </c>
      <c r="G337" s="106" t="n">
        <v>0.212</v>
      </c>
      <c r="H337" s="106" t="n">
        <v>0.212</v>
      </c>
      <c r="I337" s="106" t="n">
        <f aca="false">+(Yield_Originals!H337+Yield_Originals!J337)/2</f>
        <v>0.231</v>
      </c>
      <c r="J337" s="106" t="n">
        <v>0.25</v>
      </c>
      <c r="K337" s="107" t="n">
        <v>2</v>
      </c>
      <c r="L337" s="108"/>
      <c r="M337" s="108" t="n">
        <f aca="false">(Yield_Originals!$G337*Yield_Originals!M$1)/Yield_Originals!$K337</f>
        <v>0.131175</v>
      </c>
      <c r="N337" s="108" t="n">
        <f aca="false">(Yield_Originals!$G337*Yield_Originals!N$1)/Yield_Originals!$K337</f>
        <v>0.13515</v>
      </c>
      <c r="O337" s="108" t="n">
        <f aca="false">(Yield_Originals!$G337*Yield_Originals!O$1)/Yield_Originals!$K337</f>
        <v>0.139125</v>
      </c>
      <c r="P337" s="109" t="n">
        <f aca="false">(Yield_Originals!$H337*Yield_Originals!P$1)/Yield_Originals!$K337</f>
        <v>0.1431</v>
      </c>
      <c r="Q337" s="109" t="n">
        <f aca="false">(Yield_Originals!$H337*Yield_Originals!Q$1)/Yield_Originals!$K337</f>
        <v>0.147075</v>
      </c>
      <c r="R337" s="109" t="n">
        <f aca="false">(Yield_Originals!$H337*Yield_Originals!R$1)/Yield_Originals!$K337</f>
        <v>0.15105</v>
      </c>
      <c r="S337" s="109" t="n">
        <f aca="false">(Yield_Originals!$H337*Yield_Originals!S$1)/Yield_Originals!$K337</f>
        <v>0.155025</v>
      </c>
      <c r="T337" s="111"/>
      <c r="U337" s="111"/>
      <c r="V337" s="111"/>
      <c r="W337" s="111"/>
      <c r="X337" s="112"/>
      <c r="Y337" s="112"/>
      <c r="Z337" s="0"/>
      <c r="AA337" s="0"/>
      <c r="AB337" s="0"/>
    </row>
    <row r="338" customFormat="false" ht="15" hidden="false" customHeight="false" outlineLevel="0" collapsed="false">
      <c r="A338" s="68" t="s">
        <v>1246</v>
      </c>
      <c r="B338" s="68" t="n">
        <v>3</v>
      </c>
      <c r="C338" s="0" t="s">
        <v>1056</v>
      </c>
      <c r="D338" s="0" t="s">
        <v>1162</v>
      </c>
      <c r="E338" s="104" t="n">
        <v>1</v>
      </c>
      <c r="F338" s="115" t="n">
        <f aca="false">Yield_Originals!G338</f>
        <v>0.212</v>
      </c>
      <c r="G338" s="106" t="n">
        <v>0.212</v>
      </c>
      <c r="H338" s="106" t="n">
        <v>0.212</v>
      </c>
      <c r="I338" s="106" t="n">
        <f aca="false">+(Yield_Originals!H338+Yield_Originals!J338)/2</f>
        <v>0.231</v>
      </c>
      <c r="J338" s="106" t="n">
        <v>0.25</v>
      </c>
      <c r="K338" s="107" t="n">
        <v>2</v>
      </c>
      <c r="L338" s="108"/>
      <c r="M338" s="108" t="n">
        <f aca="false">(Yield_Originals!$G338*Yield_Originals!M$1)/Yield_Originals!$K338</f>
        <v>0.131175</v>
      </c>
      <c r="N338" s="108" t="n">
        <f aca="false">(Yield_Originals!$G338*Yield_Originals!N$1)/Yield_Originals!$K338</f>
        <v>0.13515</v>
      </c>
      <c r="O338" s="108" t="n">
        <f aca="false">(Yield_Originals!$G338*Yield_Originals!O$1)/Yield_Originals!$K338</f>
        <v>0.139125</v>
      </c>
      <c r="P338" s="109" t="n">
        <f aca="false">(Yield_Originals!$H338*Yield_Originals!P$1)/Yield_Originals!$K338</f>
        <v>0.1431</v>
      </c>
      <c r="Q338" s="109" t="n">
        <f aca="false">(Yield_Originals!$H338*Yield_Originals!Q$1)/Yield_Originals!$K338</f>
        <v>0.147075</v>
      </c>
      <c r="R338" s="109" t="n">
        <f aca="false">(Yield_Originals!$H338*Yield_Originals!R$1)/Yield_Originals!$K338</f>
        <v>0.15105</v>
      </c>
      <c r="S338" s="109" t="n">
        <f aca="false">(Yield_Originals!$H338*Yield_Originals!S$1)/Yield_Originals!$K338</f>
        <v>0.155025</v>
      </c>
      <c r="T338" s="111"/>
      <c r="U338" s="111"/>
      <c r="V338" s="111"/>
      <c r="W338" s="111"/>
      <c r="X338" s="112"/>
      <c r="Y338" s="112"/>
      <c r="Z338" s="0"/>
      <c r="AA338" s="0"/>
      <c r="AB338" s="0"/>
    </row>
    <row r="339" customFormat="false" ht="15" hidden="false" customHeight="false" outlineLevel="0" collapsed="false">
      <c r="A339" s="68" t="s">
        <v>1246</v>
      </c>
      <c r="B339" s="68" t="n">
        <v>3</v>
      </c>
      <c r="C339" s="0" t="s">
        <v>1056</v>
      </c>
      <c r="D339" s="0" t="s">
        <v>1162</v>
      </c>
      <c r="E339" s="104" t="n">
        <v>2</v>
      </c>
      <c r="F339" s="115" t="n">
        <f aca="false">Yield_Originals!G339</f>
        <v>0.212</v>
      </c>
      <c r="G339" s="106" t="n">
        <v>0.212</v>
      </c>
      <c r="H339" s="106" t="n">
        <v>0.212</v>
      </c>
      <c r="I339" s="106" t="n">
        <f aca="false">+(Yield_Originals!H339+Yield_Originals!J339)/2</f>
        <v>0.231</v>
      </c>
      <c r="J339" s="106" t="n">
        <v>0.25</v>
      </c>
      <c r="K339" s="107" t="n">
        <v>2</v>
      </c>
      <c r="L339" s="108"/>
      <c r="M339" s="108" t="n">
        <f aca="false">(Yield_Originals!$G339*Yield_Originals!M$1)/Yield_Originals!$K339</f>
        <v>0.131175</v>
      </c>
      <c r="N339" s="108" t="n">
        <f aca="false">(Yield_Originals!$G339*Yield_Originals!N$1)/Yield_Originals!$K339</f>
        <v>0.13515</v>
      </c>
      <c r="O339" s="108" t="n">
        <f aca="false">(Yield_Originals!$G339*Yield_Originals!O$1)/Yield_Originals!$K339</f>
        <v>0.139125</v>
      </c>
      <c r="P339" s="109" t="n">
        <f aca="false">(Yield_Originals!$H339*Yield_Originals!P$1)/Yield_Originals!$K339</f>
        <v>0.1431</v>
      </c>
      <c r="Q339" s="109" t="n">
        <f aca="false">(Yield_Originals!$H339*Yield_Originals!Q$1)/Yield_Originals!$K339</f>
        <v>0.147075</v>
      </c>
      <c r="R339" s="109" t="n">
        <f aca="false">(Yield_Originals!$H339*Yield_Originals!R$1)/Yield_Originals!$K339</f>
        <v>0.15105</v>
      </c>
      <c r="S339" s="109" t="n">
        <f aca="false">(Yield_Originals!$H339*Yield_Originals!S$1)/Yield_Originals!$K339</f>
        <v>0.155025</v>
      </c>
      <c r="T339" s="111"/>
      <c r="U339" s="111"/>
      <c r="V339" s="111"/>
      <c r="W339" s="111"/>
      <c r="X339" s="112"/>
      <c r="Y339" s="112"/>
      <c r="Z339" s="0"/>
      <c r="AA339" s="0"/>
      <c r="AB339" s="0"/>
    </row>
    <row r="340" customFormat="false" ht="15" hidden="false" customHeight="false" outlineLevel="0" collapsed="false">
      <c r="A340" s="68" t="s">
        <v>1246</v>
      </c>
      <c r="B340" s="68" t="n">
        <v>3</v>
      </c>
      <c r="C340" s="103" t="s">
        <v>269</v>
      </c>
      <c r="D340" s="103" t="s">
        <v>1143</v>
      </c>
      <c r="E340" s="104" t="n">
        <v>26</v>
      </c>
      <c r="F340" s="115" t="n">
        <f aca="false">Yield_Originals!G340</f>
        <v>0.212</v>
      </c>
      <c r="G340" s="106" t="n">
        <v>0.212</v>
      </c>
      <c r="H340" s="106" t="n">
        <v>0.212</v>
      </c>
      <c r="I340" s="106" t="n">
        <f aca="false">+(Yield_Originals!H340+Yield_Originals!J340)/2</f>
        <v>0.231</v>
      </c>
      <c r="J340" s="106" t="n">
        <v>0.25</v>
      </c>
      <c r="K340" s="107" t="n">
        <v>2</v>
      </c>
      <c r="L340" s="108"/>
      <c r="M340" s="108"/>
      <c r="N340" s="108"/>
      <c r="O340" s="108"/>
      <c r="P340" s="109"/>
      <c r="Q340" s="109"/>
      <c r="R340" s="109" t="n">
        <f aca="false">(Yield_Originals!$H340*Yield_Originals!R$1)/Yield_Originals!$K340</f>
        <v>0.15105</v>
      </c>
      <c r="S340" s="109" t="n">
        <f aca="false">(Yield_Originals!$H340*Yield_Originals!S$1)/Yield_Originals!$K340</f>
        <v>0.155025</v>
      </c>
      <c r="T340" s="111" t="n">
        <f aca="false">(Yield_Originals!$I340*Yield_Originals!T$1)/Yield_Originals!$K340</f>
        <v>0.17325</v>
      </c>
      <c r="U340" s="111" t="n">
        <f aca="false">(Yield_Originals!$I340*Yield_Originals!U$1)/Yield_Originals!$K340</f>
        <v>0.17758125</v>
      </c>
      <c r="V340" s="111" t="n">
        <f aca="false">(Yield_Originals!$I340*Yield_Originals!V$1)/Yield_Originals!$K340</f>
        <v>0.1819125</v>
      </c>
      <c r="W340" s="111" t="n">
        <f aca="false">(Yield_Originals!$I340*Yield_Originals!W$1)/Yield_Originals!$K340</f>
        <v>0.18624375</v>
      </c>
      <c r="X340" s="112" t="n">
        <f aca="false">(Yield_Originals!$I340*Yield_Originals!X$1)/Yield_Originals!$K340</f>
        <v>0.190575</v>
      </c>
      <c r="Y340" s="112" t="n">
        <f aca="false">(Yield_Originals!$I340*Yield_Originals!Y$1)/Yield_Originals!$K340</f>
        <v>0.19490625</v>
      </c>
      <c r="Z340" s="0"/>
      <c r="AA340" s="0"/>
      <c r="AB340" s="0"/>
    </row>
    <row r="341" customFormat="false" ht="15" hidden="false" customHeight="false" outlineLevel="0" collapsed="false">
      <c r="A341" s="68" t="s">
        <v>1246</v>
      </c>
      <c r="B341" s="68" t="n">
        <v>3</v>
      </c>
      <c r="C341" s="103" t="s">
        <v>270</v>
      </c>
      <c r="D341" s="103" t="s">
        <v>1146</v>
      </c>
      <c r="E341" s="104" t="n">
        <v>26</v>
      </c>
      <c r="F341" s="115" t="n">
        <f aca="false">Yield_Originals!G341</f>
        <v>0.212</v>
      </c>
      <c r="G341" s="106" t="n">
        <v>0.212</v>
      </c>
      <c r="H341" s="106" t="n">
        <v>0.212</v>
      </c>
      <c r="I341" s="106" t="n">
        <f aca="false">+(Yield_Originals!H341+Yield_Originals!J341)/2</f>
        <v>0.231</v>
      </c>
      <c r="J341" s="106" t="n">
        <v>0.25</v>
      </c>
      <c r="K341" s="107" t="n">
        <v>2</v>
      </c>
      <c r="L341" s="108"/>
      <c r="M341" s="108"/>
      <c r="N341" s="108"/>
      <c r="O341" s="108"/>
      <c r="P341" s="109"/>
      <c r="Q341" s="109"/>
      <c r="R341" s="109"/>
      <c r="S341" s="109"/>
      <c r="T341" s="111" t="n">
        <f aca="false">(Yield_Originals!$I341*Yield_Originals!T$1)/Yield_Originals!$K341</f>
        <v>0.17325</v>
      </c>
      <c r="U341" s="111" t="n">
        <f aca="false">(Yield_Originals!$I341*Yield_Originals!U$1)/Yield_Originals!$K341</f>
        <v>0.17758125</v>
      </c>
      <c r="V341" s="111" t="n">
        <f aca="false">(Yield_Originals!$I341*Yield_Originals!V$1)/Yield_Originals!$K341</f>
        <v>0.1819125</v>
      </c>
      <c r="W341" s="111" t="n">
        <f aca="false">(Yield_Originals!$I341*Yield_Originals!W$1)/Yield_Originals!$K341</f>
        <v>0.18624375</v>
      </c>
      <c r="X341" s="112" t="n">
        <f aca="false">(Yield_Originals!$I341*Yield_Originals!X$1)/Yield_Originals!$K341</f>
        <v>0.190575</v>
      </c>
      <c r="Y341" s="112" t="n">
        <f aca="false">(Yield_Originals!$I341*Yield_Originals!Y$1)/Yield_Originals!$K341</f>
        <v>0.19490625</v>
      </c>
      <c r="Z341" s="0"/>
      <c r="AA341" s="0"/>
      <c r="AB341" s="0"/>
    </row>
    <row r="342" customFormat="false" ht="15" hidden="false" customHeight="false" outlineLevel="0" collapsed="false">
      <c r="A342" s="68" t="s">
        <v>1246</v>
      </c>
      <c r="B342" s="68" t="n">
        <v>3</v>
      </c>
      <c r="C342" s="103" t="s">
        <v>153</v>
      </c>
      <c r="D342" s="103" t="s">
        <v>1148</v>
      </c>
      <c r="E342" s="104" t="n">
        <v>26</v>
      </c>
      <c r="F342" s="115" t="n">
        <f aca="false">Yield_Originals!G342</f>
        <v>0.212</v>
      </c>
      <c r="G342" s="106" t="n">
        <v>0.212</v>
      </c>
      <c r="H342" s="106" t="n">
        <v>0.212</v>
      </c>
      <c r="I342" s="106" t="n">
        <f aca="false">+(Yield_Originals!H342+Yield_Originals!J342)/2</f>
        <v>0.231</v>
      </c>
      <c r="J342" s="106" t="n">
        <v>0.25</v>
      </c>
      <c r="K342" s="107" t="n">
        <v>2</v>
      </c>
      <c r="L342" s="108"/>
      <c r="M342" s="108"/>
      <c r="N342" s="108"/>
      <c r="O342" s="108"/>
      <c r="P342" s="109"/>
      <c r="Q342" s="109"/>
      <c r="R342" s="109"/>
      <c r="S342" s="109"/>
      <c r="T342" s="111" t="n">
        <f aca="false">(Yield_Originals!$I342*Yield_Originals!T$1)/Yield_Originals!$K342</f>
        <v>0.17325</v>
      </c>
      <c r="U342" s="111" t="n">
        <f aca="false">(Yield_Originals!$I342*Yield_Originals!U$1)/Yield_Originals!$K342</f>
        <v>0.17758125</v>
      </c>
      <c r="V342" s="111" t="n">
        <f aca="false">(Yield_Originals!$I342*Yield_Originals!V$1)/Yield_Originals!$K342</f>
        <v>0.1819125</v>
      </c>
      <c r="W342" s="111" t="n">
        <f aca="false">(Yield_Originals!$I342*Yield_Originals!W$1)/Yield_Originals!$K342</f>
        <v>0.18624375</v>
      </c>
      <c r="X342" s="112" t="n">
        <f aca="false">(Yield_Originals!$I342*Yield_Originals!X$1)/Yield_Originals!$K342</f>
        <v>0.190575</v>
      </c>
      <c r="Y342" s="112" t="n">
        <f aca="false">(Yield_Originals!$I342*Yield_Originals!Y$1)/Yield_Originals!$K342</f>
        <v>0.19490625</v>
      </c>
      <c r="Z342" s="0"/>
      <c r="AA342" s="0"/>
      <c r="AB342" s="0"/>
    </row>
    <row r="343" customFormat="false" ht="15" hidden="false" customHeight="false" outlineLevel="0" collapsed="false">
      <c r="A343" s="68" t="s">
        <v>1246</v>
      </c>
      <c r="B343" s="68" t="n">
        <v>3</v>
      </c>
      <c r="C343" s="103" t="s">
        <v>271</v>
      </c>
      <c r="D343" s="103" t="s">
        <v>1148</v>
      </c>
      <c r="E343" s="104" t="n">
        <v>26</v>
      </c>
      <c r="F343" s="115" t="n">
        <f aca="false">Yield_Originals!G343</f>
        <v>0.212</v>
      </c>
      <c r="G343" s="106" t="n">
        <v>0.212</v>
      </c>
      <c r="H343" s="106" t="n">
        <v>0.212</v>
      </c>
      <c r="I343" s="106" t="n">
        <f aca="false">+(Yield_Originals!H343+Yield_Originals!J343)/2</f>
        <v>0.231</v>
      </c>
      <c r="J343" s="106" t="n">
        <v>0.25</v>
      </c>
      <c r="K343" s="107" t="n">
        <v>2</v>
      </c>
      <c r="L343" s="108"/>
      <c r="M343" s="108"/>
      <c r="N343" s="108"/>
      <c r="O343" s="108"/>
      <c r="P343" s="109"/>
      <c r="Q343" s="109"/>
      <c r="R343" s="109"/>
      <c r="S343" s="109"/>
      <c r="T343" s="111" t="n">
        <f aca="false">(Yield_Originals!$I343*Yield_Originals!T$1)/Yield_Originals!$K343</f>
        <v>0.17325</v>
      </c>
      <c r="U343" s="111" t="n">
        <f aca="false">(Yield_Originals!$I343*Yield_Originals!U$1)/Yield_Originals!$K343</f>
        <v>0.17758125</v>
      </c>
      <c r="V343" s="111" t="n">
        <f aca="false">(Yield_Originals!$I343*Yield_Originals!V$1)/Yield_Originals!$K343</f>
        <v>0.1819125</v>
      </c>
      <c r="W343" s="111" t="n">
        <f aca="false">(Yield_Originals!$I343*Yield_Originals!W$1)/Yield_Originals!$K343</f>
        <v>0.18624375</v>
      </c>
      <c r="X343" s="112" t="n">
        <f aca="false">(Yield_Originals!$I343*Yield_Originals!X$1)/Yield_Originals!$K343</f>
        <v>0.190575</v>
      </c>
      <c r="Y343" s="112" t="n">
        <f aca="false">(Yield_Originals!$I343*Yield_Originals!Y$1)/Yield_Originals!$K343</f>
        <v>0.19490625</v>
      </c>
      <c r="Z343" s="0"/>
      <c r="AA343" s="0"/>
      <c r="AB343" s="0"/>
    </row>
    <row r="344" customFormat="false" ht="15" hidden="false" customHeight="false" outlineLevel="0" collapsed="false">
      <c r="A344" s="68" t="s">
        <v>1246</v>
      </c>
      <c r="B344" s="68" t="n">
        <v>3</v>
      </c>
      <c r="C344" s="103" t="s">
        <v>1068</v>
      </c>
      <c r="D344" s="103" t="s">
        <v>1152</v>
      </c>
      <c r="E344" s="104" t="n">
        <v>26</v>
      </c>
      <c r="F344" s="115" t="n">
        <f aca="false">Yield_Originals!G344</f>
        <v>0.212</v>
      </c>
      <c r="G344" s="106" t="n">
        <v>0.212</v>
      </c>
      <c r="H344" s="106" t="n">
        <v>0.212</v>
      </c>
      <c r="I344" s="106" t="n">
        <f aca="false">+(Yield_Originals!H344+Yield_Originals!J344)/2</f>
        <v>0.231</v>
      </c>
      <c r="J344" s="106" t="n">
        <v>0.25</v>
      </c>
      <c r="K344" s="107" t="n">
        <v>2</v>
      </c>
      <c r="L344" s="108"/>
      <c r="M344" s="108"/>
      <c r="N344" s="108"/>
      <c r="O344" s="108"/>
      <c r="P344" s="109"/>
      <c r="Q344" s="109"/>
      <c r="R344" s="109"/>
      <c r="S344" s="109"/>
      <c r="T344" s="111" t="n">
        <f aca="false">(Yield_Originals!$I344*Yield_Originals!T$1)/Yield_Originals!$K344</f>
        <v>0.17325</v>
      </c>
      <c r="U344" s="111" t="n">
        <f aca="false">(Yield_Originals!$I344*Yield_Originals!U$1)/Yield_Originals!$K344</f>
        <v>0.17758125</v>
      </c>
      <c r="V344" s="111" t="n">
        <f aca="false">(Yield_Originals!$I344*Yield_Originals!V$1)/Yield_Originals!$K344</f>
        <v>0.1819125</v>
      </c>
      <c r="W344" s="111" t="n">
        <f aca="false">(Yield_Originals!$I344*Yield_Originals!W$1)/Yield_Originals!$K344</f>
        <v>0.18624375</v>
      </c>
      <c r="X344" s="112" t="n">
        <f aca="false">(Yield_Originals!$I344*Yield_Originals!X$1)/Yield_Originals!$K344</f>
        <v>0.190575</v>
      </c>
      <c r="Y344" s="112" t="n">
        <f aca="false">(Yield_Originals!$I344*Yield_Originals!Y$1)/Yield_Originals!$K344</f>
        <v>0.19490625</v>
      </c>
      <c r="Z344" s="0"/>
      <c r="AA344" s="0"/>
      <c r="AB344" s="0"/>
    </row>
    <row r="345" customFormat="false" ht="15" hidden="false" customHeight="false" outlineLevel="0" collapsed="false">
      <c r="A345" s="68" t="s">
        <v>1246</v>
      </c>
      <c r="B345" s="68" t="n">
        <v>3</v>
      </c>
      <c r="C345" s="103" t="s">
        <v>1072</v>
      </c>
      <c r="D345" s="103" t="s">
        <v>1155</v>
      </c>
      <c r="E345" s="104" t="n">
        <v>26</v>
      </c>
      <c r="F345" s="115" t="n">
        <f aca="false">Yield_Originals!G345</f>
        <v>0.212</v>
      </c>
      <c r="G345" s="106" t="n">
        <v>0.212</v>
      </c>
      <c r="H345" s="106" t="n">
        <v>0.212</v>
      </c>
      <c r="I345" s="106" t="n">
        <f aca="false">+(Yield_Originals!H345+Yield_Originals!J345)/2</f>
        <v>0.231</v>
      </c>
      <c r="J345" s="106" t="n">
        <v>0.25</v>
      </c>
      <c r="K345" s="107" t="n">
        <v>2</v>
      </c>
      <c r="L345" s="108"/>
      <c r="M345" s="108"/>
      <c r="N345" s="108"/>
      <c r="O345" s="108"/>
      <c r="P345" s="109"/>
      <c r="Q345" s="109"/>
      <c r="R345" s="109"/>
      <c r="S345" s="109"/>
      <c r="T345" s="111" t="n">
        <f aca="false">(Yield_Originals!$I345*Yield_Originals!T$1)/Yield_Originals!$K345</f>
        <v>0.17325</v>
      </c>
      <c r="U345" s="111" t="n">
        <f aca="false">(Yield_Originals!$I345*Yield_Originals!U$1)/Yield_Originals!$K345</f>
        <v>0.17758125</v>
      </c>
      <c r="V345" s="111" t="n">
        <f aca="false">(Yield_Originals!$I345*Yield_Originals!V$1)/Yield_Originals!$K345</f>
        <v>0.1819125</v>
      </c>
      <c r="W345" s="111" t="n">
        <f aca="false">(Yield_Originals!$I345*Yield_Originals!W$1)/Yield_Originals!$K345</f>
        <v>0.18624375</v>
      </c>
      <c r="X345" s="112" t="n">
        <f aca="false">(Yield_Originals!$I345*Yield_Originals!X$1)/Yield_Originals!$K345</f>
        <v>0.190575</v>
      </c>
      <c r="Y345" s="112" t="n">
        <f aca="false">(Yield_Originals!$I345*Yield_Originals!Y$1)/Yield_Originals!$K345</f>
        <v>0.19490625</v>
      </c>
      <c r="Z345" s="0"/>
      <c r="AA345" s="0"/>
      <c r="AB345" s="0"/>
    </row>
    <row r="346" customFormat="false" ht="15" hidden="false" customHeight="false" outlineLevel="0" collapsed="false">
      <c r="A346" s="68" t="s">
        <v>1246</v>
      </c>
      <c r="B346" s="68" t="n">
        <v>3</v>
      </c>
      <c r="C346" s="103" t="s">
        <v>272</v>
      </c>
      <c r="D346" s="103" t="s">
        <v>1155</v>
      </c>
      <c r="E346" s="104" t="n">
        <v>26</v>
      </c>
      <c r="F346" s="115" t="n">
        <f aca="false">Yield_Originals!G346</f>
        <v>0.212</v>
      </c>
      <c r="G346" s="106" t="n">
        <v>0.212</v>
      </c>
      <c r="H346" s="106" t="n">
        <v>0.212</v>
      </c>
      <c r="I346" s="106" t="n">
        <f aca="false">+(Yield_Originals!H346+Yield_Originals!J346)/2</f>
        <v>0.231</v>
      </c>
      <c r="J346" s="106" t="n">
        <v>0.25</v>
      </c>
      <c r="K346" s="107" t="n">
        <v>2</v>
      </c>
      <c r="L346" s="108"/>
      <c r="M346" s="108"/>
      <c r="N346" s="108"/>
      <c r="O346" s="108"/>
      <c r="P346" s="109"/>
      <c r="Q346" s="109"/>
      <c r="R346" s="109"/>
      <c r="S346" s="109"/>
      <c r="T346" s="111" t="n">
        <f aca="false">(Yield_Originals!$I346*Yield_Originals!T$1)/Yield_Originals!$K346</f>
        <v>0.17325</v>
      </c>
      <c r="U346" s="111" t="n">
        <f aca="false">(Yield_Originals!$I346*Yield_Originals!U$1)/Yield_Originals!$K346</f>
        <v>0.17758125</v>
      </c>
      <c r="V346" s="111" t="n">
        <f aca="false">(Yield_Originals!$I346*Yield_Originals!V$1)/Yield_Originals!$K346</f>
        <v>0.1819125</v>
      </c>
      <c r="W346" s="111" t="n">
        <f aca="false">(Yield_Originals!$I346*Yield_Originals!W$1)/Yield_Originals!$K346</f>
        <v>0.18624375</v>
      </c>
      <c r="X346" s="112" t="n">
        <f aca="false">(Yield_Originals!$I346*Yield_Originals!X$1)/Yield_Originals!$K346</f>
        <v>0.190575</v>
      </c>
      <c r="Y346" s="112" t="n">
        <f aca="false">(Yield_Originals!$I346*Yield_Originals!Y$1)/Yield_Originals!$K346</f>
        <v>0.19490625</v>
      </c>
      <c r="Z346" s="0"/>
      <c r="AA346" s="0"/>
      <c r="AB346" s="0"/>
    </row>
    <row r="347" customFormat="false" ht="15" hidden="false" customHeight="false" outlineLevel="0" collapsed="false">
      <c r="A347" s="70" t="s">
        <v>734</v>
      </c>
      <c r="B347" s="70" t="n">
        <v>1</v>
      </c>
      <c r="C347" s="103" t="s">
        <v>1076</v>
      </c>
      <c r="D347" s="103" t="s">
        <v>733</v>
      </c>
      <c r="E347" s="104" t="n">
        <v>7</v>
      </c>
      <c r="F347" s="122" t="n">
        <v>0.048</v>
      </c>
      <c r="G347" s="122" t="n">
        <v>0.048</v>
      </c>
      <c r="H347" s="106" t="n">
        <f aca="false">+(Yield_Originals!I347+Yield_Originals!G347)/2</f>
        <v>0.0475</v>
      </c>
      <c r="I347" s="122" t="n">
        <v>0.047</v>
      </c>
      <c r="J347" s="122" t="n">
        <v>0.046</v>
      </c>
      <c r="K347" s="107" t="n">
        <v>1</v>
      </c>
      <c r="L347" s="108" t="n">
        <f aca="false">(Yield_Originals!$G347*Yield_Originals!L$1)/Yield_Originals!$K347</f>
        <v>0.0576</v>
      </c>
      <c r="M347" s="108" t="n">
        <f aca="false">(Yield_Originals!$G347*Yield_Originals!M$1)/Yield_Originals!$K347</f>
        <v>0.0594</v>
      </c>
      <c r="N347" s="108" t="n">
        <f aca="false">(Yield_Originals!$G347*Yield_Originals!N$1)/Yield_Originals!$K347</f>
        <v>0.0612</v>
      </c>
      <c r="O347" s="108" t="n">
        <f aca="false">(Yield_Originals!$G347*Yield_Originals!O$1)/Yield_Originals!$K347</f>
        <v>0.063</v>
      </c>
      <c r="P347" s="109" t="n">
        <f aca="false">(Yield_Originals!$H347*Yield_Originals!P$1)/Yield_Originals!$K347</f>
        <v>0.064125</v>
      </c>
      <c r="Q347" s="109" t="n">
        <f aca="false">(Yield_Originals!$H347*Yield_Originals!Q$1)/Yield_Originals!$K347</f>
        <v>0.06590625</v>
      </c>
      <c r="R347" s="109" t="n">
        <f aca="false">(Yield_Originals!$H347*Yield_Originals!R$1)/Yield_Originals!$K347</f>
        <v>0.0676875</v>
      </c>
      <c r="S347" s="109" t="n">
        <f aca="false">(Yield_Originals!$H347*Yield_Originals!S$1)/Yield_Originals!$K347</f>
        <v>0.06946875</v>
      </c>
      <c r="T347" s="0"/>
      <c r="U347" s="0"/>
      <c r="V347" s="0"/>
      <c r="W347" s="0"/>
      <c r="X347" s="0"/>
      <c r="Y347" s="0"/>
      <c r="Z347" s="0"/>
      <c r="AA347" s="0"/>
      <c r="AB347" s="0"/>
    </row>
    <row r="348" customFormat="false" ht="15" hidden="false" customHeight="false" outlineLevel="0" collapsed="false">
      <c r="A348" s="70" t="s">
        <v>734</v>
      </c>
      <c r="B348" s="70" t="n">
        <v>1</v>
      </c>
      <c r="C348" s="103" t="s">
        <v>1079</v>
      </c>
      <c r="D348" s="103" t="s">
        <v>737</v>
      </c>
      <c r="E348" s="104" t="n">
        <v>7</v>
      </c>
      <c r="F348" s="122" t="n">
        <v>0.048</v>
      </c>
      <c r="G348" s="122" t="n">
        <v>0.048</v>
      </c>
      <c r="H348" s="106" t="n">
        <f aca="false">+(Yield_Originals!I348+Yield_Originals!G348)/2</f>
        <v>0.0475</v>
      </c>
      <c r="I348" s="122" t="n">
        <v>0.047</v>
      </c>
      <c r="J348" s="122" t="n">
        <v>0.046</v>
      </c>
      <c r="K348" s="107" t="n">
        <v>1</v>
      </c>
      <c r="L348" s="108" t="n">
        <f aca="false">(Yield_Originals!$G348*Yield_Originals!L$1)/Yield_Originals!$K348</f>
        <v>0.0576</v>
      </c>
      <c r="M348" s="108" t="n">
        <f aca="false">(Yield_Originals!$G348*Yield_Originals!M$1)/Yield_Originals!$K348</f>
        <v>0.0594</v>
      </c>
      <c r="N348" s="108" t="n">
        <f aca="false">(Yield_Originals!$G348*Yield_Originals!N$1)/Yield_Originals!$K348</f>
        <v>0.0612</v>
      </c>
      <c r="O348" s="108" t="n">
        <f aca="false">(Yield_Originals!$G348*Yield_Originals!O$1)/Yield_Originals!$K348</f>
        <v>0.063</v>
      </c>
      <c r="P348" s="109" t="n">
        <f aca="false">(Yield_Originals!$H348*Yield_Originals!P$1)/Yield_Originals!$K348</f>
        <v>0.064125</v>
      </c>
      <c r="Q348" s="109" t="n">
        <f aca="false">(Yield_Originals!$H348*Yield_Originals!Q$1)/Yield_Originals!$K348</f>
        <v>0.06590625</v>
      </c>
      <c r="R348" s="109" t="n">
        <f aca="false">(Yield_Originals!$H348*Yield_Originals!R$1)/Yield_Originals!$K348</f>
        <v>0.0676875</v>
      </c>
      <c r="S348" s="109" t="n">
        <f aca="false">(Yield_Originals!$H348*Yield_Originals!S$1)/Yield_Originals!$K348</f>
        <v>0.06946875</v>
      </c>
      <c r="T348" s="0"/>
      <c r="U348" s="0"/>
      <c r="V348" s="0"/>
      <c r="W348" s="0"/>
      <c r="X348" s="0"/>
      <c r="Y348" s="0"/>
      <c r="Z348" s="0"/>
      <c r="AA348" s="0"/>
      <c r="AB348" s="0"/>
    </row>
    <row r="349" customFormat="false" ht="15" hidden="false" customHeight="false" outlineLevel="0" collapsed="false">
      <c r="A349" s="70" t="s">
        <v>734</v>
      </c>
      <c r="B349" s="70" t="n">
        <v>1</v>
      </c>
      <c r="C349" s="103" t="s">
        <v>1082</v>
      </c>
      <c r="D349" s="103" t="s">
        <v>740</v>
      </c>
      <c r="E349" s="104" t="n">
        <v>7</v>
      </c>
      <c r="F349" s="122" t="n">
        <v>0.048</v>
      </c>
      <c r="G349" s="122" t="n">
        <v>0.048</v>
      </c>
      <c r="H349" s="106" t="n">
        <f aca="false">+(Yield_Originals!I349+Yield_Originals!G349)/2</f>
        <v>0.0475</v>
      </c>
      <c r="I349" s="122" t="n">
        <v>0.047</v>
      </c>
      <c r="J349" s="122" t="n">
        <v>0.046</v>
      </c>
      <c r="K349" s="107" t="n">
        <v>1</v>
      </c>
      <c r="L349" s="108" t="n">
        <f aca="false">(Yield_Originals!$G349*Yield_Originals!L$1)/Yield_Originals!$K349</f>
        <v>0.0576</v>
      </c>
      <c r="M349" s="108" t="n">
        <f aca="false">(Yield_Originals!$G349*Yield_Originals!M$1)/Yield_Originals!$K349</f>
        <v>0.0594</v>
      </c>
      <c r="N349" s="108" t="n">
        <f aca="false">(Yield_Originals!$G349*Yield_Originals!N$1)/Yield_Originals!$K349</f>
        <v>0.0612</v>
      </c>
      <c r="O349" s="108" t="n">
        <f aca="false">(Yield_Originals!$G349*Yield_Originals!O$1)/Yield_Originals!$K349</f>
        <v>0.063</v>
      </c>
      <c r="P349" s="109" t="n">
        <f aca="false">(Yield_Originals!$H349*Yield_Originals!P$1)/Yield_Originals!$K349</f>
        <v>0.064125</v>
      </c>
      <c r="Q349" s="109" t="n">
        <f aca="false">(Yield_Originals!$H349*Yield_Originals!Q$1)/Yield_Originals!$K349</f>
        <v>0.06590625</v>
      </c>
      <c r="R349" s="109" t="n">
        <f aca="false">(Yield_Originals!$H349*Yield_Originals!R$1)/Yield_Originals!$K349</f>
        <v>0.0676875</v>
      </c>
      <c r="S349" s="109" t="n">
        <f aca="false">(Yield_Originals!$H349*Yield_Originals!S$1)/Yield_Originals!$K349</f>
        <v>0.06946875</v>
      </c>
      <c r="T349" s="0"/>
      <c r="U349" s="0"/>
      <c r="V349" s="0"/>
      <c r="W349" s="0"/>
      <c r="X349" s="0"/>
      <c r="Y349" s="0"/>
      <c r="Z349" s="0"/>
      <c r="AA349" s="0"/>
      <c r="AB349" s="0"/>
    </row>
    <row r="350" customFormat="false" ht="15" hidden="false" customHeight="false" outlineLevel="0" collapsed="false">
      <c r="A350" s="70" t="s">
        <v>700</v>
      </c>
      <c r="B350" s="70" t="n">
        <v>1</v>
      </c>
      <c r="C350" s="103" t="s">
        <v>1085</v>
      </c>
      <c r="D350" s="103" t="s">
        <v>703</v>
      </c>
      <c r="E350" s="104" t="n">
        <v>6</v>
      </c>
      <c r="F350" s="105" t="n">
        <v>0.106687620516358</v>
      </c>
      <c r="G350" s="105" t="n">
        <v>0.106687620516358</v>
      </c>
      <c r="H350" s="106" t="n">
        <f aca="false">+(Yield_Originals!I350+Yield_Originals!G350)/2</f>
        <v>0.103966445594156</v>
      </c>
      <c r="I350" s="105" t="n">
        <v>0.101245270671954</v>
      </c>
      <c r="J350" s="105" t="n">
        <v>0.102259213446914</v>
      </c>
      <c r="K350" s="107" t="n">
        <v>1</v>
      </c>
      <c r="L350" s="108" t="n">
        <f aca="false">(Yield_Originals!$G350*Yield_Originals!L$1)/Yield_Originals!$K350</f>
        <v>0.12802514461963</v>
      </c>
      <c r="M350" s="108" t="n">
        <f aca="false">(Yield_Originals!$G350*Yield_Originals!M$1)/Yield_Originals!$K350</f>
        <v>0.132025930388993</v>
      </c>
      <c r="N350" s="108" t="n">
        <f aca="false">(Yield_Originals!$G350*Yield_Originals!N$1)/Yield_Originals!$K350</f>
        <v>0.136026716158356</v>
      </c>
      <c r="O350" s="108" t="n">
        <f aca="false">(Yield_Originals!$G350*Yield_Originals!O$1)/Yield_Originals!$K350</f>
        <v>0.14002750192772</v>
      </c>
      <c r="P350" s="109" t="n">
        <f aca="false">(Yield_Originals!$H350*Yield_Originals!P$1)/Yield_Originals!$K350</f>
        <v>0.140354701552111</v>
      </c>
      <c r="Q350" s="109" t="n">
        <f aca="false">(Yield_Originals!$H350*Yield_Originals!Q$1)/Yield_Originals!$K350</f>
        <v>0.144253443261892</v>
      </c>
      <c r="R350" s="109" t="n">
        <f aca="false">(Yield_Originals!$H350*Yield_Originals!R$1)/Yield_Originals!$K350</f>
        <v>0.148152184971672</v>
      </c>
      <c r="S350" s="109" t="n">
        <f aca="false">(Yield_Originals!$H350*Yield_Originals!S$1)/Yield_Originals!$K350</f>
        <v>0.152050926681453</v>
      </c>
      <c r="T350" s="111" t="n">
        <f aca="false">(Yield_Originals!$I350*Yield_Originals!T$1)/Yield_Originals!$K350</f>
        <v>0.151867906007931</v>
      </c>
      <c r="U350" s="111" t="n">
        <f aca="false">(Yield_Originals!$I350*Yield_Originals!U$1)/Yield_Originals!$K350</f>
        <v>0.155664603658129</v>
      </c>
      <c r="V350" s="111" t="n">
        <f aca="false">(Yield_Originals!$I350*Yield_Originals!V$1)/Yield_Originals!$K350</f>
        <v>0.159461301308328</v>
      </c>
      <c r="W350" s="111" t="n">
        <f aca="false">(Yield_Originals!$I350*Yield_Originals!W$1)/Yield_Originals!$K350</f>
        <v>0.163257998958526</v>
      </c>
      <c r="X350" s="112" t="n">
        <f aca="false">(Yield_Originals!$J350*Yield_Originals!X$1)/Yield_Originals!$K350</f>
        <v>0.168727702187408</v>
      </c>
      <c r="Y350" s="112" t="n">
        <f aca="false">(Yield_Originals!$J350*Yield_Originals!Y$1)/Yield_Originals!$K350</f>
        <v>0.172562422691667</v>
      </c>
      <c r="Z350" s="112" t="n">
        <f aca="false">(Yield_Originals!$J350*Yield_Originals!Z$1)/Yield_Originals!$K350</f>
        <v>0.176397143195927</v>
      </c>
      <c r="AA350" s="112" t="n">
        <f aca="false">(Yield_Originals!$J350*Yield_Originals!AA$1)/Yield_Originals!$K350</f>
        <v>0.180231863700186</v>
      </c>
      <c r="AB350" s="112"/>
    </row>
    <row r="351" customFormat="false" ht="15" hidden="false" customHeight="false" outlineLevel="0" collapsed="false">
      <c r="A351" s="70" t="s">
        <v>700</v>
      </c>
      <c r="B351" s="70" t="n">
        <v>1</v>
      </c>
      <c r="C351" s="103" t="s">
        <v>1087</v>
      </c>
      <c r="D351" s="103" t="s">
        <v>730</v>
      </c>
      <c r="E351" s="104" t="n">
        <v>6</v>
      </c>
      <c r="F351" s="105" t="n">
        <v>0.106687620516358</v>
      </c>
      <c r="G351" s="105" t="n">
        <v>0.106687620516358</v>
      </c>
      <c r="H351" s="106" t="n">
        <f aca="false">+(Yield_Originals!I351+Yield_Originals!G351)/2</f>
        <v>0.103966445594156</v>
      </c>
      <c r="I351" s="105" t="n">
        <v>0.101245270671954</v>
      </c>
      <c r="J351" s="105" t="n">
        <v>0.102259213446914</v>
      </c>
      <c r="K351" s="107" t="n">
        <v>1</v>
      </c>
      <c r="L351" s="108" t="n">
        <f aca="false">(Yield_Originals!$G351*Yield_Originals!L$1)/Yield_Originals!$K351</f>
        <v>0.12802514461963</v>
      </c>
      <c r="M351" s="108" t="n">
        <f aca="false">(Yield_Originals!$G351*Yield_Originals!M$1)/Yield_Originals!$K351</f>
        <v>0.132025930388993</v>
      </c>
      <c r="N351" s="108" t="n">
        <f aca="false">(Yield_Originals!$G351*Yield_Originals!N$1)/Yield_Originals!$K351</f>
        <v>0.136026716158356</v>
      </c>
      <c r="O351" s="108" t="n">
        <f aca="false">(Yield_Originals!$G351*Yield_Originals!O$1)/Yield_Originals!$K351</f>
        <v>0.14002750192772</v>
      </c>
      <c r="P351" s="109" t="n">
        <f aca="false">(Yield_Originals!$H351*Yield_Originals!P$1)/Yield_Originals!$K351</f>
        <v>0.140354701552111</v>
      </c>
      <c r="Q351" s="109" t="n">
        <f aca="false">(Yield_Originals!$H351*Yield_Originals!Q$1)/Yield_Originals!$K351</f>
        <v>0.144253443261892</v>
      </c>
      <c r="R351" s="109" t="n">
        <f aca="false">(Yield_Originals!$H351*Yield_Originals!R$1)/Yield_Originals!$K351</f>
        <v>0.148152184971672</v>
      </c>
      <c r="S351" s="109" t="n">
        <f aca="false">(Yield_Originals!$H351*Yield_Originals!S$1)/Yield_Originals!$K351</f>
        <v>0.152050926681453</v>
      </c>
      <c r="T351" s="111" t="n">
        <f aca="false">(Yield_Originals!$I351*Yield_Originals!T$1)/Yield_Originals!$K351</f>
        <v>0.151867906007931</v>
      </c>
      <c r="U351" s="111" t="n">
        <f aca="false">(Yield_Originals!$I351*Yield_Originals!U$1)/Yield_Originals!$K351</f>
        <v>0.155664603658129</v>
      </c>
      <c r="V351" s="111" t="n">
        <f aca="false">(Yield_Originals!$I351*Yield_Originals!V$1)/Yield_Originals!$K351</f>
        <v>0.159461301308328</v>
      </c>
      <c r="W351" s="111" t="n">
        <f aca="false">(Yield_Originals!$I351*Yield_Originals!W$1)/Yield_Originals!$K351</f>
        <v>0.163257998958526</v>
      </c>
      <c r="X351" s="112" t="n">
        <f aca="false">(Yield_Originals!$J351*Yield_Originals!X$1)/Yield_Originals!$K351</f>
        <v>0.168727702187408</v>
      </c>
      <c r="Y351" s="112" t="n">
        <f aca="false">(Yield_Originals!$J351*Yield_Originals!Y$1)/Yield_Originals!$K351</f>
        <v>0.172562422691667</v>
      </c>
      <c r="Z351" s="112" t="n">
        <f aca="false">(Yield_Originals!$J351*Yield_Originals!Z$1)/Yield_Originals!$K351</f>
        <v>0.176397143195927</v>
      </c>
      <c r="AA351" s="112" t="n">
        <f aca="false">(Yield_Originals!$J351*Yield_Originals!AA$1)/Yield_Originals!$K351</f>
        <v>0.180231863700186</v>
      </c>
      <c r="AB351" s="112" t="n">
        <f aca="false">(Yield_Originals!$J351*Yield_Originals!AB$1)/Yield_Originals!$K351</f>
        <v>0.184066584204445</v>
      </c>
    </row>
    <row r="352" customFormat="false" ht="15" hidden="false" customHeight="false" outlineLevel="0" collapsed="false">
      <c r="A352" s="70" t="s">
        <v>700</v>
      </c>
      <c r="B352" s="70" t="n">
        <v>1</v>
      </c>
      <c r="C352" s="103" t="s">
        <v>320</v>
      </c>
      <c r="D352" s="103" t="s">
        <v>727</v>
      </c>
      <c r="E352" s="104" t="n">
        <v>6</v>
      </c>
      <c r="F352" s="105" t="n">
        <v>0.106687620516358</v>
      </c>
      <c r="G352" s="105" t="n">
        <v>0.106687620516358</v>
      </c>
      <c r="H352" s="106" t="n">
        <f aca="false">+(Yield_Originals!I352+Yield_Originals!G352)/2</f>
        <v>0.103966445594156</v>
      </c>
      <c r="I352" s="105" t="n">
        <v>0.101245270671954</v>
      </c>
      <c r="J352" s="105" t="n">
        <v>0.102259213446914</v>
      </c>
      <c r="K352" s="107" t="n">
        <v>1</v>
      </c>
      <c r="L352" s="108" t="n">
        <f aca="false">(Yield_Originals!$G352*Yield_Originals!L$1)/Yield_Originals!$K352</f>
        <v>0.12802514461963</v>
      </c>
      <c r="M352" s="108" t="n">
        <f aca="false">(Yield_Originals!$G352*Yield_Originals!M$1)/Yield_Originals!$K352</f>
        <v>0.132025930388993</v>
      </c>
      <c r="N352" s="108" t="n">
        <f aca="false">(Yield_Originals!$G352*Yield_Originals!N$1)/Yield_Originals!$K352</f>
        <v>0.136026716158356</v>
      </c>
      <c r="O352" s="108" t="n">
        <f aca="false">(Yield_Originals!$G352*Yield_Originals!O$1)/Yield_Originals!$K352</f>
        <v>0.14002750192772</v>
      </c>
      <c r="P352" s="109" t="n">
        <f aca="false">(Yield_Originals!$H352*Yield_Originals!P$1)/Yield_Originals!$K352</f>
        <v>0.140354701552111</v>
      </c>
      <c r="Q352" s="109" t="n">
        <f aca="false">(Yield_Originals!$H352*Yield_Originals!Q$1)/Yield_Originals!$K352</f>
        <v>0.144253443261892</v>
      </c>
      <c r="R352" s="109" t="n">
        <f aca="false">(Yield_Originals!$H352*Yield_Originals!R$1)/Yield_Originals!$K352</f>
        <v>0.148152184971672</v>
      </c>
      <c r="S352" s="109" t="n">
        <f aca="false">(Yield_Originals!$H352*Yield_Originals!S$1)/Yield_Originals!$K352</f>
        <v>0.152050926681453</v>
      </c>
      <c r="T352" s="111" t="n">
        <f aca="false">(Yield_Originals!$I352*Yield_Originals!T$1)/Yield_Originals!$K352</f>
        <v>0.151867906007931</v>
      </c>
      <c r="U352" s="111" t="n">
        <f aca="false">(Yield_Originals!$I352*Yield_Originals!U$1)/Yield_Originals!$K352</f>
        <v>0.155664603658129</v>
      </c>
      <c r="V352" s="111" t="n">
        <f aca="false">(Yield_Originals!$I352*Yield_Originals!V$1)/Yield_Originals!$K352</f>
        <v>0.159461301308328</v>
      </c>
      <c r="W352" s="111" t="n">
        <f aca="false">(Yield_Originals!$I352*Yield_Originals!W$1)/Yield_Originals!$K352</f>
        <v>0.163257998958526</v>
      </c>
      <c r="X352" s="112" t="n">
        <f aca="false">(Yield_Originals!$J352*Yield_Originals!X$1)/Yield_Originals!$K352</f>
        <v>0.168727702187408</v>
      </c>
      <c r="Y352" s="112" t="n">
        <f aca="false">(Yield_Originals!$J352*Yield_Originals!Y$1)/Yield_Originals!$K352</f>
        <v>0.172562422691667</v>
      </c>
      <c r="Z352" s="112" t="n">
        <f aca="false">(Yield_Originals!$J352*Yield_Originals!Z$1)/Yield_Originals!$K352</f>
        <v>0.176397143195927</v>
      </c>
      <c r="AA352" s="112" t="n">
        <f aca="false">(Yield_Originals!$J352*Yield_Originals!AA$1)/Yield_Originals!$K352</f>
        <v>0.180231863700186</v>
      </c>
      <c r="AB352" s="112" t="n">
        <f aca="false">(Yield_Originals!$J352*Yield_Originals!AB$1)/Yield_Originals!$K352</f>
        <v>0.184066584204445</v>
      </c>
    </row>
    <row r="353" customFormat="false" ht="15" hidden="false" customHeight="false" outlineLevel="0" collapsed="false">
      <c r="A353" s="70" t="s">
        <v>700</v>
      </c>
      <c r="B353" s="70" t="n">
        <v>1</v>
      </c>
      <c r="C353" s="103" t="s">
        <v>199</v>
      </c>
      <c r="D353" s="103" t="s">
        <v>706</v>
      </c>
      <c r="E353" s="104" t="n">
        <v>6</v>
      </c>
      <c r="F353" s="105" t="n">
        <v>0.106687620516358</v>
      </c>
      <c r="G353" s="105" t="n">
        <v>0.106687620516358</v>
      </c>
      <c r="H353" s="106" t="n">
        <f aca="false">+(Yield_Originals!I353+Yield_Originals!G353)/2</f>
        <v>0.103966445594156</v>
      </c>
      <c r="I353" s="105" t="n">
        <v>0.101245270671954</v>
      </c>
      <c r="J353" s="105" t="n">
        <v>0.102259213446914</v>
      </c>
      <c r="K353" s="107" t="n">
        <v>1</v>
      </c>
      <c r="L353" s="108"/>
      <c r="M353" s="108"/>
      <c r="N353" s="108"/>
      <c r="O353" s="108"/>
      <c r="P353" s="109"/>
      <c r="Q353" s="109" t="n">
        <f aca="false">(Yield_Originals!$H353*Yield_Originals!Q$1)/Yield_Originals!$K353</f>
        <v>0.144253443261892</v>
      </c>
      <c r="R353" s="109" t="n">
        <f aca="false">(Yield_Originals!$H353*Yield_Originals!R$1)/Yield_Originals!$K353</f>
        <v>0.148152184971672</v>
      </c>
      <c r="S353" s="109" t="n">
        <f aca="false">(Yield_Originals!$H353*Yield_Originals!S$1)/Yield_Originals!$K353</f>
        <v>0.152050926681453</v>
      </c>
      <c r="T353" s="111" t="n">
        <f aca="false">(Yield_Originals!$I353*Yield_Originals!T$1)/Yield_Originals!$K353</f>
        <v>0.151867906007931</v>
      </c>
      <c r="U353" s="111" t="n">
        <f aca="false">(Yield_Originals!$I353*Yield_Originals!U$1)/Yield_Originals!$K353</f>
        <v>0.155664603658129</v>
      </c>
      <c r="V353" s="111" t="n">
        <f aca="false">(Yield_Originals!$I353*Yield_Originals!V$1)/Yield_Originals!$K353</f>
        <v>0.159461301308328</v>
      </c>
      <c r="W353" s="111" t="n">
        <f aca="false">(Yield_Originals!$I353*Yield_Originals!W$1)/Yield_Originals!$K353</f>
        <v>0.163257998958526</v>
      </c>
      <c r="X353" s="112" t="n">
        <f aca="false">(Yield_Originals!$J353*Yield_Originals!X$1)/Yield_Originals!$K353</f>
        <v>0.168727702187408</v>
      </c>
      <c r="Y353" s="112" t="n">
        <f aca="false">(Yield_Originals!$J353*Yield_Originals!Y$1)/Yield_Originals!$K353</f>
        <v>0.172562422691667</v>
      </c>
      <c r="Z353" s="112" t="n">
        <f aca="false">(Yield_Originals!$J353*Yield_Originals!Z$1)/Yield_Originals!$K353</f>
        <v>0.176397143195927</v>
      </c>
      <c r="AA353" s="112" t="n">
        <f aca="false">(Yield_Originals!$J353*Yield_Originals!AA$1)/Yield_Originals!$K353</f>
        <v>0.180231863700186</v>
      </c>
      <c r="AB353" s="112"/>
    </row>
    <row r="354" customFormat="false" ht="15" hidden="false" customHeight="false" outlineLevel="0" collapsed="false">
      <c r="A354" s="70" t="s">
        <v>700</v>
      </c>
      <c r="B354" s="70" t="n">
        <v>1</v>
      </c>
      <c r="C354" s="103" t="s">
        <v>321</v>
      </c>
      <c r="D354" s="103" t="s">
        <v>709</v>
      </c>
      <c r="E354" s="104" t="n">
        <v>6</v>
      </c>
      <c r="F354" s="105" t="n">
        <v>0.106687620516358</v>
      </c>
      <c r="G354" s="105" t="n">
        <v>0.106687620516358</v>
      </c>
      <c r="H354" s="106" t="n">
        <f aca="false">+(Yield_Originals!I354+Yield_Originals!G354)/2</f>
        <v>0.103966445594156</v>
      </c>
      <c r="I354" s="105" t="n">
        <v>0.101245270671954</v>
      </c>
      <c r="J354" s="105" t="n">
        <v>0.102259213446914</v>
      </c>
      <c r="K354" s="107" t="n">
        <v>1</v>
      </c>
      <c r="L354" s="108"/>
      <c r="M354" s="108"/>
      <c r="N354" s="108"/>
      <c r="O354" s="108"/>
      <c r="P354" s="109"/>
      <c r="Q354" s="109" t="n">
        <f aca="false">(Yield_Originals!$H354*Yield_Originals!Q$1)/Yield_Originals!$K354</f>
        <v>0.144253443261892</v>
      </c>
      <c r="R354" s="109" t="n">
        <f aca="false">(Yield_Originals!$H354*Yield_Originals!R$1)/Yield_Originals!$K354</f>
        <v>0.148152184971672</v>
      </c>
      <c r="S354" s="109" t="n">
        <f aca="false">(Yield_Originals!$H354*Yield_Originals!S$1)/Yield_Originals!$K354</f>
        <v>0.152050926681453</v>
      </c>
      <c r="T354" s="111" t="n">
        <f aca="false">(Yield_Originals!$I354*Yield_Originals!T$1)/Yield_Originals!$K354</f>
        <v>0.151867906007931</v>
      </c>
      <c r="U354" s="111" t="n">
        <f aca="false">(Yield_Originals!$I354*Yield_Originals!U$1)/Yield_Originals!$K354</f>
        <v>0.155664603658129</v>
      </c>
      <c r="V354" s="111" t="n">
        <f aca="false">(Yield_Originals!$I354*Yield_Originals!V$1)/Yield_Originals!$K354</f>
        <v>0.159461301308328</v>
      </c>
      <c r="W354" s="111" t="n">
        <f aca="false">(Yield_Originals!$I354*Yield_Originals!W$1)/Yield_Originals!$K354</f>
        <v>0.163257998958526</v>
      </c>
      <c r="X354" s="112" t="n">
        <f aca="false">(Yield_Originals!$J354*Yield_Originals!X$1)/Yield_Originals!$K354</f>
        <v>0.168727702187408</v>
      </c>
      <c r="Y354" s="112" t="n">
        <f aca="false">(Yield_Originals!$J354*Yield_Originals!Y$1)/Yield_Originals!$K354</f>
        <v>0.172562422691667</v>
      </c>
      <c r="Z354" s="112" t="n">
        <f aca="false">(Yield_Originals!$J354*Yield_Originals!Z$1)/Yield_Originals!$K354</f>
        <v>0.176397143195927</v>
      </c>
      <c r="AA354" s="112" t="n">
        <f aca="false">(Yield_Originals!$J354*Yield_Originals!AA$1)/Yield_Originals!$K354</f>
        <v>0.180231863700186</v>
      </c>
      <c r="AB354" s="112"/>
    </row>
    <row r="355" customFormat="false" ht="15" hidden="false" customHeight="false" outlineLevel="0" collapsed="false">
      <c r="A355" s="70" t="s">
        <v>700</v>
      </c>
      <c r="B355" s="70" t="n">
        <v>1</v>
      </c>
      <c r="C355" s="103" t="s">
        <v>200</v>
      </c>
      <c r="D355" s="103" t="s">
        <v>711</v>
      </c>
      <c r="E355" s="104" t="n">
        <v>6</v>
      </c>
      <c r="F355" s="105" t="n">
        <v>0.106687620516358</v>
      </c>
      <c r="G355" s="105" t="n">
        <v>0.106687620516358</v>
      </c>
      <c r="H355" s="106" t="n">
        <f aca="false">+(Yield_Originals!I355+Yield_Originals!G355)/2</f>
        <v>0.103966445594156</v>
      </c>
      <c r="I355" s="105" t="n">
        <v>0.101245270671954</v>
      </c>
      <c r="J355" s="105" t="n">
        <v>0.102259213446914</v>
      </c>
      <c r="K355" s="107" t="n">
        <v>1</v>
      </c>
      <c r="L355" s="108"/>
      <c r="M355" s="108"/>
      <c r="N355" s="108"/>
      <c r="O355" s="108"/>
      <c r="P355" s="109"/>
      <c r="Q355" s="109"/>
      <c r="R355" s="109"/>
      <c r="S355" s="109"/>
      <c r="T355" s="111"/>
      <c r="U355" s="111" t="n">
        <f aca="false">(Yield_Originals!$I355*Yield_Originals!U$1)/Yield_Originals!$K355</f>
        <v>0.155664603658129</v>
      </c>
      <c r="V355" s="111" t="n">
        <f aca="false">(Yield_Originals!$I355*Yield_Originals!V$1)/Yield_Originals!$K355</f>
        <v>0.159461301308328</v>
      </c>
      <c r="W355" s="111" t="n">
        <f aca="false">(Yield_Originals!$I355*Yield_Originals!W$1)/Yield_Originals!$K355</f>
        <v>0.163257998958526</v>
      </c>
      <c r="X355" s="112" t="n">
        <f aca="false">(Yield_Originals!$J355*Yield_Originals!X$1)/Yield_Originals!$K355</f>
        <v>0.168727702187408</v>
      </c>
      <c r="Y355" s="112" t="n">
        <f aca="false">(Yield_Originals!$J355*Yield_Originals!Y$1)/Yield_Originals!$K355</f>
        <v>0.172562422691667</v>
      </c>
      <c r="Z355" s="112" t="n">
        <f aca="false">(Yield_Originals!$J355*Yield_Originals!Z$1)/Yield_Originals!$K355</f>
        <v>0.176397143195927</v>
      </c>
      <c r="AA355" s="112" t="n">
        <f aca="false">(Yield_Originals!$J355*Yield_Originals!AA$1)/Yield_Originals!$K355</f>
        <v>0.180231863700186</v>
      </c>
      <c r="AB355" s="112" t="n">
        <f aca="false">(Yield_Originals!$J355*Yield_Originals!AB$1)/Yield_Originals!$K355</f>
        <v>0.184066584204445</v>
      </c>
    </row>
    <row r="356" customFormat="false" ht="15" hidden="false" customHeight="false" outlineLevel="0" collapsed="false">
      <c r="A356" s="70" t="s">
        <v>700</v>
      </c>
      <c r="B356" s="70" t="n">
        <v>1</v>
      </c>
      <c r="C356" s="103" t="s">
        <v>322</v>
      </c>
      <c r="D356" s="103" t="s">
        <v>714</v>
      </c>
      <c r="E356" s="104" t="n">
        <v>6</v>
      </c>
      <c r="F356" s="105" t="n">
        <v>0.106687620516358</v>
      </c>
      <c r="G356" s="105" t="n">
        <v>0.106687620516358</v>
      </c>
      <c r="H356" s="106" t="n">
        <f aca="false">+(Yield_Originals!I356+Yield_Originals!G356)/2</f>
        <v>0.103966445594156</v>
      </c>
      <c r="I356" s="105" t="n">
        <v>0.101245270671954</v>
      </c>
      <c r="J356" s="105" t="n">
        <v>0.102259213446914</v>
      </c>
      <c r="K356" s="107" t="n">
        <v>1</v>
      </c>
      <c r="L356" s="108"/>
      <c r="M356" s="108"/>
      <c r="N356" s="108"/>
      <c r="O356" s="108"/>
      <c r="P356" s="109"/>
      <c r="Q356" s="109"/>
      <c r="R356" s="109"/>
      <c r="S356" s="109"/>
      <c r="T356" s="111"/>
      <c r="U356" s="111" t="n">
        <f aca="false">(Yield_Originals!$I356*Yield_Originals!U$1)/Yield_Originals!$K356</f>
        <v>0.155664603658129</v>
      </c>
      <c r="V356" s="111" t="n">
        <f aca="false">(Yield_Originals!$I356*Yield_Originals!V$1)/Yield_Originals!$K356</f>
        <v>0.159461301308328</v>
      </c>
      <c r="W356" s="111" t="n">
        <f aca="false">(Yield_Originals!$I356*Yield_Originals!W$1)/Yield_Originals!$K356</f>
        <v>0.163257998958526</v>
      </c>
      <c r="X356" s="112" t="n">
        <f aca="false">(Yield_Originals!$J356*Yield_Originals!X$1)/Yield_Originals!$K356</f>
        <v>0.168727702187408</v>
      </c>
      <c r="Y356" s="112" t="n">
        <f aca="false">(Yield_Originals!$J356*Yield_Originals!Y$1)/Yield_Originals!$K356</f>
        <v>0.172562422691667</v>
      </c>
      <c r="Z356" s="112" t="n">
        <f aca="false">(Yield_Originals!$J356*Yield_Originals!Z$1)/Yield_Originals!$K356</f>
        <v>0.176397143195927</v>
      </c>
      <c r="AA356" s="112" t="n">
        <f aca="false">(Yield_Originals!$J356*Yield_Originals!AA$1)/Yield_Originals!$K356</f>
        <v>0.180231863700186</v>
      </c>
      <c r="AB356" s="112" t="n">
        <f aca="false">(Yield_Originals!$J356*Yield_Originals!AB$1)/Yield_Originals!$K356</f>
        <v>0.184066584204445</v>
      </c>
    </row>
    <row r="357" customFormat="false" ht="15" hidden="false" customHeight="false" outlineLevel="0" collapsed="false">
      <c r="A357" s="70" t="s">
        <v>700</v>
      </c>
      <c r="B357" s="70" t="n">
        <v>1</v>
      </c>
      <c r="C357" s="103" t="s">
        <v>1101</v>
      </c>
      <c r="D357" s="103" t="s">
        <v>699</v>
      </c>
      <c r="E357" s="104" t="n">
        <v>6</v>
      </c>
      <c r="F357" s="105" t="n">
        <v>0.106687620516358</v>
      </c>
      <c r="G357" s="105" t="n">
        <v>0.106687620516358</v>
      </c>
      <c r="H357" s="106" t="n">
        <f aca="false">+(Yield_Originals!I357+Yield_Originals!G357)/2</f>
        <v>0.103966445594156</v>
      </c>
      <c r="I357" s="105" t="n">
        <v>0.101245270671954</v>
      </c>
      <c r="J357" s="105" t="n">
        <v>0.102259213446914</v>
      </c>
      <c r="K357" s="107" t="n">
        <v>1</v>
      </c>
      <c r="L357" s="108"/>
      <c r="M357" s="108"/>
      <c r="N357" s="108"/>
      <c r="O357" s="108"/>
      <c r="P357" s="109"/>
      <c r="Q357" s="109"/>
      <c r="R357" s="109"/>
      <c r="S357" s="109"/>
      <c r="T357" s="111"/>
      <c r="U357" s="111"/>
      <c r="V357" s="111"/>
      <c r="W357" s="111"/>
      <c r="X357" s="112" t="n">
        <f aca="false">(Yield_Originals!$J357*Yield_Originals!X$1)/Yield_Originals!$K357</f>
        <v>0.168727702187408</v>
      </c>
      <c r="Y357" s="112" t="n">
        <f aca="false">(Yield_Originals!$J357*Yield_Originals!Y$1)/Yield_Originals!$K357</f>
        <v>0.172562422691667</v>
      </c>
      <c r="Z357" s="112" t="n">
        <f aca="false">(Yield_Originals!$J357*Yield_Originals!Z$1)/Yield_Originals!$K357</f>
        <v>0.176397143195927</v>
      </c>
      <c r="AA357" s="112" t="n">
        <f aca="false">(Yield_Originals!$J357*Yield_Originals!AA$1)/Yield_Originals!$K357</f>
        <v>0.180231863700186</v>
      </c>
      <c r="AB357" s="112" t="n">
        <f aca="false">(Yield_Originals!$J357*Yield_Originals!AB$1)/Yield_Originals!$K357</f>
        <v>0.184066584204445</v>
      </c>
    </row>
    <row r="358" customFormat="false" ht="15" hidden="false" customHeight="false" outlineLevel="0" collapsed="false">
      <c r="A358" s="70" t="s">
        <v>700</v>
      </c>
      <c r="B358" s="70" t="n">
        <v>1</v>
      </c>
      <c r="C358" s="103" t="s">
        <v>1104</v>
      </c>
      <c r="D358" s="103" t="s">
        <v>722</v>
      </c>
      <c r="E358" s="104" t="n">
        <v>6</v>
      </c>
      <c r="F358" s="105" t="n">
        <v>0.106687620516358</v>
      </c>
      <c r="G358" s="105" t="n">
        <v>0.106687620516358</v>
      </c>
      <c r="H358" s="106" t="n">
        <f aca="false">+(Yield_Originals!I358+Yield_Originals!G358)/2</f>
        <v>0.103966445594156</v>
      </c>
      <c r="I358" s="105" t="n">
        <v>0.101245270671954</v>
      </c>
      <c r="J358" s="105" t="n">
        <v>0.102259213446914</v>
      </c>
      <c r="K358" s="107" t="n">
        <v>1</v>
      </c>
      <c r="L358" s="108" t="n">
        <f aca="false">(Yield_Originals!$G358*Yield_Originals!L$1)/Yield_Originals!$K358</f>
        <v>0.12802514461963</v>
      </c>
      <c r="M358" s="108" t="n">
        <f aca="false">(Yield_Originals!$G358*Yield_Originals!M$1)/Yield_Originals!$K358</f>
        <v>0.132025930388993</v>
      </c>
      <c r="N358" s="108" t="n">
        <f aca="false">(Yield_Originals!$G358*Yield_Originals!N$1)/Yield_Originals!$K358</f>
        <v>0.136026716158356</v>
      </c>
      <c r="O358" s="108" t="n">
        <f aca="false">(Yield_Originals!$G358*Yield_Originals!O$1)/Yield_Originals!$K358</f>
        <v>0.14002750192772</v>
      </c>
      <c r="P358" s="109" t="n">
        <f aca="false">(Yield_Originals!$H358*Yield_Originals!P$1)/Yield_Originals!$K358</f>
        <v>0.140354701552111</v>
      </c>
      <c r="Q358" s="109" t="n">
        <f aca="false">(Yield_Originals!$H358*Yield_Originals!Q$1)/Yield_Originals!$K358</f>
        <v>0.144253443261892</v>
      </c>
      <c r="R358" s="109" t="n">
        <f aca="false">(Yield_Originals!$H358*Yield_Originals!R$1)/Yield_Originals!$K358</f>
        <v>0.148152184971672</v>
      </c>
      <c r="S358" s="109" t="n">
        <f aca="false">(Yield_Originals!$H358*Yield_Originals!S$1)/Yield_Originals!$K358</f>
        <v>0.152050926681453</v>
      </c>
      <c r="T358" s="111" t="n">
        <f aca="false">(Yield_Originals!$I358*Yield_Originals!T$1)/Yield_Originals!$K358</f>
        <v>0.151867906007931</v>
      </c>
      <c r="U358" s="111" t="n">
        <f aca="false">(Yield_Originals!$I358*Yield_Originals!U$1)/Yield_Originals!$K358</f>
        <v>0.155664603658129</v>
      </c>
      <c r="V358" s="111" t="n">
        <f aca="false">(Yield_Originals!$I358*Yield_Originals!V$1)/Yield_Originals!$K358</f>
        <v>0.159461301308328</v>
      </c>
      <c r="W358" s="111" t="n">
        <f aca="false">(Yield_Originals!$I358*Yield_Originals!W$1)/Yield_Originals!$K358</f>
        <v>0.163257998958526</v>
      </c>
      <c r="X358" s="112" t="n">
        <f aca="false">(Yield_Originals!$J358*Yield_Originals!X$1)/Yield_Originals!$K358</f>
        <v>0.168727702187408</v>
      </c>
      <c r="Y358" s="112" t="n">
        <f aca="false">(Yield_Originals!$J358*Yield_Originals!Y$1)/Yield_Originals!$K358</f>
        <v>0.172562422691667</v>
      </c>
      <c r="Z358" s="112" t="n">
        <f aca="false">(Yield_Originals!$J358*Yield_Originals!Z$1)/Yield_Originals!$K358</f>
        <v>0.176397143195927</v>
      </c>
      <c r="AA358" s="112" t="n">
        <f aca="false">(Yield_Originals!$J358*Yield_Originals!AA$1)/Yield_Originals!$K358</f>
        <v>0.180231863700186</v>
      </c>
      <c r="AB358" s="112" t="n">
        <f aca="false">(Yield_Originals!$J358*Yield_Originals!AB$1)/Yield_Originals!$K358</f>
        <v>0.184066584204445</v>
      </c>
    </row>
    <row r="359" customFormat="false" ht="15" hidden="false" customHeight="false" outlineLevel="0" collapsed="false">
      <c r="A359" s="70" t="s">
        <v>700</v>
      </c>
      <c r="B359" s="70" t="n">
        <v>1</v>
      </c>
      <c r="C359" s="103" t="s">
        <v>1106</v>
      </c>
      <c r="D359" s="103" t="s">
        <v>717</v>
      </c>
      <c r="E359" s="104" t="n">
        <v>6</v>
      </c>
      <c r="F359" s="105" t="n">
        <v>0.106687620516358</v>
      </c>
      <c r="G359" s="105" t="n">
        <v>0.106687620516358</v>
      </c>
      <c r="H359" s="106" t="n">
        <f aca="false">+(Yield_Originals!I359+Yield_Originals!G359)/2</f>
        <v>0.103966445594156</v>
      </c>
      <c r="I359" s="105" t="n">
        <v>0.101245270671954</v>
      </c>
      <c r="J359" s="105" t="n">
        <v>0.102259213446914</v>
      </c>
      <c r="K359" s="107" t="n">
        <v>1</v>
      </c>
      <c r="L359" s="108" t="n">
        <f aca="false">(Yield_Originals!$G359*Yield_Originals!L$1)/Yield_Originals!$K359</f>
        <v>0.12802514461963</v>
      </c>
      <c r="M359" s="108" t="n">
        <f aca="false">(Yield_Originals!$G359*Yield_Originals!M$1)/Yield_Originals!$K359</f>
        <v>0.132025930388993</v>
      </c>
      <c r="N359" s="108" t="n">
        <f aca="false">(Yield_Originals!$G359*Yield_Originals!N$1)/Yield_Originals!$K359</f>
        <v>0.136026716158356</v>
      </c>
      <c r="O359" s="108" t="n">
        <f aca="false">(Yield_Originals!$G359*Yield_Originals!O$1)/Yield_Originals!$K359</f>
        <v>0.14002750192772</v>
      </c>
      <c r="P359" s="109"/>
      <c r="Q359" s="109"/>
      <c r="R359" s="109"/>
      <c r="S359" s="109"/>
      <c r="T359" s="111"/>
      <c r="U359" s="111"/>
      <c r="V359" s="111"/>
      <c r="W359" s="111"/>
      <c r="X359" s="112"/>
      <c r="Y359" s="112"/>
      <c r="Z359" s="112"/>
      <c r="AA359" s="112"/>
      <c r="AB359" s="112"/>
    </row>
    <row r="360" customFormat="false" ht="15" hidden="false" customHeight="false" outlineLevel="0" collapsed="false">
      <c r="A360" s="70" t="s">
        <v>700</v>
      </c>
      <c r="B360" s="70" t="n">
        <v>1</v>
      </c>
      <c r="C360" s="103" t="s">
        <v>1109</v>
      </c>
      <c r="D360" s="103" t="s">
        <v>720</v>
      </c>
      <c r="E360" s="104" t="n">
        <v>6</v>
      </c>
      <c r="F360" s="105" t="n">
        <v>0.106687620516358</v>
      </c>
      <c r="G360" s="105" t="n">
        <v>0.106687620516358</v>
      </c>
      <c r="H360" s="106" t="n">
        <f aca="false">+(Yield_Originals!I360+Yield_Originals!G360)/2</f>
        <v>0.103966445594156</v>
      </c>
      <c r="I360" s="105" t="n">
        <v>0.101245270671954</v>
      </c>
      <c r="J360" s="105" t="n">
        <v>0.102259213446914</v>
      </c>
      <c r="K360" s="107" t="n">
        <v>1</v>
      </c>
      <c r="L360" s="108" t="n">
        <f aca="false">(Yield_Originals!$G360*Yield_Originals!L$1)/Yield_Originals!$K360</f>
        <v>0.12802514461963</v>
      </c>
      <c r="M360" s="108" t="n">
        <f aca="false">(Yield_Originals!$G360*Yield_Originals!M$1)/Yield_Originals!$K360</f>
        <v>0.132025930388993</v>
      </c>
      <c r="N360" s="108" t="n">
        <f aca="false">(Yield_Originals!$G360*Yield_Originals!N$1)/Yield_Originals!$K360</f>
        <v>0.136026716158356</v>
      </c>
      <c r="O360" s="108" t="n">
        <f aca="false">(Yield_Originals!$G360*Yield_Originals!O$1)/Yield_Originals!$K360</f>
        <v>0.14002750192772</v>
      </c>
      <c r="P360" s="109"/>
      <c r="Q360" s="109"/>
      <c r="R360" s="109"/>
      <c r="S360" s="109"/>
      <c r="T360" s="111"/>
      <c r="U360" s="111"/>
      <c r="V360" s="111"/>
      <c r="W360" s="111"/>
      <c r="X360" s="112"/>
      <c r="Y360" s="112"/>
      <c r="Z360" s="112"/>
      <c r="AA360" s="112"/>
      <c r="AB360" s="112"/>
    </row>
    <row r="361" customFormat="false" ht="15" hidden="false" customHeight="false" outlineLevel="0" collapsed="false">
      <c r="A361" s="70" t="s">
        <v>700</v>
      </c>
      <c r="B361" s="70" t="n">
        <v>1</v>
      </c>
      <c r="C361" s="103" t="s">
        <v>1111</v>
      </c>
      <c r="D361" s="103" t="s">
        <v>724</v>
      </c>
      <c r="E361" s="104" t="n">
        <v>6</v>
      </c>
      <c r="F361" s="105" t="n">
        <v>0.106687620516358</v>
      </c>
      <c r="G361" s="105" t="n">
        <v>0.106687620516358</v>
      </c>
      <c r="H361" s="106" t="n">
        <f aca="false">+(Yield_Originals!I361+Yield_Originals!G361)/2</f>
        <v>0.103966445594156</v>
      </c>
      <c r="I361" s="105" t="n">
        <v>0.101245270671954</v>
      </c>
      <c r="J361" s="105" t="n">
        <v>0.102259213446914</v>
      </c>
      <c r="K361" s="107" t="n">
        <v>1</v>
      </c>
      <c r="L361" s="108" t="n">
        <f aca="false">(Yield_Originals!$G361*Yield_Originals!L$1)/Yield_Originals!$K361</f>
        <v>0.12802514461963</v>
      </c>
      <c r="M361" s="108" t="n">
        <f aca="false">(Yield_Originals!$G361*Yield_Originals!M$1)/Yield_Originals!$K361</f>
        <v>0.132025930388993</v>
      </c>
      <c r="N361" s="108" t="n">
        <f aca="false">(Yield_Originals!$G361*Yield_Originals!N$1)/Yield_Originals!$K361</f>
        <v>0.136026716158356</v>
      </c>
      <c r="O361" s="108" t="n">
        <f aca="false">(Yield_Originals!$G361*Yield_Originals!O$1)/Yield_Originals!$K361</f>
        <v>0.14002750192772</v>
      </c>
      <c r="P361" s="109" t="n">
        <f aca="false">(Yield_Originals!$H361*Yield_Originals!P$1)/Yield_Originals!$K361</f>
        <v>0.140354701552111</v>
      </c>
      <c r="Q361" s="109" t="n">
        <f aca="false">(Yield_Originals!$H361*Yield_Originals!Q$1)/Yield_Originals!$K361</f>
        <v>0.144253443261892</v>
      </c>
      <c r="R361" s="109" t="n">
        <f aca="false">(Yield_Originals!$H361*Yield_Originals!R$1)/Yield_Originals!$K361</f>
        <v>0.148152184971672</v>
      </c>
      <c r="S361" s="109" t="n">
        <f aca="false">(Yield_Originals!$H361*Yield_Originals!S$1)/Yield_Originals!$K361</f>
        <v>0.152050926681453</v>
      </c>
      <c r="T361" s="111" t="n">
        <f aca="false">(Yield_Originals!$I361*Yield_Originals!T$1)/Yield_Originals!$K361</f>
        <v>0.151867906007931</v>
      </c>
      <c r="U361" s="111" t="n">
        <f aca="false">(Yield_Originals!$I361*Yield_Originals!U$1)/Yield_Originals!$K361</f>
        <v>0.155664603658129</v>
      </c>
      <c r="V361" s="111" t="n">
        <f aca="false">(Yield_Originals!$I361*Yield_Originals!V$1)/Yield_Originals!$K361</f>
        <v>0.159461301308328</v>
      </c>
      <c r="W361" s="111" t="n">
        <f aca="false">(Yield_Originals!$I361*Yield_Originals!W$1)/Yield_Originals!$K361</f>
        <v>0.163257998958526</v>
      </c>
      <c r="X361" s="112" t="n">
        <f aca="false">(Yield_Originals!$J361*Yield_Originals!X$1)/Yield_Originals!$K361</f>
        <v>0.168727702187408</v>
      </c>
      <c r="Y361" s="112" t="n">
        <f aca="false">(Yield_Originals!$J361*Yield_Originals!Y$1)/Yield_Originals!$K361</f>
        <v>0.172562422691667</v>
      </c>
      <c r="Z361" s="112" t="n">
        <f aca="false">(Yield_Originals!$J361*Yield_Originals!Z$1)/Yield_Originals!$K361</f>
        <v>0.176397143195927</v>
      </c>
      <c r="AA361" s="112" t="n">
        <f aca="false">(Yield_Originals!$J361*Yield_Originals!AA$1)/Yield_Originals!$K361</f>
        <v>0.180231863700186</v>
      </c>
      <c r="AB361" s="112" t="n">
        <f aca="false">(Yield_Originals!$J361*Yield_Originals!AB$1)/Yield_Originals!$K361</f>
        <v>0.184066584204445</v>
      </c>
    </row>
    <row r="362" customFormat="false" ht="15" hidden="false" customHeight="false" outlineLevel="0" collapsed="false">
      <c r="A362" s="70" t="s">
        <v>744</v>
      </c>
      <c r="B362" s="70" t="n">
        <v>1</v>
      </c>
      <c r="C362" s="103" t="s">
        <v>1114</v>
      </c>
      <c r="D362" s="103" t="s">
        <v>748</v>
      </c>
      <c r="E362" s="104" t="n">
        <v>7</v>
      </c>
      <c r="F362" s="106" t="n">
        <v>0.0581503454291415</v>
      </c>
      <c r="G362" s="106" t="n">
        <v>0.0581503454291415</v>
      </c>
      <c r="H362" s="106" t="n">
        <f aca="false">+(Yield_Originals!I362+Yield_Originals!G362)/2</f>
        <v>0.0562894274528054</v>
      </c>
      <c r="I362" s="106" t="n">
        <v>0.0544285094764693</v>
      </c>
      <c r="J362" s="106" t="n">
        <v>0.0555481286485601</v>
      </c>
      <c r="K362" s="107" t="n">
        <v>1</v>
      </c>
      <c r="L362" s="108" t="n">
        <f aca="false">(Yield_Originals!$G362*Yield_Originals!L$1)/Yield_Originals!$K362</f>
        <v>0.0697804145149698</v>
      </c>
      <c r="M362" s="108" t="n">
        <f aca="false">(Yield_Originals!$G362*Yield_Originals!M$1)/Yield_Originals!$K362</f>
        <v>0.0719610524685626</v>
      </c>
      <c r="N362" s="108" t="n">
        <f aca="false">(Yield_Originals!$G362*Yield_Originals!N$1)/Yield_Originals!$K362</f>
        <v>0.0741416904221554</v>
      </c>
      <c r="O362" s="108" t="n">
        <f aca="false">(Yield_Originals!$G362*Yield_Originals!O$1)/Yield_Originals!$K362</f>
        <v>0.0763223283757482</v>
      </c>
      <c r="P362" s="109" t="n">
        <f aca="false">(Yield_Originals!$H362*Yield_Originals!P$1)/Yield_Originals!$K362</f>
        <v>0.0759907270612873</v>
      </c>
      <c r="Q362" s="109" t="n">
        <f aca="false">(Yield_Originals!$H362*Yield_Originals!Q$1)/Yield_Originals!$K362</f>
        <v>0.0781015805907675</v>
      </c>
      <c r="R362" s="109" t="n">
        <f aca="false">(Yield_Originals!$H362*Yield_Originals!R$1)/Yield_Originals!$K362</f>
        <v>0.0802124341202477</v>
      </c>
      <c r="S362" s="109" t="n">
        <f aca="false">(Yield_Originals!$H362*Yield_Originals!S$1)/Yield_Originals!$K362</f>
        <v>0.0823232876497279</v>
      </c>
      <c r="T362" s="111" t="n">
        <f aca="false">(Yield_Originals!$I362*Yield_Originals!T$1)/Yield_Originals!$K362</f>
        <v>0.081642764214704</v>
      </c>
      <c r="U362" s="111" t="n">
        <f aca="false">(Yield_Originals!$I362*Yield_Originals!U$1)/Yield_Originals!$K362</f>
        <v>0.0836838333200716</v>
      </c>
      <c r="V362" s="111" t="n">
        <f aca="false">(Yield_Originals!$I362*Yield_Originals!V$1)/Yield_Originals!$K362</f>
        <v>0.0857249024254392</v>
      </c>
      <c r="W362" s="111" t="n">
        <f aca="false">(Yield_Originals!$I362*Yield_Originals!W$1)/Yield_Originals!$K362</f>
        <v>0.0877659715308067</v>
      </c>
      <c r="X362" s="112" t="n">
        <f aca="false">(Yield_Originals!$J362*Yield_Originals!X$1)/Yield_Originals!$K362</f>
        <v>0.0916544122701242</v>
      </c>
      <c r="Y362" s="112"/>
      <c r="Z362" s="112"/>
      <c r="AA362" s="112"/>
      <c r="AB362" s="112"/>
    </row>
    <row r="363" customFormat="false" ht="15" hidden="false" customHeight="false" outlineLevel="0" collapsed="false">
      <c r="A363" s="70" t="s">
        <v>744</v>
      </c>
      <c r="B363" s="70" t="n">
        <v>1</v>
      </c>
      <c r="C363" s="103" t="s">
        <v>1114</v>
      </c>
      <c r="D363" s="103" t="s">
        <v>748</v>
      </c>
      <c r="E363" s="104" t="n">
        <v>8</v>
      </c>
      <c r="F363" s="106" t="n">
        <v>0.0581503454291415</v>
      </c>
      <c r="G363" s="106" t="n">
        <v>0.0581503454291415</v>
      </c>
      <c r="H363" s="106" t="n">
        <f aca="false">+(Yield_Originals!I363+Yield_Originals!G363)/2</f>
        <v>0.0562894274528054</v>
      </c>
      <c r="I363" s="106" t="n">
        <v>0.0544285094764693</v>
      </c>
      <c r="J363" s="106" t="n">
        <v>0.0555481286485601</v>
      </c>
      <c r="K363" s="107" t="n">
        <v>1</v>
      </c>
      <c r="L363" s="108" t="n">
        <f aca="false">(Yield_Originals!$G363*Yield_Originals!L$1)/Yield_Originals!$K363</f>
        <v>0.0697804145149698</v>
      </c>
      <c r="M363" s="108" t="n">
        <f aca="false">(Yield_Originals!$G363*Yield_Originals!M$1)/Yield_Originals!$K363</f>
        <v>0.0719610524685626</v>
      </c>
      <c r="N363" s="108" t="n">
        <f aca="false">(Yield_Originals!$G363*Yield_Originals!N$1)/Yield_Originals!$K363</f>
        <v>0.0741416904221554</v>
      </c>
      <c r="O363" s="108" t="n">
        <f aca="false">(Yield_Originals!$G363*Yield_Originals!O$1)/Yield_Originals!$K363</f>
        <v>0.0763223283757482</v>
      </c>
      <c r="P363" s="109" t="n">
        <f aca="false">(Yield_Originals!$H363*Yield_Originals!P$1)/Yield_Originals!$K363</f>
        <v>0.0759907270612873</v>
      </c>
      <c r="Q363" s="109" t="n">
        <f aca="false">(Yield_Originals!$H363*Yield_Originals!Q$1)/Yield_Originals!$K363</f>
        <v>0.0781015805907675</v>
      </c>
      <c r="R363" s="109" t="n">
        <f aca="false">(Yield_Originals!$H363*Yield_Originals!R$1)/Yield_Originals!$K363</f>
        <v>0.0802124341202477</v>
      </c>
      <c r="S363" s="109" t="n">
        <f aca="false">(Yield_Originals!$H363*Yield_Originals!S$1)/Yield_Originals!$K363</f>
        <v>0.0823232876497279</v>
      </c>
      <c r="T363" s="111" t="n">
        <f aca="false">(Yield_Originals!$I363*Yield_Originals!T$1)/Yield_Originals!$K363</f>
        <v>0.081642764214704</v>
      </c>
      <c r="U363" s="111" t="n">
        <f aca="false">(Yield_Originals!$I363*Yield_Originals!U$1)/Yield_Originals!$K363</f>
        <v>0.0836838333200716</v>
      </c>
      <c r="V363" s="111" t="n">
        <f aca="false">(Yield_Originals!$I363*Yield_Originals!V$1)/Yield_Originals!$K363</f>
        <v>0.0857249024254392</v>
      </c>
      <c r="W363" s="111" t="n">
        <f aca="false">(Yield_Originals!$I363*Yield_Originals!W$1)/Yield_Originals!$K363</f>
        <v>0.0877659715308067</v>
      </c>
      <c r="X363" s="112" t="n">
        <f aca="false">(Yield_Originals!$J363*Yield_Originals!X$1)/Yield_Originals!$K363</f>
        <v>0.0916544122701242</v>
      </c>
      <c r="Y363" s="112"/>
      <c r="Z363" s="112"/>
      <c r="AA363" s="112"/>
      <c r="AB363" s="112"/>
    </row>
    <row r="364" customFormat="false" ht="15" hidden="false" customHeight="false" outlineLevel="0" collapsed="false">
      <c r="A364" s="70" t="s">
        <v>744</v>
      </c>
      <c r="B364" s="70" t="n">
        <v>1</v>
      </c>
      <c r="C364" s="103" t="s">
        <v>323</v>
      </c>
      <c r="D364" s="103" t="s">
        <v>750</v>
      </c>
      <c r="E364" s="104" t="n">
        <v>7</v>
      </c>
      <c r="F364" s="106" t="n">
        <v>0.0581503454291415</v>
      </c>
      <c r="G364" s="106" t="n">
        <v>0.0581503454291415</v>
      </c>
      <c r="H364" s="106" t="n">
        <f aca="false">+(Yield_Originals!I364+Yield_Originals!G364)/2</f>
        <v>0.0562894274528054</v>
      </c>
      <c r="I364" s="106" t="n">
        <v>0.0544285094764693</v>
      </c>
      <c r="J364" s="106" t="n">
        <v>0.0555481286485601</v>
      </c>
      <c r="K364" s="107" t="n">
        <v>1</v>
      </c>
      <c r="L364" s="108"/>
      <c r="M364" s="108"/>
      <c r="N364" s="108"/>
      <c r="O364" s="108"/>
      <c r="P364" s="109"/>
      <c r="Q364" s="109"/>
      <c r="R364" s="109" t="n">
        <f aca="false">(Yield_Originals!$H364*Yield_Originals!R$1)/Yield_Originals!$K364</f>
        <v>0.0802124341202477</v>
      </c>
      <c r="S364" s="109" t="n">
        <f aca="false">(Yield_Originals!$H364*Yield_Originals!S$1)/Yield_Originals!$K364</f>
        <v>0.0823232876497279</v>
      </c>
      <c r="T364" s="111" t="n">
        <f aca="false">(Yield_Originals!$I364*Yield_Originals!T$1)/Yield_Originals!$K364</f>
        <v>0.081642764214704</v>
      </c>
      <c r="U364" s="111" t="n">
        <f aca="false">(Yield_Originals!$I364*Yield_Originals!U$1)/Yield_Originals!$K364</f>
        <v>0.0836838333200716</v>
      </c>
      <c r="V364" s="111" t="n">
        <f aca="false">(Yield_Originals!$I364*Yield_Originals!V$1)/Yield_Originals!$K364</f>
        <v>0.0857249024254392</v>
      </c>
      <c r="W364" s="111" t="n">
        <f aca="false">(Yield_Originals!$I364*Yield_Originals!W$1)/Yield_Originals!$K364</f>
        <v>0.0877659715308067</v>
      </c>
      <c r="X364" s="112" t="n">
        <f aca="false">(Yield_Originals!$J364*Yield_Originals!X$1)/Yield_Originals!$K364</f>
        <v>0.0916544122701242</v>
      </c>
      <c r="Y364" s="112" t="n">
        <f aca="false">(Yield_Originals!$J364*Yield_Originals!Y$1)/Yield_Originals!$K364</f>
        <v>0.0937374670944451</v>
      </c>
      <c r="Z364" s="112" t="n">
        <f aca="false">(Yield_Originals!$J364*Yield_Originals!Z$1)/Yield_Originals!$K364</f>
        <v>0.0958205219187662</v>
      </c>
      <c r="AA364" s="112" t="n">
        <f aca="false">(Yield_Originals!$J364*Yield_Originals!AA$1)/Yield_Originals!$K364</f>
        <v>0.0979035767430871</v>
      </c>
      <c r="AB364" s="112" t="n">
        <f aca="false">(Yield_Originals!$J364*Yield_Originals!AB$1)/Yield_Originals!$K364</f>
        <v>0.0999866315674081</v>
      </c>
    </row>
    <row r="365" customFormat="false" ht="15" hidden="false" customHeight="false" outlineLevel="0" collapsed="false">
      <c r="A365" s="70" t="s">
        <v>744</v>
      </c>
      <c r="B365" s="70" t="n">
        <v>1</v>
      </c>
      <c r="C365" s="103" t="s">
        <v>323</v>
      </c>
      <c r="D365" s="103" t="s">
        <v>750</v>
      </c>
      <c r="E365" s="104" t="n">
        <v>8</v>
      </c>
      <c r="F365" s="106" t="n">
        <v>0.0581503454291415</v>
      </c>
      <c r="G365" s="106" t="n">
        <v>0.0581503454291415</v>
      </c>
      <c r="H365" s="106" t="n">
        <f aca="false">+(Yield_Originals!I365+Yield_Originals!G365)/2</f>
        <v>0.0562894274528054</v>
      </c>
      <c r="I365" s="106" t="n">
        <v>0.0544285094764693</v>
      </c>
      <c r="J365" s="106" t="n">
        <v>0.0555481286485601</v>
      </c>
      <c r="K365" s="107" t="n">
        <v>1</v>
      </c>
      <c r="L365" s="108"/>
      <c r="M365" s="108"/>
      <c r="N365" s="108"/>
      <c r="O365" s="108"/>
      <c r="P365" s="109"/>
      <c r="Q365" s="109"/>
      <c r="R365" s="109" t="n">
        <f aca="false">(Yield_Originals!$H365*Yield_Originals!R$1)/Yield_Originals!$K365</f>
        <v>0.0802124341202477</v>
      </c>
      <c r="S365" s="109" t="n">
        <f aca="false">(Yield_Originals!$H365*Yield_Originals!S$1)/Yield_Originals!$K365</f>
        <v>0.0823232876497279</v>
      </c>
      <c r="T365" s="111" t="n">
        <f aca="false">(Yield_Originals!$I365*Yield_Originals!T$1)/Yield_Originals!$K365</f>
        <v>0.081642764214704</v>
      </c>
      <c r="U365" s="111" t="n">
        <f aca="false">(Yield_Originals!$I365*Yield_Originals!U$1)/Yield_Originals!$K365</f>
        <v>0.0836838333200716</v>
      </c>
      <c r="V365" s="111" t="n">
        <f aca="false">(Yield_Originals!$I365*Yield_Originals!V$1)/Yield_Originals!$K365</f>
        <v>0.0857249024254392</v>
      </c>
      <c r="W365" s="111" t="n">
        <f aca="false">(Yield_Originals!$I365*Yield_Originals!W$1)/Yield_Originals!$K365</f>
        <v>0.0877659715308067</v>
      </c>
      <c r="X365" s="112" t="n">
        <f aca="false">(Yield_Originals!$J365*Yield_Originals!X$1)/Yield_Originals!$K365</f>
        <v>0.0916544122701242</v>
      </c>
      <c r="Y365" s="112" t="n">
        <f aca="false">(Yield_Originals!$J365*Yield_Originals!Y$1)/Yield_Originals!$K365</f>
        <v>0.0937374670944451</v>
      </c>
      <c r="Z365" s="112" t="n">
        <f aca="false">(Yield_Originals!$J365*Yield_Originals!Z$1)/Yield_Originals!$K365</f>
        <v>0.0958205219187662</v>
      </c>
      <c r="AA365" s="112" t="n">
        <f aca="false">(Yield_Originals!$J365*Yield_Originals!AA$1)/Yield_Originals!$K365</f>
        <v>0.0979035767430871</v>
      </c>
      <c r="AB365" s="112" t="n">
        <f aca="false">(Yield_Originals!$J365*Yield_Originals!AB$1)/Yield_Originals!$K365</f>
        <v>0.0999866315674081</v>
      </c>
    </row>
    <row r="366" customFormat="false" ht="15" hidden="false" customHeight="false" outlineLevel="0" collapsed="false">
      <c r="A366" s="70" t="s">
        <v>744</v>
      </c>
      <c r="B366" s="70" t="n">
        <v>1</v>
      </c>
      <c r="C366" s="103" t="s">
        <v>201</v>
      </c>
      <c r="D366" s="103" t="s">
        <v>743</v>
      </c>
      <c r="E366" s="104" t="n">
        <v>7</v>
      </c>
      <c r="F366" s="106" t="n">
        <v>0.0581503454291415</v>
      </c>
      <c r="G366" s="106" t="n">
        <v>0.0581503454291415</v>
      </c>
      <c r="H366" s="106" t="n">
        <f aca="false">+(Yield_Originals!I366+Yield_Originals!G366)/2</f>
        <v>0.0562894274528054</v>
      </c>
      <c r="I366" s="106" t="n">
        <v>0.0544285094764693</v>
      </c>
      <c r="J366" s="106" t="n">
        <v>0.0555481286485601</v>
      </c>
      <c r="K366" s="107" t="n">
        <v>1</v>
      </c>
      <c r="L366" s="108" t="n">
        <f aca="false">(Yield_Originals!$G366*Yield_Originals!L$1)/Yield_Originals!$K366</f>
        <v>0.0697804145149698</v>
      </c>
      <c r="M366" s="108" t="n">
        <f aca="false">(Yield_Originals!$G366*Yield_Originals!M$1)/Yield_Originals!$K366</f>
        <v>0.0719610524685626</v>
      </c>
      <c r="N366" s="108" t="n">
        <f aca="false">(Yield_Originals!$G366*Yield_Originals!N$1)/Yield_Originals!$K366</f>
        <v>0.0741416904221554</v>
      </c>
      <c r="O366" s="108" t="n">
        <f aca="false">(Yield_Originals!$G366*Yield_Originals!O$1)/Yield_Originals!$K366</f>
        <v>0.0763223283757482</v>
      </c>
      <c r="P366" s="109" t="n">
        <f aca="false">(Yield_Originals!$H366*Yield_Originals!P$1)/Yield_Originals!$K366</f>
        <v>0.0759907270612873</v>
      </c>
      <c r="Q366" s="109" t="n">
        <f aca="false">(Yield_Originals!$H366*Yield_Originals!Q$1)/Yield_Originals!$K366</f>
        <v>0.0781015805907675</v>
      </c>
      <c r="R366" s="109" t="n">
        <f aca="false">(Yield_Originals!$H366*Yield_Originals!R$1)/Yield_Originals!$K366</f>
        <v>0.0802124341202477</v>
      </c>
      <c r="S366" s="109" t="n">
        <f aca="false">(Yield_Originals!$H366*Yield_Originals!S$1)/Yield_Originals!$K366</f>
        <v>0.0823232876497279</v>
      </c>
      <c r="T366" s="111" t="n">
        <f aca="false">(Yield_Originals!$I366*Yield_Originals!T$1)/Yield_Originals!$K366</f>
        <v>0.081642764214704</v>
      </c>
      <c r="U366" s="111" t="n">
        <f aca="false">(Yield_Originals!$I366*Yield_Originals!U$1)/Yield_Originals!$K366</f>
        <v>0.0836838333200716</v>
      </c>
      <c r="V366" s="111" t="n">
        <f aca="false">(Yield_Originals!$I366*Yield_Originals!V$1)/Yield_Originals!$K366</f>
        <v>0.0857249024254392</v>
      </c>
      <c r="W366" s="111" t="n">
        <f aca="false">(Yield_Originals!$I366*Yield_Originals!W$1)/Yield_Originals!$K366</f>
        <v>0.0877659715308067</v>
      </c>
      <c r="X366" s="112" t="n">
        <f aca="false">(Yield_Originals!$J366*Yield_Originals!X$1)/Yield_Originals!$K366</f>
        <v>0.0916544122701242</v>
      </c>
      <c r="Y366" s="112" t="n">
        <f aca="false">(Yield_Originals!$J366*Yield_Originals!Y$1)/Yield_Originals!$K366</f>
        <v>0.0937374670944451</v>
      </c>
      <c r="Z366" s="112" t="n">
        <f aca="false">(Yield_Originals!$J366*Yield_Originals!Z$1)/Yield_Originals!$K366</f>
        <v>0.0958205219187662</v>
      </c>
      <c r="AA366" s="112" t="n">
        <f aca="false">(Yield_Originals!$J366*Yield_Originals!AA$1)/Yield_Originals!$K366</f>
        <v>0.0979035767430871</v>
      </c>
      <c r="AB366" s="112" t="n">
        <f aca="false">(Yield_Originals!$J366*Yield_Originals!AB$1)/Yield_Originals!$K366</f>
        <v>0.0999866315674081</v>
      </c>
    </row>
    <row r="367" customFormat="false" ht="15" hidden="false" customHeight="false" outlineLevel="0" collapsed="false">
      <c r="A367" s="70" t="s">
        <v>744</v>
      </c>
      <c r="B367" s="70" t="n">
        <v>1</v>
      </c>
      <c r="C367" s="103" t="s">
        <v>201</v>
      </c>
      <c r="D367" s="103" t="s">
        <v>743</v>
      </c>
      <c r="E367" s="104" t="n">
        <v>8</v>
      </c>
      <c r="F367" s="106" t="n">
        <v>0.0581503454291415</v>
      </c>
      <c r="G367" s="106" t="n">
        <v>0.0581503454291415</v>
      </c>
      <c r="H367" s="106" t="n">
        <f aca="false">+(Yield_Originals!I367+Yield_Originals!G367)/2</f>
        <v>0.0562894274528054</v>
      </c>
      <c r="I367" s="106" t="n">
        <v>0.0544285094764693</v>
      </c>
      <c r="J367" s="106" t="n">
        <v>0.0555481286485601</v>
      </c>
      <c r="K367" s="107" t="n">
        <v>1</v>
      </c>
      <c r="L367" s="108" t="n">
        <f aca="false">(Yield_Originals!$G367*Yield_Originals!L$1)/Yield_Originals!$K367</f>
        <v>0.0697804145149698</v>
      </c>
      <c r="M367" s="108" t="n">
        <f aca="false">(Yield_Originals!$G367*Yield_Originals!M$1)/Yield_Originals!$K367</f>
        <v>0.0719610524685626</v>
      </c>
      <c r="N367" s="108" t="n">
        <f aca="false">(Yield_Originals!$G367*Yield_Originals!N$1)/Yield_Originals!$K367</f>
        <v>0.0741416904221554</v>
      </c>
      <c r="O367" s="108" t="n">
        <f aca="false">(Yield_Originals!$G367*Yield_Originals!O$1)/Yield_Originals!$K367</f>
        <v>0.0763223283757482</v>
      </c>
      <c r="P367" s="109" t="n">
        <f aca="false">(Yield_Originals!$H367*Yield_Originals!P$1)/Yield_Originals!$K367</f>
        <v>0.0759907270612873</v>
      </c>
      <c r="Q367" s="109" t="n">
        <f aca="false">(Yield_Originals!$H367*Yield_Originals!Q$1)/Yield_Originals!$K367</f>
        <v>0.0781015805907675</v>
      </c>
      <c r="R367" s="109" t="n">
        <f aca="false">(Yield_Originals!$H367*Yield_Originals!R$1)/Yield_Originals!$K367</f>
        <v>0.0802124341202477</v>
      </c>
      <c r="S367" s="109" t="n">
        <f aca="false">(Yield_Originals!$H367*Yield_Originals!S$1)/Yield_Originals!$K367</f>
        <v>0.0823232876497279</v>
      </c>
      <c r="T367" s="111" t="n">
        <f aca="false">(Yield_Originals!$I367*Yield_Originals!T$1)/Yield_Originals!$K367</f>
        <v>0.081642764214704</v>
      </c>
      <c r="U367" s="111" t="n">
        <f aca="false">(Yield_Originals!$I367*Yield_Originals!U$1)/Yield_Originals!$K367</f>
        <v>0.0836838333200716</v>
      </c>
      <c r="V367" s="111" t="n">
        <f aca="false">(Yield_Originals!$I367*Yield_Originals!V$1)/Yield_Originals!$K367</f>
        <v>0.0857249024254392</v>
      </c>
      <c r="W367" s="111" t="n">
        <f aca="false">(Yield_Originals!$I367*Yield_Originals!W$1)/Yield_Originals!$K367</f>
        <v>0.0877659715308067</v>
      </c>
      <c r="X367" s="112" t="n">
        <f aca="false">(Yield_Originals!$J367*Yield_Originals!X$1)/Yield_Originals!$K367</f>
        <v>0.0916544122701242</v>
      </c>
      <c r="Y367" s="112" t="n">
        <f aca="false">(Yield_Originals!$J367*Yield_Originals!Y$1)/Yield_Originals!$K367</f>
        <v>0.0937374670944451</v>
      </c>
      <c r="Z367" s="112" t="n">
        <f aca="false">(Yield_Originals!$J367*Yield_Originals!Z$1)/Yield_Originals!$K367</f>
        <v>0.0958205219187662</v>
      </c>
      <c r="AA367" s="112" t="n">
        <f aca="false">(Yield_Originals!$J367*Yield_Originals!AA$1)/Yield_Originals!$K367</f>
        <v>0.0979035767430871</v>
      </c>
      <c r="AB367" s="112" t="n">
        <f aca="false">(Yield_Originals!$J367*Yield_Originals!AB$1)/Yield_Originals!$K367</f>
        <v>0.0999866315674081</v>
      </c>
    </row>
    <row r="368" customFormat="false" ht="15" hidden="false" customHeight="false" outlineLevel="0" collapsed="false">
      <c r="A368" s="70" t="s">
        <v>744</v>
      </c>
      <c r="B368" s="70" t="n">
        <v>1</v>
      </c>
      <c r="C368" s="103" t="s">
        <v>324</v>
      </c>
      <c r="D368" s="103" t="s">
        <v>746</v>
      </c>
      <c r="E368" s="104" t="n">
        <v>7</v>
      </c>
      <c r="F368" s="106" t="n">
        <v>0.0581503454291415</v>
      </c>
      <c r="G368" s="106" t="n">
        <v>0.0581503454291415</v>
      </c>
      <c r="H368" s="106" t="n">
        <f aca="false">+(Yield_Originals!I368+Yield_Originals!G368)/2</f>
        <v>0.0562894274528054</v>
      </c>
      <c r="I368" s="106" t="n">
        <v>0.0544285094764693</v>
      </c>
      <c r="J368" s="106" t="n">
        <v>0.0555481286485601</v>
      </c>
      <c r="K368" s="107" t="n">
        <v>1</v>
      </c>
      <c r="L368" s="108" t="n">
        <f aca="false">(Yield_Originals!$G368*Yield_Originals!L$1)/Yield_Originals!$K368</f>
        <v>0.0697804145149698</v>
      </c>
      <c r="M368" s="108" t="n">
        <f aca="false">(Yield_Originals!$G368*Yield_Originals!M$1)/Yield_Originals!$K368</f>
        <v>0.0719610524685626</v>
      </c>
      <c r="N368" s="108" t="n">
        <f aca="false">(Yield_Originals!$G368*Yield_Originals!N$1)/Yield_Originals!$K368</f>
        <v>0.0741416904221554</v>
      </c>
      <c r="O368" s="108" t="n">
        <f aca="false">(Yield_Originals!$G368*Yield_Originals!O$1)/Yield_Originals!$K368</f>
        <v>0.0763223283757482</v>
      </c>
      <c r="P368" s="109" t="n">
        <f aca="false">(Yield_Originals!$H368*Yield_Originals!P$1)/Yield_Originals!$K368</f>
        <v>0.0759907270612873</v>
      </c>
      <c r="Q368" s="109" t="n">
        <f aca="false">(Yield_Originals!$H368*Yield_Originals!Q$1)/Yield_Originals!$K368</f>
        <v>0.0781015805907675</v>
      </c>
      <c r="R368" s="109" t="n">
        <f aca="false">(Yield_Originals!$H368*Yield_Originals!R$1)/Yield_Originals!$K368</f>
        <v>0.0802124341202477</v>
      </c>
      <c r="S368" s="109" t="n">
        <f aca="false">(Yield_Originals!$H368*Yield_Originals!S$1)/Yield_Originals!$K368</f>
        <v>0.0823232876497279</v>
      </c>
      <c r="T368" s="111" t="n">
        <f aca="false">(Yield_Originals!$I368*Yield_Originals!T$1)/Yield_Originals!$K368</f>
        <v>0.081642764214704</v>
      </c>
      <c r="U368" s="111" t="n">
        <f aca="false">(Yield_Originals!$I368*Yield_Originals!U$1)/Yield_Originals!$K368</f>
        <v>0.0836838333200716</v>
      </c>
      <c r="V368" s="111" t="n">
        <f aca="false">(Yield_Originals!$I368*Yield_Originals!V$1)/Yield_Originals!$K368</f>
        <v>0.0857249024254392</v>
      </c>
      <c r="W368" s="111" t="n">
        <f aca="false">(Yield_Originals!$I368*Yield_Originals!W$1)/Yield_Originals!$K368</f>
        <v>0.0877659715308067</v>
      </c>
      <c r="X368" s="112" t="n">
        <f aca="false">(Yield_Originals!$J368*Yield_Originals!X$1)/Yield_Originals!$K368</f>
        <v>0.0916544122701242</v>
      </c>
      <c r="Y368" s="112" t="n">
        <f aca="false">(Yield_Originals!$J368*Yield_Originals!Y$1)/Yield_Originals!$K368</f>
        <v>0.0937374670944451</v>
      </c>
      <c r="Z368" s="112" t="n">
        <f aca="false">(Yield_Originals!$J368*Yield_Originals!Z$1)/Yield_Originals!$K368</f>
        <v>0.0958205219187662</v>
      </c>
      <c r="AA368" s="112" t="n">
        <f aca="false">(Yield_Originals!$J368*Yield_Originals!AA$1)/Yield_Originals!$K368</f>
        <v>0.0979035767430871</v>
      </c>
      <c r="AB368" s="112" t="n">
        <f aca="false">(Yield_Originals!$J368*Yield_Originals!AB$1)/Yield_Originals!$K368</f>
        <v>0.0999866315674081</v>
      </c>
    </row>
    <row r="369" customFormat="false" ht="15" hidden="false" customHeight="false" outlineLevel="0" collapsed="false">
      <c r="A369" s="70" t="s">
        <v>744</v>
      </c>
      <c r="B369" s="70" t="n">
        <v>1</v>
      </c>
      <c r="C369" s="103" t="s">
        <v>324</v>
      </c>
      <c r="D369" s="103" t="s">
        <v>746</v>
      </c>
      <c r="E369" s="104" t="n">
        <v>8</v>
      </c>
      <c r="F369" s="106" t="n">
        <v>0.0581503454291415</v>
      </c>
      <c r="G369" s="106" t="n">
        <v>0.0581503454291415</v>
      </c>
      <c r="H369" s="106" t="n">
        <f aca="false">+(Yield_Originals!I369+Yield_Originals!G369)/2</f>
        <v>0.0562894274528054</v>
      </c>
      <c r="I369" s="106" t="n">
        <v>0.0544285094764693</v>
      </c>
      <c r="J369" s="106" t="n">
        <v>0.0555481286485601</v>
      </c>
      <c r="K369" s="107" t="n">
        <v>1</v>
      </c>
      <c r="L369" s="108" t="n">
        <f aca="false">(Yield_Originals!$G369*Yield_Originals!L$1)/Yield_Originals!$K369</f>
        <v>0.0697804145149698</v>
      </c>
      <c r="M369" s="108" t="n">
        <f aca="false">(Yield_Originals!$G369*Yield_Originals!M$1)/Yield_Originals!$K369</f>
        <v>0.0719610524685626</v>
      </c>
      <c r="N369" s="108" t="n">
        <f aca="false">(Yield_Originals!$G369*Yield_Originals!N$1)/Yield_Originals!$K369</f>
        <v>0.0741416904221554</v>
      </c>
      <c r="O369" s="108" t="n">
        <f aca="false">(Yield_Originals!$G369*Yield_Originals!O$1)/Yield_Originals!$K369</f>
        <v>0.0763223283757482</v>
      </c>
      <c r="P369" s="109" t="n">
        <f aca="false">(Yield_Originals!$H369*Yield_Originals!P$1)/Yield_Originals!$K369</f>
        <v>0.0759907270612873</v>
      </c>
      <c r="Q369" s="109" t="n">
        <f aca="false">(Yield_Originals!$H369*Yield_Originals!Q$1)/Yield_Originals!$K369</f>
        <v>0.0781015805907675</v>
      </c>
      <c r="R369" s="109" t="n">
        <f aca="false">(Yield_Originals!$H369*Yield_Originals!R$1)/Yield_Originals!$K369</f>
        <v>0.0802124341202477</v>
      </c>
      <c r="S369" s="109" t="n">
        <f aca="false">(Yield_Originals!$H369*Yield_Originals!S$1)/Yield_Originals!$K369</f>
        <v>0.0823232876497279</v>
      </c>
      <c r="T369" s="111" t="n">
        <f aca="false">(Yield_Originals!$I369*Yield_Originals!T$1)/Yield_Originals!$K369</f>
        <v>0.081642764214704</v>
      </c>
      <c r="U369" s="111" t="n">
        <f aca="false">(Yield_Originals!$I369*Yield_Originals!U$1)/Yield_Originals!$K369</f>
        <v>0.0836838333200716</v>
      </c>
      <c r="V369" s="111" t="n">
        <f aca="false">(Yield_Originals!$I369*Yield_Originals!V$1)/Yield_Originals!$K369</f>
        <v>0.0857249024254392</v>
      </c>
      <c r="W369" s="111" t="n">
        <f aca="false">(Yield_Originals!$I369*Yield_Originals!W$1)/Yield_Originals!$K369</f>
        <v>0.0877659715308067</v>
      </c>
      <c r="X369" s="112" t="n">
        <f aca="false">(Yield_Originals!$J369*Yield_Originals!X$1)/Yield_Originals!$K369</f>
        <v>0.0916544122701242</v>
      </c>
      <c r="Y369" s="112" t="n">
        <f aca="false">(Yield_Originals!$J369*Yield_Originals!Y$1)/Yield_Originals!$K369</f>
        <v>0.0937374670944451</v>
      </c>
      <c r="Z369" s="112" t="n">
        <f aca="false">(Yield_Originals!$J369*Yield_Originals!Z$1)/Yield_Originals!$K369</f>
        <v>0.0958205219187662</v>
      </c>
      <c r="AA369" s="112" t="n">
        <f aca="false">(Yield_Originals!$J369*Yield_Originals!AA$1)/Yield_Originals!$K369</f>
        <v>0.0979035767430871</v>
      </c>
      <c r="AB369" s="112" t="n">
        <f aca="false">(Yield_Originals!$J369*Yield_Originals!AB$1)/Yield_Originals!$K369</f>
        <v>0.0999866315674081</v>
      </c>
    </row>
    <row r="370" customFormat="false" ht="15" hidden="false" customHeight="false" outlineLevel="0" collapsed="false">
      <c r="A370" s="70" t="s">
        <v>744</v>
      </c>
      <c r="B370" s="70" t="n">
        <v>1</v>
      </c>
      <c r="C370" s="103" t="s">
        <v>1121</v>
      </c>
      <c r="D370" s="103" t="s">
        <v>768</v>
      </c>
      <c r="E370" s="104" t="n">
        <v>7</v>
      </c>
      <c r="F370" s="106" t="n">
        <v>0.0581503454291415</v>
      </c>
      <c r="G370" s="106" t="n">
        <v>0.0581503454291415</v>
      </c>
      <c r="H370" s="106" t="n">
        <f aca="false">+(Yield_Originals!I370+Yield_Originals!G370)/2</f>
        <v>0.0562894274528054</v>
      </c>
      <c r="I370" s="106" t="n">
        <v>0.0544285094764693</v>
      </c>
      <c r="J370" s="106" t="n">
        <v>0.0555481286485601</v>
      </c>
      <c r="K370" s="107" t="n">
        <v>1</v>
      </c>
      <c r="L370" s="108" t="n">
        <f aca="false">(Yield_Originals!$G370*Yield_Originals!L$1)/Yield_Originals!$K370</f>
        <v>0.0697804145149698</v>
      </c>
      <c r="M370" s="108" t="n">
        <f aca="false">(Yield_Originals!$G370*Yield_Originals!M$1)/Yield_Originals!$K370</f>
        <v>0.0719610524685626</v>
      </c>
      <c r="N370" s="108" t="n">
        <f aca="false">(Yield_Originals!$G370*Yield_Originals!N$1)/Yield_Originals!$K370</f>
        <v>0.0741416904221554</v>
      </c>
      <c r="O370" s="108" t="n">
        <f aca="false">(Yield_Originals!$G370*Yield_Originals!O$1)/Yield_Originals!$K370</f>
        <v>0.0763223283757482</v>
      </c>
      <c r="P370" s="109" t="n">
        <f aca="false">(Yield_Originals!$H370*Yield_Originals!P$1)/Yield_Originals!$K370</f>
        <v>0.0759907270612873</v>
      </c>
      <c r="Q370" s="109" t="n">
        <f aca="false">(Yield_Originals!$H370*Yield_Originals!Q$1)/Yield_Originals!$K370</f>
        <v>0.0781015805907675</v>
      </c>
      <c r="R370" s="109" t="n">
        <f aca="false">(Yield_Originals!$H370*Yield_Originals!R$1)/Yield_Originals!$K370</f>
        <v>0.0802124341202477</v>
      </c>
      <c r="S370" s="109" t="n">
        <f aca="false">(Yield_Originals!$H370*Yield_Originals!S$1)/Yield_Originals!$K370</f>
        <v>0.0823232876497279</v>
      </c>
      <c r="T370" s="111" t="n">
        <f aca="false">(Yield_Originals!$I370*Yield_Originals!T$1)/Yield_Originals!$K370</f>
        <v>0.081642764214704</v>
      </c>
      <c r="U370" s="111" t="n">
        <f aca="false">(Yield_Originals!$I370*Yield_Originals!U$1)/Yield_Originals!$K370</f>
        <v>0.0836838333200716</v>
      </c>
      <c r="V370" s="111" t="n">
        <f aca="false">(Yield_Originals!$I370*Yield_Originals!V$1)/Yield_Originals!$K370</f>
        <v>0.0857249024254392</v>
      </c>
      <c r="W370" s="111" t="n">
        <f aca="false">(Yield_Originals!$I370*Yield_Originals!W$1)/Yield_Originals!$K370</f>
        <v>0.0877659715308067</v>
      </c>
      <c r="X370" s="112" t="n">
        <f aca="false">(Yield_Originals!$J370*Yield_Originals!X$1)/Yield_Originals!$K370</f>
        <v>0.0916544122701242</v>
      </c>
      <c r="Y370" s="112" t="n">
        <f aca="false">(Yield_Originals!$J370*Yield_Originals!Y$1)/Yield_Originals!$K370</f>
        <v>0.0937374670944451</v>
      </c>
      <c r="Z370" s="112" t="n">
        <f aca="false">(Yield_Originals!$J370*Yield_Originals!Z$1)/Yield_Originals!$K370</f>
        <v>0.0958205219187662</v>
      </c>
      <c r="AA370" s="112" t="n">
        <f aca="false">(Yield_Originals!$J370*Yield_Originals!AA$1)/Yield_Originals!$K370</f>
        <v>0.0979035767430871</v>
      </c>
      <c r="AB370" s="112" t="n">
        <f aca="false">(Yield_Originals!$J370*Yield_Originals!AB$1)/Yield_Originals!$K370</f>
        <v>0.0999866315674081</v>
      </c>
    </row>
    <row r="371" customFormat="false" ht="15" hidden="false" customHeight="false" outlineLevel="0" collapsed="false">
      <c r="A371" s="70" t="s">
        <v>744</v>
      </c>
      <c r="B371" s="70" t="n">
        <v>1</v>
      </c>
      <c r="C371" s="103" t="s">
        <v>1121</v>
      </c>
      <c r="D371" s="103" t="s">
        <v>768</v>
      </c>
      <c r="E371" s="104" t="n">
        <v>8</v>
      </c>
      <c r="F371" s="106" t="n">
        <v>0.0581503454291415</v>
      </c>
      <c r="G371" s="106" t="n">
        <v>0.0581503454291415</v>
      </c>
      <c r="H371" s="106" t="n">
        <f aca="false">+(Yield_Originals!I371+Yield_Originals!G371)/2</f>
        <v>0.0562894274528054</v>
      </c>
      <c r="I371" s="106" t="n">
        <v>0.0544285094764693</v>
      </c>
      <c r="J371" s="106" t="n">
        <v>0.0555481286485601</v>
      </c>
      <c r="K371" s="107" t="n">
        <v>1</v>
      </c>
      <c r="L371" s="108" t="n">
        <f aca="false">(Yield_Originals!$G371*Yield_Originals!L$1)/Yield_Originals!$K371</f>
        <v>0.0697804145149698</v>
      </c>
      <c r="M371" s="108" t="n">
        <f aca="false">(Yield_Originals!$G371*Yield_Originals!M$1)/Yield_Originals!$K371</f>
        <v>0.0719610524685626</v>
      </c>
      <c r="N371" s="108" t="n">
        <f aca="false">(Yield_Originals!$G371*Yield_Originals!N$1)/Yield_Originals!$K371</f>
        <v>0.0741416904221554</v>
      </c>
      <c r="O371" s="108" t="n">
        <f aca="false">(Yield_Originals!$G371*Yield_Originals!O$1)/Yield_Originals!$K371</f>
        <v>0.0763223283757482</v>
      </c>
      <c r="P371" s="109" t="n">
        <f aca="false">(Yield_Originals!$H371*Yield_Originals!P$1)/Yield_Originals!$K371</f>
        <v>0.0759907270612873</v>
      </c>
      <c r="Q371" s="109" t="n">
        <f aca="false">(Yield_Originals!$H371*Yield_Originals!Q$1)/Yield_Originals!$K371</f>
        <v>0.0781015805907675</v>
      </c>
      <c r="R371" s="109" t="n">
        <f aca="false">(Yield_Originals!$H371*Yield_Originals!R$1)/Yield_Originals!$K371</f>
        <v>0.0802124341202477</v>
      </c>
      <c r="S371" s="109" t="n">
        <f aca="false">(Yield_Originals!$H371*Yield_Originals!S$1)/Yield_Originals!$K371</f>
        <v>0.0823232876497279</v>
      </c>
      <c r="T371" s="111" t="n">
        <f aca="false">(Yield_Originals!$I371*Yield_Originals!T$1)/Yield_Originals!$K371</f>
        <v>0.081642764214704</v>
      </c>
      <c r="U371" s="111" t="n">
        <f aca="false">(Yield_Originals!$I371*Yield_Originals!U$1)/Yield_Originals!$K371</f>
        <v>0.0836838333200716</v>
      </c>
      <c r="V371" s="111" t="n">
        <f aca="false">(Yield_Originals!$I371*Yield_Originals!V$1)/Yield_Originals!$K371</f>
        <v>0.0857249024254392</v>
      </c>
      <c r="W371" s="111" t="n">
        <f aca="false">(Yield_Originals!$I371*Yield_Originals!W$1)/Yield_Originals!$K371</f>
        <v>0.0877659715308067</v>
      </c>
      <c r="X371" s="112" t="n">
        <f aca="false">(Yield_Originals!$J371*Yield_Originals!X$1)/Yield_Originals!$K371</f>
        <v>0.0916544122701242</v>
      </c>
      <c r="Y371" s="112" t="n">
        <f aca="false">(Yield_Originals!$J371*Yield_Originals!Y$1)/Yield_Originals!$K371</f>
        <v>0.0937374670944451</v>
      </c>
      <c r="Z371" s="112" t="n">
        <f aca="false">(Yield_Originals!$J371*Yield_Originals!Z$1)/Yield_Originals!$K371</f>
        <v>0.0958205219187662</v>
      </c>
      <c r="AA371" s="112" t="n">
        <f aca="false">(Yield_Originals!$J371*Yield_Originals!AA$1)/Yield_Originals!$K371</f>
        <v>0.0979035767430871</v>
      </c>
      <c r="AB371" s="112" t="n">
        <f aca="false">(Yield_Originals!$J371*Yield_Originals!AB$1)/Yield_Originals!$K371</f>
        <v>0.0999866315674081</v>
      </c>
    </row>
    <row r="372" customFormat="false" ht="15" hidden="false" customHeight="false" outlineLevel="0" collapsed="false">
      <c r="A372" s="70" t="s">
        <v>744</v>
      </c>
      <c r="B372" s="70" t="n">
        <v>1</v>
      </c>
      <c r="C372" s="103" t="s">
        <v>1123</v>
      </c>
      <c r="D372" s="103" t="s">
        <v>753</v>
      </c>
      <c r="E372" s="104" t="n">
        <v>7</v>
      </c>
      <c r="F372" s="106" t="n">
        <v>0.0581503454291415</v>
      </c>
      <c r="G372" s="106" t="n">
        <v>0.0581503454291415</v>
      </c>
      <c r="H372" s="106" t="n">
        <f aca="false">+(Yield_Originals!I372+Yield_Originals!G372)/2</f>
        <v>0.0562894274528054</v>
      </c>
      <c r="I372" s="106" t="n">
        <v>0.0544285094764693</v>
      </c>
      <c r="J372" s="106" t="n">
        <v>0.0555481286485601</v>
      </c>
      <c r="K372" s="107" t="n">
        <v>1</v>
      </c>
      <c r="L372" s="108" t="n">
        <f aca="false">(Yield_Originals!$G372*Yield_Originals!L$1)/Yield_Originals!$K372</f>
        <v>0.0697804145149698</v>
      </c>
      <c r="M372" s="108" t="n">
        <f aca="false">(Yield_Originals!$G372*Yield_Originals!M$1)/Yield_Originals!$K372</f>
        <v>0.0719610524685626</v>
      </c>
      <c r="N372" s="108" t="n">
        <f aca="false">(Yield_Originals!$G372*Yield_Originals!N$1)/Yield_Originals!$K372</f>
        <v>0.0741416904221554</v>
      </c>
      <c r="O372" s="108" t="n">
        <f aca="false">(Yield_Originals!$G372*Yield_Originals!O$1)/Yield_Originals!$K372</f>
        <v>0.0763223283757482</v>
      </c>
      <c r="P372" s="109" t="n">
        <f aca="false">(Yield_Originals!$H372*Yield_Originals!P$1)/Yield_Originals!$K372</f>
        <v>0.0759907270612873</v>
      </c>
      <c r="Q372" s="109" t="n">
        <f aca="false">(Yield_Originals!$H372*Yield_Originals!Q$1)/Yield_Originals!$K372</f>
        <v>0.0781015805907675</v>
      </c>
      <c r="R372" s="109" t="n">
        <f aca="false">(Yield_Originals!$H372*Yield_Originals!R$1)/Yield_Originals!$K372</f>
        <v>0.0802124341202477</v>
      </c>
      <c r="S372" s="109" t="n">
        <f aca="false">(Yield_Originals!$H372*Yield_Originals!S$1)/Yield_Originals!$K372</f>
        <v>0.0823232876497279</v>
      </c>
      <c r="T372" s="111" t="n">
        <f aca="false">(Yield_Originals!$I372*Yield_Originals!T$1)/Yield_Originals!$K372</f>
        <v>0.081642764214704</v>
      </c>
      <c r="U372" s="111" t="n">
        <f aca="false">(Yield_Originals!$I372*Yield_Originals!U$1)/Yield_Originals!$K372</f>
        <v>0.0836838333200716</v>
      </c>
      <c r="V372" s="111" t="n">
        <f aca="false">(Yield_Originals!$I372*Yield_Originals!V$1)/Yield_Originals!$K372</f>
        <v>0.0857249024254392</v>
      </c>
      <c r="W372" s="111" t="n">
        <f aca="false">(Yield_Originals!$I372*Yield_Originals!W$1)/Yield_Originals!$K372</f>
        <v>0.0877659715308067</v>
      </c>
      <c r="X372" s="112" t="n">
        <f aca="false">(Yield_Originals!$J372*Yield_Originals!X$1)/Yield_Originals!$K372</f>
        <v>0.0916544122701242</v>
      </c>
      <c r="Y372" s="112" t="n">
        <f aca="false">(Yield_Originals!$J372*Yield_Originals!Y$1)/Yield_Originals!$K372</f>
        <v>0.0937374670944451</v>
      </c>
      <c r="Z372" s="112" t="n">
        <f aca="false">(Yield_Originals!$J372*Yield_Originals!Z$1)/Yield_Originals!$K372</f>
        <v>0.0958205219187662</v>
      </c>
      <c r="AA372" s="112" t="n">
        <f aca="false">(Yield_Originals!$J372*Yield_Originals!AA$1)/Yield_Originals!$K372</f>
        <v>0.0979035767430871</v>
      </c>
      <c r="AB372" s="112" t="n">
        <f aca="false">(Yield_Originals!$J372*Yield_Originals!AB$1)/Yield_Originals!$K372</f>
        <v>0.0999866315674081</v>
      </c>
    </row>
    <row r="373" customFormat="false" ht="15" hidden="false" customHeight="false" outlineLevel="0" collapsed="false">
      <c r="A373" s="70" t="s">
        <v>744</v>
      </c>
      <c r="B373" s="70" t="n">
        <v>1</v>
      </c>
      <c r="C373" s="103" t="s">
        <v>1123</v>
      </c>
      <c r="D373" s="103" t="s">
        <v>753</v>
      </c>
      <c r="E373" s="104" t="n">
        <v>8</v>
      </c>
      <c r="F373" s="106" t="n">
        <v>0.0581503454291415</v>
      </c>
      <c r="G373" s="106" t="n">
        <v>0.0581503454291415</v>
      </c>
      <c r="H373" s="106" t="n">
        <f aca="false">+(Yield_Originals!I373+Yield_Originals!G373)/2</f>
        <v>0.0562894274528054</v>
      </c>
      <c r="I373" s="106" t="n">
        <v>0.0544285094764693</v>
      </c>
      <c r="J373" s="106" t="n">
        <v>0.0555481286485601</v>
      </c>
      <c r="K373" s="107" t="n">
        <v>1</v>
      </c>
      <c r="L373" s="108" t="n">
        <f aca="false">(Yield_Originals!$G373*Yield_Originals!L$1)/Yield_Originals!$K373</f>
        <v>0.0697804145149698</v>
      </c>
      <c r="M373" s="108" t="n">
        <f aca="false">(Yield_Originals!$G373*Yield_Originals!M$1)/Yield_Originals!$K373</f>
        <v>0.0719610524685626</v>
      </c>
      <c r="N373" s="108" t="n">
        <f aca="false">(Yield_Originals!$G373*Yield_Originals!N$1)/Yield_Originals!$K373</f>
        <v>0.0741416904221554</v>
      </c>
      <c r="O373" s="108" t="n">
        <f aca="false">(Yield_Originals!$G373*Yield_Originals!O$1)/Yield_Originals!$K373</f>
        <v>0.0763223283757482</v>
      </c>
      <c r="P373" s="109" t="n">
        <f aca="false">(Yield_Originals!$H373*Yield_Originals!P$1)/Yield_Originals!$K373</f>
        <v>0.0759907270612873</v>
      </c>
      <c r="Q373" s="109" t="n">
        <f aca="false">(Yield_Originals!$H373*Yield_Originals!Q$1)/Yield_Originals!$K373</f>
        <v>0.0781015805907675</v>
      </c>
      <c r="R373" s="109" t="n">
        <f aca="false">(Yield_Originals!$H373*Yield_Originals!R$1)/Yield_Originals!$K373</f>
        <v>0.0802124341202477</v>
      </c>
      <c r="S373" s="109" t="n">
        <f aca="false">(Yield_Originals!$H373*Yield_Originals!S$1)/Yield_Originals!$K373</f>
        <v>0.0823232876497279</v>
      </c>
      <c r="T373" s="111" t="n">
        <f aca="false">(Yield_Originals!$I373*Yield_Originals!T$1)/Yield_Originals!$K373</f>
        <v>0.081642764214704</v>
      </c>
      <c r="U373" s="111" t="n">
        <f aca="false">(Yield_Originals!$I373*Yield_Originals!U$1)/Yield_Originals!$K373</f>
        <v>0.0836838333200716</v>
      </c>
      <c r="V373" s="111" t="n">
        <f aca="false">(Yield_Originals!$I373*Yield_Originals!V$1)/Yield_Originals!$K373</f>
        <v>0.0857249024254392</v>
      </c>
      <c r="W373" s="111" t="n">
        <f aca="false">(Yield_Originals!$I373*Yield_Originals!W$1)/Yield_Originals!$K373</f>
        <v>0.0877659715308067</v>
      </c>
      <c r="X373" s="112" t="n">
        <f aca="false">(Yield_Originals!$J373*Yield_Originals!X$1)/Yield_Originals!$K373</f>
        <v>0.0916544122701242</v>
      </c>
      <c r="Y373" s="112" t="n">
        <f aca="false">(Yield_Originals!$J373*Yield_Originals!Y$1)/Yield_Originals!$K373</f>
        <v>0.0937374670944451</v>
      </c>
      <c r="Z373" s="112" t="n">
        <f aca="false">(Yield_Originals!$J373*Yield_Originals!Z$1)/Yield_Originals!$K373</f>
        <v>0.0958205219187662</v>
      </c>
      <c r="AA373" s="112" t="n">
        <f aca="false">(Yield_Originals!$J373*Yield_Originals!AA$1)/Yield_Originals!$K373</f>
        <v>0.0979035767430871</v>
      </c>
      <c r="AB373" s="112" t="n">
        <f aca="false">(Yield_Originals!$J373*Yield_Originals!AB$1)/Yield_Originals!$K373</f>
        <v>0.0999866315674081</v>
      </c>
    </row>
    <row r="374" customFormat="false" ht="15" hidden="false" customHeight="false" outlineLevel="0" collapsed="false">
      <c r="A374" s="70" t="s">
        <v>744</v>
      </c>
      <c r="B374" s="70" t="n">
        <v>1</v>
      </c>
      <c r="C374" s="103" t="s">
        <v>1126</v>
      </c>
      <c r="D374" s="103" t="s">
        <v>755</v>
      </c>
      <c r="E374" s="104" t="n">
        <v>7</v>
      </c>
      <c r="F374" s="106" t="n">
        <v>0.0581503454291415</v>
      </c>
      <c r="G374" s="106" t="n">
        <v>0.0581503454291415</v>
      </c>
      <c r="H374" s="106" t="n">
        <f aca="false">+(Yield_Originals!I374+Yield_Originals!G374)/2</f>
        <v>0.0562894274528054</v>
      </c>
      <c r="I374" s="106" t="n">
        <v>0.0544285094764693</v>
      </c>
      <c r="J374" s="106" t="n">
        <v>0.0555481286485601</v>
      </c>
      <c r="K374" s="107" t="n">
        <v>1</v>
      </c>
      <c r="L374" s="108" t="n">
        <f aca="false">(Yield_Originals!$G374*Yield_Originals!L$1)/Yield_Originals!$K374</f>
        <v>0.0697804145149698</v>
      </c>
      <c r="M374" s="108" t="n">
        <f aca="false">(Yield_Originals!$G374*Yield_Originals!M$1)/Yield_Originals!$K374</f>
        <v>0.0719610524685626</v>
      </c>
      <c r="N374" s="108" t="n">
        <f aca="false">(Yield_Originals!$G374*Yield_Originals!N$1)/Yield_Originals!$K374</f>
        <v>0.0741416904221554</v>
      </c>
      <c r="O374" s="108" t="n">
        <f aca="false">(Yield_Originals!$G374*Yield_Originals!O$1)/Yield_Originals!$K374</f>
        <v>0.0763223283757482</v>
      </c>
      <c r="P374" s="109"/>
      <c r="Q374" s="109"/>
      <c r="R374" s="109"/>
      <c r="S374" s="109"/>
      <c r="T374" s="111"/>
      <c r="U374" s="111"/>
      <c r="V374" s="111"/>
      <c r="W374" s="111"/>
      <c r="X374" s="112"/>
      <c r="Y374" s="112"/>
      <c r="Z374" s="112"/>
      <c r="AA374" s="112"/>
      <c r="AB374" s="112"/>
    </row>
    <row r="375" customFormat="false" ht="15" hidden="false" customHeight="false" outlineLevel="0" collapsed="false">
      <c r="A375" s="70" t="s">
        <v>744</v>
      </c>
      <c r="B375" s="70" t="n">
        <v>1</v>
      </c>
      <c r="C375" s="103" t="s">
        <v>1126</v>
      </c>
      <c r="D375" s="103" t="s">
        <v>755</v>
      </c>
      <c r="E375" s="104" t="n">
        <v>8</v>
      </c>
      <c r="F375" s="106" t="n">
        <v>0.0581503454291415</v>
      </c>
      <c r="G375" s="106" t="n">
        <v>0.0581503454291415</v>
      </c>
      <c r="H375" s="106" t="n">
        <f aca="false">+(Yield_Originals!I375+Yield_Originals!G375)/2</f>
        <v>0.0562894274528054</v>
      </c>
      <c r="I375" s="106" t="n">
        <v>0.0544285094764693</v>
      </c>
      <c r="J375" s="106" t="n">
        <v>0.0555481286485601</v>
      </c>
      <c r="K375" s="107" t="n">
        <v>1</v>
      </c>
      <c r="L375" s="108" t="n">
        <f aca="false">(Yield_Originals!$G375*Yield_Originals!L$1)/Yield_Originals!$K375</f>
        <v>0.0697804145149698</v>
      </c>
      <c r="M375" s="108" t="n">
        <f aca="false">(Yield_Originals!$G375*Yield_Originals!M$1)/Yield_Originals!$K375</f>
        <v>0.0719610524685626</v>
      </c>
      <c r="N375" s="108" t="n">
        <f aca="false">(Yield_Originals!$G375*Yield_Originals!N$1)/Yield_Originals!$K375</f>
        <v>0.0741416904221554</v>
      </c>
      <c r="O375" s="108" t="n">
        <f aca="false">(Yield_Originals!$G375*Yield_Originals!O$1)/Yield_Originals!$K375</f>
        <v>0.0763223283757482</v>
      </c>
      <c r="P375" s="109"/>
      <c r="Q375" s="109"/>
      <c r="R375" s="109"/>
      <c r="S375" s="109"/>
      <c r="T375" s="111"/>
      <c r="U375" s="111"/>
      <c r="V375" s="111"/>
      <c r="W375" s="111"/>
      <c r="X375" s="112"/>
      <c r="Y375" s="112"/>
      <c r="Z375" s="112"/>
      <c r="AA375" s="112"/>
      <c r="AB375" s="112"/>
    </row>
    <row r="376" customFormat="false" ht="15" hidden="false" customHeight="false" outlineLevel="0" collapsed="false">
      <c r="A376" s="70" t="s">
        <v>744</v>
      </c>
      <c r="B376" s="70" t="n">
        <v>1</v>
      </c>
      <c r="C376" s="103" t="s">
        <v>1129</v>
      </c>
      <c r="D376" s="103" t="s">
        <v>757</v>
      </c>
      <c r="E376" s="104" t="n">
        <v>7</v>
      </c>
      <c r="F376" s="106" t="n">
        <v>0.0581503454291415</v>
      </c>
      <c r="G376" s="106" t="n">
        <v>0.0581503454291415</v>
      </c>
      <c r="H376" s="106" t="n">
        <f aca="false">+(Yield_Originals!I376+Yield_Originals!G376)/2</f>
        <v>0.0562894274528054</v>
      </c>
      <c r="I376" s="106" t="n">
        <v>0.0544285094764693</v>
      </c>
      <c r="J376" s="106" t="n">
        <v>0.0555481286485601</v>
      </c>
      <c r="K376" s="107" t="n">
        <v>1</v>
      </c>
      <c r="L376" s="108" t="n">
        <f aca="false">(Yield_Originals!$G376*Yield_Originals!L$1)/Yield_Originals!$K376</f>
        <v>0.0697804145149698</v>
      </c>
      <c r="M376" s="108" t="n">
        <f aca="false">(Yield_Originals!$G376*Yield_Originals!M$1)/Yield_Originals!$K376</f>
        <v>0.0719610524685626</v>
      </c>
      <c r="N376" s="108" t="n">
        <f aca="false">(Yield_Originals!$G376*Yield_Originals!N$1)/Yield_Originals!$K376</f>
        <v>0.0741416904221554</v>
      </c>
      <c r="O376" s="108" t="n">
        <f aca="false">(Yield_Originals!$G376*Yield_Originals!O$1)/Yield_Originals!$K376</f>
        <v>0.0763223283757482</v>
      </c>
      <c r="P376" s="109" t="n">
        <f aca="false">(Yield_Originals!$H376*Yield_Originals!P$1)/Yield_Originals!$K376</f>
        <v>0.0759907270612873</v>
      </c>
      <c r="Q376" s="109" t="n">
        <f aca="false">(Yield_Originals!$H376*Yield_Originals!Q$1)/Yield_Originals!$K376</f>
        <v>0.0781015805907675</v>
      </c>
      <c r="R376" s="109" t="n">
        <f aca="false">(Yield_Originals!$H376*Yield_Originals!R$1)/Yield_Originals!$K376</f>
        <v>0.0802124341202477</v>
      </c>
      <c r="S376" s="109" t="n">
        <f aca="false">(Yield_Originals!$H376*Yield_Originals!S$1)/Yield_Originals!$K376</f>
        <v>0.0823232876497279</v>
      </c>
      <c r="T376" s="111" t="n">
        <f aca="false">(Yield_Originals!$I376*Yield_Originals!T$1)/Yield_Originals!$K376</f>
        <v>0.081642764214704</v>
      </c>
      <c r="U376" s="111" t="n">
        <f aca="false">(Yield_Originals!$I376*Yield_Originals!U$1)/Yield_Originals!$K376</f>
        <v>0.0836838333200716</v>
      </c>
      <c r="V376" s="111" t="n">
        <f aca="false">(Yield_Originals!$I376*Yield_Originals!V$1)/Yield_Originals!$K376</f>
        <v>0.0857249024254392</v>
      </c>
      <c r="W376" s="111" t="n">
        <f aca="false">(Yield_Originals!$I376*Yield_Originals!W$1)/Yield_Originals!$K376</f>
        <v>0.0877659715308067</v>
      </c>
      <c r="X376" s="112" t="n">
        <f aca="false">(Yield_Originals!$J376*Yield_Originals!X$1)/Yield_Originals!$K376</f>
        <v>0.0916544122701242</v>
      </c>
      <c r="Y376" s="112" t="n">
        <f aca="false">(Yield_Originals!$J376*Yield_Originals!Y$1)/Yield_Originals!$K376</f>
        <v>0.0937374670944451</v>
      </c>
      <c r="Z376" s="112" t="n">
        <f aca="false">(Yield_Originals!$J376*Yield_Originals!Z$1)/Yield_Originals!$K376</f>
        <v>0.0958205219187662</v>
      </c>
      <c r="AA376" s="112" t="n">
        <f aca="false">(Yield_Originals!$J376*Yield_Originals!AA$1)/Yield_Originals!$K376</f>
        <v>0.0979035767430871</v>
      </c>
      <c r="AB376" s="112" t="n">
        <f aca="false">(Yield_Originals!$J376*Yield_Originals!AB$1)/Yield_Originals!$K376</f>
        <v>0.0999866315674081</v>
      </c>
    </row>
    <row r="377" customFormat="false" ht="15" hidden="false" customHeight="false" outlineLevel="0" collapsed="false">
      <c r="A377" s="70" t="s">
        <v>744</v>
      </c>
      <c r="B377" s="70" t="n">
        <v>1</v>
      </c>
      <c r="C377" s="103" t="s">
        <v>1129</v>
      </c>
      <c r="D377" s="103" t="s">
        <v>757</v>
      </c>
      <c r="E377" s="104" t="n">
        <v>8</v>
      </c>
      <c r="F377" s="106" t="n">
        <v>0.0581503454291415</v>
      </c>
      <c r="G377" s="106" t="n">
        <v>0.0581503454291415</v>
      </c>
      <c r="H377" s="106" t="n">
        <f aca="false">+(Yield_Originals!I377+Yield_Originals!G377)/2</f>
        <v>0.0562894274528054</v>
      </c>
      <c r="I377" s="106" t="n">
        <v>0.0544285094764693</v>
      </c>
      <c r="J377" s="106" t="n">
        <v>0.0555481286485601</v>
      </c>
      <c r="K377" s="107" t="n">
        <v>1</v>
      </c>
      <c r="L377" s="108" t="n">
        <f aca="false">(Yield_Originals!$G377*Yield_Originals!L$1)/Yield_Originals!$K377</f>
        <v>0.0697804145149698</v>
      </c>
      <c r="M377" s="108" t="n">
        <f aca="false">(Yield_Originals!$G377*Yield_Originals!M$1)/Yield_Originals!$K377</f>
        <v>0.0719610524685626</v>
      </c>
      <c r="N377" s="108" t="n">
        <f aca="false">(Yield_Originals!$G377*Yield_Originals!N$1)/Yield_Originals!$K377</f>
        <v>0.0741416904221554</v>
      </c>
      <c r="O377" s="108" t="n">
        <f aca="false">(Yield_Originals!$G377*Yield_Originals!O$1)/Yield_Originals!$K377</f>
        <v>0.0763223283757482</v>
      </c>
      <c r="P377" s="109" t="n">
        <f aca="false">(Yield_Originals!$H377*Yield_Originals!P$1)/Yield_Originals!$K377</f>
        <v>0.0759907270612873</v>
      </c>
      <c r="Q377" s="109" t="n">
        <f aca="false">(Yield_Originals!$H377*Yield_Originals!Q$1)/Yield_Originals!$K377</f>
        <v>0.0781015805907675</v>
      </c>
      <c r="R377" s="109" t="n">
        <f aca="false">(Yield_Originals!$H377*Yield_Originals!R$1)/Yield_Originals!$K377</f>
        <v>0.0802124341202477</v>
      </c>
      <c r="S377" s="109" t="n">
        <f aca="false">(Yield_Originals!$H377*Yield_Originals!S$1)/Yield_Originals!$K377</f>
        <v>0.0823232876497279</v>
      </c>
      <c r="T377" s="111" t="n">
        <f aca="false">(Yield_Originals!$I377*Yield_Originals!T$1)/Yield_Originals!$K377</f>
        <v>0.081642764214704</v>
      </c>
      <c r="U377" s="111" t="n">
        <f aca="false">(Yield_Originals!$I377*Yield_Originals!U$1)/Yield_Originals!$K377</f>
        <v>0.0836838333200716</v>
      </c>
      <c r="V377" s="111" t="n">
        <f aca="false">(Yield_Originals!$I377*Yield_Originals!V$1)/Yield_Originals!$K377</f>
        <v>0.0857249024254392</v>
      </c>
      <c r="W377" s="111" t="n">
        <f aca="false">(Yield_Originals!$I377*Yield_Originals!W$1)/Yield_Originals!$K377</f>
        <v>0.0877659715308067</v>
      </c>
      <c r="X377" s="112" t="n">
        <f aca="false">(Yield_Originals!$J377*Yield_Originals!X$1)/Yield_Originals!$K377</f>
        <v>0.0916544122701242</v>
      </c>
      <c r="Y377" s="112" t="n">
        <f aca="false">(Yield_Originals!$J377*Yield_Originals!Y$1)/Yield_Originals!$K377</f>
        <v>0.0937374670944451</v>
      </c>
      <c r="Z377" s="112" t="n">
        <f aca="false">(Yield_Originals!$J377*Yield_Originals!Z$1)/Yield_Originals!$K377</f>
        <v>0.0958205219187662</v>
      </c>
      <c r="AA377" s="112" t="n">
        <f aca="false">(Yield_Originals!$J377*Yield_Originals!AA$1)/Yield_Originals!$K377</f>
        <v>0.0979035767430871</v>
      </c>
      <c r="AB377" s="112" t="n">
        <f aca="false">(Yield_Originals!$J377*Yield_Originals!AB$1)/Yield_Originals!$K377</f>
        <v>0.0999866315674081</v>
      </c>
    </row>
    <row r="378" customFormat="false" ht="15" hidden="false" customHeight="false" outlineLevel="0" collapsed="false">
      <c r="A378" s="70" t="s">
        <v>744</v>
      </c>
      <c r="B378" s="70" t="n">
        <v>1</v>
      </c>
      <c r="C378" s="103" t="s">
        <v>1131</v>
      </c>
      <c r="D378" s="103" t="s">
        <v>759</v>
      </c>
      <c r="E378" s="104" t="n">
        <v>7</v>
      </c>
      <c r="F378" s="106" t="n">
        <v>0.0581503454291415</v>
      </c>
      <c r="G378" s="106" t="n">
        <v>0.0581503454291415</v>
      </c>
      <c r="H378" s="106" t="n">
        <f aca="false">+(Yield_Originals!I378+Yield_Originals!G378)/2</f>
        <v>0.0562894274528054</v>
      </c>
      <c r="I378" s="106" t="n">
        <v>0.0544285094764693</v>
      </c>
      <c r="J378" s="106" t="n">
        <v>0.0555481286485601</v>
      </c>
      <c r="K378" s="107" t="n">
        <v>1</v>
      </c>
      <c r="L378" s="108" t="n">
        <f aca="false">(Yield_Originals!$G378*Yield_Originals!L$1)/Yield_Originals!$K378</f>
        <v>0.0697804145149698</v>
      </c>
      <c r="M378" s="108" t="n">
        <f aca="false">(Yield_Originals!$G378*Yield_Originals!M$1)/Yield_Originals!$K378</f>
        <v>0.0719610524685626</v>
      </c>
      <c r="N378" s="108" t="n">
        <f aca="false">(Yield_Originals!$G378*Yield_Originals!N$1)/Yield_Originals!$K378</f>
        <v>0.0741416904221554</v>
      </c>
      <c r="O378" s="108" t="n">
        <f aca="false">(Yield_Originals!$G378*Yield_Originals!O$1)/Yield_Originals!$K378</f>
        <v>0.0763223283757482</v>
      </c>
      <c r="P378" s="109" t="n">
        <f aca="false">(Yield_Originals!$H378*Yield_Originals!P$1)/Yield_Originals!$K378</f>
        <v>0.0759907270612873</v>
      </c>
      <c r="Q378" s="109" t="n">
        <f aca="false">(Yield_Originals!$H378*Yield_Originals!Q$1)/Yield_Originals!$K378</f>
        <v>0.0781015805907675</v>
      </c>
      <c r="R378" s="109" t="n">
        <f aca="false">(Yield_Originals!$H378*Yield_Originals!R$1)/Yield_Originals!$K378</f>
        <v>0.0802124341202477</v>
      </c>
      <c r="S378" s="109" t="n">
        <f aca="false">(Yield_Originals!$H378*Yield_Originals!S$1)/Yield_Originals!$K378</f>
        <v>0.0823232876497279</v>
      </c>
      <c r="T378" s="111" t="n">
        <f aca="false">(Yield_Originals!$I378*Yield_Originals!T$1)/Yield_Originals!$K378</f>
        <v>0.081642764214704</v>
      </c>
      <c r="U378" s="111" t="n">
        <f aca="false">(Yield_Originals!$I378*Yield_Originals!U$1)/Yield_Originals!$K378</f>
        <v>0.0836838333200716</v>
      </c>
      <c r="V378" s="111" t="n">
        <f aca="false">(Yield_Originals!$I378*Yield_Originals!V$1)/Yield_Originals!$K378</f>
        <v>0.0857249024254392</v>
      </c>
      <c r="W378" s="111" t="n">
        <f aca="false">(Yield_Originals!$I378*Yield_Originals!W$1)/Yield_Originals!$K378</f>
        <v>0.0877659715308067</v>
      </c>
      <c r="X378" s="112" t="n">
        <f aca="false">(Yield_Originals!$J378*Yield_Originals!X$1)/Yield_Originals!$K378</f>
        <v>0.0916544122701242</v>
      </c>
      <c r="Y378" s="112" t="n">
        <f aca="false">(Yield_Originals!$J378*Yield_Originals!Y$1)/Yield_Originals!$K378</f>
        <v>0.0937374670944451</v>
      </c>
      <c r="Z378" s="112" t="n">
        <f aca="false">(Yield_Originals!$J378*Yield_Originals!Z$1)/Yield_Originals!$K378</f>
        <v>0.0958205219187662</v>
      </c>
      <c r="AA378" s="112" t="n">
        <f aca="false">(Yield_Originals!$J378*Yield_Originals!AA$1)/Yield_Originals!$K378</f>
        <v>0.0979035767430871</v>
      </c>
      <c r="AB378" s="112" t="n">
        <f aca="false">(Yield_Originals!$J378*Yield_Originals!AB$1)/Yield_Originals!$K378</f>
        <v>0.0999866315674081</v>
      </c>
    </row>
    <row r="379" customFormat="false" ht="15" hidden="false" customHeight="false" outlineLevel="0" collapsed="false">
      <c r="A379" s="70" t="s">
        <v>744</v>
      </c>
      <c r="B379" s="70" t="n">
        <v>1</v>
      </c>
      <c r="C379" s="103" t="s">
        <v>1131</v>
      </c>
      <c r="D379" s="103" t="s">
        <v>759</v>
      </c>
      <c r="E379" s="104" t="n">
        <v>8</v>
      </c>
      <c r="F379" s="106" t="n">
        <v>0.0581503454291415</v>
      </c>
      <c r="G379" s="106" t="n">
        <v>0.0581503454291415</v>
      </c>
      <c r="H379" s="106" t="n">
        <f aca="false">+(Yield_Originals!I379+Yield_Originals!G379)/2</f>
        <v>0.0562894274528054</v>
      </c>
      <c r="I379" s="106" t="n">
        <v>0.0544285094764693</v>
      </c>
      <c r="J379" s="106" t="n">
        <v>0.0555481286485601</v>
      </c>
      <c r="K379" s="107" t="n">
        <v>1</v>
      </c>
      <c r="L379" s="108" t="n">
        <f aca="false">(Yield_Originals!$G379*Yield_Originals!L$1)/Yield_Originals!$K379</f>
        <v>0.0697804145149698</v>
      </c>
      <c r="M379" s="108" t="n">
        <f aca="false">(Yield_Originals!$G379*Yield_Originals!M$1)/Yield_Originals!$K379</f>
        <v>0.0719610524685626</v>
      </c>
      <c r="N379" s="108" t="n">
        <f aca="false">(Yield_Originals!$G379*Yield_Originals!N$1)/Yield_Originals!$K379</f>
        <v>0.0741416904221554</v>
      </c>
      <c r="O379" s="108" t="n">
        <f aca="false">(Yield_Originals!$G379*Yield_Originals!O$1)/Yield_Originals!$K379</f>
        <v>0.0763223283757482</v>
      </c>
      <c r="P379" s="109" t="n">
        <f aca="false">(Yield_Originals!$H379*Yield_Originals!P$1)/Yield_Originals!$K379</f>
        <v>0.0759907270612873</v>
      </c>
      <c r="Q379" s="109" t="n">
        <f aca="false">(Yield_Originals!$H379*Yield_Originals!Q$1)/Yield_Originals!$K379</f>
        <v>0.0781015805907675</v>
      </c>
      <c r="R379" s="109" t="n">
        <f aca="false">(Yield_Originals!$H379*Yield_Originals!R$1)/Yield_Originals!$K379</f>
        <v>0.0802124341202477</v>
      </c>
      <c r="S379" s="109" t="n">
        <f aca="false">(Yield_Originals!$H379*Yield_Originals!S$1)/Yield_Originals!$K379</f>
        <v>0.0823232876497279</v>
      </c>
      <c r="T379" s="111" t="n">
        <f aca="false">(Yield_Originals!$I379*Yield_Originals!T$1)/Yield_Originals!$K379</f>
        <v>0.081642764214704</v>
      </c>
      <c r="U379" s="111" t="n">
        <f aca="false">(Yield_Originals!$I379*Yield_Originals!U$1)/Yield_Originals!$K379</f>
        <v>0.0836838333200716</v>
      </c>
      <c r="V379" s="111" t="n">
        <f aca="false">(Yield_Originals!$I379*Yield_Originals!V$1)/Yield_Originals!$K379</f>
        <v>0.0857249024254392</v>
      </c>
      <c r="W379" s="111" t="n">
        <f aca="false">(Yield_Originals!$I379*Yield_Originals!W$1)/Yield_Originals!$K379</f>
        <v>0.0877659715308067</v>
      </c>
      <c r="X379" s="112" t="n">
        <f aca="false">(Yield_Originals!$J379*Yield_Originals!X$1)/Yield_Originals!$K379</f>
        <v>0.0916544122701242</v>
      </c>
      <c r="Y379" s="112" t="n">
        <f aca="false">(Yield_Originals!$J379*Yield_Originals!Y$1)/Yield_Originals!$K379</f>
        <v>0.0937374670944451</v>
      </c>
      <c r="Z379" s="112" t="n">
        <f aca="false">(Yield_Originals!$J379*Yield_Originals!Z$1)/Yield_Originals!$K379</f>
        <v>0.0958205219187662</v>
      </c>
      <c r="AA379" s="112" t="n">
        <f aca="false">(Yield_Originals!$J379*Yield_Originals!AA$1)/Yield_Originals!$K379</f>
        <v>0.0979035767430871</v>
      </c>
      <c r="AB379" s="112" t="n">
        <f aca="false">(Yield_Originals!$J379*Yield_Originals!AB$1)/Yield_Originals!$K379</f>
        <v>0.0999866315674081</v>
      </c>
    </row>
    <row r="380" customFormat="false" ht="15" hidden="false" customHeight="false" outlineLevel="0" collapsed="false">
      <c r="A380" s="70" t="s">
        <v>744</v>
      </c>
      <c r="B380" s="70" t="n">
        <v>1</v>
      </c>
      <c r="C380" s="103" t="s">
        <v>202</v>
      </c>
      <c r="D380" s="103" t="s">
        <v>762</v>
      </c>
      <c r="E380" s="104" t="n">
        <v>7</v>
      </c>
      <c r="F380" s="106" t="n">
        <v>0.0581503454291415</v>
      </c>
      <c r="G380" s="106" t="n">
        <v>0.0581503454291415</v>
      </c>
      <c r="H380" s="106" t="n">
        <f aca="false">+(Yield_Originals!I380+Yield_Originals!G380)/2</f>
        <v>0.0562894274528054</v>
      </c>
      <c r="I380" s="106" t="n">
        <v>0.0544285094764693</v>
      </c>
      <c r="J380" s="106" t="n">
        <v>0.0555481286485601</v>
      </c>
      <c r="K380" s="107" t="n">
        <v>1</v>
      </c>
      <c r="L380" s="108"/>
      <c r="M380" s="108"/>
      <c r="N380" s="108"/>
      <c r="O380" s="108"/>
      <c r="P380" s="109"/>
      <c r="Q380" s="109"/>
      <c r="R380" s="109"/>
      <c r="S380" s="109"/>
      <c r="T380" s="111"/>
      <c r="U380" s="111" t="n">
        <f aca="false">(Yield_Originals!$I380*Yield_Originals!U$1)/Yield_Originals!$K380</f>
        <v>0.0836838333200716</v>
      </c>
      <c r="V380" s="111" t="n">
        <f aca="false">(Yield_Originals!$I380*Yield_Originals!V$1)/Yield_Originals!$K380</f>
        <v>0.0857249024254392</v>
      </c>
      <c r="W380" s="111" t="n">
        <f aca="false">(Yield_Originals!$I380*Yield_Originals!W$1)/Yield_Originals!$K380</f>
        <v>0.0877659715308067</v>
      </c>
      <c r="X380" s="112" t="n">
        <f aca="false">(Yield_Originals!$J380*Yield_Originals!X$1)/Yield_Originals!$K380</f>
        <v>0.0916544122701242</v>
      </c>
      <c r="Y380" s="112" t="n">
        <f aca="false">(Yield_Originals!$J380*Yield_Originals!Y$1)/Yield_Originals!$K380</f>
        <v>0.0937374670944451</v>
      </c>
      <c r="Z380" s="112" t="n">
        <f aca="false">(Yield_Originals!$J380*Yield_Originals!Z$1)/Yield_Originals!$K380</f>
        <v>0.0958205219187662</v>
      </c>
      <c r="AA380" s="112" t="n">
        <f aca="false">(Yield_Originals!$J380*Yield_Originals!AA$1)/Yield_Originals!$K380</f>
        <v>0.0979035767430871</v>
      </c>
      <c r="AB380" s="112" t="n">
        <f aca="false">(Yield_Originals!$J380*Yield_Originals!AB$1)/Yield_Originals!$K380</f>
        <v>0.0999866315674081</v>
      </c>
    </row>
    <row r="381" customFormat="false" ht="15" hidden="false" customHeight="false" outlineLevel="0" collapsed="false">
      <c r="A381" s="70" t="s">
        <v>744</v>
      </c>
      <c r="B381" s="70" t="n">
        <v>1</v>
      </c>
      <c r="C381" s="103" t="s">
        <v>202</v>
      </c>
      <c r="D381" s="103" t="s">
        <v>762</v>
      </c>
      <c r="E381" s="104" t="n">
        <v>8</v>
      </c>
      <c r="F381" s="106" t="n">
        <v>0.0581503454291415</v>
      </c>
      <c r="G381" s="106" t="n">
        <v>0.0581503454291415</v>
      </c>
      <c r="H381" s="106" t="n">
        <f aca="false">+(Yield_Originals!I381+Yield_Originals!G381)/2</f>
        <v>0.0562894274528054</v>
      </c>
      <c r="I381" s="106" t="n">
        <v>0.0544285094764693</v>
      </c>
      <c r="J381" s="106" t="n">
        <v>0.0555481286485601</v>
      </c>
      <c r="K381" s="107" t="n">
        <v>1</v>
      </c>
      <c r="L381" s="108"/>
      <c r="M381" s="108"/>
      <c r="N381" s="108"/>
      <c r="O381" s="108"/>
      <c r="P381" s="109"/>
      <c r="Q381" s="109"/>
      <c r="R381" s="109"/>
      <c r="S381" s="109"/>
      <c r="T381" s="111"/>
      <c r="U381" s="111" t="n">
        <f aca="false">(Yield_Originals!$I381*Yield_Originals!U$1)/Yield_Originals!$K381</f>
        <v>0.0836838333200716</v>
      </c>
      <c r="V381" s="111" t="n">
        <f aca="false">(Yield_Originals!$I381*Yield_Originals!V$1)/Yield_Originals!$K381</f>
        <v>0.0857249024254392</v>
      </c>
      <c r="W381" s="111" t="n">
        <f aca="false">(Yield_Originals!$I381*Yield_Originals!W$1)/Yield_Originals!$K381</f>
        <v>0.0877659715308067</v>
      </c>
      <c r="X381" s="112" t="n">
        <f aca="false">(Yield_Originals!$J381*Yield_Originals!X$1)/Yield_Originals!$K381</f>
        <v>0.0916544122701242</v>
      </c>
      <c r="Y381" s="112" t="n">
        <f aca="false">(Yield_Originals!$J381*Yield_Originals!Y$1)/Yield_Originals!$K381</f>
        <v>0.0937374670944451</v>
      </c>
      <c r="Z381" s="112" t="n">
        <f aca="false">(Yield_Originals!$J381*Yield_Originals!Z$1)/Yield_Originals!$K381</f>
        <v>0.0958205219187662</v>
      </c>
      <c r="AA381" s="112" t="n">
        <f aca="false">(Yield_Originals!$J381*Yield_Originals!AA$1)/Yield_Originals!$K381</f>
        <v>0.0979035767430871</v>
      </c>
      <c r="AB381" s="112" t="n">
        <f aca="false">(Yield_Originals!$J381*Yield_Originals!AB$1)/Yield_Originals!$K381</f>
        <v>0.0999866315674081</v>
      </c>
    </row>
    <row r="382" customFormat="false" ht="15" hidden="false" customHeight="false" outlineLevel="0" collapsed="false">
      <c r="A382" s="70" t="s">
        <v>744</v>
      </c>
      <c r="B382" s="70" t="n">
        <v>1</v>
      </c>
      <c r="C382" s="103" t="s">
        <v>1137</v>
      </c>
      <c r="D382" s="103" t="s">
        <v>765</v>
      </c>
      <c r="E382" s="104" t="n">
        <v>7</v>
      </c>
      <c r="F382" s="106" t="n">
        <v>0.0581503454291415</v>
      </c>
      <c r="G382" s="106" t="n">
        <v>0.0581503454291415</v>
      </c>
      <c r="H382" s="106" t="n">
        <f aca="false">+(Yield_Originals!I382+Yield_Originals!G382)/2</f>
        <v>0.0562894274528054</v>
      </c>
      <c r="I382" s="106" t="n">
        <v>0.0544285094764693</v>
      </c>
      <c r="J382" s="106" t="n">
        <v>0.0555481286485601</v>
      </c>
      <c r="K382" s="107" t="n">
        <v>1</v>
      </c>
      <c r="L382" s="108"/>
      <c r="M382" s="108"/>
      <c r="N382" s="108"/>
      <c r="O382" s="108"/>
      <c r="P382" s="109"/>
      <c r="Q382" s="109"/>
      <c r="R382" s="109"/>
      <c r="S382" s="109"/>
      <c r="T382" s="111"/>
      <c r="U382" s="111" t="n">
        <f aca="false">(Yield_Originals!$I382*Yield_Originals!U$1)/Yield_Originals!$K382</f>
        <v>0.0836838333200716</v>
      </c>
      <c r="V382" s="111" t="n">
        <f aca="false">(Yield_Originals!$I382*Yield_Originals!V$1)/Yield_Originals!$K382</f>
        <v>0.0857249024254392</v>
      </c>
      <c r="W382" s="111" t="n">
        <f aca="false">(Yield_Originals!$I382*Yield_Originals!W$1)/Yield_Originals!$K382</f>
        <v>0.0877659715308067</v>
      </c>
      <c r="X382" s="112" t="n">
        <f aca="false">(Yield_Originals!$J382*Yield_Originals!X$1)/Yield_Originals!$K382</f>
        <v>0.0916544122701242</v>
      </c>
      <c r="Y382" s="112" t="n">
        <f aca="false">(Yield_Originals!$J382*Yield_Originals!Y$1)/Yield_Originals!$K382</f>
        <v>0.0937374670944451</v>
      </c>
      <c r="Z382" s="112" t="n">
        <f aca="false">(Yield_Originals!$J382*Yield_Originals!Z$1)/Yield_Originals!$K382</f>
        <v>0.0958205219187662</v>
      </c>
      <c r="AA382" s="112" t="n">
        <f aca="false">(Yield_Originals!$J382*Yield_Originals!AA$1)/Yield_Originals!$K382</f>
        <v>0.0979035767430871</v>
      </c>
      <c r="AB382" s="112" t="n">
        <f aca="false">(Yield_Originals!$J382*Yield_Originals!AB$1)/Yield_Originals!$K382</f>
        <v>0.0999866315674081</v>
      </c>
    </row>
    <row r="383" customFormat="false" ht="15" hidden="false" customHeight="false" outlineLevel="0" collapsed="false">
      <c r="A383" s="70" t="s">
        <v>744</v>
      </c>
      <c r="B383" s="70" t="n">
        <v>1</v>
      </c>
      <c r="C383" s="103" t="s">
        <v>1137</v>
      </c>
      <c r="D383" s="103" t="s">
        <v>765</v>
      </c>
      <c r="E383" s="104" t="n">
        <v>8</v>
      </c>
      <c r="F383" s="106" t="n">
        <v>0.0581503454291415</v>
      </c>
      <c r="G383" s="106" t="n">
        <v>0.0581503454291415</v>
      </c>
      <c r="H383" s="106" t="n">
        <f aca="false">+(Yield_Originals!I383+Yield_Originals!G383)/2</f>
        <v>0.0562894274528054</v>
      </c>
      <c r="I383" s="106" t="n">
        <v>0.0544285094764693</v>
      </c>
      <c r="J383" s="106" t="n">
        <v>0.0555481286485601</v>
      </c>
      <c r="K383" s="107" t="n">
        <v>1</v>
      </c>
      <c r="L383" s="108"/>
      <c r="M383" s="108"/>
      <c r="N383" s="108"/>
      <c r="O383" s="108"/>
      <c r="P383" s="109"/>
      <c r="Q383" s="109"/>
      <c r="R383" s="109"/>
      <c r="S383" s="109"/>
      <c r="T383" s="111"/>
      <c r="U383" s="111" t="n">
        <f aca="false">(Yield_Originals!$I383*Yield_Originals!U$1)/Yield_Originals!$K383</f>
        <v>0.0836838333200716</v>
      </c>
      <c r="V383" s="111" t="n">
        <f aca="false">(Yield_Originals!$I383*Yield_Originals!V$1)/Yield_Originals!$K383</f>
        <v>0.0857249024254392</v>
      </c>
      <c r="W383" s="111" t="n">
        <f aca="false">(Yield_Originals!$I383*Yield_Originals!W$1)/Yield_Originals!$K383</f>
        <v>0.0877659715308067</v>
      </c>
      <c r="X383" s="112" t="n">
        <f aca="false">(Yield_Originals!$J383*Yield_Originals!X$1)/Yield_Originals!$K383</f>
        <v>0.0916544122701242</v>
      </c>
      <c r="Y383" s="112" t="n">
        <f aca="false">(Yield_Originals!$J383*Yield_Originals!Y$1)/Yield_Originals!$K383</f>
        <v>0.0937374670944451</v>
      </c>
      <c r="Z383" s="112" t="n">
        <f aca="false">(Yield_Originals!$J383*Yield_Originals!Z$1)/Yield_Originals!$K383</f>
        <v>0.0958205219187662</v>
      </c>
      <c r="AA383" s="112" t="n">
        <f aca="false">(Yield_Originals!$J383*Yield_Originals!AA$1)/Yield_Originals!$K383</f>
        <v>0.0979035767430871</v>
      </c>
      <c r="AB383" s="112" t="n">
        <f aca="false">(Yield_Originals!$J383*Yield_Originals!AB$1)/Yield_Originals!$K383</f>
        <v>0.0999866315674081</v>
      </c>
    </row>
    <row r="384" customFormat="false" ht="15" hidden="false" customHeight="false" outlineLevel="0" collapsed="false">
      <c r="A384" s="70" t="s">
        <v>772</v>
      </c>
      <c r="B384" s="70" t="n">
        <v>1</v>
      </c>
      <c r="C384" s="103" t="s">
        <v>1139</v>
      </c>
      <c r="D384" s="103" t="s">
        <v>778</v>
      </c>
      <c r="E384" s="104" t="n">
        <v>8</v>
      </c>
      <c r="F384" s="106" t="n">
        <v>0.0348902228389165</v>
      </c>
      <c r="G384" s="106" t="n">
        <v>0.0348902228389165</v>
      </c>
      <c r="H384" s="106" t="n">
        <f aca="false">+(Yield_Originals!I384+Yield_Originals!G384)/2</f>
        <v>0.0342887375100484</v>
      </c>
      <c r="I384" s="106" t="n">
        <v>0.0336872521811804</v>
      </c>
      <c r="J384" s="106" t="n">
        <v>0.0344058354486358</v>
      </c>
      <c r="K384" s="107" t="n">
        <v>1</v>
      </c>
      <c r="L384" s="108"/>
      <c r="M384" s="108"/>
      <c r="N384" s="108"/>
      <c r="O384" s="108"/>
      <c r="P384" s="109"/>
      <c r="Q384" s="109"/>
      <c r="R384" s="109"/>
      <c r="S384" s="109"/>
      <c r="T384" s="111"/>
      <c r="U384" s="111" t="n">
        <f aca="false">(Yield_Originals!$I384*Yield_Originals!U$1)/Yield_Originals!$K384</f>
        <v>0.0517941502285649</v>
      </c>
      <c r="V384" s="111" t="n">
        <f aca="false">(Yield_Originals!$I384*Yield_Originals!V$1)/Yield_Originals!$K384</f>
        <v>0.0530574221853591</v>
      </c>
      <c r="W384" s="111" t="n">
        <f aca="false">(Yield_Originals!$I384*Yield_Originals!W$1)/Yield_Originals!$K384</f>
        <v>0.0543206941421534</v>
      </c>
      <c r="X384" s="112" t="n">
        <f aca="false">(Yield_Originals!$J384*Yield_Originals!X$1)/Yield_Originals!$K384</f>
        <v>0.0567696284902491</v>
      </c>
      <c r="Y384" s="112" t="n">
        <f aca="false">(Yield_Originals!$J384*Yield_Originals!Y$1)/Yield_Originals!$K384</f>
        <v>0.0580598473195729</v>
      </c>
      <c r="Z384" s="112" t="n">
        <f aca="false">(Yield_Originals!$J384*Yield_Originals!Z$1)/Yield_Originals!$K384</f>
        <v>0.0593500661488967</v>
      </c>
      <c r="AA384" s="112" t="n">
        <f aca="false">(Yield_Originals!$J384*Yield_Originals!AA$1)/Yield_Originals!$K384</f>
        <v>0.0606402849782206</v>
      </c>
      <c r="AB384" s="112" t="n">
        <f aca="false">(Yield_Originals!$J384*Yield_Originals!AB$1)/Yield_Originals!$K384</f>
        <v>0.0619305038075444</v>
      </c>
    </row>
    <row r="385" customFormat="false" ht="15" hidden="false" customHeight="false" outlineLevel="0" collapsed="false">
      <c r="A385" s="70" t="s">
        <v>772</v>
      </c>
      <c r="B385" s="70" t="n">
        <v>1</v>
      </c>
      <c r="C385" s="103" t="s">
        <v>1142</v>
      </c>
      <c r="D385" s="103" t="s">
        <v>780</v>
      </c>
      <c r="E385" s="104" t="n">
        <v>8</v>
      </c>
      <c r="F385" s="106" t="n">
        <v>0.0348902228389165</v>
      </c>
      <c r="G385" s="106" t="n">
        <v>0.0348902228389165</v>
      </c>
      <c r="H385" s="106" t="n">
        <f aca="false">+(Yield_Originals!I385+Yield_Originals!G385)/2</f>
        <v>0.0342887375100484</v>
      </c>
      <c r="I385" s="106" t="n">
        <v>0.0336872521811804</v>
      </c>
      <c r="J385" s="106" t="n">
        <v>0.0344058354486358</v>
      </c>
      <c r="K385" s="107" t="n">
        <v>1</v>
      </c>
      <c r="L385" s="108" t="n">
        <f aca="false">(Yield_Originals!$G385*Yield_Originals!L$1)/Yield_Originals!$K385</f>
        <v>0.0418682674066998</v>
      </c>
      <c r="M385" s="108" t="n">
        <f aca="false">(Yield_Originals!$G385*Yield_Originals!M$1)/Yield_Originals!$K385</f>
        <v>0.0431766507631592</v>
      </c>
      <c r="N385" s="108" t="n">
        <f aca="false">(Yield_Originals!$G385*Yield_Originals!N$1)/Yield_Originals!$K385</f>
        <v>0.0444850341196185</v>
      </c>
      <c r="O385" s="108" t="n">
        <f aca="false">(Yield_Originals!$G385*Yield_Originals!O$1)/Yield_Originals!$K385</f>
        <v>0.0457934174760779</v>
      </c>
      <c r="P385" s="109" t="n">
        <f aca="false">(Yield_Originals!$H385*Yield_Originals!P$1)/Yield_Originals!$K385</f>
        <v>0.0462897956385654</v>
      </c>
      <c r="Q385" s="109" t="n">
        <f aca="false">(Yield_Originals!$H385*Yield_Originals!Q$1)/Yield_Originals!$K385</f>
        <v>0.0475756232951922</v>
      </c>
      <c r="R385" s="109" t="n">
        <f aca="false">(Yield_Originals!$H385*Yield_Originals!R$1)/Yield_Originals!$K385</f>
        <v>0.0488614509518191</v>
      </c>
      <c r="S385" s="109" t="n">
        <f aca="false">(Yield_Originals!$H385*Yield_Originals!S$1)/Yield_Originals!$K385</f>
        <v>0.0501472786084459</v>
      </c>
      <c r="T385" s="111" t="n">
        <f aca="false">(Yield_Originals!$I385*Yield_Originals!T$1)/Yield_Originals!$K385</f>
        <v>0.0505308782717706</v>
      </c>
      <c r="U385" s="111" t="n">
        <f aca="false">(Yield_Originals!$I385*Yield_Originals!U$1)/Yield_Originals!$K385</f>
        <v>0.0517941502285649</v>
      </c>
      <c r="V385" s="111" t="n">
        <f aca="false">(Yield_Originals!$I385*Yield_Originals!V$1)/Yield_Originals!$K385</f>
        <v>0.0530574221853591</v>
      </c>
      <c r="W385" s="111" t="n">
        <f aca="false">(Yield_Originals!$I385*Yield_Originals!W$1)/Yield_Originals!$K385</f>
        <v>0.0543206941421534</v>
      </c>
      <c r="X385" s="112" t="n">
        <f aca="false">(Yield_Originals!$J385*Yield_Originals!X$1)/Yield_Originals!$K385</f>
        <v>0.0567696284902491</v>
      </c>
      <c r="Y385" s="112" t="n">
        <f aca="false">(Yield_Originals!$J385*Yield_Originals!Y$1)/Yield_Originals!$K385</f>
        <v>0.0580598473195729</v>
      </c>
      <c r="Z385" s="112" t="n">
        <f aca="false">(Yield_Originals!$J385*Yield_Originals!Z$1)/Yield_Originals!$K385</f>
        <v>0.0593500661488967</v>
      </c>
      <c r="AA385" s="112" t="n">
        <f aca="false">(Yield_Originals!$J385*Yield_Originals!AA$1)/Yield_Originals!$K385</f>
        <v>0.0606402849782206</v>
      </c>
      <c r="AB385" s="112" t="n">
        <f aca="false">(Yield_Originals!$J385*Yield_Originals!AB$1)/Yield_Originals!$K385</f>
        <v>0.0619305038075444</v>
      </c>
    </row>
    <row r="386" customFormat="false" ht="15" hidden="false" customHeight="false" outlineLevel="0" collapsed="false">
      <c r="A386" s="70" t="s">
        <v>772</v>
      </c>
      <c r="B386" s="70" t="n">
        <v>1</v>
      </c>
      <c r="C386" s="103" t="s">
        <v>1145</v>
      </c>
      <c r="D386" s="103" t="s">
        <v>782</v>
      </c>
      <c r="E386" s="104" t="n">
        <v>8</v>
      </c>
      <c r="F386" s="106" t="n">
        <v>0.0348902228389165</v>
      </c>
      <c r="G386" s="106" t="n">
        <v>0.0348902228389165</v>
      </c>
      <c r="H386" s="106" t="n">
        <f aca="false">+(Yield_Originals!I386+Yield_Originals!G386)/2</f>
        <v>0.0342887375100484</v>
      </c>
      <c r="I386" s="106" t="n">
        <v>0.0336872521811804</v>
      </c>
      <c r="J386" s="106" t="n">
        <v>0.0344058354486358</v>
      </c>
      <c r="K386" s="107" t="n">
        <v>1</v>
      </c>
      <c r="L386" s="108" t="n">
        <f aca="false">(Yield_Originals!$G386*Yield_Originals!L$1)/Yield_Originals!$K386</f>
        <v>0.0418682674066998</v>
      </c>
      <c r="M386" s="108" t="n">
        <f aca="false">(Yield_Originals!$G386*Yield_Originals!M$1)/Yield_Originals!$K386</f>
        <v>0.0431766507631592</v>
      </c>
      <c r="N386" s="108" t="n">
        <f aca="false">(Yield_Originals!$G386*Yield_Originals!N$1)/Yield_Originals!$K386</f>
        <v>0.0444850341196185</v>
      </c>
      <c r="O386" s="108" t="n">
        <f aca="false">(Yield_Originals!$G386*Yield_Originals!O$1)/Yield_Originals!$K386</f>
        <v>0.0457934174760779</v>
      </c>
      <c r="P386" s="109" t="n">
        <f aca="false">(Yield_Originals!$H386*Yield_Originals!P$1)/Yield_Originals!$K386</f>
        <v>0.0462897956385654</v>
      </c>
      <c r="Q386" s="109" t="n">
        <f aca="false">(Yield_Originals!$H386*Yield_Originals!Q$1)/Yield_Originals!$K386</f>
        <v>0.0475756232951922</v>
      </c>
      <c r="R386" s="109" t="n">
        <f aca="false">(Yield_Originals!$H386*Yield_Originals!R$1)/Yield_Originals!$K386</f>
        <v>0.0488614509518191</v>
      </c>
      <c r="S386" s="109" t="n">
        <f aca="false">(Yield_Originals!$H386*Yield_Originals!S$1)/Yield_Originals!$K386</f>
        <v>0.0501472786084459</v>
      </c>
      <c r="T386" s="111" t="n">
        <f aca="false">(Yield_Originals!$I386*Yield_Originals!T$1)/Yield_Originals!$K386</f>
        <v>0.0505308782717706</v>
      </c>
      <c r="U386" s="111" t="n">
        <f aca="false">(Yield_Originals!$I386*Yield_Originals!U$1)/Yield_Originals!$K386</f>
        <v>0.0517941502285649</v>
      </c>
      <c r="V386" s="111" t="n">
        <f aca="false">(Yield_Originals!$I386*Yield_Originals!V$1)/Yield_Originals!$K386</f>
        <v>0.0530574221853591</v>
      </c>
      <c r="W386" s="111" t="n">
        <f aca="false">(Yield_Originals!$I386*Yield_Originals!W$1)/Yield_Originals!$K386</f>
        <v>0.0543206941421534</v>
      </c>
      <c r="X386" s="112" t="n">
        <f aca="false">(Yield_Originals!$J386*Yield_Originals!X$1)/Yield_Originals!$K386</f>
        <v>0.0567696284902491</v>
      </c>
      <c r="Y386" s="112" t="n">
        <f aca="false">(Yield_Originals!$J386*Yield_Originals!Y$1)/Yield_Originals!$K386</f>
        <v>0.0580598473195729</v>
      </c>
      <c r="Z386" s="112" t="n">
        <f aca="false">(Yield_Originals!$J386*Yield_Originals!Z$1)/Yield_Originals!$K386</f>
        <v>0.0593500661488967</v>
      </c>
      <c r="AA386" s="112" t="n">
        <f aca="false">(Yield_Originals!$J386*Yield_Originals!AA$1)/Yield_Originals!$K386</f>
        <v>0.0606402849782206</v>
      </c>
      <c r="AB386" s="112" t="n">
        <f aca="false">(Yield_Originals!$J386*Yield_Originals!AB$1)/Yield_Originals!$K386</f>
        <v>0.0619305038075444</v>
      </c>
    </row>
    <row r="387" customFormat="false" ht="15" hidden="false" customHeight="false" outlineLevel="0" collapsed="false">
      <c r="A387" s="70" t="s">
        <v>772</v>
      </c>
      <c r="B387" s="70" t="n">
        <v>1</v>
      </c>
      <c r="C387" s="103" t="s">
        <v>203</v>
      </c>
      <c r="D387" s="103" t="s">
        <v>771</v>
      </c>
      <c r="E387" s="104" t="n">
        <v>8</v>
      </c>
      <c r="F387" s="106" t="n">
        <v>0.0348902228389165</v>
      </c>
      <c r="G387" s="106" t="n">
        <v>0.0348902228389165</v>
      </c>
      <c r="H387" s="106" t="n">
        <f aca="false">+(Yield_Originals!I387+Yield_Originals!G387)/2</f>
        <v>0.0342887375100484</v>
      </c>
      <c r="I387" s="106" t="n">
        <v>0.0336872521811804</v>
      </c>
      <c r="J387" s="106" t="n">
        <v>0.0344058354486358</v>
      </c>
      <c r="K387" s="107" t="n">
        <v>1</v>
      </c>
      <c r="L387" s="108" t="n">
        <f aca="false">(Yield_Originals!$G387*Yield_Originals!L$1)/Yield_Originals!$K387</f>
        <v>0.0418682674066998</v>
      </c>
      <c r="M387" s="108" t="n">
        <f aca="false">(Yield_Originals!$G387*Yield_Originals!M$1)/Yield_Originals!$K387</f>
        <v>0.0431766507631592</v>
      </c>
      <c r="N387" s="108" t="n">
        <f aca="false">(Yield_Originals!$G387*Yield_Originals!N$1)/Yield_Originals!$K387</f>
        <v>0.0444850341196185</v>
      </c>
      <c r="O387" s="108" t="n">
        <f aca="false">(Yield_Originals!$G387*Yield_Originals!O$1)/Yield_Originals!$K387</f>
        <v>0.0457934174760779</v>
      </c>
      <c r="P387" s="109" t="n">
        <f aca="false">(Yield_Originals!$H387*Yield_Originals!P$1)/Yield_Originals!$K387</f>
        <v>0.0462897956385654</v>
      </c>
      <c r="Q387" s="109" t="n">
        <f aca="false">(Yield_Originals!$H387*Yield_Originals!Q$1)/Yield_Originals!$K387</f>
        <v>0.0475756232951922</v>
      </c>
      <c r="R387" s="109" t="n">
        <f aca="false">(Yield_Originals!$H387*Yield_Originals!R$1)/Yield_Originals!$K387</f>
        <v>0.0488614509518191</v>
      </c>
      <c r="S387" s="109" t="n">
        <f aca="false">(Yield_Originals!$H387*Yield_Originals!S$1)/Yield_Originals!$K387</f>
        <v>0.0501472786084459</v>
      </c>
      <c r="T387" s="111" t="n">
        <f aca="false">(Yield_Originals!$I387*Yield_Originals!T$1)/Yield_Originals!$K387</f>
        <v>0.0505308782717706</v>
      </c>
      <c r="U387" s="111" t="n">
        <f aca="false">(Yield_Originals!$I387*Yield_Originals!U$1)/Yield_Originals!$K387</f>
        <v>0.0517941502285649</v>
      </c>
      <c r="V387" s="111" t="n">
        <f aca="false">(Yield_Originals!$I387*Yield_Originals!V$1)/Yield_Originals!$K387</f>
        <v>0.0530574221853591</v>
      </c>
      <c r="W387" s="111" t="n">
        <f aca="false">(Yield_Originals!$I387*Yield_Originals!W$1)/Yield_Originals!$K387</f>
        <v>0.0543206941421534</v>
      </c>
      <c r="X387" s="112" t="n">
        <f aca="false">(Yield_Originals!$J387*Yield_Originals!X$1)/Yield_Originals!$K387</f>
        <v>0.0567696284902491</v>
      </c>
      <c r="Y387" s="112" t="n">
        <f aca="false">(Yield_Originals!$J387*Yield_Originals!Y$1)/Yield_Originals!$K387</f>
        <v>0.0580598473195729</v>
      </c>
      <c r="Z387" s="112" t="n">
        <f aca="false">(Yield_Originals!$J387*Yield_Originals!Z$1)/Yield_Originals!$K387</f>
        <v>0.0593500661488967</v>
      </c>
      <c r="AA387" s="112" t="n">
        <f aca="false">(Yield_Originals!$J387*Yield_Originals!AA$1)/Yield_Originals!$K387</f>
        <v>0.0606402849782206</v>
      </c>
      <c r="AB387" s="112" t="n">
        <f aca="false">(Yield_Originals!$J387*Yield_Originals!AB$1)/Yield_Originals!$K387</f>
        <v>0.0619305038075444</v>
      </c>
    </row>
    <row r="388" customFormat="false" ht="15" hidden="false" customHeight="false" outlineLevel="0" collapsed="false">
      <c r="A388" s="70" t="s">
        <v>772</v>
      </c>
      <c r="B388" s="70" t="n">
        <v>1</v>
      </c>
      <c r="C388" s="103" t="s">
        <v>325</v>
      </c>
      <c r="D388" s="103" t="s">
        <v>775</v>
      </c>
      <c r="E388" s="104" t="n">
        <v>8</v>
      </c>
      <c r="F388" s="106" t="n">
        <v>0.0348902228389165</v>
      </c>
      <c r="G388" s="106" t="n">
        <v>0.0348902228389165</v>
      </c>
      <c r="H388" s="106" t="n">
        <f aca="false">+(Yield_Originals!I388+Yield_Originals!G388)/2</f>
        <v>0.0342887375100484</v>
      </c>
      <c r="I388" s="106" t="n">
        <v>0.0336872521811804</v>
      </c>
      <c r="J388" s="106" t="n">
        <v>0.0344058354486358</v>
      </c>
      <c r="K388" s="107" t="n">
        <v>1</v>
      </c>
      <c r="L388" s="108" t="n">
        <f aca="false">(Yield_Originals!$G388*Yield_Originals!L$1)/Yield_Originals!$K388</f>
        <v>0.0418682674066998</v>
      </c>
      <c r="M388" s="108" t="n">
        <f aca="false">(Yield_Originals!$G388*Yield_Originals!M$1)/Yield_Originals!$K388</f>
        <v>0.0431766507631592</v>
      </c>
      <c r="N388" s="108" t="n">
        <f aca="false">(Yield_Originals!$G388*Yield_Originals!N$1)/Yield_Originals!$K388</f>
        <v>0.0444850341196185</v>
      </c>
      <c r="O388" s="108" t="n">
        <f aca="false">(Yield_Originals!$G388*Yield_Originals!O$1)/Yield_Originals!$K388</f>
        <v>0.0457934174760779</v>
      </c>
      <c r="P388" s="109" t="n">
        <f aca="false">(Yield_Originals!$H388*Yield_Originals!P$1)/Yield_Originals!$K388</f>
        <v>0.0462897956385654</v>
      </c>
      <c r="Q388" s="109" t="n">
        <f aca="false">(Yield_Originals!$H388*Yield_Originals!Q$1)/Yield_Originals!$K388</f>
        <v>0.0475756232951922</v>
      </c>
      <c r="R388" s="109" t="n">
        <f aca="false">(Yield_Originals!$H388*Yield_Originals!R$1)/Yield_Originals!$K388</f>
        <v>0.0488614509518191</v>
      </c>
      <c r="S388" s="109" t="n">
        <f aca="false">(Yield_Originals!$H388*Yield_Originals!S$1)/Yield_Originals!$K388</f>
        <v>0.0501472786084459</v>
      </c>
      <c r="T388" s="111" t="n">
        <f aca="false">(Yield_Originals!$I388*Yield_Originals!T$1)/Yield_Originals!$K388</f>
        <v>0.0505308782717706</v>
      </c>
      <c r="U388" s="111" t="n">
        <f aca="false">(Yield_Originals!$I388*Yield_Originals!U$1)/Yield_Originals!$K388</f>
        <v>0.0517941502285649</v>
      </c>
      <c r="V388" s="111" t="n">
        <f aca="false">(Yield_Originals!$I388*Yield_Originals!V$1)/Yield_Originals!$K388</f>
        <v>0.0530574221853591</v>
      </c>
      <c r="W388" s="111" t="n">
        <f aca="false">(Yield_Originals!$I388*Yield_Originals!W$1)/Yield_Originals!$K388</f>
        <v>0.0543206941421534</v>
      </c>
      <c r="X388" s="112" t="n">
        <f aca="false">(Yield_Originals!$J388*Yield_Originals!X$1)/Yield_Originals!$K388</f>
        <v>0.0567696284902491</v>
      </c>
      <c r="Y388" s="112" t="n">
        <f aca="false">(Yield_Originals!$J388*Yield_Originals!Y$1)/Yield_Originals!$K388</f>
        <v>0.0580598473195729</v>
      </c>
      <c r="Z388" s="112" t="n">
        <f aca="false">(Yield_Originals!$J388*Yield_Originals!Z$1)/Yield_Originals!$K388</f>
        <v>0.0593500661488967</v>
      </c>
      <c r="AA388" s="112" t="n">
        <f aca="false">(Yield_Originals!$J388*Yield_Originals!AA$1)/Yield_Originals!$K388</f>
        <v>0.0606402849782206</v>
      </c>
      <c r="AB388" s="112" t="n">
        <f aca="false">(Yield_Originals!$J388*Yield_Originals!AB$1)/Yield_Originals!$K388</f>
        <v>0.0619305038075444</v>
      </c>
    </row>
    <row r="389" customFormat="false" ht="15" hidden="false" customHeight="false" outlineLevel="0" collapsed="false">
      <c r="A389" s="70" t="s">
        <v>772</v>
      </c>
      <c r="B389" s="70" t="n">
        <v>1</v>
      </c>
      <c r="C389" s="103" t="s">
        <v>1151</v>
      </c>
      <c r="D389" s="103" t="s">
        <v>795</v>
      </c>
      <c r="E389" s="104" t="n">
        <v>8</v>
      </c>
      <c r="F389" s="106" t="n">
        <v>0.0348902228389165</v>
      </c>
      <c r="G389" s="106" t="n">
        <v>0.0348902228389165</v>
      </c>
      <c r="H389" s="106" t="n">
        <f aca="false">+(Yield_Originals!I389+Yield_Originals!G389)/2</f>
        <v>0.0342887375100484</v>
      </c>
      <c r="I389" s="106" t="n">
        <v>0.0336872521811804</v>
      </c>
      <c r="J389" s="106" t="n">
        <v>0.0344058354486358</v>
      </c>
      <c r="K389" s="107" t="n">
        <v>1</v>
      </c>
      <c r="L389" s="108" t="n">
        <f aca="false">(Yield_Originals!$G389*Yield_Originals!L$1)/Yield_Originals!$K389</f>
        <v>0.0418682674066998</v>
      </c>
      <c r="M389" s="108" t="n">
        <f aca="false">(Yield_Originals!$G389*Yield_Originals!M$1)/Yield_Originals!$K389</f>
        <v>0.0431766507631592</v>
      </c>
      <c r="N389" s="108" t="n">
        <f aca="false">(Yield_Originals!$G389*Yield_Originals!N$1)/Yield_Originals!$K389</f>
        <v>0.0444850341196185</v>
      </c>
      <c r="O389" s="108" t="n">
        <f aca="false">(Yield_Originals!$G389*Yield_Originals!O$1)/Yield_Originals!$K389</f>
        <v>0.0457934174760779</v>
      </c>
      <c r="P389" s="109" t="n">
        <f aca="false">(Yield_Originals!$H389*Yield_Originals!P$1)/Yield_Originals!$K389</f>
        <v>0.0462897956385654</v>
      </c>
      <c r="Q389" s="109" t="n">
        <f aca="false">(Yield_Originals!$H389*Yield_Originals!Q$1)/Yield_Originals!$K389</f>
        <v>0.0475756232951922</v>
      </c>
      <c r="R389" s="109" t="n">
        <f aca="false">(Yield_Originals!$H389*Yield_Originals!R$1)/Yield_Originals!$K389</f>
        <v>0.0488614509518191</v>
      </c>
      <c r="S389" s="109" t="n">
        <f aca="false">(Yield_Originals!$H389*Yield_Originals!S$1)/Yield_Originals!$K389</f>
        <v>0.0501472786084459</v>
      </c>
      <c r="T389" s="111" t="n">
        <f aca="false">(Yield_Originals!$I389*Yield_Originals!T$1)/Yield_Originals!$K389</f>
        <v>0.0505308782717706</v>
      </c>
      <c r="U389" s="111" t="n">
        <f aca="false">(Yield_Originals!$I389*Yield_Originals!U$1)/Yield_Originals!$K389</f>
        <v>0.0517941502285649</v>
      </c>
      <c r="V389" s="111" t="n">
        <f aca="false">(Yield_Originals!$I389*Yield_Originals!V$1)/Yield_Originals!$K389</f>
        <v>0.0530574221853591</v>
      </c>
      <c r="W389" s="111" t="n">
        <f aca="false">(Yield_Originals!$I389*Yield_Originals!W$1)/Yield_Originals!$K389</f>
        <v>0.0543206941421534</v>
      </c>
      <c r="X389" s="112" t="n">
        <f aca="false">(Yield_Originals!$J389*Yield_Originals!X$1)/Yield_Originals!$K389</f>
        <v>0.0567696284902491</v>
      </c>
      <c r="Y389" s="112" t="n">
        <f aca="false">(Yield_Originals!$J389*Yield_Originals!Y$1)/Yield_Originals!$K389</f>
        <v>0.0580598473195729</v>
      </c>
      <c r="Z389" s="112" t="n">
        <f aca="false">(Yield_Originals!$J389*Yield_Originals!Z$1)/Yield_Originals!$K389</f>
        <v>0.0593500661488967</v>
      </c>
      <c r="AA389" s="112" t="n">
        <f aca="false">(Yield_Originals!$J389*Yield_Originals!AA$1)/Yield_Originals!$K389</f>
        <v>0.0606402849782206</v>
      </c>
      <c r="AB389" s="112" t="n">
        <f aca="false">(Yield_Originals!$J389*Yield_Originals!AB$1)/Yield_Originals!$K389</f>
        <v>0.0619305038075444</v>
      </c>
    </row>
    <row r="390" customFormat="false" ht="15" hidden="false" customHeight="false" outlineLevel="0" collapsed="false">
      <c r="A390" s="70" t="s">
        <v>772</v>
      </c>
      <c r="B390" s="70" t="n">
        <v>1</v>
      </c>
      <c r="C390" s="103" t="s">
        <v>1154</v>
      </c>
      <c r="D390" s="103" t="s">
        <v>785</v>
      </c>
      <c r="E390" s="104" t="n">
        <v>8</v>
      </c>
      <c r="F390" s="106" t="n">
        <v>0.0348902228389165</v>
      </c>
      <c r="G390" s="106" t="n">
        <v>0.0348902228389165</v>
      </c>
      <c r="H390" s="106" t="n">
        <f aca="false">+(Yield_Originals!I390+Yield_Originals!G390)/2</f>
        <v>0.0342887375100484</v>
      </c>
      <c r="I390" s="106" t="n">
        <v>0.0336872521811804</v>
      </c>
      <c r="J390" s="106" t="n">
        <v>0.0344058354486358</v>
      </c>
      <c r="K390" s="107" t="n">
        <v>1</v>
      </c>
      <c r="L390" s="108" t="n">
        <f aca="false">(Yield_Originals!$G390*Yield_Originals!L$1)/Yield_Originals!$K390</f>
        <v>0.0418682674066998</v>
      </c>
      <c r="M390" s="108" t="n">
        <f aca="false">(Yield_Originals!$G390*Yield_Originals!M$1)/Yield_Originals!$K390</f>
        <v>0.0431766507631592</v>
      </c>
      <c r="N390" s="108" t="n">
        <f aca="false">(Yield_Originals!$G390*Yield_Originals!N$1)/Yield_Originals!$K390</f>
        <v>0.0444850341196185</v>
      </c>
      <c r="O390" s="108" t="n">
        <f aca="false">(Yield_Originals!$G390*Yield_Originals!O$1)/Yield_Originals!$K390</f>
        <v>0.0457934174760779</v>
      </c>
      <c r="P390" s="109" t="n">
        <f aca="false">(Yield_Originals!$H390*Yield_Originals!P$1)/Yield_Originals!$K390</f>
        <v>0.0462897956385654</v>
      </c>
      <c r="Q390" s="109" t="n">
        <f aca="false">(Yield_Originals!$H390*Yield_Originals!Q$1)/Yield_Originals!$K390</f>
        <v>0.0475756232951922</v>
      </c>
      <c r="R390" s="109" t="n">
        <f aca="false">(Yield_Originals!$H390*Yield_Originals!R$1)/Yield_Originals!$K390</f>
        <v>0.0488614509518191</v>
      </c>
      <c r="S390" s="109" t="n">
        <f aca="false">(Yield_Originals!$H390*Yield_Originals!S$1)/Yield_Originals!$K390</f>
        <v>0.0501472786084459</v>
      </c>
      <c r="T390" s="111" t="n">
        <f aca="false">(Yield_Originals!$I390*Yield_Originals!T$1)/Yield_Originals!$K390</f>
        <v>0.0505308782717706</v>
      </c>
      <c r="U390" s="111" t="n">
        <f aca="false">(Yield_Originals!$I390*Yield_Originals!U$1)/Yield_Originals!$K390</f>
        <v>0.0517941502285649</v>
      </c>
      <c r="V390" s="111" t="n">
        <f aca="false">(Yield_Originals!$I390*Yield_Originals!V$1)/Yield_Originals!$K390</f>
        <v>0.0530574221853591</v>
      </c>
      <c r="W390" s="111" t="n">
        <f aca="false">(Yield_Originals!$I390*Yield_Originals!W$1)/Yield_Originals!$K390</f>
        <v>0.0543206941421534</v>
      </c>
      <c r="X390" s="112" t="n">
        <f aca="false">(Yield_Originals!$J390*Yield_Originals!X$1)/Yield_Originals!$K390</f>
        <v>0.0567696284902491</v>
      </c>
      <c r="Y390" s="112" t="n">
        <f aca="false">(Yield_Originals!$J390*Yield_Originals!Y$1)/Yield_Originals!$K390</f>
        <v>0.0580598473195729</v>
      </c>
      <c r="Z390" s="112" t="n">
        <f aca="false">(Yield_Originals!$J390*Yield_Originals!Z$1)/Yield_Originals!$K390</f>
        <v>0.0593500661488967</v>
      </c>
      <c r="AA390" s="112" t="n">
        <f aca="false">(Yield_Originals!$J390*Yield_Originals!AA$1)/Yield_Originals!$K390</f>
        <v>0.0606402849782206</v>
      </c>
      <c r="AB390" s="112" t="n">
        <f aca="false">(Yield_Originals!$J390*Yield_Originals!AB$1)/Yield_Originals!$K390</f>
        <v>0.0619305038075444</v>
      </c>
    </row>
    <row r="391" customFormat="false" ht="15" hidden="false" customHeight="false" outlineLevel="0" collapsed="false">
      <c r="A391" s="70" t="s">
        <v>772</v>
      </c>
      <c r="B391" s="70" t="n">
        <v>1</v>
      </c>
      <c r="C391" s="103" t="s">
        <v>1157</v>
      </c>
      <c r="D391" s="103" t="s">
        <v>787</v>
      </c>
      <c r="E391" s="104" t="n">
        <v>8</v>
      </c>
      <c r="F391" s="106" t="n">
        <v>0.0348902228389165</v>
      </c>
      <c r="G391" s="106" t="n">
        <v>0.0348902228389165</v>
      </c>
      <c r="H391" s="106" t="n">
        <f aca="false">+(Yield_Originals!I391+Yield_Originals!G391)/2</f>
        <v>0.0342887375100484</v>
      </c>
      <c r="I391" s="106" t="n">
        <v>0.0336872521811804</v>
      </c>
      <c r="J391" s="106" t="n">
        <v>0.0344058354486358</v>
      </c>
      <c r="K391" s="107" t="n">
        <v>1</v>
      </c>
      <c r="L391" s="108" t="n">
        <f aca="false">(Yield_Originals!$G391*Yield_Originals!L$1)/Yield_Originals!$K391</f>
        <v>0.0418682674066998</v>
      </c>
      <c r="M391" s="108" t="n">
        <f aca="false">(Yield_Originals!$G391*Yield_Originals!M$1)/Yield_Originals!$K391</f>
        <v>0.0431766507631592</v>
      </c>
      <c r="N391" s="108" t="n">
        <f aca="false">(Yield_Originals!$G391*Yield_Originals!N$1)/Yield_Originals!$K391</f>
        <v>0.0444850341196185</v>
      </c>
      <c r="O391" s="108" t="n">
        <f aca="false">(Yield_Originals!$G391*Yield_Originals!O$1)/Yield_Originals!$K391</f>
        <v>0.0457934174760779</v>
      </c>
      <c r="P391" s="109" t="n">
        <f aca="false">(Yield_Originals!$H391*Yield_Originals!P$1)/Yield_Originals!$K391</f>
        <v>0.0462897956385654</v>
      </c>
      <c r="Q391" s="109" t="n">
        <f aca="false">(Yield_Originals!$H391*Yield_Originals!Q$1)/Yield_Originals!$K391</f>
        <v>0.0475756232951922</v>
      </c>
      <c r="R391" s="109" t="n">
        <f aca="false">(Yield_Originals!$H391*Yield_Originals!R$1)/Yield_Originals!$K391</f>
        <v>0.0488614509518191</v>
      </c>
      <c r="S391" s="109" t="n">
        <f aca="false">(Yield_Originals!$H391*Yield_Originals!S$1)/Yield_Originals!$K391</f>
        <v>0.0501472786084459</v>
      </c>
      <c r="T391" s="111" t="n">
        <f aca="false">(Yield_Originals!$I391*Yield_Originals!T$1)/Yield_Originals!$K391</f>
        <v>0.0505308782717706</v>
      </c>
      <c r="U391" s="111" t="n">
        <f aca="false">(Yield_Originals!$I391*Yield_Originals!U$1)/Yield_Originals!$K391</f>
        <v>0.0517941502285649</v>
      </c>
      <c r="V391" s="111" t="n">
        <f aca="false">(Yield_Originals!$I391*Yield_Originals!V$1)/Yield_Originals!$K391</f>
        <v>0.0530574221853591</v>
      </c>
      <c r="W391" s="111" t="n">
        <f aca="false">(Yield_Originals!$I391*Yield_Originals!W$1)/Yield_Originals!$K391</f>
        <v>0.0543206941421534</v>
      </c>
      <c r="X391" s="112" t="n">
        <f aca="false">(Yield_Originals!$J391*Yield_Originals!X$1)/Yield_Originals!$K391</f>
        <v>0.0567696284902491</v>
      </c>
      <c r="Y391" s="112" t="n">
        <f aca="false">(Yield_Originals!$J391*Yield_Originals!Y$1)/Yield_Originals!$K391</f>
        <v>0.0580598473195729</v>
      </c>
      <c r="Z391" s="112" t="n">
        <f aca="false">(Yield_Originals!$J391*Yield_Originals!Z$1)/Yield_Originals!$K391</f>
        <v>0.0593500661488967</v>
      </c>
      <c r="AA391" s="112" t="n">
        <f aca="false">(Yield_Originals!$J391*Yield_Originals!AA$1)/Yield_Originals!$K391</f>
        <v>0.0606402849782206</v>
      </c>
      <c r="AB391" s="112" t="n">
        <f aca="false">(Yield_Originals!$J391*Yield_Originals!AB$1)/Yield_Originals!$K391</f>
        <v>0.0619305038075444</v>
      </c>
    </row>
    <row r="392" customFormat="false" ht="15" hidden="false" customHeight="false" outlineLevel="0" collapsed="false">
      <c r="A392" s="70" t="s">
        <v>772</v>
      </c>
      <c r="B392" s="70" t="n">
        <v>1</v>
      </c>
      <c r="C392" s="103" t="s">
        <v>204</v>
      </c>
      <c r="D392" s="103" t="s">
        <v>790</v>
      </c>
      <c r="E392" s="104" t="n">
        <v>8</v>
      </c>
      <c r="F392" s="106" t="n">
        <v>0.0348902228389165</v>
      </c>
      <c r="G392" s="106" t="n">
        <v>0.0348902228389165</v>
      </c>
      <c r="H392" s="106" t="n">
        <f aca="false">+(Yield_Originals!I392+Yield_Originals!G392)/2</f>
        <v>0.0342887375100484</v>
      </c>
      <c r="I392" s="106" t="n">
        <v>0.0336872521811804</v>
      </c>
      <c r="J392" s="106" t="n">
        <v>0.0344058354486358</v>
      </c>
      <c r="K392" s="107" t="n">
        <v>1</v>
      </c>
      <c r="L392" s="108"/>
      <c r="M392" s="108"/>
      <c r="N392" s="108"/>
      <c r="O392" s="108"/>
      <c r="P392" s="109"/>
      <c r="Q392" s="109"/>
      <c r="R392" s="109"/>
      <c r="S392" s="109"/>
      <c r="T392" s="111"/>
      <c r="U392" s="111"/>
      <c r="V392" s="111"/>
      <c r="W392" s="111"/>
      <c r="X392" s="112" t="n">
        <f aca="false">(Yield_Originals!$J392*Yield_Originals!X$1)/Yield_Originals!$K392</f>
        <v>0.0567696284902491</v>
      </c>
      <c r="Y392" s="112" t="n">
        <f aca="false">(Yield_Originals!$J392*Yield_Originals!Y$1)/Yield_Originals!$K392</f>
        <v>0.0580598473195729</v>
      </c>
      <c r="Z392" s="112" t="n">
        <f aca="false">(Yield_Originals!$J392*Yield_Originals!Z$1)/Yield_Originals!$K392</f>
        <v>0.0593500661488967</v>
      </c>
      <c r="AA392" s="112" t="n">
        <f aca="false">(Yield_Originals!$J392*Yield_Originals!AA$1)/Yield_Originals!$K392</f>
        <v>0.0606402849782206</v>
      </c>
      <c r="AB392" s="112" t="n">
        <f aca="false">(Yield_Originals!$J392*Yield_Originals!AB$1)/Yield_Originals!$K392</f>
        <v>0.0619305038075444</v>
      </c>
    </row>
    <row r="393" customFormat="false" ht="15" hidden="false" customHeight="false" outlineLevel="0" collapsed="false">
      <c r="A393" s="70" t="s">
        <v>772</v>
      </c>
      <c r="B393" s="70" t="n">
        <v>1</v>
      </c>
      <c r="C393" s="103" t="s">
        <v>1161</v>
      </c>
      <c r="D393" s="103" t="s">
        <v>792</v>
      </c>
      <c r="E393" s="104" t="n">
        <v>8</v>
      </c>
      <c r="F393" s="106" t="n">
        <v>0.0348902228389165</v>
      </c>
      <c r="G393" s="106" t="n">
        <v>0.0348902228389165</v>
      </c>
      <c r="H393" s="106" t="n">
        <f aca="false">+(Yield_Originals!I393+Yield_Originals!G393)/2</f>
        <v>0.0342887375100484</v>
      </c>
      <c r="I393" s="106" t="n">
        <v>0.0336872521811804</v>
      </c>
      <c r="J393" s="106" t="n">
        <v>0.0344058354486358</v>
      </c>
      <c r="K393" s="107" t="n">
        <v>1</v>
      </c>
      <c r="L393" s="108"/>
      <c r="M393" s="108"/>
      <c r="N393" s="108"/>
      <c r="O393" s="108"/>
      <c r="P393" s="109"/>
      <c r="Q393" s="109"/>
      <c r="R393" s="109"/>
      <c r="S393" s="109"/>
      <c r="T393" s="111"/>
      <c r="U393" s="111"/>
      <c r="V393" s="111"/>
      <c r="W393" s="111"/>
      <c r="X393" s="112" t="n">
        <f aca="false">(Yield_Originals!$J393*Yield_Originals!X$1)/Yield_Originals!$K393</f>
        <v>0.0567696284902491</v>
      </c>
      <c r="Y393" s="112" t="n">
        <f aca="false">(Yield_Originals!$J393*Yield_Originals!Y$1)/Yield_Originals!$K393</f>
        <v>0.0580598473195729</v>
      </c>
      <c r="Z393" s="112" t="n">
        <f aca="false">(Yield_Originals!$J393*Yield_Originals!Z$1)/Yield_Originals!$K393</f>
        <v>0.0593500661488967</v>
      </c>
      <c r="AA393" s="112" t="n">
        <f aca="false">(Yield_Originals!$J393*Yield_Originals!AA$1)/Yield_Originals!$K393</f>
        <v>0.0606402849782206</v>
      </c>
      <c r="AB393" s="112" t="n">
        <f aca="false">(Yield_Originals!$J393*Yield_Originals!AB$1)/Yield_Originals!$K393</f>
        <v>0.0619305038075444</v>
      </c>
    </row>
    <row r="394" customFormat="false" ht="15" hidden="false" customHeight="false" outlineLevel="0" collapsed="false">
      <c r="A394" s="123"/>
      <c r="B394" s="104"/>
      <c r="C394" s="124"/>
      <c r="D394" s="124"/>
      <c r="E394" s="104"/>
    </row>
    <row r="395" customFormat="false" ht="15" hidden="false" customHeight="false" outlineLevel="0" collapsed="false">
      <c r="A395" s="123"/>
      <c r="B395" s="104"/>
      <c r="C395" s="124"/>
      <c r="D395" s="124"/>
      <c r="E395" s="104"/>
    </row>
    <row r="396" customFormat="false" ht="15" hidden="false" customHeight="false" outlineLevel="0" collapsed="false">
      <c r="A396" s="123"/>
      <c r="B396" s="104"/>
      <c r="C396" s="124"/>
      <c r="D396" s="124"/>
      <c r="E396" s="104"/>
    </row>
    <row r="397" customFormat="false" ht="15" hidden="false" customHeight="false" outlineLevel="0" collapsed="false">
      <c r="A397" s="123"/>
      <c r="B397" s="104"/>
      <c r="C397" s="124"/>
      <c r="D397" s="124"/>
      <c r="E397" s="104"/>
    </row>
    <row r="398" customFormat="false" ht="15" hidden="false" customHeight="false" outlineLevel="0" collapsed="false">
      <c r="A398" s="123"/>
      <c r="B398" s="104"/>
      <c r="C398" s="124"/>
      <c r="D398" s="124"/>
      <c r="E398" s="104"/>
    </row>
    <row r="399" customFormat="false" ht="15" hidden="false" customHeight="false" outlineLevel="0" collapsed="false">
      <c r="A399" s="123"/>
      <c r="B399" s="104"/>
      <c r="C399" s="124"/>
      <c r="D399" s="124"/>
      <c r="E399" s="104"/>
    </row>
    <row r="400" customFormat="false" ht="15" hidden="false" customHeight="false" outlineLevel="0" collapsed="false">
      <c r="A400" s="123"/>
      <c r="B400" s="104"/>
      <c r="C400" s="124"/>
      <c r="D400" s="124"/>
      <c r="E400" s="104"/>
    </row>
    <row r="401" customFormat="false" ht="15" hidden="false" customHeight="false" outlineLevel="0" collapsed="false">
      <c r="A401" s="123"/>
      <c r="B401" s="104"/>
      <c r="C401" s="124"/>
      <c r="D401" s="124"/>
      <c r="E401" s="104"/>
    </row>
    <row r="402" customFormat="false" ht="15" hidden="false" customHeight="false" outlineLevel="0" collapsed="false">
      <c r="A402" s="123"/>
      <c r="B402" s="104"/>
      <c r="C402" s="124"/>
      <c r="D402" s="124"/>
      <c r="E402" s="104"/>
    </row>
    <row r="403" customFormat="false" ht="15" hidden="false" customHeight="false" outlineLevel="0" collapsed="false">
      <c r="A403" s="123"/>
      <c r="B403" s="104"/>
      <c r="C403" s="124"/>
      <c r="D403" s="124"/>
      <c r="E403" s="104"/>
    </row>
    <row r="404" customFormat="false" ht="15" hidden="false" customHeight="false" outlineLevel="0" collapsed="false">
      <c r="A404" s="123"/>
      <c r="B404" s="104"/>
      <c r="C404" s="124"/>
      <c r="D404" s="124"/>
      <c r="E404" s="104"/>
    </row>
    <row r="405" customFormat="false" ht="15" hidden="false" customHeight="false" outlineLevel="0" collapsed="false">
      <c r="A405" s="123"/>
      <c r="B405" s="104"/>
      <c r="C405" s="124"/>
      <c r="D405" s="124"/>
      <c r="E405" s="104"/>
    </row>
    <row r="406" customFormat="false" ht="15" hidden="false" customHeight="false" outlineLevel="0" collapsed="false">
      <c r="A406" s="123"/>
      <c r="B406" s="104"/>
      <c r="C406" s="124"/>
      <c r="D406" s="124"/>
      <c r="E406" s="104"/>
    </row>
    <row r="407" customFormat="false" ht="15" hidden="false" customHeight="false" outlineLevel="0" collapsed="false">
      <c r="A407" s="123"/>
      <c r="B407" s="104"/>
      <c r="C407" s="124"/>
      <c r="D407" s="124"/>
      <c r="E407" s="104"/>
    </row>
    <row r="408" customFormat="false" ht="15" hidden="false" customHeight="false" outlineLevel="0" collapsed="false">
      <c r="A408" s="123"/>
      <c r="B408" s="104"/>
      <c r="C408" s="124"/>
      <c r="D408" s="124"/>
      <c r="E408" s="104"/>
    </row>
    <row r="409" customFormat="false" ht="15" hidden="false" customHeight="false" outlineLevel="0" collapsed="false">
      <c r="A409" s="123"/>
      <c r="B409" s="104"/>
      <c r="C409" s="124"/>
      <c r="D409" s="124"/>
      <c r="E409" s="104"/>
    </row>
    <row r="410" customFormat="false" ht="15" hidden="false" customHeight="false" outlineLevel="0" collapsed="false">
      <c r="A410" s="123"/>
      <c r="B410" s="104"/>
      <c r="C410" s="124"/>
      <c r="D410" s="124"/>
      <c r="E410" s="104"/>
    </row>
    <row r="411" customFormat="false" ht="15" hidden="false" customHeight="false" outlineLevel="0" collapsed="false">
      <c r="A411" s="123"/>
      <c r="B411" s="104"/>
      <c r="C411" s="124"/>
      <c r="D411" s="124"/>
      <c r="E411" s="104"/>
    </row>
    <row r="412" customFormat="false" ht="15" hidden="false" customHeight="false" outlineLevel="0" collapsed="false">
      <c r="A412" s="123"/>
      <c r="B412" s="104"/>
      <c r="C412" s="124"/>
      <c r="D412" s="124"/>
      <c r="E412" s="104"/>
    </row>
    <row r="413" customFormat="false" ht="15" hidden="false" customHeight="false" outlineLevel="0" collapsed="false">
      <c r="A413" s="123"/>
      <c r="B413" s="104"/>
      <c r="C413" s="124"/>
      <c r="D413" s="124"/>
      <c r="E413" s="104"/>
    </row>
    <row r="414" customFormat="false" ht="15" hidden="false" customHeight="false" outlineLevel="0" collapsed="false">
      <c r="A414" s="123"/>
      <c r="B414" s="104"/>
      <c r="C414" s="124"/>
      <c r="D414" s="124"/>
      <c r="E414" s="104"/>
    </row>
    <row r="415" customFormat="false" ht="15" hidden="false" customHeight="false" outlineLevel="0" collapsed="false">
      <c r="A415" s="123"/>
      <c r="B415" s="104"/>
      <c r="C415" s="124"/>
      <c r="D415" s="124"/>
      <c r="E415" s="104"/>
    </row>
    <row r="416" customFormat="false" ht="15" hidden="false" customHeight="false" outlineLevel="0" collapsed="false">
      <c r="A416" s="123"/>
      <c r="B416" s="104"/>
      <c r="C416" s="124"/>
      <c r="D416" s="124"/>
      <c r="E416" s="104"/>
    </row>
    <row r="417" customFormat="false" ht="15" hidden="false" customHeight="false" outlineLevel="0" collapsed="false">
      <c r="A417" s="123"/>
      <c r="B417" s="104"/>
      <c r="C417" s="124"/>
      <c r="D417" s="124"/>
      <c r="E417" s="104"/>
    </row>
    <row r="418" customFormat="false" ht="15" hidden="false" customHeight="false" outlineLevel="0" collapsed="false">
      <c r="A418" s="123"/>
      <c r="B418" s="104"/>
      <c r="C418" s="124"/>
      <c r="D418" s="124"/>
      <c r="E418" s="104"/>
    </row>
    <row r="419" customFormat="false" ht="15" hidden="false" customHeight="false" outlineLevel="0" collapsed="false">
      <c r="A419" s="123"/>
      <c r="B419" s="104"/>
      <c r="C419" s="124"/>
      <c r="D419" s="124"/>
      <c r="E419" s="104"/>
    </row>
    <row r="420" customFormat="false" ht="15" hidden="false" customHeight="false" outlineLevel="0" collapsed="false">
      <c r="A420" s="123"/>
      <c r="B420" s="104"/>
      <c r="C420" s="124"/>
      <c r="D420" s="124"/>
      <c r="E420" s="104"/>
    </row>
    <row r="421" customFormat="false" ht="15" hidden="false" customHeight="false" outlineLevel="0" collapsed="false">
      <c r="A421" s="123"/>
      <c r="B421" s="104"/>
      <c r="C421" s="124"/>
      <c r="D421" s="124"/>
      <c r="E421" s="104"/>
    </row>
    <row r="422" customFormat="false" ht="15" hidden="false" customHeight="false" outlineLevel="0" collapsed="false">
      <c r="A422" s="123"/>
      <c r="B422" s="104"/>
      <c r="C422" s="124"/>
      <c r="D422" s="124"/>
      <c r="E422" s="104"/>
    </row>
    <row r="423" customFormat="false" ht="15" hidden="false" customHeight="false" outlineLevel="0" collapsed="false">
      <c r="A423" s="123"/>
      <c r="B423" s="104"/>
      <c r="C423" s="124"/>
      <c r="D423" s="124"/>
      <c r="E423" s="104"/>
    </row>
    <row r="424" customFormat="false" ht="15" hidden="false" customHeight="false" outlineLevel="0" collapsed="false">
      <c r="A424" s="123"/>
      <c r="B424" s="104"/>
      <c r="C424" s="124"/>
      <c r="D424" s="124"/>
      <c r="E424" s="104"/>
    </row>
    <row r="425" customFormat="false" ht="15" hidden="false" customHeight="false" outlineLevel="0" collapsed="false">
      <c r="A425" s="123"/>
      <c r="B425" s="104"/>
      <c r="C425" s="124"/>
      <c r="D425" s="124"/>
      <c r="E425" s="104"/>
    </row>
    <row r="426" customFormat="false" ht="15" hidden="false" customHeight="false" outlineLevel="0" collapsed="false">
      <c r="A426" s="123"/>
      <c r="B426" s="104"/>
      <c r="C426" s="124"/>
      <c r="D426" s="124"/>
      <c r="E426" s="104"/>
    </row>
    <row r="427" customFormat="false" ht="15" hidden="false" customHeight="false" outlineLevel="0" collapsed="false">
      <c r="A427" s="123"/>
      <c r="B427" s="104"/>
      <c r="C427" s="124"/>
      <c r="D427" s="124"/>
      <c r="E427" s="104"/>
    </row>
    <row r="428" customFormat="false" ht="15" hidden="false" customHeight="false" outlineLevel="0" collapsed="false">
      <c r="A428" s="123"/>
      <c r="B428" s="104"/>
      <c r="C428" s="124"/>
      <c r="D428" s="124"/>
      <c r="E428" s="104"/>
    </row>
    <row r="429" customFormat="false" ht="15" hidden="false" customHeight="false" outlineLevel="0" collapsed="false">
      <c r="A429" s="123"/>
      <c r="B429" s="104"/>
      <c r="C429" s="124"/>
      <c r="D429" s="124"/>
      <c r="E429" s="104"/>
    </row>
    <row r="430" customFormat="false" ht="15" hidden="false" customHeight="false" outlineLevel="0" collapsed="false">
      <c r="A430" s="123"/>
      <c r="B430" s="104"/>
      <c r="C430" s="124"/>
      <c r="D430" s="124"/>
      <c r="E430" s="104"/>
    </row>
    <row r="431" customFormat="false" ht="15" hidden="false" customHeight="false" outlineLevel="0" collapsed="false">
      <c r="A431" s="123"/>
      <c r="B431" s="104"/>
      <c r="C431" s="124"/>
      <c r="D431" s="124"/>
      <c r="E431" s="104"/>
    </row>
  </sheetData>
  <autoFilter ref="A2:AD393">
    <filterColumn colId="1">
      <filters>
        <filter val="1"/>
        <filter val="2"/>
        <filter val="3"/>
      </filters>
    </filterColumn>
  </autoFilter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69"/>
  <sheetViews>
    <sheetView windowProtection="false"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9.0728744939271"/>
    <col collapsed="false" hidden="false" max="3" min="2" style="0" width="8.52631578947369"/>
    <col collapsed="false" hidden="false" max="5" min="4" style="0" width="10.5546558704453"/>
    <col collapsed="false" hidden="false" max="1025" min="6" style="0" width="8.52631578947369"/>
  </cols>
  <sheetData>
    <row r="1" customFormat="false" ht="15" hidden="false" customHeight="false" outlineLevel="0" collapsed="false">
      <c r="A1" s="80" t="s">
        <v>119</v>
      </c>
      <c r="B1" s="0" t="s">
        <v>1247</v>
      </c>
      <c r="C1" s="53" t="s">
        <v>1248</v>
      </c>
    </row>
    <row r="2" customFormat="false" ht="15" hidden="false" customHeight="false" outlineLevel="0" collapsed="false">
      <c r="A2" s="0" t="s">
        <v>1249</v>
      </c>
      <c r="B2" s="0" t="n">
        <v>1</v>
      </c>
      <c r="C2" s="125" t="n">
        <v>0.095192785166059</v>
      </c>
      <c r="D2" s="0" t="e">
        <f aca="false">VLOOKUP(Shelf_Life!A2,Demand_Fresh!A3:A97,1,FALSE())</f>
        <v>#N/A</v>
      </c>
      <c r="E2" s="0" t="e">
        <f aca="false">VLOOKUP(Shelf_Life!A2,Demand_Frozen!A2:A120,1,FALSE())</f>
        <v>#N/A</v>
      </c>
    </row>
    <row r="3" customFormat="false" ht="15" hidden="false" customHeight="false" outlineLevel="0" collapsed="false">
      <c r="A3" s="0" t="s">
        <v>1250</v>
      </c>
      <c r="B3" s="0" t="n">
        <v>1</v>
      </c>
      <c r="C3" s="125" t="n">
        <v>0.095192785166059</v>
      </c>
      <c r="D3" s="0" t="e">
        <f aca="false">VLOOKUP(Shelf_Life!A3,Demand_Fresh!A4:A98,1,FALSE())</f>
        <v>#N/A</v>
      </c>
      <c r="E3" s="0" t="e">
        <f aca="false">VLOOKUP(Shelf_Life!A3,Demand_Frozen!A3:A121,1,FALSE())</f>
        <v>#N/A</v>
      </c>
    </row>
    <row r="4" customFormat="false" ht="15" hidden="false" customHeight="false" outlineLevel="0" collapsed="false">
      <c r="A4" s="0" t="s">
        <v>1251</v>
      </c>
      <c r="B4" s="0" t="n">
        <v>1</v>
      </c>
      <c r="C4" s="125" t="n">
        <v>0.102310002748568</v>
      </c>
      <c r="D4" s="0" t="e">
        <f aca="false">VLOOKUP(Shelf_Life!A4,Demand_Fresh!A5:A99,1,FALSE())</f>
        <v>#N/A</v>
      </c>
      <c r="E4" s="0" t="e">
        <f aca="false">VLOOKUP(Shelf_Life!A4,Demand_Frozen!A4:A122,1,FALSE())</f>
        <v>#N/A</v>
      </c>
    </row>
    <row r="5" customFormat="false" ht="15" hidden="false" customHeight="false" outlineLevel="0" collapsed="false">
      <c r="A5" s="0" t="s">
        <v>1252</v>
      </c>
      <c r="B5" s="0" t="n">
        <v>1</v>
      </c>
      <c r="C5" s="125" t="n">
        <v>0.0810901503266428</v>
      </c>
      <c r="D5" s="0" t="e">
        <f aca="false">VLOOKUP(Shelf_Life!A5,Demand_Fresh!A6:A99,1,FALSE())</f>
        <v>#N/A</v>
      </c>
      <c r="E5" s="0" t="e">
        <f aca="false">VLOOKUP(Shelf_Life!A5,Demand_Frozen!A5:A123,1,FALSE())</f>
        <v>#N/A</v>
      </c>
    </row>
    <row r="6" customFormat="false" ht="15" hidden="false" customHeight="false" outlineLevel="0" collapsed="false">
      <c r="A6" s="0" t="s">
        <v>1253</v>
      </c>
      <c r="B6" s="0" t="n">
        <v>1</v>
      </c>
      <c r="C6" s="125" t="n">
        <v>0.0985245326468711</v>
      </c>
      <c r="D6" s="0" t="e">
        <f aca="false">VLOOKUP(Shelf_Life!A6,Demand_Fresh!A7:A100,1,FALSE())</f>
        <v>#N/A</v>
      </c>
      <c r="E6" s="0" t="e">
        <f aca="false">VLOOKUP(Shelf_Life!A6,Demand_Frozen!A6:A124,1,FALSE())</f>
        <v>#N/A</v>
      </c>
    </row>
    <row r="7" customFormat="false" ht="15" hidden="false" customHeight="false" outlineLevel="0" collapsed="false">
      <c r="A7" s="0" t="s">
        <v>1254</v>
      </c>
      <c r="B7" s="0" t="n">
        <v>1</v>
      </c>
      <c r="C7" s="125" t="n">
        <v>0.0821037772057258</v>
      </c>
      <c r="D7" s="0" t="e">
        <f aca="false">VLOOKUP(Shelf_Life!A7,Demand_Fresh!A8:A101,1,FALSE())</f>
        <v>#N/A</v>
      </c>
      <c r="E7" s="0" t="e">
        <f aca="false">VLOOKUP(Shelf_Life!A7,Demand_Frozen!A7:A125,1,FALSE())</f>
        <v>#N/A</v>
      </c>
    </row>
    <row r="8" customFormat="false" ht="15" hidden="false" customHeight="false" outlineLevel="0" collapsed="false">
      <c r="A8" s="0" t="s">
        <v>1255</v>
      </c>
      <c r="B8" s="0" t="n">
        <v>1</v>
      </c>
      <c r="C8" s="125" t="n">
        <v>0.0772741432524479</v>
      </c>
      <c r="D8" s="0" t="e">
        <f aca="false">VLOOKUP(Shelf_Life!A8,Demand_Fresh!A9:A100,1,FALSE())</f>
        <v>#N/A</v>
      </c>
      <c r="E8" s="0" t="e">
        <f aca="false">VLOOKUP(Shelf_Life!A8,Demand_Frozen!A8:A126,1,FALSE())</f>
        <v>#N/A</v>
      </c>
    </row>
    <row r="9" customFormat="false" ht="15" hidden="false" customHeight="false" outlineLevel="0" collapsed="false">
      <c r="A9" s="0" t="s">
        <v>1256</v>
      </c>
      <c r="B9" s="0" t="n">
        <v>1</v>
      </c>
      <c r="C9" s="125" t="n">
        <v>0.0772741432524479</v>
      </c>
      <c r="D9" s="0" t="e">
        <f aca="false">VLOOKUP(Shelf_Life!A9,Demand_Fresh!A10:A101,1,FALSE())</f>
        <v>#N/A</v>
      </c>
      <c r="E9" s="0" t="e">
        <f aca="false">VLOOKUP(Shelf_Life!A9,Demand_Frozen!A9:A127,1,FALSE())</f>
        <v>#N/A</v>
      </c>
    </row>
    <row r="10" customFormat="false" ht="15" hidden="false" customHeight="false" outlineLevel="0" collapsed="false">
      <c r="A10" s="0" t="s">
        <v>1257</v>
      </c>
      <c r="B10" s="0" t="n">
        <v>1</v>
      </c>
      <c r="C10" s="125" t="n">
        <v>0.0821037772057259</v>
      </c>
      <c r="D10" s="0" t="e">
        <f aca="false">VLOOKUP(Shelf_Life!A10,Demand_Fresh!A11:A102,1,FALSE())</f>
        <v>#N/A</v>
      </c>
      <c r="E10" s="0" t="e">
        <f aca="false">VLOOKUP(Shelf_Life!A10,Demand_Frozen!A10:A128,1,FALSE())</f>
        <v>#N/A</v>
      </c>
    </row>
    <row r="11" customFormat="false" ht="15" hidden="false" customHeight="false" outlineLevel="0" collapsed="false">
      <c r="A11" s="0" t="s">
        <v>1258</v>
      </c>
      <c r="B11" s="0" t="n">
        <v>1</v>
      </c>
      <c r="C11" s="125" t="n">
        <v>0.102629721507157</v>
      </c>
      <c r="D11" s="0" t="e">
        <f aca="false">VLOOKUP(Shelf_Life!A11,Demand_Fresh!A12:A103,1,FALSE())</f>
        <v>#N/A</v>
      </c>
      <c r="E11" s="0" t="e">
        <f aca="false">VLOOKUP(Shelf_Life!A11,Demand_Frozen!A11:A129,1,FALSE())</f>
        <v>#N/A</v>
      </c>
    </row>
    <row r="12" customFormat="false" ht="15" hidden="false" customHeight="false" outlineLevel="0" collapsed="false">
      <c r="A12" s="0" t="s">
        <v>1259</v>
      </c>
      <c r="B12" s="0" t="n">
        <v>1</v>
      </c>
      <c r="C12" s="125" t="n">
        <v>0.0821037772057259</v>
      </c>
      <c r="D12" s="0" t="e">
        <f aca="false">VLOOKUP(Shelf_Life!A12,Demand_Fresh!A13:A104,1,FALSE())</f>
        <v>#N/A</v>
      </c>
      <c r="E12" s="0" t="e">
        <f aca="false">VLOOKUP(Shelf_Life!A12,Demand_Frozen!A12:A130,1,FALSE())</f>
        <v>#N/A</v>
      </c>
    </row>
    <row r="13" customFormat="false" ht="15" hidden="false" customHeight="false" outlineLevel="0" collapsed="false">
      <c r="A13" s="0" t="s">
        <v>1260</v>
      </c>
      <c r="B13" s="0" t="n">
        <v>1</v>
      </c>
      <c r="C13" s="125" t="n">
        <v>0.0671758177137757</v>
      </c>
      <c r="D13" s="0" t="e">
        <f aca="false">VLOOKUP(Shelf_Life!A13,Demand_Fresh!A14:A105,1,FALSE())</f>
        <v>#N/A</v>
      </c>
      <c r="E13" s="0" t="e">
        <f aca="false">VLOOKUP(Shelf_Life!A13,Demand_Frozen!A13:A131,1,FALSE())</f>
        <v>#N/A</v>
      </c>
    </row>
    <row r="14" customFormat="false" ht="15" hidden="false" customHeight="false" outlineLevel="0" collapsed="false">
      <c r="A14" s="0" t="s">
        <v>1261</v>
      </c>
      <c r="B14" s="0" t="n">
        <v>1</v>
      </c>
      <c r="C14" s="125" t="n">
        <v>0.0429925233368165</v>
      </c>
      <c r="D14" s="0" t="e">
        <f aca="false">VLOOKUP(Shelf_Life!A14,Demand_Fresh!A15:A106,1,FALSE())</f>
        <v>#N/A</v>
      </c>
      <c r="E14" s="0" t="e">
        <f aca="false">VLOOKUP(Shelf_Life!A14,Demand_Frozen!A14:A132,1,FALSE())</f>
        <v>#N/A</v>
      </c>
    </row>
    <row r="15" customFormat="false" ht="15" hidden="false" customHeight="false" outlineLevel="0" collapsed="false">
      <c r="A15" s="0" t="s">
        <v>1262</v>
      </c>
      <c r="B15" s="0" t="n">
        <v>1</v>
      </c>
      <c r="C15" s="125" t="n">
        <v>0.0358271027806804</v>
      </c>
      <c r="D15" s="0" t="e">
        <f aca="false">VLOOKUP(Shelf_Life!A15,Demand_Fresh!A16:A107,1,FALSE())</f>
        <v>#N/A</v>
      </c>
      <c r="E15" s="0" t="e">
        <f aca="false">VLOOKUP(Shelf_Life!A15,Demand_Frozen!A15:A133,1,FALSE())</f>
        <v>#N/A</v>
      </c>
    </row>
    <row r="16" customFormat="false" ht="15" hidden="false" customHeight="false" outlineLevel="0" collapsed="false">
      <c r="A16" s="0" t="s">
        <v>1263</v>
      </c>
      <c r="B16" s="0" t="n">
        <v>1</v>
      </c>
      <c r="C16" s="125" t="n">
        <v>0.0671758177137757</v>
      </c>
      <c r="D16" s="0" t="e">
        <f aca="false">VLOOKUP(Shelf_Life!A16,Demand_Fresh!A17:A108,1,FALSE())</f>
        <v>#N/A</v>
      </c>
      <c r="E16" s="0" t="e">
        <f aca="false">VLOOKUP(Shelf_Life!A16,Demand_Frozen!A16:A134,1,FALSE())</f>
        <v>#N/A</v>
      </c>
    </row>
    <row r="17" customFormat="false" ht="15" hidden="false" customHeight="false" outlineLevel="0" collapsed="false">
      <c r="A17" s="0" t="s">
        <v>1264</v>
      </c>
      <c r="B17" s="0" t="n">
        <v>1</v>
      </c>
      <c r="C17" s="125" t="n">
        <v>0.0429925233368165</v>
      </c>
      <c r="D17" s="0" t="e">
        <f aca="false">VLOOKUP(Shelf_Life!A17,Demand_Fresh!A18:A109,1,FALSE())</f>
        <v>#N/A</v>
      </c>
      <c r="E17" s="0" t="e">
        <f aca="false">VLOOKUP(Shelf_Life!A17,Demand_Frozen!A17:A135,1,FALSE())</f>
        <v>#N/A</v>
      </c>
    </row>
    <row r="18" customFormat="false" ht="15" hidden="false" customHeight="false" outlineLevel="0" collapsed="false">
      <c r="A18" s="0" t="s">
        <v>1265</v>
      </c>
      <c r="B18" s="0" t="n">
        <v>1</v>
      </c>
      <c r="C18" s="125" t="n">
        <v>0.109471702940968</v>
      </c>
      <c r="D18" s="0" t="e">
        <f aca="false">VLOOKUP(Shelf_Life!A18,Demand_Fresh!A19:A110,1,FALSE())</f>
        <v>#N/A</v>
      </c>
      <c r="E18" s="0" t="e">
        <f aca="false">VLOOKUP(Shelf_Life!A18,Demand_Frozen!A18:A135,1,FALSE())</f>
        <v>#N/A</v>
      </c>
    </row>
    <row r="19" customFormat="false" ht="15" hidden="false" customHeight="false" outlineLevel="0" collapsed="false">
      <c r="A19" s="0" t="s">
        <v>1266</v>
      </c>
      <c r="B19" s="0" t="n">
        <v>1</v>
      </c>
      <c r="C19" s="125" t="n">
        <v>0.0834070117645469</v>
      </c>
      <c r="D19" s="0" t="e">
        <f aca="false">VLOOKUP(Shelf_Life!A19,Demand_Fresh!A20:A111,1,FALSE())</f>
        <v>#N/A</v>
      </c>
      <c r="E19" s="0" t="e">
        <f aca="false">VLOOKUP(Shelf_Life!A19,Demand_Frozen!A19:A136,1,FALSE())</f>
        <v>#N/A</v>
      </c>
    </row>
    <row r="20" customFormat="false" ht="15" hidden="false" customHeight="false" outlineLevel="0" collapsed="false">
      <c r="A20" s="0" t="s">
        <v>1267</v>
      </c>
      <c r="B20" s="0" t="n">
        <v>1</v>
      </c>
      <c r="C20" s="125" t="n">
        <v>0.131366043529161</v>
      </c>
      <c r="D20" s="0" t="e">
        <f aca="false">VLOOKUP(Shelf_Life!A20,Demand_Fresh!A21:A112,1,FALSE())</f>
        <v>#N/A</v>
      </c>
      <c r="E20" s="0" t="e">
        <f aca="false">VLOOKUP(Shelf_Life!A20,Demand_Frozen!A20:A137,1,FALSE())</f>
        <v>#N/A</v>
      </c>
    </row>
    <row r="21" customFormat="false" ht="15" hidden="false" customHeight="false" outlineLevel="0" collapsed="false">
      <c r="A21" s="0" t="s">
        <v>1268</v>
      </c>
      <c r="B21" s="0" t="n">
        <v>1</v>
      </c>
      <c r="C21" s="125" t="n">
        <v>0.109471702940968</v>
      </c>
      <c r="D21" s="0" t="e">
        <f aca="false">VLOOKUP(Shelf_Life!A21,Demand_Fresh!A22:A113,1,FALSE())</f>
        <v>#N/A</v>
      </c>
      <c r="E21" s="0" t="e">
        <f aca="false">VLOOKUP(Shelf_Life!A21,Demand_Frozen!A21:A138,1,FALSE())</f>
        <v>#N/A</v>
      </c>
    </row>
    <row r="22" customFormat="false" ht="15" hidden="false" customHeight="false" outlineLevel="0" collapsed="false">
      <c r="A22" s="0" t="s">
        <v>1269</v>
      </c>
      <c r="B22" s="0" t="n">
        <v>1</v>
      </c>
      <c r="C22" s="125" t="n">
        <v>0.109471702940968</v>
      </c>
      <c r="D22" s="0" t="e">
        <f aca="false">VLOOKUP(Shelf_Life!A22,Demand_Fresh!A23:A114,1,FALSE())</f>
        <v>#N/A</v>
      </c>
      <c r="E22" s="0" t="e">
        <f aca="false">VLOOKUP(Shelf_Life!A22,Demand_Frozen!A22:A139,1,FALSE())</f>
        <v>#N/A</v>
      </c>
    </row>
    <row r="23" customFormat="false" ht="15" hidden="false" customHeight="false" outlineLevel="0" collapsed="false">
      <c r="A23" s="0" t="s">
        <v>1270</v>
      </c>
      <c r="B23" s="0" t="n">
        <v>1</v>
      </c>
      <c r="C23" s="125" t="n">
        <v>0.0875773623527743</v>
      </c>
      <c r="D23" s="0" t="e">
        <f aca="false">VLOOKUP(Shelf_Life!A23,Demand_Fresh!A24:A115,1,FALSE())</f>
        <v>#N/A</v>
      </c>
      <c r="E23" s="0" t="e">
        <f aca="false">VLOOKUP(Shelf_Life!A23,Demand_Frozen!A23:A140,1,FALSE())</f>
        <v>#N/A</v>
      </c>
    </row>
    <row r="24" customFormat="false" ht="15" hidden="false" customHeight="false" outlineLevel="0" collapsed="false">
      <c r="A24" s="0" t="s">
        <v>1271</v>
      </c>
      <c r="B24" s="0" t="n">
        <v>1</v>
      </c>
      <c r="C24" s="125" t="n">
        <v>0.0875773623527743</v>
      </c>
      <c r="D24" s="0" t="e">
        <f aca="false">VLOOKUP(Shelf_Life!A24,Demand_Fresh!A25:A116,1,FALSE())</f>
        <v>#N/A</v>
      </c>
      <c r="E24" s="0" t="e">
        <f aca="false">VLOOKUP(Shelf_Life!A24,Demand_Frozen!A24:A141,1,FALSE())</f>
        <v>#N/A</v>
      </c>
    </row>
    <row r="25" customFormat="false" ht="15" hidden="false" customHeight="false" outlineLevel="0" collapsed="false">
      <c r="A25" s="0" t="s">
        <v>1272</v>
      </c>
      <c r="B25" s="0" t="n">
        <v>1</v>
      </c>
      <c r="C25" s="125" t="n">
        <v>0.103032191003264</v>
      </c>
      <c r="D25" s="0" t="e">
        <f aca="false">VLOOKUP(Shelf_Life!A25,Demand_Fresh!A26:A117,1,FALSE())</f>
        <v>#N/A</v>
      </c>
      <c r="E25" s="0" t="e">
        <f aca="false">VLOOKUP(Shelf_Life!A25,Demand_Frozen!A25:A142,1,FALSE())</f>
        <v>#N/A</v>
      </c>
    </row>
    <row r="26" customFormat="false" ht="15" hidden="false" customHeight="false" outlineLevel="0" collapsed="false">
      <c r="A26" s="0" t="s">
        <v>1273</v>
      </c>
      <c r="B26" s="0" t="n">
        <v>1</v>
      </c>
      <c r="C26" s="125" t="n">
        <v>0.0875773623527743</v>
      </c>
      <c r="D26" s="0" t="e">
        <f aca="false">VLOOKUP(Shelf_Life!A26,Demand_Fresh!A27:A118,1,FALSE())</f>
        <v>#N/A</v>
      </c>
      <c r="E26" s="0" t="e">
        <f aca="false">VLOOKUP(Shelf_Life!A26,Demand_Frozen!A26:A143,1,FALSE())</f>
        <v>#N/A</v>
      </c>
    </row>
    <row r="27" customFormat="false" ht="15" hidden="false" customHeight="false" outlineLevel="0" collapsed="false">
      <c r="A27" s="0" t="s">
        <v>1274</v>
      </c>
      <c r="B27" s="0" t="n">
        <v>1</v>
      </c>
      <c r="C27" s="125" t="n">
        <v>0.103032191003264</v>
      </c>
      <c r="D27" s="0" t="e">
        <f aca="false">VLOOKUP(Shelf_Life!A27,Demand_Fresh!A28:A119,1,FALSE())</f>
        <v>#N/A</v>
      </c>
      <c r="E27" s="0" t="e">
        <f aca="false">VLOOKUP(Shelf_Life!A27,Demand_Frozen!A27:A144,1,FALSE())</f>
        <v>#N/A</v>
      </c>
    </row>
    <row r="28" customFormat="false" ht="15" hidden="false" customHeight="false" outlineLevel="0" collapsed="false">
      <c r="A28" s="0" t="s">
        <v>1275</v>
      </c>
      <c r="B28" s="0" t="n">
        <v>1</v>
      </c>
      <c r="C28" s="125" t="n">
        <v>0.109471702940968</v>
      </c>
      <c r="D28" s="0" t="e">
        <f aca="false">VLOOKUP(Shelf_Life!A28,Demand_Fresh!A29:A120,1,FALSE())</f>
        <v>#N/A</v>
      </c>
      <c r="E28" s="0" t="e">
        <f aca="false">VLOOKUP(Shelf_Life!A28,Demand_Frozen!A28:A145,1,FALSE())</f>
        <v>#N/A</v>
      </c>
    </row>
    <row r="29" customFormat="false" ht="15" hidden="false" customHeight="false" outlineLevel="0" collapsed="false">
      <c r="A29" s="0" t="s">
        <v>1276</v>
      </c>
      <c r="B29" s="0" t="n">
        <v>1</v>
      </c>
      <c r="C29" s="125" t="n">
        <v>0.109471702940968</v>
      </c>
      <c r="D29" s="0" t="e">
        <f aca="false">VLOOKUP(Shelf_Life!A29,Demand_Fresh!A30:A121,1,FALSE())</f>
        <v>#N/A</v>
      </c>
      <c r="E29" s="0" t="e">
        <f aca="false">VLOOKUP(Shelf_Life!A29,Demand_Frozen!A29:A146,1,FALSE())</f>
        <v>#N/A</v>
      </c>
    </row>
    <row r="30" customFormat="false" ht="15" hidden="false" customHeight="false" outlineLevel="0" collapsed="false">
      <c r="A30" s="0" t="s">
        <v>1277</v>
      </c>
      <c r="B30" s="0" t="n">
        <v>1</v>
      </c>
      <c r="C30" s="125" t="n">
        <v>0.131366043529161</v>
      </c>
      <c r="D30" s="0" t="e">
        <f aca="false">VLOOKUP(Shelf_Life!A30,Demand_Fresh!A31:A122,1,FALSE())</f>
        <v>#N/A</v>
      </c>
      <c r="E30" s="0" t="e">
        <f aca="false">VLOOKUP(Shelf_Life!A30,Demand_Frozen!A30:A147,1,FALSE())</f>
        <v>#N/A</v>
      </c>
    </row>
    <row r="31" customFormat="false" ht="15" hidden="false" customHeight="false" outlineLevel="0" collapsed="false">
      <c r="A31" s="0" t="s">
        <v>1278</v>
      </c>
      <c r="B31" s="0" t="n">
        <v>1</v>
      </c>
      <c r="C31" s="125" t="n">
        <v>0.109471702940968</v>
      </c>
      <c r="D31" s="0" t="e">
        <f aca="false">VLOOKUP(Shelf_Life!A31,Demand_Fresh!A32:A123,1,FALSE())</f>
        <v>#N/A</v>
      </c>
      <c r="E31" s="0" t="e">
        <f aca="false">VLOOKUP(Shelf_Life!A31,Demand_Frozen!A31:A148,1,FALSE())</f>
        <v>#N/A</v>
      </c>
    </row>
    <row r="32" customFormat="false" ht="15" hidden="false" customHeight="false" outlineLevel="0" collapsed="false">
      <c r="A32" s="0" t="s">
        <v>1279</v>
      </c>
      <c r="B32" s="0" t="n">
        <v>1</v>
      </c>
      <c r="C32" s="125" t="n">
        <v>0.103032191003264</v>
      </c>
      <c r="D32" s="0" t="e">
        <f aca="false">VLOOKUP(Shelf_Life!A32,Demand_Fresh!A33:A124,1,FALSE())</f>
        <v>#N/A</v>
      </c>
      <c r="E32" s="0" t="e">
        <f aca="false">VLOOKUP(Shelf_Life!A32,Demand_Frozen!A32:A149,1,FALSE())</f>
        <v>#N/A</v>
      </c>
    </row>
    <row r="33" customFormat="false" ht="15" hidden="false" customHeight="false" outlineLevel="0" collapsed="false">
      <c r="A33" s="0" t="s">
        <v>1280</v>
      </c>
      <c r="B33" s="0" t="n">
        <v>1</v>
      </c>
      <c r="C33" s="125" t="n">
        <v>0.109471702940968</v>
      </c>
      <c r="D33" s="0" t="e">
        <f aca="false">VLOOKUP(Shelf_Life!A33,Demand_Fresh!A34:A125,1,FALSE())</f>
        <v>#N/A</v>
      </c>
      <c r="E33" s="0" t="e">
        <f aca="false">VLOOKUP(Shelf_Life!A33,Demand_Frozen!A33:A150,1,FALSE())</f>
        <v>#N/A</v>
      </c>
    </row>
    <row r="34" customFormat="false" ht="15" hidden="false" customHeight="false" outlineLevel="0" collapsed="false">
      <c r="A34" s="0" t="s">
        <v>1281</v>
      </c>
      <c r="B34" s="0" t="n">
        <v>1</v>
      </c>
      <c r="C34" s="125" t="n">
        <v>0.0875773623527743</v>
      </c>
      <c r="D34" s="0" t="e">
        <f aca="false">VLOOKUP(Shelf_Life!A34,Demand_Fresh!A35:A126,1,FALSE())</f>
        <v>#N/A</v>
      </c>
      <c r="E34" s="0" t="e">
        <f aca="false">VLOOKUP(Shelf_Life!A34,Demand_Frozen!A34:A151,1,FALSE())</f>
        <v>#N/A</v>
      </c>
    </row>
    <row r="35" customFormat="false" ht="15" hidden="false" customHeight="false" outlineLevel="0" collapsed="false">
      <c r="A35" s="0" t="s">
        <v>1282</v>
      </c>
      <c r="B35" s="0" t="n">
        <v>1</v>
      </c>
      <c r="C35" s="125" t="n">
        <v>0.109471702940968</v>
      </c>
      <c r="D35" s="0" t="e">
        <f aca="false">VLOOKUP(Shelf_Life!A35,Demand_Fresh!A36:A127,1,FALSE())</f>
        <v>#N/A</v>
      </c>
      <c r="E35" s="0" t="e">
        <f aca="false">VLOOKUP(Shelf_Life!A35,Demand_Frozen!A35:A152,1,FALSE())</f>
        <v>#N/A</v>
      </c>
    </row>
    <row r="36" customFormat="false" ht="15" hidden="false" customHeight="false" outlineLevel="0" collapsed="false">
      <c r="A36" s="0" t="s">
        <v>1283</v>
      </c>
      <c r="B36" s="0" t="n">
        <v>1</v>
      </c>
      <c r="C36" s="125" t="n">
        <v>0.103032191003264</v>
      </c>
      <c r="D36" s="0" t="e">
        <f aca="false">VLOOKUP(Shelf_Life!A36,Demand_Fresh!A37:A128,1,FALSE())</f>
        <v>#N/A</v>
      </c>
      <c r="E36" s="0" t="e">
        <f aca="false">VLOOKUP(Shelf_Life!A36,Demand_Frozen!A36:A152,1,FALSE())</f>
        <v>#N/A</v>
      </c>
    </row>
    <row r="37" customFormat="false" ht="15" hidden="false" customHeight="false" outlineLevel="0" collapsed="false">
      <c r="A37" s="0" t="s">
        <v>1284</v>
      </c>
      <c r="B37" s="0" t="n">
        <v>1</v>
      </c>
      <c r="C37" s="125" t="n">
        <v>0.0875773623527743</v>
      </c>
      <c r="D37" s="0" t="e">
        <f aca="false">VLOOKUP(Shelf_Life!A37,Demand_Fresh!A38:A129,1,FALSE())</f>
        <v>#N/A</v>
      </c>
      <c r="E37" s="0" t="e">
        <f aca="false">VLOOKUP(Shelf_Life!A37,Demand_Frozen!A37:A153,1,FALSE())</f>
        <v>#N/A</v>
      </c>
    </row>
    <row r="38" customFormat="false" ht="15" hidden="false" customHeight="false" outlineLevel="0" collapsed="false">
      <c r="A38" s="0" t="s">
        <v>1285</v>
      </c>
      <c r="B38" s="0" t="n">
        <v>1</v>
      </c>
      <c r="C38" s="125" t="n">
        <v>0.0985245326468711</v>
      </c>
      <c r="D38" s="0" t="e">
        <f aca="false">VLOOKUP(Shelf_Life!A38,Demand_Fresh!A39:A130,1,FALSE())</f>
        <v>#N/A</v>
      </c>
      <c r="E38" s="0" t="e">
        <f aca="false">VLOOKUP(Shelf_Life!A38,Demand_Frozen!A38:A153,1,FALSE())</f>
        <v>#N/A</v>
      </c>
    </row>
    <row r="39" customFormat="false" ht="15" hidden="false" customHeight="false" outlineLevel="0" collapsed="false">
      <c r="A39" s="0" t="s">
        <v>1286</v>
      </c>
      <c r="B39" s="0" t="n">
        <v>1</v>
      </c>
      <c r="C39" s="125" t="n">
        <v>0.0703746661763365</v>
      </c>
      <c r="D39" s="0" t="e">
        <f aca="false">VLOOKUP(Shelf_Life!A39,Demand_Fresh!A40:A131,1,FALSE())</f>
        <v>#N/A</v>
      </c>
      <c r="E39" s="0" t="e">
        <f aca="false">VLOOKUP(Shelf_Life!A39,Demand_Frozen!A39:A154,1,FALSE())</f>
        <v>#N/A</v>
      </c>
    </row>
    <row r="40" customFormat="false" ht="15" hidden="false" customHeight="false" outlineLevel="0" collapsed="false">
      <c r="A40" s="0" t="s">
        <v>1287</v>
      </c>
      <c r="B40" s="0" t="n">
        <v>1</v>
      </c>
      <c r="C40" s="125" t="n">
        <v>0.0745339254066164</v>
      </c>
      <c r="D40" s="0" t="e">
        <f aca="false">VLOOKUP(Shelf_Life!A40,Demand_Fresh!A41:A132,1,FALSE())</f>
        <v>#N/A</v>
      </c>
      <c r="E40" s="0" t="e">
        <f aca="false">VLOOKUP(Shelf_Life!A40,Demand_Frozen!A40:A155,1,FALSE())</f>
        <v>#N/A</v>
      </c>
    </row>
    <row r="41" customFormat="false" ht="15" hidden="false" customHeight="false" outlineLevel="0" collapsed="false">
      <c r="A41" s="0" t="s">
        <v>1288</v>
      </c>
      <c r="B41" s="0" t="n">
        <v>1</v>
      </c>
      <c r="C41" s="125" t="n">
        <v>0.0745339254066164</v>
      </c>
      <c r="D41" s="0" t="e">
        <f aca="false">VLOOKUP(Shelf_Life!A41,Demand_Fresh!A42:A133,1,FALSE())</f>
        <v>#N/A</v>
      </c>
      <c r="E41" s="0" t="e">
        <f aca="false">VLOOKUP(Shelf_Life!A41,Demand_Frozen!A41:A156,1,FALSE())</f>
        <v>#N/A</v>
      </c>
    </row>
    <row r="42" customFormat="false" ht="15" hidden="false" customHeight="false" outlineLevel="0" collapsed="false">
      <c r="A42" s="0" t="s">
        <v>1289</v>
      </c>
      <c r="B42" s="0" t="n">
        <v>1</v>
      </c>
      <c r="C42" s="125" t="n">
        <v>0.109471702940968</v>
      </c>
      <c r="D42" s="0" t="e">
        <f aca="false">VLOOKUP(Shelf_Life!A42,Demand_Fresh!A43:A134,1,FALSE())</f>
        <v>#N/A</v>
      </c>
      <c r="E42" s="0" t="e">
        <f aca="false">VLOOKUP(Shelf_Life!A42,Demand_Frozen!A42:A157,1,FALSE())</f>
        <v>#N/A</v>
      </c>
    </row>
    <row r="43" customFormat="false" ht="15" hidden="false" customHeight="false" outlineLevel="0" collapsed="false">
      <c r="A43" s="0" t="s">
        <v>1290</v>
      </c>
      <c r="B43" s="0" t="n">
        <v>1</v>
      </c>
      <c r="C43" s="125" t="n">
        <v>0.103032191003264</v>
      </c>
      <c r="D43" s="0" t="e">
        <f aca="false">VLOOKUP(Shelf_Life!A43,Demand_Fresh!A44:A135,1,FALSE())</f>
        <v>#N/A</v>
      </c>
      <c r="E43" s="0" t="e">
        <f aca="false">VLOOKUP(Shelf_Life!A43,Demand_Frozen!A43:A158,1,FALSE())</f>
        <v>#N/A</v>
      </c>
    </row>
    <row r="44" customFormat="false" ht="15" hidden="false" customHeight="false" outlineLevel="0" collapsed="false">
      <c r="A44" s="0" t="s">
        <v>1291</v>
      </c>
      <c r="B44" s="0" t="n">
        <v>1</v>
      </c>
      <c r="C44" s="125" t="n">
        <v>0.109471702940968</v>
      </c>
      <c r="D44" s="0" t="e">
        <f aca="false">VLOOKUP(Shelf_Life!A44,Demand_Fresh!A45:A136,1,FALSE())</f>
        <v>#N/A</v>
      </c>
      <c r="E44" s="0" t="e">
        <f aca="false">VLOOKUP(Shelf_Life!A44,Demand_Frozen!A44:A159,1,FALSE())</f>
        <v>#N/A</v>
      </c>
    </row>
    <row r="45" customFormat="false" ht="15" hidden="false" customHeight="false" outlineLevel="0" collapsed="false">
      <c r="A45" s="0" t="s">
        <v>1292</v>
      </c>
      <c r="B45" s="0" t="n">
        <v>1</v>
      </c>
      <c r="C45" s="125" t="n">
        <v>0.109471702940968</v>
      </c>
      <c r="D45" s="0" t="e">
        <f aca="false">VLOOKUP(Shelf_Life!A45,Demand_Fresh!A46:A137,1,FALSE())</f>
        <v>#N/A</v>
      </c>
      <c r="E45" s="0" t="e">
        <f aca="false">VLOOKUP(Shelf_Life!A45,Demand_Frozen!A45:A160,1,FALSE())</f>
        <v>#N/A</v>
      </c>
    </row>
    <row r="46" customFormat="false" ht="15" hidden="false" customHeight="false" outlineLevel="0" collapsed="false">
      <c r="A46" s="0" t="s">
        <v>1293</v>
      </c>
      <c r="B46" s="0" t="n">
        <v>1</v>
      </c>
      <c r="C46" s="125" t="n">
        <v>0.109471702940968</v>
      </c>
      <c r="D46" s="0" t="e">
        <f aca="false">VLOOKUP(Shelf_Life!A46,Demand_Fresh!A47:A138,1,FALSE())</f>
        <v>#N/A</v>
      </c>
      <c r="E46" s="0" t="e">
        <f aca="false">VLOOKUP(Shelf_Life!A46,Demand_Frozen!A46:A161,1,FALSE())</f>
        <v>#N/A</v>
      </c>
    </row>
    <row r="47" customFormat="false" ht="15" hidden="false" customHeight="false" outlineLevel="0" collapsed="false">
      <c r="A47" s="0" t="s">
        <v>1294</v>
      </c>
      <c r="B47" s="0" t="n">
        <v>1</v>
      </c>
      <c r="C47" s="125" t="n">
        <v>0.131366043529161</v>
      </c>
      <c r="D47" s="0" t="e">
        <f aca="false">VLOOKUP(Shelf_Life!A47,Demand_Fresh!A48:A139,1,FALSE())</f>
        <v>#N/A</v>
      </c>
      <c r="E47" s="0" t="e">
        <f aca="false">VLOOKUP(Shelf_Life!A47,Demand_Frozen!A47:A162,1,FALSE())</f>
        <v>#N/A</v>
      </c>
    </row>
    <row r="48" customFormat="false" ht="15" hidden="false" customHeight="false" outlineLevel="0" collapsed="false">
      <c r="A48" s="0" t="s">
        <v>1295</v>
      </c>
      <c r="B48" s="0" t="n">
        <v>1</v>
      </c>
      <c r="C48" s="125" t="n">
        <v>0.131366043529161</v>
      </c>
      <c r="D48" s="0" t="e">
        <f aca="false">VLOOKUP(Shelf_Life!A48,Demand_Fresh!A49:A140,1,FALSE())</f>
        <v>#N/A</v>
      </c>
      <c r="E48" s="0" t="e">
        <f aca="false">VLOOKUP(Shelf_Life!A48,Demand_Frozen!A48:A163,1,FALSE())</f>
        <v>#N/A</v>
      </c>
    </row>
    <row r="49" customFormat="false" ht="15" hidden="false" customHeight="false" outlineLevel="0" collapsed="false">
      <c r="A49" s="0" t="s">
        <v>1296</v>
      </c>
      <c r="B49" s="0" t="n">
        <v>1</v>
      </c>
      <c r="C49" s="125" t="n">
        <v>0.109471702940968</v>
      </c>
      <c r="D49" s="0" t="e">
        <f aca="false">VLOOKUP(Shelf_Life!A49,Demand_Fresh!A50:A141,1,FALSE())</f>
        <v>#N/A</v>
      </c>
      <c r="E49" s="0" t="e">
        <f aca="false">VLOOKUP(Shelf_Life!A49,Demand_Frozen!A49:A164,1,FALSE())</f>
        <v>#N/A</v>
      </c>
    </row>
    <row r="50" customFormat="false" ht="15" hidden="false" customHeight="false" outlineLevel="0" collapsed="false">
      <c r="A50" s="0" t="s">
        <v>1297</v>
      </c>
      <c r="B50" s="0" t="n">
        <v>1</v>
      </c>
      <c r="C50" s="125" t="n">
        <v>0.109471702940968</v>
      </c>
      <c r="D50" s="0" t="e">
        <f aca="false">VLOOKUP(Shelf_Life!A50,Demand_Fresh!A51:A142,1,FALSE())</f>
        <v>#N/A</v>
      </c>
      <c r="E50" s="0" t="e">
        <f aca="false">VLOOKUP(Shelf_Life!A50,Demand_Frozen!A50:A165,1,FALSE())</f>
        <v>#N/A</v>
      </c>
    </row>
    <row r="51" customFormat="false" ht="15" hidden="false" customHeight="false" outlineLevel="0" collapsed="false">
      <c r="A51" s="0" t="s">
        <v>1298</v>
      </c>
      <c r="B51" s="0" t="n">
        <v>1</v>
      </c>
      <c r="C51" s="125" t="n">
        <v>0.0985245326468711</v>
      </c>
      <c r="D51" s="0" t="e">
        <f aca="false">VLOOKUP(Shelf_Life!A51,Demand_Fresh!A52:A143,1,FALSE())</f>
        <v>#N/A</v>
      </c>
      <c r="E51" s="0" t="e">
        <f aca="false">VLOOKUP(Shelf_Life!A51,Demand_Frozen!A51:A166,1,FALSE())</f>
        <v>#N/A</v>
      </c>
    </row>
    <row r="52" customFormat="false" ht="15" hidden="false" customHeight="false" outlineLevel="0" collapsed="false">
      <c r="A52" s="0" t="s">
        <v>1299</v>
      </c>
      <c r="B52" s="0" t="n">
        <v>1</v>
      </c>
      <c r="C52" s="125" t="n">
        <v>0.147786798970307</v>
      </c>
      <c r="D52" s="0" t="e">
        <f aca="false">VLOOKUP(Shelf_Life!A52,Demand_Fresh!A53:A144,1,FALSE())</f>
        <v>#N/A</v>
      </c>
      <c r="E52" s="0" t="e">
        <f aca="false">VLOOKUP(Shelf_Life!A52,Demand_Frozen!A52:A167,1,FALSE())</f>
        <v>#N/A</v>
      </c>
    </row>
    <row r="53" customFormat="false" ht="15" hidden="false" customHeight="false" outlineLevel="0" collapsed="false">
      <c r="A53" s="0" t="s">
        <v>1300</v>
      </c>
      <c r="B53" s="0" t="n">
        <v>1</v>
      </c>
      <c r="C53" s="125" t="n">
        <v>0.364905676469893</v>
      </c>
      <c r="D53" s="0" t="e">
        <f aca="false">VLOOKUP(Shelf_Life!A53,Demand_Fresh!A54:A145,1,FALSE())</f>
        <v>#N/A</v>
      </c>
      <c r="E53" s="0" t="e">
        <f aca="false">VLOOKUP(Shelf_Life!A53,Demand_Frozen!A53:A168,1,FALSE())</f>
        <v>#N/A</v>
      </c>
    </row>
    <row r="54" customFormat="false" ht="15" hidden="false" customHeight="false" outlineLevel="0" collapsed="false">
      <c r="A54" s="0" t="s">
        <v>1301</v>
      </c>
      <c r="B54" s="0" t="n">
        <v>1</v>
      </c>
      <c r="C54" s="125" t="n">
        <v>0.194616360783943</v>
      </c>
      <c r="D54" s="0" t="e">
        <f aca="false">VLOOKUP(Shelf_Life!A54,Demand_Fresh!A55:A146,1,FALSE())</f>
        <v>#N/A</v>
      </c>
      <c r="E54" s="0" t="e">
        <f aca="false">VLOOKUP(Shelf_Life!A54,Demand_Frozen!A54:A169,1,FALSE())</f>
        <v>#N/A</v>
      </c>
    </row>
    <row r="55" customFormat="false" ht="15" hidden="false" customHeight="false" outlineLevel="0" collapsed="false">
      <c r="A55" s="0" t="s">
        <v>1302</v>
      </c>
      <c r="B55" s="0" t="n">
        <v>1</v>
      </c>
      <c r="C55" s="125" t="n">
        <v>0.131366043529161</v>
      </c>
      <c r="D55" s="0" t="e">
        <f aca="false">VLOOKUP(Shelf_Life!A55,Demand_Fresh!A56:A147,1,FALSE())</f>
        <v>#N/A</v>
      </c>
      <c r="E55" s="0" t="e">
        <f aca="false">VLOOKUP(Shelf_Life!A55,Demand_Frozen!A55:A170,1,FALSE())</f>
        <v>#N/A</v>
      </c>
    </row>
    <row r="56" customFormat="false" ht="15" hidden="false" customHeight="false" outlineLevel="0" collapsed="false">
      <c r="A56" s="0" t="s">
        <v>1303</v>
      </c>
      <c r="B56" s="0" t="n">
        <v>1</v>
      </c>
      <c r="C56" s="125" t="n">
        <v>0.246311331617178</v>
      </c>
      <c r="D56" s="0" t="e">
        <f aca="false">VLOOKUP(Shelf_Life!A56,Demand_Fresh!A57:A148,1,FALSE())</f>
        <v>#N/A</v>
      </c>
      <c r="E56" s="0" t="e">
        <f aca="false">VLOOKUP(Shelf_Life!A56,Demand_Frozen!A56:A171,1,FALSE())</f>
        <v>#N/A</v>
      </c>
    </row>
    <row r="57" customFormat="false" ht="15" hidden="false" customHeight="false" outlineLevel="0" collapsed="false">
      <c r="A57" s="0" t="s">
        <v>1304</v>
      </c>
      <c r="B57" s="0" t="n">
        <v>1</v>
      </c>
      <c r="C57" s="125" t="n">
        <v>0.0985245326468711</v>
      </c>
      <c r="D57" s="0" t="e">
        <f aca="false">VLOOKUP(Shelf_Life!A57,Demand_Fresh!A58:A149,1,FALSE())</f>
        <v>#N/A</v>
      </c>
      <c r="E57" s="0" t="e">
        <f aca="false">VLOOKUP(Shelf_Life!A57,Demand_Frozen!A57:A172,1,FALSE())</f>
        <v>#N/A</v>
      </c>
    </row>
    <row r="58" customFormat="false" ht="15" hidden="false" customHeight="false" outlineLevel="0" collapsed="false">
      <c r="A58" s="0" t="s">
        <v>1305</v>
      </c>
      <c r="B58" s="0" t="n">
        <v>1</v>
      </c>
      <c r="C58" s="125" t="n">
        <v>0.0985245326468711</v>
      </c>
      <c r="D58" s="0" t="e">
        <f aca="false">VLOOKUP(Shelf_Life!A58,Demand_Fresh!A59:A150,1,FALSE())</f>
        <v>#N/A</v>
      </c>
      <c r="E58" s="0" t="e">
        <f aca="false">VLOOKUP(Shelf_Life!A58,Demand_Frozen!A58:A173,1,FALSE())</f>
        <v>#N/A</v>
      </c>
    </row>
    <row r="59" customFormat="false" ht="15" hidden="false" customHeight="false" outlineLevel="0" collapsed="false">
      <c r="A59" s="0" t="s">
        <v>1306</v>
      </c>
      <c r="B59" s="0" t="n">
        <v>1</v>
      </c>
      <c r="C59" s="125" t="n">
        <v>0.131366043529161</v>
      </c>
      <c r="D59" s="0" t="e">
        <f aca="false">VLOOKUP(Shelf_Life!A59,Demand_Fresh!A60:A151,1,FALSE())</f>
        <v>#N/A</v>
      </c>
      <c r="E59" s="0" t="e">
        <f aca="false">VLOOKUP(Shelf_Life!A59,Demand_Frozen!A59:A174,1,FALSE())</f>
        <v>#N/A</v>
      </c>
    </row>
    <row r="60" customFormat="false" ht="15" hidden="false" customHeight="false" outlineLevel="0" collapsed="false">
      <c r="A60" s="0" t="s">
        <v>1307</v>
      </c>
      <c r="B60" s="0" t="n">
        <v>1</v>
      </c>
      <c r="C60" s="125" t="n">
        <v>0.103032191003264</v>
      </c>
      <c r="D60" s="0" t="e">
        <f aca="false">VLOOKUP(Shelf_Life!A60,Demand_Fresh!A61:A152,1,FALSE())</f>
        <v>#N/A</v>
      </c>
      <c r="E60" s="0" t="e">
        <f aca="false">VLOOKUP(Shelf_Life!A60,Demand_Frozen!A60:A175,1,FALSE())</f>
        <v>#N/A</v>
      </c>
    </row>
    <row r="61" customFormat="false" ht="15" hidden="false" customHeight="false" outlineLevel="0" collapsed="false">
      <c r="A61" s="0" t="s">
        <v>1308</v>
      </c>
      <c r="B61" s="0" t="n">
        <v>1</v>
      </c>
      <c r="C61" s="125" t="n">
        <v>0.0615778329042944</v>
      </c>
      <c r="D61" s="0" t="e">
        <f aca="false">VLOOKUP(Shelf_Life!A61,Demand_Fresh!A62:A153,1,FALSE())</f>
        <v>#N/A</v>
      </c>
      <c r="E61" s="0" t="e">
        <f aca="false">VLOOKUP(Shelf_Life!A61,Demand_Frozen!A61:A176,1,FALSE())</f>
        <v>#N/A</v>
      </c>
    </row>
    <row r="62" customFormat="false" ht="15" hidden="false" customHeight="false" outlineLevel="0" collapsed="false">
      <c r="A62" s="0" t="s">
        <v>1309</v>
      </c>
      <c r="B62" s="0" t="n">
        <v>1</v>
      </c>
      <c r="C62" s="125" t="n">
        <v>0.0579556074393359</v>
      </c>
      <c r="D62" s="0" t="e">
        <f aca="false">VLOOKUP(Shelf_Life!A62,Demand_Fresh!A63:A154,1,FALSE())</f>
        <v>#N/A</v>
      </c>
      <c r="E62" s="0" t="e">
        <f aca="false">VLOOKUP(Shelf_Life!A62,Demand_Frozen!A62:A177,1,FALSE())</f>
        <v>#N/A</v>
      </c>
    </row>
    <row r="63" customFormat="false" ht="15" hidden="false" customHeight="false" outlineLevel="0" collapsed="false">
      <c r="A63" s="0" t="s">
        <v>1310</v>
      </c>
      <c r="B63" s="0" t="n">
        <v>1</v>
      </c>
      <c r="C63" s="125" t="n">
        <v>0.0684198143381049</v>
      </c>
      <c r="D63" s="0" t="e">
        <f aca="false">VLOOKUP(Shelf_Life!A63,Demand_Fresh!A64:A155,1,FALSE())</f>
        <v>#N/A</v>
      </c>
      <c r="E63" s="0" t="e">
        <f aca="false">VLOOKUP(Shelf_Life!A63,Demand_Frozen!A63:A178,1,FALSE())</f>
        <v>#N/A</v>
      </c>
    </row>
    <row r="64" customFormat="false" ht="15" hidden="false" customHeight="false" outlineLevel="0" collapsed="false">
      <c r="A64" s="0" t="s">
        <v>1311</v>
      </c>
      <c r="B64" s="0" t="n">
        <v>1</v>
      </c>
      <c r="C64" s="125" t="n">
        <v>0.0421045011311415</v>
      </c>
      <c r="D64" s="0" t="e">
        <f aca="false">VLOOKUP(Shelf_Life!A64,Demand_Fresh!A65:A156,1,FALSE())</f>
        <v>#N/A</v>
      </c>
      <c r="E64" s="0" t="e">
        <f aca="false">VLOOKUP(Shelf_Life!A64,Demand_Frozen!A64:A179,1,FALSE())</f>
        <v>#N/A</v>
      </c>
    </row>
    <row r="65" customFormat="false" ht="15" hidden="false" customHeight="false" outlineLevel="0" collapsed="false">
      <c r="A65" s="0" t="s">
        <v>1312</v>
      </c>
      <c r="B65" s="0" t="n">
        <v>1</v>
      </c>
      <c r="C65" s="125" t="n">
        <v>0.0615778329042944</v>
      </c>
      <c r="D65" s="0" t="e">
        <f aca="false">VLOOKUP(Shelf_Life!A65,Demand_Fresh!A66:A157,1,FALSE())</f>
        <v>#N/A</v>
      </c>
      <c r="E65" s="0" t="e">
        <f aca="false">VLOOKUP(Shelf_Life!A65,Demand_Frozen!A65:A180,1,FALSE())</f>
        <v>#N/A</v>
      </c>
    </row>
    <row r="66" customFormat="false" ht="15" hidden="false" customHeight="false" outlineLevel="0" collapsed="false">
      <c r="A66" s="0" t="s">
        <v>1313</v>
      </c>
      <c r="B66" s="0" t="n">
        <v>1</v>
      </c>
      <c r="C66" s="125" t="n">
        <v>0.0615778329042944</v>
      </c>
      <c r="D66" s="0" t="e">
        <f aca="false">VLOOKUP(Shelf_Life!A66,Demand_Fresh!A67:A158,1,FALSE())</f>
        <v>#N/A</v>
      </c>
      <c r="E66" s="0" t="e">
        <f aca="false">VLOOKUP(Shelf_Life!A66,Demand_Frozen!A66:A181,1,FALSE())</f>
        <v>#N/A</v>
      </c>
    </row>
    <row r="67" customFormat="false" ht="15" hidden="false" customHeight="false" outlineLevel="0" collapsed="false">
      <c r="A67" s="0" t="s">
        <v>1314</v>
      </c>
      <c r="B67" s="0" t="n">
        <v>1</v>
      </c>
      <c r="C67" s="125" t="n">
        <v>0.0615778329042944</v>
      </c>
      <c r="D67" s="0" t="e">
        <f aca="false">VLOOKUP(Shelf_Life!A67,Demand_Fresh!A68:A159,1,FALSE())</f>
        <v>#N/A</v>
      </c>
      <c r="E67" s="0" t="e">
        <f aca="false">VLOOKUP(Shelf_Life!A67,Demand_Frozen!A67:A182,1,FALSE())</f>
        <v>#N/A</v>
      </c>
    </row>
    <row r="68" customFormat="false" ht="15" hidden="false" customHeight="false" outlineLevel="0" collapsed="false">
      <c r="A68" s="0" t="s">
        <v>1315</v>
      </c>
      <c r="B68" s="0" t="n">
        <v>1</v>
      </c>
      <c r="C68" s="125" t="n">
        <v>0.0615778329042944</v>
      </c>
      <c r="D68" s="0" t="e">
        <f aca="false">VLOOKUP(Shelf_Life!A68,Demand_Fresh!A69:A160,1,FALSE())</f>
        <v>#N/A</v>
      </c>
      <c r="E68" s="0" t="e">
        <f aca="false">VLOOKUP(Shelf_Life!A68,Demand_Frozen!A68:A183,1,FALSE())</f>
        <v>#N/A</v>
      </c>
    </row>
    <row r="69" customFormat="false" ht="15" hidden="false" customHeight="false" outlineLevel="0" collapsed="false">
      <c r="A69" s="0" t="s">
        <v>1316</v>
      </c>
      <c r="B69" s="0" t="n">
        <v>1</v>
      </c>
      <c r="C69" s="125" t="n">
        <v>0.0615778329042944</v>
      </c>
      <c r="D69" s="0" t="e">
        <f aca="false">VLOOKUP(Shelf_Life!A69,Demand_Fresh!A70:A161,1,FALSE())</f>
        <v>#N/A</v>
      </c>
      <c r="E69" s="0" t="e">
        <f aca="false">VLOOKUP(Shelf_Life!A69,Demand_Frozen!A69:A184,1,FALSE())</f>
        <v>#N/A</v>
      </c>
    </row>
    <row r="70" customFormat="false" ht="15" hidden="false" customHeight="false" outlineLevel="0" collapsed="false">
      <c r="A70" s="0" t="s">
        <v>1317</v>
      </c>
      <c r="B70" s="0" t="n">
        <v>1</v>
      </c>
      <c r="C70" s="125" t="n">
        <v>0.0615778329042944</v>
      </c>
      <c r="D70" s="0" t="e">
        <f aca="false">VLOOKUP(Shelf_Life!A70,Demand_Fresh!A71:A162,1,FALSE())</f>
        <v>#N/A</v>
      </c>
      <c r="E70" s="0" t="e">
        <f aca="false">VLOOKUP(Shelf_Life!A70,Demand_Frozen!A70:A185,1,FALSE())</f>
        <v>#N/A</v>
      </c>
    </row>
    <row r="71" customFormat="false" ht="15" hidden="false" customHeight="false" outlineLevel="0" collapsed="false">
      <c r="A71" s="0" t="s">
        <v>1318</v>
      </c>
      <c r="B71" s="0" t="n">
        <v>1</v>
      </c>
      <c r="C71" s="125" t="n">
        <v>0.082933108288612</v>
      </c>
      <c r="D71" s="0" t="e">
        <f aca="false">VLOOKUP(Shelf_Life!A71,Demand_Fresh!A72:A163,1,FALSE())</f>
        <v>#N/A</v>
      </c>
      <c r="E71" s="0" t="e">
        <f aca="false">VLOOKUP(Shelf_Life!A71,Demand_Frozen!A71:A186,1,FALSE())</f>
        <v>#N/A</v>
      </c>
    </row>
    <row r="72" customFormat="false" ht="15" hidden="false" customHeight="false" outlineLevel="0" collapsed="false">
      <c r="A72" s="0" t="s">
        <v>1319</v>
      </c>
      <c r="B72" s="0" t="n">
        <v>1</v>
      </c>
      <c r="C72" s="125" t="n">
        <v>0.0608176127449821</v>
      </c>
      <c r="D72" s="0" t="e">
        <f aca="false">VLOOKUP(Shelf_Life!A72,Demand_Fresh!A73:A164,1,FALSE())</f>
        <v>#N/A</v>
      </c>
      <c r="E72" s="0" t="e">
        <f aca="false">VLOOKUP(Shelf_Life!A72,Demand_Frozen!A72:A187,1,FALSE())</f>
        <v>#N/A</v>
      </c>
    </row>
    <row r="73" customFormat="false" ht="15" hidden="false" customHeight="false" outlineLevel="0" collapsed="false">
      <c r="A73" s="0" t="s">
        <v>1320</v>
      </c>
      <c r="B73" s="0" t="n">
        <v>1</v>
      </c>
      <c r="C73" s="125" t="n">
        <v>0.0615778329042944</v>
      </c>
      <c r="D73" s="0" t="e">
        <f aca="false">VLOOKUP(Shelf_Life!A73,Demand_Fresh!A74:A165,1,FALSE())</f>
        <v>#N/A</v>
      </c>
      <c r="E73" s="0" t="e">
        <f aca="false">VLOOKUP(Shelf_Life!A73,Demand_Frozen!A73:A188,1,FALSE())</f>
        <v>#N/A</v>
      </c>
    </row>
    <row r="74" customFormat="false" ht="15" hidden="false" customHeight="false" outlineLevel="0" collapsed="false">
      <c r="A74" s="0" t="s">
        <v>1321</v>
      </c>
      <c r="B74" s="0" t="n">
        <v>1</v>
      </c>
      <c r="C74" s="125" t="n">
        <v>0.0684198143381049</v>
      </c>
      <c r="D74" s="0" t="e">
        <f aca="false">VLOOKUP(Shelf_Life!A74,Demand_Fresh!A75:A166,1,FALSE())</f>
        <v>#N/A</v>
      </c>
      <c r="E74" s="0" t="e">
        <f aca="false">VLOOKUP(Shelf_Life!A74,Demand_Frozen!A74:A189,1,FALSE())</f>
        <v>#N/A</v>
      </c>
    </row>
    <row r="75" customFormat="false" ht="15" hidden="false" customHeight="false" outlineLevel="0" collapsed="false">
      <c r="A75" s="0" t="s">
        <v>1322</v>
      </c>
      <c r="B75" s="0" t="n">
        <v>1</v>
      </c>
      <c r="C75" s="125" t="n">
        <v>0.0615778329042944</v>
      </c>
      <c r="D75" s="0" t="e">
        <f aca="false">VLOOKUP(Shelf_Life!A75,Demand_Fresh!A76:A167,1,FALSE())</f>
        <v>#N/A</v>
      </c>
      <c r="E75" s="0" t="e">
        <f aca="false">VLOOKUP(Shelf_Life!A75,Demand_Frozen!A75:A190,1,FALSE())</f>
        <v>#N/A</v>
      </c>
    </row>
    <row r="76" customFormat="false" ht="15" hidden="false" customHeight="false" outlineLevel="0" collapsed="false">
      <c r="A76" s="0" t="s">
        <v>1323</v>
      </c>
      <c r="B76" s="0" t="n">
        <v>1</v>
      </c>
      <c r="C76" s="125" t="n">
        <v>0.0615778329042944</v>
      </c>
      <c r="D76" s="0" t="e">
        <f aca="false">VLOOKUP(Shelf_Life!A76,Demand_Fresh!A77:A168,1,FALSE())</f>
        <v>#N/A</v>
      </c>
      <c r="E76" s="0" t="e">
        <f aca="false">VLOOKUP(Shelf_Life!A76,Demand_Frozen!A76:A191,1,FALSE())</f>
        <v>#N/A</v>
      </c>
    </row>
    <row r="77" customFormat="false" ht="15" hidden="false" customHeight="false" outlineLevel="0" collapsed="false">
      <c r="A77" s="0" t="s">
        <v>1324</v>
      </c>
      <c r="B77" s="0" t="n">
        <v>1</v>
      </c>
      <c r="C77" s="125" t="n">
        <v>0.0615778329042944</v>
      </c>
      <c r="D77" s="0" t="e">
        <f aca="false">VLOOKUP(Shelf_Life!A77,Demand_Fresh!A78:A169,1,FALSE())</f>
        <v>#N/A</v>
      </c>
      <c r="E77" s="0" t="e">
        <f aca="false">VLOOKUP(Shelf_Life!A77,Demand_Frozen!A77:A192,1,FALSE())</f>
        <v>#N/A</v>
      </c>
    </row>
    <row r="78" customFormat="false" ht="15" hidden="false" customHeight="false" outlineLevel="0" collapsed="false">
      <c r="A78" s="0" t="s">
        <v>1325</v>
      </c>
      <c r="B78" s="0" t="n">
        <v>1</v>
      </c>
      <c r="C78" s="125" t="n">
        <v>0.0615778329042944</v>
      </c>
      <c r="D78" s="0" t="e">
        <f aca="false">VLOOKUP(Shelf_Life!A78,Demand_Fresh!A79:A170,1,FALSE())</f>
        <v>#N/A</v>
      </c>
      <c r="E78" s="0" t="e">
        <f aca="false">VLOOKUP(Shelf_Life!A78,Demand_Frozen!A78:A193,1,FALSE())</f>
        <v>#N/A</v>
      </c>
    </row>
    <row r="79" customFormat="false" ht="15" hidden="false" customHeight="false" outlineLevel="0" collapsed="false">
      <c r="A79" s="0" t="s">
        <v>1326</v>
      </c>
      <c r="B79" s="0" t="n">
        <v>1</v>
      </c>
      <c r="C79" s="125" t="n">
        <v>0.0615778329042944</v>
      </c>
      <c r="D79" s="0" t="e">
        <f aca="false">VLOOKUP(Shelf_Life!A79,Demand_Fresh!A80:A171,1,FALSE())</f>
        <v>#N/A</v>
      </c>
      <c r="E79" s="0" t="e">
        <f aca="false">VLOOKUP(Shelf_Life!A79,Demand_Frozen!A79:A194,1,FALSE())</f>
        <v>#N/A</v>
      </c>
    </row>
    <row r="80" customFormat="false" ht="15" hidden="false" customHeight="false" outlineLevel="0" collapsed="false">
      <c r="A80" s="0" t="s">
        <v>1327</v>
      </c>
      <c r="B80" s="0" t="n">
        <v>1</v>
      </c>
      <c r="C80" s="125" t="n">
        <v>0.0912264191174732</v>
      </c>
      <c r="D80" s="0" t="e">
        <f aca="false">VLOOKUP(Shelf_Life!A80,Demand_Fresh!A81:A172,1,FALSE())</f>
        <v>#N/A</v>
      </c>
      <c r="E80" s="0" t="e">
        <f aca="false">VLOOKUP(Shelf_Life!A80,Demand_Frozen!A80:A195,1,FALSE())</f>
        <v>#N/A</v>
      </c>
    </row>
    <row r="81" customFormat="false" ht="15" hidden="false" customHeight="false" outlineLevel="0" collapsed="false">
      <c r="A81" s="0" t="s">
        <v>1328</v>
      </c>
      <c r="B81" s="0" t="n">
        <v>1</v>
      </c>
      <c r="C81" s="125" t="n">
        <v>0.0684198143381049</v>
      </c>
      <c r="D81" s="0" t="e">
        <f aca="false">VLOOKUP(Shelf_Life!A81,Demand_Fresh!A82:A173,1,FALSE())</f>
        <v>#N/A</v>
      </c>
      <c r="E81" s="0" t="e">
        <f aca="false">VLOOKUP(Shelf_Life!A81,Demand_Frozen!A81:A196,1,FALSE())</f>
        <v>#N/A</v>
      </c>
    </row>
    <row r="82" customFormat="false" ht="15" hidden="false" customHeight="false" outlineLevel="0" collapsed="false">
      <c r="A82" s="0" t="s">
        <v>1329</v>
      </c>
      <c r="B82" s="0" t="n">
        <v>1</v>
      </c>
      <c r="C82" s="125" t="n">
        <v>0.0615778329042944</v>
      </c>
      <c r="D82" s="0" t="e">
        <f aca="false">VLOOKUP(Shelf_Life!A82,Demand_Fresh!A83:A174,1,FALSE())</f>
        <v>#N/A</v>
      </c>
      <c r="E82" s="0" t="e">
        <f aca="false">VLOOKUP(Shelf_Life!A82,Demand_Frozen!A82:A197,1,FALSE())</f>
        <v>#N/A</v>
      </c>
    </row>
    <row r="83" customFormat="false" ht="15" hidden="false" customHeight="false" outlineLevel="0" collapsed="false">
      <c r="A83" s="0" t="s">
        <v>1330</v>
      </c>
      <c r="B83" s="0" t="n">
        <v>1</v>
      </c>
      <c r="C83" s="125" t="n">
        <v>0.0615778329042944</v>
      </c>
      <c r="D83" s="0" t="e">
        <f aca="false">VLOOKUP(Shelf_Life!A83,Demand_Fresh!A84:A175,1,FALSE())</f>
        <v>#N/A</v>
      </c>
      <c r="E83" s="0" t="e">
        <f aca="false">VLOOKUP(Shelf_Life!A83,Demand_Frozen!A83:A198,1,FALSE())</f>
        <v>#N/A</v>
      </c>
    </row>
    <row r="84" customFormat="false" ht="15" hidden="false" customHeight="false" outlineLevel="0" collapsed="false">
      <c r="A84" s="0" t="s">
        <v>1331</v>
      </c>
      <c r="B84" s="0" t="n">
        <v>1</v>
      </c>
      <c r="C84" s="125" t="n">
        <v>0.0684198143381049</v>
      </c>
      <c r="D84" s="0" t="e">
        <f aca="false">VLOOKUP(Shelf_Life!A84,Demand_Fresh!A85:A176,1,FALSE())</f>
        <v>#N/A</v>
      </c>
      <c r="E84" s="0" t="e">
        <f aca="false">VLOOKUP(Shelf_Life!A84,Demand_Frozen!A84:A199,1,FALSE())</f>
        <v>#N/A</v>
      </c>
    </row>
    <row r="85" customFormat="false" ht="15" hidden="false" customHeight="false" outlineLevel="0" collapsed="false">
      <c r="A85" s="0" t="s">
        <v>1332</v>
      </c>
      <c r="B85" s="0" t="n">
        <v>1</v>
      </c>
      <c r="C85" s="125" t="n">
        <v>0.0684198143381049</v>
      </c>
      <c r="D85" s="0" t="e">
        <f aca="false">VLOOKUP(Shelf_Life!A85,Demand_Fresh!A86:A177,1,FALSE())</f>
        <v>#N/A</v>
      </c>
      <c r="E85" s="0" t="e">
        <f aca="false">VLOOKUP(Shelf_Life!A85,Demand_Frozen!A85:A200,1,FALSE())</f>
        <v>#N/A</v>
      </c>
    </row>
    <row r="86" customFormat="false" ht="15" hidden="false" customHeight="false" outlineLevel="0" collapsed="false">
      <c r="A86" s="0" t="s">
        <v>1333</v>
      </c>
      <c r="B86" s="0" t="n">
        <v>1</v>
      </c>
      <c r="C86" s="125" t="n">
        <v>0.0615778329042944</v>
      </c>
      <c r="D86" s="0" t="e">
        <f aca="false">VLOOKUP(Shelf_Life!A86,Demand_Fresh!A87:A178,1,FALSE())</f>
        <v>#N/A</v>
      </c>
      <c r="E86" s="0" t="e">
        <f aca="false">VLOOKUP(Shelf_Life!A86,Demand_Frozen!A86:A200,1,FALSE())</f>
        <v>#N/A</v>
      </c>
    </row>
    <row r="87" customFormat="false" ht="15" hidden="false" customHeight="false" outlineLevel="0" collapsed="false">
      <c r="A87" s="0" t="s">
        <v>1334</v>
      </c>
      <c r="B87" s="0" t="n">
        <v>1</v>
      </c>
      <c r="C87" s="125" t="n">
        <v>0.0912264191174732</v>
      </c>
      <c r="D87" s="0" t="e">
        <f aca="false">VLOOKUP(Shelf_Life!A87,Demand_Fresh!A88:A179,1,FALSE())</f>
        <v>#N/A</v>
      </c>
      <c r="E87" s="0" t="e">
        <f aca="false">VLOOKUP(Shelf_Life!A87,Demand_Frozen!A87:A201,1,FALSE())</f>
        <v>#N/A</v>
      </c>
    </row>
    <row r="88" customFormat="false" ht="15" hidden="false" customHeight="false" outlineLevel="0" collapsed="false">
      <c r="A88" s="0" t="s">
        <v>1335</v>
      </c>
      <c r="B88" s="0" t="n">
        <v>1</v>
      </c>
      <c r="C88" s="125" t="n">
        <v>0.0684198143381049</v>
      </c>
      <c r="D88" s="0" t="e">
        <f aca="false">VLOOKUP(Shelf_Life!A88,Demand_Fresh!A89:A180,1,FALSE())</f>
        <v>#N/A</v>
      </c>
      <c r="E88" s="0" t="e">
        <f aca="false">VLOOKUP(Shelf_Life!A88,Demand_Frozen!A88:A202,1,FALSE())</f>
        <v>#N/A</v>
      </c>
    </row>
    <row r="89" customFormat="false" ht="15" hidden="false" customHeight="false" outlineLevel="0" collapsed="false">
      <c r="A89" s="0" t="s">
        <v>1336</v>
      </c>
      <c r="B89" s="0" t="n">
        <v>1</v>
      </c>
      <c r="C89" s="125" t="n">
        <v>0.0684198143381049</v>
      </c>
      <c r="D89" s="0" t="e">
        <f aca="false">VLOOKUP(Shelf_Life!A89,Demand_Fresh!A90:A181,1,FALSE())</f>
        <v>#N/A</v>
      </c>
      <c r="E89" s="0" t="e">
        <f aca="false">VLOOKUP(Shelf_Life!A89,Demand_Frozen!A89:A203,1,FALSE())</f>
        <v>#N/A</v>
      </c>
    </row>
    <row r="90" customFormat="false" ht="15" hidden="false" customHeight="false" outlineLevel="0" collapsed="false">
      <c r="A90" s="0" t="s">
        <v>281</v>
      </c>
      <c r="B90" s="0" t="n">
        <v>1</v>
      </c>
      <c r="C90" s="125" t="n">
        <v>0.135119359058566</v>
      </c>
      <c r="D90" s="0" t="e">
        <f aca="false">VLOOKUP(Shelf_Life!A90,Demand_Fresh!A91:A182,1,FALSE())</f>
        <v>#N/A</v>
      </c>
      <c r="E90" s="0" t="e">
        <f aca="false">VLOOKUP(Shelf_Life!A90,Demand_Frozen!A90:A204,1,FALSE())</f>
        <v>#N/A</v>
      </c>
    </row>
    <row r="91" customFormat="false" ht="15" hidden="false" customHeight="false" outlineLevel="0" collapsed="false">
      <c r="A91" s="0" t="s">
        <v>282</v>
      </c>
      <c r="B91" s="0" t="n">
        <v>1</v>
      </c>
      <c r="C91" s="125" t="n">
        <v>0.112599465882138</v>
      </c>
      <c r="D91" s="0" t="e">
        <f aca="false">VLOOKUP(Shelf_Life!A91,Demand_Fresh!A92:A183,1,FALSE())</f>
        <v>#N/A</v>
      </c>
      <c r="E91" s="0" t="e">
        <f aca="false">VLOOKUP(Shelf_Life!A91,Demand_Frozen!A91:A205,1,FALSE())</f>
        <v>#N/A</v>
      </c>
    </row>
    <row r="92" customFormat="false" ht="15" hidden="false" customHeight="false" outlineLevel="0" collapsed="false">
      <c r="A92" s="0" t="s">
        <v>1337</v>
      </c>
      <c r="B92" s="0" t="n">
        <v>1</v>
      </c>
      <c r="C92" s="125" t="n">
        <v>0.0985245326468711</v>
      </c>
      <c r="D92" s="0" t="e">
        <f aca="false">VLOOKUP(Shelf_Life!A92,Demand_Fresh!A93:A184,1,FALSE())</f>
        <v>#N/A</v>
      </c>
      <c r="E92" s="0" t="e">
        <f aca="false">VLOOKUP(Shelf_Life!A92,Demand_Frozen!A92:A206,1,FALSE())</f>
        <v>#N/A</v>
      </c>
    </row>
    <row r="93" customFormat="false" ht="15" hidden="false" customHeight="false" outlineLevel="0" collapsed="false">
      <c r="A93" s="0" t="s">
        <v>1338</v>
      </c>
      <c r="B93" s="0" t="n">
        <v>1</v>
      </c>
      <c r="C93" s="125" t="n">
        <v>0.0985245326468711</v>
      </c>
      <c r="D93" s="0" t="e">
        <f aca="false">VLOOKUP(Shelf_Life!A93,Demand_Fresh!A94:A185,1,FALSE())</f>
        <v>#N/A</v>
      </c>
      <c r="E93" s="0" t="e">
        <f aca="false">VLOOKUP(Shelf_Life!A93,Demand_Frozen!A93:A206,1,FALSE())</f>
        <v>#N/A</v>
      </c>
    </row>
    <row r="94" customFormat="false" ht="15" hidden="false" customHeight="false" outlineLevel="0" collapsed="false">
      <c r="A94" s="0" t="s">
        <v>1339</v>
      </c>
      <c r="B94" s="0" t="n">
        <v>1</v>
      </c>
      <c r="C94" s="125" t="n">
        <v>0.0985245326468711</v>
      </c>
      <c r="D94" s="0" t="e">
        <f aca="false">VLOOKUP(Shelf_Life!A94,Demand_Fresh!A95:A186,1,FALSE())</f>
        <v>#N/A</v>
      </c>
      <c r="E94" s="0" t="e">
        <f aca="false">VLOOKUP(Shelf_Life!A94,Demand_Frozen!A94:A207,1,FALSE())</f>
        <v>#N/A</v>
      </c>
    </row>
    <row r="95" customFormat="false" ht="15" hidden="false" customHeight="false" outlineLevel="0" collapsed="false">
      <c r="A95" s="0" t="s">
        <v>1340</v>
      </c>
      <c r="B95" s="0" t="n">
        <v>1</v>
      </c>
      <c r="C95" s="126" t="n">
        <v>0.088230924758392</v>
      </c>
      <c r="D95" s="0" t="e">
        <f aca="false">VLOOKUP(Shelf_Life!A95,Demand_Fresh!A96:A187,1,FALSE())</f>
        <v>#N/A</v>
      </c>
      <c r="E95" s="0" t="e">
        <f aca="false">VLOOKUP(Shelf_Life!A95,Demand_Frozen!A95:A208,1,FALSE())</f>
        <v>#N/A</v>
      </c>
    </row>
    <row r="96" customFormat="false" ht="15" hidden="false" customHeight="false" outlineLevel="0" collapsed="false">
      <c r="A96" s="0" t="s">
        <v>1341</v>
      </c>
      <c r="B96" s="0" t="n">
        <v>1</v>
      </c>
      <c r="C96" s="126" t="n">
        <v>0.088230924758392</v>
      </c>
      <c r="D96" s="0" t="e">
        <f aca="false">VLOOKUP(Shelf_Life!A96,Demand_Fresh!A97:A188,1,FALSE())</f>
        <v>#N/A</v>
      </c>
      <c r="E96" s="0" t="e">
        <f aca="false">VLOOKUP(Shelf_Life!A96,Demand_Frozen!A96:A209,1,FALSE())</f>
        <v>#N/A</v>
      </c>
    </row>
    <row r="97" customFormat="false" ht="15" hidden="false" customHeight="false" outlineLevel="0" collapsed="false">
      <c r="A97" s="0" t="s">
        <v>1342</v>
      </c>
      <c r="B97" s="0" t="n">
        <v>1</v>
      </c>
      <c r="C97" s="126" t="n">
        <v>0.088230924758392</v>
      </c>
      <c r="D97" s="0" t="e">
        <f aca="false">VLOOKUP(Shelf_Life!A97,Demand_Fresh!A98:A189,1,FALSE())</f>
        <v>#N/A</v>
      </c>
      <c r="E97" s="0" t="e">
        <f aca="false">VLOOKUP(Shelf_Life!A97,Demand_Frozen!A97:A210,1,FALSE())</f>
        <v>#N/A</v>
      </c>
    </row>
    <row r="98" customFormat="false" ht="15" hidden="false" customHeight="false" outlineLevel="0" collapsed="false">
      <c r="A98" s="0" t="s">
        <v>1343</v>
      </c>
      <c r="B98" s="0" t="n">
        <v>1</v>
      </c>
      <c r="C98" s="126" t="n">
        <v>0.088230924758392</v>
      </c>
      <c r="D98" s="0" t="e">
        <f aca="false">VLOOKUP(Shelf_Life!A98,Demand_Fresh!A99:A190,1,FALSE())</f>
        <v>#N/A</v>
      </c>
      <c r="E98" s="0" t="e">
        <f aca="false">VLOOKUP(Shelf_Life!A98,Demand_Frozen!A98:A211,1,FALSE())</f>
        <v>#N/A</v>
      </c>
    </row>
    <row r="99" customFormat="false" ht="15" hidden="false" customHeight="false" outlineLevel="0" collapsed="false">
      <c r="A99" s="0" t="s">
        <v>1344</v>
      </c>
      <c r="B99" s="0" t="n">
        <v>1</v>
      </c>
      <c r="C99" s="126" t="n">
        <v>0.088230924758392</v>
      </c>
      <c r="D99" s="0" t="e">
        <f aca="false">VLOOKUP(Shelf_Life!A99,Demand_Fresh!A100:A191,1,FALSE())</f>
        <v>#N/A</v>
      </c>
      <c r="E99" s="0" t="e">
        <f aca="false">VLOOKUP(Shelf_Life!A99,Demand_Frozen!A99:A212,1,FALSE())</f>
        <v>#N/A</v>
      </c>
    </row>
    <row r="100" customFormat="false" ht="15" hidden="false" customHeight="false" outlineLevel="0" collapsed="false">
      <c r="A100" s="0" t="s">
        <v>1345</v>
      </c>
      <c r="B100" s="0" t="n">
        <v>1</v>
      </c>
      <c r="C100" s="126" t="n">
        <v>0.088230924758392</v>
      </c>
      <c r="D100" s="0" t="e">
        <f aca="false">VLOOKUP(Shelf_Life!A100,Demand_Fresh!A101:A192,1,FALSE())</f>
        <v>#N/A</v>
      </c>
      <c r="E100" s="0" t="e">
        <f aca="false">VLOOKUP(Shelf_Life!A100,Demand_Frozen!A100:A213,1,FALSE())</f>
        <v>#N/A</v>
      </c>
    </row>
    <row r="101" customFormat="false" ht="15" hidden="false" customHeight="false" outlineLevel="0" collapsed="false">
      <c r="A101" s="0" t="s">
        <v>290</v>
      </c>
      <c r="B101" s="0" t="n">
        <v>1</v>
      </c>
      <c r="C101" s="125" t="n">
        <v>0.139093457854406</v>
      </c>
      <c r="D101" s="0" t="e">
        <f aca="false">VLOOKUP(Shelf_Life!A101,Demand_Fresh!A102:A193,1,FALSE())</f>
        <v>#N/A</v>
      </c>
      <c r="E101" s="0" t="e">
        <f aca="false">VLOOKUP(Shelf_Life!A101,Demand_Frozen!A101:A214,1,FALSE())</f>
        <v>#N/A</v>
      </c>
    </row>
    <row r="102" customFormat="false" ht="15" hidden="false" customHeight="false" outlineLevel="0" collapsed="false">
      <c r="A102" s="0" t="s">
        <v>167</v>
      </c>
      <c r="B102" s="0" t="n">
        <v>1</v>
      </c>
      <c r="C102" s="125" t="n">
        <v>0.0772741432524479</v>
      </c>
      <c r="D102" s="0" t="e">
        <f aca="false">VLOOKUP(Shelf_Life!A102,Demand_Fresh!A100:A194,1,FALSE())</f>
        <v>#N/A</v>
      </c>
      <c r="E102" s="0" t="e">
        <f aca="false">VLOOKUP(Shelf_Life!A102,Demand_Frozen!A102:A215,1,FALSE())</f>
        <v>#N/A</v>
      </c>
    </row>
    <row r="103" customFormat="false" ht="15" hidden="false" customHeight="false" outlineLevel="0" collapsed="false">
      <c r="A103" s="0" t="s">
        <v>291</v>
      </c>
      <c r="B103" s="0" t="n">
        <v>1</v>
      </c>
      <c r="C103" s="125" t="n">
        <v>0.0985245326468711</v>
      </c>
      <c r="D103" s="0" t="e">
        <f aca="false">VLOOKUP(Shelf_Life!A103,Demand_Fresh!A101:A195,1,FALSE())</f>
        <v>#N/A</v>
      </c>
      <c r="E103" s="0" t="e">
        <f aca="false">VLOOKUP(Shelf_Life!A103,Demand_Frozen!A103:A216,1,FALSE())</f>
        <v>#N/A</v>
      </c>
    </row>
    <row r="104" customFormat="false" ht="15" hidden="false" customHeight="false" outlineLevel="0" collapsed="false">
      <c r="A104" s="0" t="s">
        <v>168</v>
      </c>
      <c r="B104" s="0" t="n">
        <v>1</v>
      </c>
      <c r="C104" s="125" t="n">
        <v>0.102629721507157</v>
      </c>
      <c r="D104" s="0" t="e">
        <f aca="false">VLOOKUP(Shelf_Life!A104,Demand_Fresh!A102:A196,1,FALSE())</f>
        <v>#N/A</v>
      </c>
      <c r="E104" s="0" t="e">
        <f aca="false">VLOOKUP(Shelf_Life!A104,Demand_Frozen!A104:A217,1,FALSE())</f>
        <v>#N/A</v>
      </c>
    </row>
    <row r="105" customFormat="false" ht="15" hidden="false" customHeight="false" outlineLevel="0" collapsed="false">
      <c r="A105" s="0" t="s">
        <v>292</v>
      </c>
      <c r="B105" s="0" t="n">
        <v>1</v>
      </c>
      <c r="C105" s="125" t="n">
        <v>0.10105080271474</v>
      </c>
      <c r="D105" s="0" t="e">
        <f aca="false">VLOOKUP(Shelf_Life!A105,Demand_Fresh!A103:A197,1,FALSE())</f>
        <v>#N/A</v>
      </c>
      <c r="E105" s="0" t="e">
        <f aca="false">VLOOKUP(Shelf_Life!A105,Demand_Frozen!A105:A218,1,FALSE())</f>
        <v>#N/A</v>
      </c>
    </row>
    <row r="106" customFormat="false" ht="15" hidden="false" customHeight="false" outlineLevel="0" collapsed="false">
      <c r="A106" s="0" t="s">
        <v>169</v>
      </c>
      <c r="B106" s="0" t="n">
        <v>1</v>
      </c>
      <c r="C106" s="125" t="n">
        <v>0.0895677569517009</v>
      </c>
      <c r="D106" s="0" t="e">
        <f aca="false">VLOOKUP(Shelf_Life!A106,Demand_Fresh!A104:A198,1,FALSE())</f>
        <v>#N/A</v>
      </c>
      <c r="E106" s="0" t="e">
        <f aca="false">VLOOKUP(Shelf_Life!A106,Demand_Frozen!A106:A219,1,FALSE())</f>
        <v>#N/A</v>
      </c>
    </row>
    <row r="107" customFormat="false" ht="15" hidden="false" customHeight="false" outlineLevel="0" collapsed="false">
      <c r="A107" s="0" t="s">
        <v>293</v>
      </c>
      <c r="B107" s="0" t="n">
        <v>1</v>
      </c>
      <c r="C107" s="125" t="n">
        <v>0.0985245326468711</v>
      </c>
      <c r="D107" s="0" t="e">
        <f aca="false">VLOOKUP(Shelf_Life!A107,Demand_Fresh!A105:A199,1,FALSE())</f>
        <v>#N/A</v>
      </c>
      <c r="E107" s="0" t="e">
        <f aca="false">VLOOKUP(Shelf_Life!A107,Demand_Frozen!A107:A220,1,FALSE())</f>
        <v>#N/A</v>
      </c>
    </row>
    <row r="108" customFormat="false" ht="15" hidden="false" customHeight="false" outlineLevel="0" collapsed="false">
      <c r="A108" s="0" t="s">
        <v>294</v>
      </c>
      <c r="B108" s="0" t="n">
        <v>1</v>
      </c>
      <c r="C108" s="125" t="n">
        <v>0.123155665808589</v>
      </c>
      <c r="D108" s="0" t="e">
        <f aca="false">VLOOKUP(Shelf_Life!A108,Demand_Fresh!A106:A200,1,FALSE())</f>
        <v>#N/A</v>
      </c>
      <c r="E108" s="0" t="e">
        <f aca="false">VLOOKUP(Shelf_Life!A108,Demand_Frozen!A108:A221,1,FALSE())</f>
        <v>#N/A</v>
      </c>
    </row>
    <row r="109" customFormat="false" ht="15" hidden="false" customHeight="false" outlineLevel="0" collapsed="false">
      <c r="A109" s="0" t="s">
        <v>170</v>
      </c>
      <c r="B109" s="0" t="n">
        <v>1</v>
      </c>
      <c r="C109" s="125" t="n">
        <v>0.0733069439336838</v>
      </c>
      <c r="D109" s="0" t="e">
        <f aca="false">VLOOKUP(Shelf_Life!A109,Demand_Fresh!A107:A201,1,FALSE())</f>
        <v>#N/A</v>
      </c>
      <c r="E109" s="0" t="e">
        <f aca="false">VLOOKUP(Shelf_Life!A109,Demand_Frozen!A109:A222,1,FALSE())</f>
        <v>#N/A</v>
      </c>
    </row>
    <row r="110" customFormat="false" ht="15" hidden="false" customHeight="false" outlineLevel="0" collapsed="false">
      <c r="A110" s="0" t="s">
        <v>171</v>
      </c>
      <c r="B110" s="0" t="n">
        <v>1</v>
      </c>
      <c r="C110" s="125" t="n">
        <v>0.0739673668520053</v>
      </c>
      <c r="D110" s="0" t="e">
        <f aca="false">VLOOKUP(Shelf_Life!A110,Demand_Fresh!A108:A202,1,FALSE())</f>
        <v>#N/A</v>
      </c>
      <c r="E110" s="0" t="e">
        <f aca="false">VLOOKUP(Shelf_Life!A110,Demand_Frozen!A110:A223,1,FALSE())</f>
        <v>#N/A</v>
      </c>
    </row>
    <row r="111" customFormat="false" ht="15" hidden="false" customHeight="false" outlineLevel="0" collapsed="false">
      <c r="A111" s="0" t="s">
        <v>295</v>
      </c>
      <c r="B111" s="0" t="n">
        <v>1</v>
      </c>
      <c r="C111" s="125" t="n">
        <v>0.10105080271474</v>
      </c>
      <c r="D111" s="0" t="e">
        <f aca="false">VLOOKUP(Shelf_Life!A111,Demand_Fresh!A109:A203,1,FALSE())</f>
        <v>#N/A</v>
      </c>
      <c r="E111" s="0" t="e">
        <f aca="false">VLOOKUP(Shelf_Life!A111,Demand_Frozen!A111:A224,1,FALSE())</f>
        <v>#N/A</v>
      </c>
    </row>
    <row r="112" customFormat="false" ht="15" hidden="false" customHeight="false" outlineLevel="0" collapsed="false">
      <c r="A112" s="0" t="s">
        <v>296</v>
      </c>
      <c r="B112" s="0" t="n">
        <v>1</v>
      </c>
      <c r="C112" s="125" t="n">
        <v>0.102310002748568</v>
      </c>
      <c r="D112" s="0" t="e">
        <f aca="false">VLOOKUP(Shelf_Life!A112,Demand_Fresh!A110:A204,1,FALSE())</f>
        <v>#N/A</v>
      </c>
      <c r="E112" s="0" t="e">
        <f aca="false">VLOOKUP(Shelf_Life!A112,Demand_Frozen!A112:A225,1,FALSE())</f>
        <v>#N/A</v>
      </c>
    </row>
    <row r="113" customFormat="false" ht="15" hidden="false" customHeight="false" outlineLevel="0" collapsed="false">
      <c r="A113" s="0" t="s">
        <v>297</v>
      </c>
      <c r="B113" s="0" t="n">
        <v>1</v>
      </c>
      <c r="C113" s="125" t="n">
        <v>0.0917930428386997</v>
      </c>
      <c r="D113" s="0" t="e">
        <f aca="false">VLOOKUP(Shelf_Life!A113,Demand_Fresh!A111:A205,1,FALSE())</f>
        <v>#N/A</v>
      </c>
      <c r="E113" s="0" t="e">
        <f aca="false">VLOOKUP(Shelf_Life!A113,Demand_Frozen!A113:A226,1,FALSE())</f>
        <v>#N/A</v>
      </c>
    </row>
    <row r="114" customFormat="false" ht="15" hidden="false" customHeight="false" outlineLevel="0" collapsed="false">
      <c r="A114" s="0" t="s">
        <v>172</v>
      </c>
      <c r="B114" s="0" t="n">
        <v>1</v>
      </c>
      <c r="C114" s="125" t="n">
        <v>0.0764942023655831</v>
      </c>
      <c r="D114" s="0" t="e">
        <f aca="false">VLOOKUP(Shelf_Life!A114,Demand_Fresh!A112:A206,1,FALSE())</f>
        <v>#N/A</v>
      </c>
      <c r="E114" s="0" t="e">
        <f aca="false">VLOOKUP(Shelf_Life!A114,Demand_Frozen!A114:A227,1,FALSE())</f>
        <v>#N/A</v>
      </c>
    </row>
    <row r="115" customFormat="false" ht="15" hidden="false" customHeight="false" outlineLevel="0" collapsed="false">
      <c r="A115" s="0" t="s">
        <v>298</v>
      </c>
      <c r="B115" s="0" t="n">
        <v>1</v>
      </c>
      <c r="C115" s="125" t="n">
        <v>0.0917930428386997</v>
      </c>
      <c r="D115" s="0" t="e">
        <f aca="false">VLOOKUP(Shelf_Life!A115,Demand_Fresh!A113:A207,1,FALSE())</f>
        <v>#N/A</v>
      </c>
      <c r="E115" s="0" t="e">
        <f aca="false">VLOOKUP(Shelf_Life!A115,Demand_Frozen!A115:A228,1,FALSE())</f>
        <v>#N/A</v>
      </c>
    </row>
    <row r="116" customFormat="false" ht="15" hidden="false" customHeight="false" outlineLevel="0" collapsed="false">
      <c r="A116" s="0" t="s">
        <v>173</v>
      </c>
      <c r="B116" s="0" t="n">
        <v>1</v>
      </c>
      <c r="C116" s="125" t="n">
        <v>0.0764942023655831</v>
      </c>
      <c r="D116" s="0" t="e">
        <f aca="false">VLOOKUP(Shelf_Life!A116,Demand_Fresh!A114:A208,1,FALSE())</f>
        <v>#N/A</v>
      </c>
      <c r="E116" s="0" t="e">
        <f aca="false">VLOOKUP(Shelf_Life!A116,Demand_Frozen!A116:A229,1,FALSE())</f>
        <v>#N/A</v>
      </c>
    </row>
    <row r="117" customFormat="false" ht="15" hidden="false" customHeight="false" outlineLevel="0" collapsed="false">
      <c r="A117" s="0" t="s">
        <v>174</v>
      </c>
      <c r="B117" s="0" t="n">
        <v>1</v>
      </c>
      <c r="C117" s="125" t="n">
        <v>0.0788196261174968</v>
      </c>
      <c r="D117" s="0" t="e">
        <f aca="false">VLOOKUP(Shelf_Life!A117,Demand_Fresh!A115:A209,1,FALSE())</f>
        <v>#N/A</v>
      </c>
      <c r="E117" s="0" t="e">
        <f aca="false">VLOOKUP(Shelf_Life!A117,Demand_Frozen!A117:A230,1,FALSE())</f>
        <v>#N/A</v>
      </c>
    </row>
    <row r="118" customFormat="false" ht="15" hidden="false" customHeight="false" outlineLevel="0" collapsed="false">
      <c r="A118" s="0" t="s">
        <v>299</v>
      </c>
      <c r="B118" s="0" t="n">
        <v>1</v>
      </c>
      <c r="C118" s="125" t="n">
        <v>0.0788196261174968</v>
      </c>
      <c r="D118" s="0" t="e">
        <f aca="false">VLOOKUP(Shelf_Life!A118,Demand_Fresh!A116:A210,1,FALSE())</f>
        <v>#N/A</v>
      </c>
      <c r="E118" s="0" t="e">
        <f aca="false">VLOOKUP(Shelf_Life!A118,Demand_Frozen!A118:A231,1,FALSE())</f>
        <v>#N/A</v>
      </c>
    </row>
    <row r="119" customFormat="false" ht="15" hidden="false" customHeight="false" outlineLevel="0" collapsed="false">
      <c r="A119" s="0" t="s">
        <v>300</v>
      </c>
      <c r="B119" s="0" t="n">
        <v>1</v>
      </c>
      <c r="C119" s="125" t="n">
        <v>0.138766947389959</v>
      </c>
      <c r="D119" s="0" t="e">
        <f aca="false">VLOOKUP(Shelf_Life!A119,Demand_Fresh!A117:A211,1,FALSE())</f>
        <v>#N/A</v>
      </c>
      <c r="E119" s="0" t="e">
        <f aca="false">VLOOKUP(Shelf_Life!A119,Demand_Frozen!A119:A232,1,FALSE())</f>
        <v>#N/A</v>
      </c>
    </row>
    <row r="120" customFormat="false" ht="15" hidden="false" customHeight="false" outlineLevel="0" collapsed="false">
      <c r="A120" s="0" t="s">
        <v>301</v>
      </c>
      <c r="B120" s="0" t="n">
        <v>1</v>
      </c>
      <c r="C120" s="125" t="n">
        <v>0.134965113214892</v>
      </c>
      <c r="D120" s="0" t="e">
        <f aca="false">VLOOKUP(Shelf_Life!A120,Demand_Fresh!A118:A212,1,FALSE())</f>
        <v>#N/A</v>
      </c>
      <c r="E120" s="0" t="e">
        <f aca="false">VLOOKUP(Shelf_Life!A120,Demand_Frozen!A120:A233,1,FALSE())</f>
        <v>#N/A</v>
      </c>
    </row>
    <row r="121" customFormat="false" ht="15" hidden="false" customHeight="false" outlineLevel="0" collapsed="false">
      <c r="A121" s="0" t="s">
        <v>1346</v>
      </c>
      <c r="B121" s="0" t="n">
        <v>1</v>
      </c>
      <c r="C121" s="125" t="n">
        <v>0.0887608402224064</v>
      </c>
      <c r="D121" s="0" t="e">
        <f aca="false">VLOOKUP(Shelf_Life!A121,Demand_Fresh!A119:A213,1,FALSE())</f>
        <v>#N/A</v>
      </c>
      <c r="E121" s="0" t="e">
        <f aca="false">VLOOKUP(Shelf_Life!A121,Demand_Frozen!A121:A234,1,FALSE())</f>
        <v>#N/A</v>
      </c>
    </row>
    <row r="122" customFormat="false" ht="15" hidden="false" customHeight="false" outlineLevel="0" collapsed="false">
      <c r="A122" s="0" t="s">
        <v>302</v>
      </c>
      <c r="B122" s="0" t="n">
        <v>1</v>
      </c>
      <c r="C122" s="125" t="n">
        <v>0.0887608402224064</v>
      </c>
      <c r="D122" s="0" t="e">
        <f aca="false">VLOOKUP(Shelf_Life!A122,Demand_Fresh!A120:A214,1,FALSE())</f>
        <v>#N/A</v>
      </c>
      <c r="E122" s="0" t="e">
        <f aca="false">VLOOKUP(Shelf_Life!A122,Demand_Frozen!A122:A235,1,FALSE())</f>
        <v>#N/A</v>
      </c>
    </row>
    <row r="123" customFormat="false" ht="15" hidden="false" customHeight="false" outlineLevel="0" collapsed="false">
      <c r="A123" s="0" t="s">
        <v>303</v>
      </c>
      <c r="B123" s="0" t="n">
        <v>1</v>
      </c>
      <c r="C123" s="125" t="n">
        <v>0.0899767421432612</v>
      </c>
      <c r="D123" s="0" t="e">
        <f aca="false">VLOOKUP(Shelf_Life!A123,Demand_Fresh!A121:A215,1,FALSE())</f>
        <v>#N/A</v>
      </c>
      <c r="E123" s="0" t="e">
        <f aca="false">VLOOKUP(Shelf_Life!A123,Demand_Frozen!A123:A236,1,FALSE())</f>
        <v>#N/A</v>
      </c>
    </row>
    <row r="124" customFormat="false" ht="15" hidden="false" customHeight="false" outlineLevel="0" collapsed="false">
      <c r="A124" s="0" t="s">
        <v>304</v>
      </c>
      <c r="B124" s="0" t="n">
        <v>1</v>
      </c>
      <c r="C124" s="125" t="n">
        <v>0.0899767421432612</v>
      </c>
      <c r="D124" s="0" t="e">
        <f aca="false">VLOOKUP(Shelf_Life!A124,Demand_Fresh!A122:A216,1,FALSE())</f>
        <v>#N/A</v>
      </c>
      <c r="E124" s="0" t="e">
        <f aca="false">VLOOKUP(Shelf_Life!A124,Demand_Frozen!A124:A237,1,FALSE())</f>
        <v>#N/A</v>
      </c>
    </row>
    <row r="125" customFormat="false" ht="15" hidden="false" customHeight="false" outlineLevel="0" collapsed="false">
      <c r="A125" s="0" t="s">
        <v>175</v>
      </c>
      <c r="B125" s="0" t="n">
        <v>1</v>
      </c>
      <c r="C125" s="125" t="n">
        <v>0.113682153054082</v>
      </c>
      <c r="D125" s="0" t="e">
        <f aca="false">VLOOKUP(Shelf_Life!A125,Demand_Fresh!A123:A217,1,FALSE())</f>
        <v>#N/A</v>
      </c>
      <c r="E125" s="0" t="e">
        <f aca="false">VLOOKUP(Shelf_Life!A125,Demand_Frozen!A125:A238,1,FALSE())</f>
        <v>#N/A</v>
      </c>
    </row>
    <row r="126" customFormat="false" ht="15" hidden="false" customHeight="false" outlineLevel="0" collapsed="false">
      <c r="A126" s="0" t="s">
        <v>307</v>
      </c>
      <c r="B126" s="0" t="n">
        <v>1</v>
      </c>
      <c r="C126" s="125" t="n">
        <v>0.0985245326468711</v>
      </c>
      <c r="D126" s="0" t="e">
        <f aca="false">VLOOKUP(Shelf_Life!A126,Demand_Fresh!A124:A218,1,FALSE())</f>
        <v>#N/A</v>
      </c>
      <c r="E126" s="0" t="e">
        <f aca="false">VLOOKUP(Shelf_Life!A126,Demand_Frozen!A126:A239,1,FALSE())</f>
        <v>#N/A</v>
      </c>
    </row>
    <row r="127" customFormat="false" ht="15" hidden="false" customHeight="false" outlineLevel="0" collapsed="false">
      <c r="A127" s="0" t="s">
        <v>308</v>
      </c>
      <c r="B127" s="0" t="n">
        <v>1</v>
      </c>
      <c r="C127" s="125" t="n">
        <v>0.0985245326468711</v>
      </c>
      <c r="D127" s="0" t="e">
        <f aca="false">VLOOKUP(Shelf_Life!A127,Demand_Fresh!A125:A219,1,FALSE())</f>
        <v>#N/A</v>
      </c>
      <c r="E127" s="0" t="e">
        <f aca="false">VLOOKUP(Shelf_Life!A127,Demand_Frozen!A127:A240,1,FALSE())</f>
        <v>#N/A</v>
      </c>
    </row>
    <row r="128" customFormat="false" ht="15" hidden="false" customHeight="false" outlineLevel="0" collapsed="false">
      <c r="A128" s="0" t="s">
        <v>309</v>
      </c>
      <c r="B128" s="0" t="n">
        <v>1</v>
      </c>
      <c r="C128" s="125" t="n">
        <v>0.0985245326468711</v>
      </c>
      <c r="D128" s="0" t="e">
        <f aca="false">VLOOKUP(Shelf_Life!A128,Demand_Fresh!A126:A220,1,FALSE())</f>
        <v>#N/A</v>
      </c>
      <c r="E128" s="0" t="e">
        <f aca="false">VLOOKUP(Shelf_Life!A128,Demand_Frozen!A128:A241,1,FALSE())</f>
        <v>#N/A</v>
      </c>
    </row>
    <row r="129" customFormat="false" ht="15" hidden="false" customHeight="false" outlineLevel="0" collapsed="false">
      <c r="A129" s="0" t="s">
        <v>176</v>
      </c>
      <c r="B129" s="0" t="n">
        <v>1</v>
      </c>
      <c r="C129" s="125" t="n">
        <v>0.0995197299463344</v>
      </c>
      <c r="D129" s="0" t="e">
        <f aca="false">VLOOKUP(Shelf_Life!A129,Demand_Fresh!A127:A221,1,FALSE())</f>
        <v>#N/A</v>
      </c>
      <c r="E129" s="0" t="e">
        <f aca="false">VLOOKUP(Shelf_Life!A129,Demand_Frozen!A129:A242,1,FALSE())</f>
        <v>#N/A</v>
      </c>
    </row>
    <row r="130" customFormat="false" ht="15" hidden="false" customHeight="false" outlineLevel="0" collapsed="false">
      <c r="A130" s="0" t="s">
        <v>177</v>
      </c>
      <c r="B130" s="0" t="n">
        <v>1</v>
      </c>
      <c r="C130" s="125" t="n">
        <v>0.093788227174556</v>
      </c>
      <c r="D130" s="0" t="e">
        <f aca="false">VLOOKUP(Shelf_Life!A130,Demand_Fresh!A128:A222,1,FALSE())</f>
        <v>#N/A</v>
      </c>
      <c r="E130" s="0" t="e">
        <f aca="false">VLOOKUP(Shelf_Life!A130,Demand_Frozen!A130:A243,1,FALSE())</f>
        <v>#N/A</v>
      </c>
    </row>
    <row r="131" customFormat="false" ht="15" hidden="false" customHeight="false" outlineLevel="0" collapsed="false">
      <c r="A131" s="0" t="s">
        <v>178</v>
      </c>
      <c r="B131" s="0" t="n">
        <v>1</v>
      </c>
      <c r="C131" s="125" t="n">
        <v>0.0750663105880922</v>
      </c>
      <c r="D131" s="0" t="e">
        <f aca="false">VLOOKUP(Shelf_Life!A131,Demand_Fresh!A129:A223,1,FALSE())</f>
        <v>#N/A</v>
      </c>
      <c r="E131" s="0" t="e">
        <f aca="false">VLOOKUP(Shelf_Life!A131,Demand_Frozen!A131:A244,1,FALSE())</f>
        <v>#N/A</v>
      </c>
    </row>
    <row r="132" customFormat="false" ht="15" hidden="false" customHeight="false" outlineLevel="0" collapsed="false">
      <c r="A132" s="0" t="s">
        <v>1347</v>
      </c>
      <c r="B132" s="0" t="n">
        <v>1</v>
      </c>
      <c r="C132" s="125" t="n">
        <v>0.088230924758392</v>
      </c>
      <c r="D132" s="0" t="e">
        <f aca="false">VLOOKUP(Shelf_Life!A132,Demand_Fresh!A130:A224,1,FALSE())</f>
        <v>#N/A</v>
      </c>
      <c r="E132" s="0" t="e">
        <f aca="false">VLOOKUP(Shelf_Life!A132,Demand_Frozen!A132:A245,1,FALSE())</f>
        <v>#N/A</v>
      </c>
    </row>
    <row r="133" customFormat="false" ht="15" hidden="false" customHeight="false" outlineLevel="0" collapsed="false">
      <c r="A133" s="0" t="s">
        <v>1348</v>
      </c>
      <c r="B133" s="0" t="n">
        <v>1</v>
      </c>
      <c r="C133" s="125" t="n">
        <v>0.0920790024737113</v>
      </c>
      <c r="D133" s="0" t="e">
        <f aca="false">VLOOKUP(Shelf_Life!A133,Demand_Fresh!A131:A225,1,FALSE())</f>
        <v>#N/A</v>
      </c>
      <c r="E133" s="0" t="e">
        <f aca="false">VLOOKUP(Shelf_Life!A133,Demand_Frozen!A133:A246,1,FALSE())</f>
        <v>#N/A</v>
      </c>
    </row>
    <row r="134" customFormat="false" ht="15" hidden="false" customHeight="false" outlineLevel="0" collapsed="false">
      <c r="A134" s="0" t="s">
        <v>310</v>
      </c>
      <c r="B134" s="0" t="n">
        <v>1</v>
      </c>
      <c r="C134" s="125" t="n">
        <v>0.0920790024737113</v>
      </c>
      <c r="D134" s="0" t="e">
        <f aca="false">VLOOKUP(Shelf_Life!A134,Demand_Fresh!A132:A226,1,FALSE())</f>
        <v>#N/A</v>
      </c>
      <c r="E134" s="0" t="e">
        <f aca="false">VLOOKUP(Shelf_Life!A134,Demand_Frozen!A134:A247,1,FALSE())</f>
        <v>#N/A</v>
      </c>
    </row>
    <row r="135" customFormat="false" ht="15" hidden="false" customHeight="false" outlineLevel="0" collapsed="false">
      <c r="A135" s="0" t="s">
        <v>179</v>
      </c>
      <c r="B135" s="0" t="n">
        <v>1</v>
      </c>
      <c r="C135" s="125" t="n">
        <v>0.0909457224432656</v>
      </c>
      <c r="D135" s="0" t="e">
        <f aca="false">VLOOKUP(Shelf_Life!A135,Demand_Fresh!A133:A227,1,FALSE())</f>
        <v>#N/A</v>
      </c>
      <c r="E135" s="0" t="e">
        <f aca="false">VLOOKUP(Shelf_Life!A135,Demand_Frozen!A135:A248,1,FALSE())</f>
        <v>#N/A</v>
      </c>
    </row>
    <row r="136" customFormat="false" ht="15" hidden="false" customHeight="false" outlineLevel="0" collapsed="false">
      <c r="A136" s="0" t="s">
        <v>180</v>
      </c>
      <c r="B136" s="0" t="n">
        <v>1</v>
      </c>
      <c r="C136" s="125" t="n">
        <v>0.0909457224432656</v>
      </c>
      <c r="D136" s="0" t="e">
        <f aca="false">VLOOKUP(Shelf_Life!A136,Demand_Fresh!A134:A228,1,FALSE())</f>
        <v>#N/A</v>
      </c>
      <c r="E136" s="0" t="e">
        <f aca="false">VLOOKUP(Shelf_Life!A136,Demand_Frozen!A136:A249,1,FALSE())</f>
        <v>#N/A</v>
      </c>
    </row>
    <row r="137" customFormat="false" ht="15" hidden="false" customHeight="false" outlineLevel="0" collapsed="false">
      <c r="A137" s="0" t="s">
        <v>181</v>
      </c>
      <c r="B137" s="0" t="n">
        <v>1</v>
      </c>
      <c r="C137" s="125" t="n">
        <v>0.0909457224432656</v>
      </c>
      <c r="D137" s="0" t="e">
        <f aca="false">VLOOKUP(Shelf_Life!A137,Demand_Fresh!A135:A229,1,FALSE())</f>
        <v>#N/A</v>
      </c>
      <c r="E137" s="0" t="e">
        <f aca="false">VLOOKUP(Shelf_Life!A137,Demand_Frozen!A136:A250,1,FALSE())</f>
        <v>#N/A</v>
      </c>
    </row>
    <row r="138" customFormat="false" ht="15" hidden="false" customHeight="false" outlineLevel="0" collapsed="false">
      <c r="A138" s="0" t="s">
        <v>311</v>
      </c>
      <c r="B138" s="0" t="n">
        <v>1</v>
      </c>
      <c r="C138" s="125" t="n">
        <v>0.0769222115655467</v>
      </c>
      <c r="D138" s="0" t="e">
        <f aca="false">VLOOKUP(Shelf_Life!A138,Demand_Fresh!A136:A230,1,FALSE())</f>
        <v>#N/A</v>
      </c>
      <c r="E138" s="0" t="e">
        <f aca="false">VLOOKUP(Shelf_Life!A138,Demand_Frozen!A137:A251,1,FALSE())</f>
        <v>#N/A</v>
      </c>
    </row>
    <row r="139" customFormat="false" ht="15" hidden="false" customHeight="false" outlineLevel="0" collapsed="false">
      <c r="A139" s="0" t="s">
        <v>182</v>
      </c>
      <c r="B139" s="0" t="n">
        <v>1</v>
      </c>
      <c r="C139" s="125" t="n">
        <v>0.106628282085358</v>
      </c>
      <c r="D139" s="0" t="e">
        <f aca="false">VLOOKUP(Shelf_Life!A139,Demand_Fresh!A137:A231,1,FALSE())</f>
        <v>#N/A</v>
      </c>
      <c r="E139" s="0" t="e">
        <f aca="false">VLOOKUP(Shelf_Life!A139,Demand_Frozen!A138:A252,1,FALSE())</f>
        <v>#N/A</v>
      </c>
    </row>
    <row r="140" customFormat="false" ht="15" hidden="false" customHeight="false" outlineLevel="0" collapsed="false">
      <c r="A140" s="0" t="s">
        <v>312</v>
      </c>
      <c r="B140" s="0" t="n">
        <v>1</v>
      </c>
      <c r="C140" s="125" t="n">
        <v>0.109980873652321</v>
      </c>
      <c r="D140" s="0" t="e">
        <f aca="false">VLOOKUP(Shelf_Life!A140,Demand_Fresh!A138:A232,1,FALSE())</f>
        <v>#N/A</v>
      </c>
      <c r="E140" s="0" t="e">
        <f aca="false">VLOOKUP(Shelf_Life!A140,Demand_Frozen!A139:A253,1,FALSE())</f>
        <v>#N/A</v>
      </c>
    </row>
    <row r="141" customFormat="false" ht="15" hidden="false" customHeight="false" outlineLevel="0" collapsed="false">
      <c r="A141" s="0" t="s">
        <v>183</v>
      </c>
      <c r="B141" s="0" t="n">
        <v>1</v>
      </c>
      <c r="C141" s="125" t="n">
        <v>0.107481308342041</v>
      </c>
      <c r="D141" s="0" t="e">
        <f aca="false">VLOOKUP(Shelf_Life!A141,Demand_Fresh!A139:A233,1,FALSE())</f>
        <v>#N/A</v>
      </c>
      <c r="E141" s="0" t="e">
        <f aca="false">VLOOKUP(Shelf_Life!A141,Demand_Frozen!A140:A254,1,FALSE())</f>
        <v>#N/A</v>
      </c>
    </row>
    <row r="142" customFormat="false" ht="15" hidden="false" customHeight="false" outlineLevel="0" collapsed="false">
      <c r="A142" s="0" t="s">
        <v>313</v>
      </c>
      <c r="B142" s="0" t="n">
        <v>1</v>
      </c>
      <c r="C142" s="125" t="n">
        <v>0.102808207979344</v>
      </c>
      <c r="D142" s="0" t="e">
        <f aca="false">VLOOKUP(Shelf_Life!A142,Demand_Fresh!A140:A234,1,FALSE())</f>
        <v>#N/A</v>
      </c>
      <c r="E142" s="0" t="e">
        <f aca="false">VLOOKUP(Shelf_Life!A142,Demand_Frozen!A141:A255,1,FALSE())</f>
        <v>#N/A</v>
      </c>
    </row>
    <row r="143" customFormat="false" ht="15" hidden="false" customHeight="false" outlineLevel="0" collapsed="false">
      <c r="A143" s="0" t="s">
        <v>1349</v>
      </c>
      <c r="B143" s="0" t="n">
        <v>1</v>
      </c>
      <c r="C143" s="125" t="n">
        <v>0.107481308342041</v>
      </c>
      <c r="D143" s="0" t="e">
        <f aca="false">VLOOKUP(Shelf_Life!A143,Demand_Fresh!A141:A235,1,FALSE())</f>
        <v>#N/A</v>
      </c>
      <c r="E143" s="0" t="e">
        <f aca="false">VLOOKUP(Shelf_Life!A143,Demand_Frozen!A142:A256,1,FALSE())</f>
        <v>#N/A</v>
      </c>
    </row>
    <row r="144" customFormat="false" ht="15" hidden="false" customHeight="false" outlineLevel="0" collapsed="false">
      <c r="A144" s="0" t="s">
        <v>314</v>
      </c>
      <c r="B144" s="0" t="n">
        <v>1</v>
      </c>
      <c r="C144" s="125" t="n">
        <v>0.109980873652321</v>
      </c>
      <c r="D144" s="0" t="e">
        <f aca="false">VLOOKUP(Shelf_Life!A144,Demand_Fresh!A142:A236,1,FALSE())</f>
        <v>#N/A</v>
      </c>
      <c r="E144" s="0" t="e">
        <f aca="false">VLOOKUP(Shelf_Life!A144,Demand_Frozen!A143:A257,1,FALSE())</f>
        <v>#N/A</v>
      </c>
    </row>
    <row r="145" customFormat="false" ht="15" hidden="false" customHeight="false" outlineLevel="0" collapsed="false">
      <c r="A145" s="0" t="s">
        <v>184</v>
      </c>
      <c r="B145" s="0" t="n">
        <v>1</v>
      </c>
      <c r="C145" s="125" t="n">
        <v>0.107481308342041</v>
      </c>
      <c r="D145" s="0" t="e">
        <f aca="false">VLOOKUP(Shelf_Life!A145,Demand_Fresh!A143:A237,1,FALSE())</f>
        <v>#N/A</v>
      </c>
      <c r="E145" s="0" t="e">
        <f aca="false">VLOOKUP(Shelf_Life!A145,Demand_Frozen!A144:A258,1,FALSE())</f>
        <v>#N/A</v>
      </c>
    </row>
    <row r="146" customFormat="false" ht="15" hidden="false" customHeight="false" outlineLevel="0" collapsed="false">
      <c r="A146" s="0" t="s">
        <v>315</v>
      </c>
      <c r="B146" s="0" t="n">
        <v>1</v>
      </c>
      <c r="C146" s="125" t="n">
        <v>0.0902514802872101</v>
      </c>
      <c r="D146" s="0" t="e">
        <f aca="false">VLOOKUP(Shelf_Life!A146,Demand_Fresh!A144:A238,1,FALSE())</f>
        <v>#N/A</v>
      </c>
      <c r="E146" s="0" t="e">
        <f aca="false">VLOOKUP(Shelf_Life!A146,Demand_Frozen!A145:A259,1,FALSE())</f>
        <v>#N/A</v>
      </c>
    </row>
    <row r="147" customFormat="false" ht="15" hidden="false" customHeight="false" outlineLevel="0" collapsed="false">
      <c r="A147" s="0" t="s">
        <v>185</v>
      </c>
      <c r="B147" s="0" t="n">
        <v>1</v>
      </c>
      <c r="C147" s="125" t="n">
        <v>0.0902514802872101</v>
      </c>
      <c r="D147" s="0" t="e">
        <f aca="false">VLOOKUP(Shelf_Life!A147,Demand_Fresh!A145:A239,1,FALSE())</f>
        <v>#N/A</v>
      </c>
      <c r="E147" s="0" t="e">
        <f aca="false">VLOOKUP(Shelf_Life!A147,Demand_Frozen!A146:A260,1,FALSE())</f>
        <v>#N/A</v>
      </c>
    </row>
    <row r="148" customFormat="false" ht="15" hidden="false" customHeight="false" outlineLevel="0" collapsed="false">
      <c r="A148" s="0" t="s">
        <v>316</v>
      </c>
      <c r="B148" s="0" t="n">
        <v>1</v>
      </c>
      <c r="C148" s="125" t="n">
        <v>0.0902514802872101</v>
      </c>
      <c r="D148" s="0" t="e">
        <f aca="false">VLOOKUP(Shelf_Life!A148,Demand_Fresh!A146:A240,1,FALSE())</f>
        <v>#N/A</v>
      </c>
      <c r="E148" s="0" t="e">
        <f aca="false">VLOOKUP(Shelf_Life!A148,Demand_Frozen!A147:A261,1,FALSE())</f>
        <v>#N/A</v>
      </c>
    </row>
    <row r="149" customFormat="false" ht="15" hidden="false" customHeight="false" outlineLevel="0" collapsed="false">
      <c r="A149" s="0" t="s">
        <v>186</v>
      </c>
      <c r="B149" s="0" t="n">
        <v>1</v>
      </c>
      <c r="C149" s="125" t="n">
        <v>0.0902514802872101</v>
      </c>
      <c r="D149" s="0" t="e">
        <f aca="false">VLOOKUP(Shelf_Life!A149,Demand_Fresh!A147:A241,1,FALSE())</f>
        <v>#N/A</v>
      </c>
      <c r="E149" s="0" t="e">
        <f aca="false">VLOOKUP(Shelf_Life!A149,Demand_Frozen!A148:A262,1,FALSE())</f>
        <v>#N/A</v>
      </c>
    </row>
    <row r="150" customFormat="false" ht="15" hidden="false" customHeight="false" outlineLevel="0" collapsed="false">
      <c r="A150" s="0" t="s">
        <v>187</v>
      </c>
      <c r="B150" s="0" t="n">
        <v>1</v>
      </c>
      <c r="C150" s="125" t="n">
        <v>0.0895677569517009</v>
      </c>
      <c r="D150" s="0" t="e">
        <f aca="false">VLOOKUP(Shelf_Life!A150,Demand_Fresh!A148:A242,1,FALSE())</f>
        <v>#N/A</v>
      </c>
      <c r="E150" s="0" t="e">
        <f aca="false">VLOOKUP(Shelf_Life!A150,Demand_Frozen!A149:A263,1,FALSE())</f>
        <v>#N/A</v>
      </c>
    </row>
    <row r="151" customFormat="false" ht="15" hidden="false" customHeight="false" outlineLevel="0" collapsed="false">
      <c r="A151" s="0" t="s">
        <v>317</v>
      </c>
      <c r="B151" s="0" t="n">
        <v>1</v>
      </c>
      <c r="C151" s="125" t="n">
        <v>0.0895677569517009</v>
      </c>
      <c r="D151" s="0" t="e">
        <f aca="false">VLOOKUP(Shelf_Life!A151,Demand_Fresh!A149:A243,1,FALSE())</f>
        <v>#N/A</v>
      </c>
      <c r="E151" s="0" t="e">
        <f aca="false">VLOOKUP(Shelf_Life!A151,Demand_Frozen!A150:A264,1,FALSE())</f>
        <v>#N/A</v>
      </c>
    </row>
    <row r="152" customFormat="false" ht="15" hidden="false" customHeight="false" outlineLevel="0" collapsed="false">
      <c r="A152" s="0" t="s">
        <v>188</v>
      </c>
      <c r="B152" s="0" t="n">
        <v>1</v>
      </c>
      <c r="C152" s="125" t="n">
        <v>0.111537206770043</v>
      </c>
      <c r="D152" s="0" t="e">
        <f aca="false">VLOOKUP(Shelf_Life!A152,Demand_Fresh!A150:A244,1,FALSE())</f>
        <v>#N/A</v>
      </c>
      <c r="E152" s="0" t="e">
        <f aca="false">VLOOKUP(Shelf_Life!A152,Demand_Frozen!A151:A265,1,FALSE())</f>
        <v>#N/A</v>
      </c>
    </row>
    <row r="153" customFormat="false" ht="15" hidden="false" customHeight="false" outlineLevel="0" collapsed="false">
      <c r="A153" s="0" t="s">
        <v>189</v>
      </c>
      <c r="B153" s="0" t="n">
        <v>1</v>
      </c>
      <c r="C153" s="125" t="n">
        <v>0.107481308342041</v>
      </c>
      <c r="D153" s="0" t="e">
        <f aca="false">VLOOKUP(Shelf_Life!A153,Demand_Fresh!A151:A245,1,FALSE())</f>
        <v>#N/A</v>
      </c>
      <c r="E153" s="0" t="e">
        <f aca="false">VLOOKUP(Shelf_Life!A153,Demand_Frozen!A152:A266,1,FALSE())</f>
        <v>#N/A</v>
      </c>
    </row>
    <row r="154" customFormat="false" ht="15" hidden="false" customHeight="false" outlineLevel="0" collapsed="false">
      <c r="A154" s="0" t="s">
        <v>190</v>
      </c>
      <c r="B154" s="0" t="n">
        <v>1</v>
      </c>
      <c r="C154" s="125" t="n">
        <v>0.107481308342041</v>
      </c>
      <c r="D154" s="0" t="e">
        <f aca="false">VLOOKUP(Shelf_Life!A154,Demand_Fresh!A152:A246,1,FALSE())</f>
        <v>#N/A</v>
      </c>
      <c r="E154" s="0" t="e">
        <f aca="false">VLOOKUP(Shelf_Life!A154,Demand_Frozen!A153:A267,1,FALSE())</f>
        <v>#N/A</v>
      </c>
    </row>
    <row r="155" customFormat="false" ht="15" hidden="false" customHeight="false" outlineLevel="0" collapsed="false">
      <c r="A155" s="0" t="s">
        <v>191</v>
      </c>
      <c r="B155" s="0" t="n">
        <v>1</v>
      </c>
      <c r="C155" s="125" t="n">
        <v>0.107481308342041</v>
      </c>
      <c r="D155" s="0" t="e">
        <f aca="false">VLOOKUP(Shelf_Life!A155,Demand_Fresh!A153:A247,1,FALSE())</f>
        <v>#N/A</v>
      </c>
      <c r="E155" s="0" t="e">
        <f aca="false">VLOOKUP(Shelf_Life!A155,Demand_Frozen!A154:A268,1,FALSE())</f>
        <v>#N/A</v>
      </c>
    </row>
    <row r="156" customFormat="false" ht="15" hidden="false" customHeight="false" outlineLevel="0" collapsed="false">
      <c r="A156" s="0" t="s">
        <v>192</v>
      </c>
      <c r="B156" s="0" t="n">
        <v>1</v>
      </c>
      <c r="C156" s="125" t="n">
        <v>0.107481308342041</v>
      </c>
      <c r="D156" s="0" t="e">
        <f aca="false">VLOOKUP(Shelf_Life!A156,Demand_Fresh!A154:A248,1,FALSE())</f>
        <v>#N/A</v>
      </c>
      <c r="E156" s="0" t="e">
        <f aca="false">VLOOKUP(Shelf_Life!A156,Demand_Frozen!A153:A269,1,FALSE())</f>
        <v>#N/A</v>
      </c>
    </row>
    <row r="157" customFormat="false" ht="15" hidden="false" customHeight="false" outlineLevel="0" collapsed="false">
      <c r="A157" s="0" t="s">
        <v>193</v>
      </c>
      <c r="B157" s="0" t="n">
        <v>1</v>
      </c>
      <c r="C157" s="125" t="n">
        <v>0.107481308342041</v>
      </c>
      <c r="D157" s="0" t="e">
        <f aca="false">VLOOKUP(Shelf_Life!A157,Demand_Fresh!A155:A249,1,FALSE())</f>
        <v>#N/A</v>
      </c>
      <c r="E157" s="0" t="e">
        <f aca="false">VLOOKUP(Shelf_Life!A157,Demand_Frozen!A154:A270,1,FALSE())</f>
        <v>#N/A</v>
      </c>
    </row>
    <row r="158" customFormat="false" ht="15" hidden="false" customHeight="false" outlineLevel="0" collapsed="false">
      <c r="A158" s="0" t="s">
        <v>194</v>
      </c>
      <c r="B158" s="0" t="n">
        <v>1</v>
      </c>
      <c r="C158" s="125" t="n">
        <v>0.107481308342041</v>
      </c>
      <c r="D158" s="0" t="e">
        <f aca="false">VLOOKUP(Shelf_Life!A158,Demand_Fresh!A156:A250,1,FALSE())</f>
        <v>#N/A</v>
      </c>
      <c r="E158" s="0" t="e">
        <f aca="false">VLOOKUP(Shelf_Life!A158,Demand_Frozen!A155:A271,1,FALSE())</f>
        <v>#N/A</v>
      </c>
    </row>
    <row r="159" customFormat="false" ht="15" hidden="false" customHeight="false" outlineLevel="0" collapsed="false">
      <c r="A159" s="0" t="s">
        <v>195</v>
      </c>
      <c r="B159" s="0" t="n">
        <v>1</v>
      </c>
      <c r="C159" s="125" t="n">
        <v>0.107481308342041</v>
      </c>
      <c r="D159" s="0" t="e">
        <f aca="false">VLOOKUP(Shelf_Life!A159,Demand_Fresh!A157:A251,1,FALSE())</f>
        <v>#N/A</v>
      </c>
      <c r="E159" s="0" t="e">
        <f aca="false">VLOOKUP(Shelf_Life!A159,Demand_Frozen!A156:A272,1,FALSE())</f>
        <v>#N/A</v>
      </c>
    </row>
    <row r="160" customFormat="false" ht="15" hidden="false" customHeight="false" outlineLevel="0" collapsed="false">
      <c r="A160" s="0" t="s">
        <v>318</v>
      </c>
      <c r="B160" s="0" t="n">
        <v>1</v>
      </c>
      <c r="C160" s="125" t="n">
        <v>0.102808207979344</v>
      </c>
      <c r="D160" s="0" t="e">
        <f aca="false">VLOOKUP(Shelf_Life!A160,Demand_Fresh!A158:A252,1,FALSE())</f>
        <v>#N/A</v>
      </c>
      <c r="E160" s="0" t="e">
        <f aca="false">VLOOKUP(Shelf_Life!A160,Demand_Frozen!A157:A273,1,FALSE())</f>
        <v>#N/A</v>
      </c>
    </row>
    <row r="161" customFormat="false" ht="15" hidden="false" customHeight="false" outlineLevel="0" collapsed="false">
      <c r="A161" s="0" t="s">
        <v>196</v>
      </c>
      <c r="B161" s="0" t="n">
        <v>1</v>
      </c>
      <c r="C161" s="125" t="n">
        <v>0.107481308342041</v>
      </c>
      <c r="D161" s="0" t="e">
        <f aca="false">VLOOKUP(Shelf_Life!A161,Demand_Fresh!A159:A253,1,FALSE())</f>
        <v>#N/A</v>
      </c>
      <c r="E161" s="0" t="e">
        <f aca="false">VLOOKUP(Shelf_Life!A161,Demand_Frozen!A158:A274,1,FALSE())</f>
        <v>#N/A</v>
      </c>
    </row>
    <row r="162" customFormat="false" ht="15" hidden="false" customHeight="false" outlineLevel="0" collapsed="false">
      <c r="A162" s="0" t="s">
        <v>319</v>
      </c>
      <c r="B162" s="0" t="n">
        <v>1</v>
      </c>
      <c r="C162" s="125" t="n">
        <v>0.0853642160117294</v>
      </c>
      <c r="D162" s="0" t="e">
        <f aca="false">VLOOKUP(Shelf_Life!A162,Demand_Fresh!A160:A254,1,FALSE())</f>
        <v>#N/A</v>
      </c>
      <c r="E162" s="0" t="e">
        <f aca="false">VLOOKUP(Shelf_Life!A162,Demand_Frozen!A159:A275,1,FALSE())</f>
        <v>#N/A</v>
      </c>
    </row>
    <row r="163" customFormat="false" ht="15" hidden="false" customHeight="false" outlineLevel="0" collapsed="false">
      <c r="A163" s="0" t="s">
        <v>197</v>
      </c>
      <c r="B163" s="0" t="n">
        <v>1</v>
      </c>
      <c r="C163" s="125" t="n">
        <v>0.0853642160117294</v>
      </c>
      <c r="D163" s="0" t="e">
        <f aca="false">VLOOKUP(Shelf_Life!A163,Demand_Fresh!A161:A255,1,FALSE())</f>
        <v>#N/A</v>
      </c>
      <c r="E163" s="0" t="e">
        <f aca="false">VLOOKUP(Shelf_Life!A163,Demand_Frozen!A160:A276,1,FALSE())</f>
        <v>#N/A</v>
      </c>
    </row>
    <row r="164" customFormat="false" ht="15" hidden="false" customHeight="false" outlineLevel="0" collapsed="false">
      <c r="A164" s="0" t="s">
        <v>198</v>
      </c>
      <c r="B164" s="0" t="n">
        <v>1</v>
      </c>
      <c r="C164" s="125" t="n">
        <v>0.0710086721779251</v>
      </c>
      <c r="D164" s="0" t="e">
        <f aca="false">VLOOKUP(Shelf_Life!A164,Demand_Fresh!A162:A256,1,FALSE())</f>
        <v>#N/A</v>
      </c>
      <c r="E164" s="0" t="e">
        <f aca="false">VLOOKUP(Shelf_Life!A164,Demand_Frozen!A161:A277,1,FALSE())</f>
        <v>#N/A</v>
      </c>
    </row>
    <row r="165" customFormat="false" ht="15" hidden="false" customHeight="false" outlineLevel="0" collapsed="false">
      <c r="A165" s="0" t="s">
        <v>1350</v>
      </c>
      <c r="B165" s="0" t="n">
        <v>1</v>
      </c>
      <c r="C165" s="125" t="n">
        <v>0.0656830217645807</v>
      </c>
      <c r="D165" s="0" t="e">
        <f aca="false">VLOOKUP(Shelf_Life!A165,Demand_Fresh!A163:A257,1,FALSE())</f>
        <v>#N/A</v>
      </c>
      <c r="E165" s="0" t="e">
        <f aca="false">VLOOKUP(Shelf_Life!A165,Demand_Frozen!A162:A278,1,FALSE())</f>
        <v>#N/A</v>
      </c>
    </row>
    <row r="166" customFormat="false" ht="15" hidden="false" customHeight="false" outlineLevel="0" collapsed="false">
      <c r="A166" s="0" t="s">
        <v>726</v>
      </c>
      <c r="B166" s="0" t="n">
        <v>1</v>
      </c>
      <c r="C166" s="125" t="n">
        <v>0.0656830217645807</v>
      </c>
      <c r="D166" s="0" t="e">
        <f aca="false">VLOOKUP(Shelf_Life!A166,Demand_Fresh!A164:A258,1,FALSE())</f>
        <v>#N/A</v>
      </c>
      <c r="E166" s="0" t="e">
        <f aca="false">VLOOKUP(Shelf_Life!A166,Demand_Frozen!A163:A279,1,FALSE())</f>
        <v>#N/A</v>
      </c>
    </row>
    <row r="167" customFormat="false" ht="15" hidden="false" customHeight="false" outlineLevel="0" collapsed="false">
      <c r="A167" s="0" t="s">
        <v>1085</v>
      </c>
      <c r="B167" s="0" t="n">
        <v>1</v>
      </c>
      <c r="C167" s="125" t="n">
        <v>0.112599465882138</v>
      </c>
      <c r="D167" s="0" t="e">
        <f aca="false">VLOOKUP(Shelf_Life!A167,Demand_Fresh!A165:A259,1,FALSE())</f>
        <v>#N/A</v>
      </c>
      <c r="E167" s="0" t="e">
        <f aca="false">VLOOKUP(Shelf_Life!A167,Demand_Frozen!A164:A280,1,FALSE())</f>
        <v>#N/A</v>
      </c>
    </row>
    <row r="168" customFormat="false" ht="15" hidden="false" customHeight="false" outlineLevel="0" collapsed="false">
      <c r="A168" s="0" t="s">
        <v>120</v>
      </c>
      <c r="B168" s="0" t="n">
        <v>1</v>
      </c>
      <c r="C168" s="125" t="n">
        <v>0.0656830217645807</v>
      </c>
      <c r="D168" s="0" t="e">
        <f aca="false">VLOOKUP(Shelf_Life!A168,Demand_Fresh!A166:A260,1,FALSE())</f>
        <v>#N/A</v>
      </c>
      <c r="E168" s="0" t="e">
        <f aca="false">VLOOKUP(Shelf_Life!A168,Demand_Frozen!A165:A281,1,FALSE())</f>
        <v>#N/A</v>
      </c>
    </row>
    <row r="169" customFormat="false" ht="15" hidden="false" customHeight="false" outlineLevel="0" collapsed="false">
      <c r="A169" s="0" t="s">
        <v>217</v>
      </c>
      <c r="B169" s="0" t="n">
        <v>1</v>
      </c>
      <c r="C169" s="125" t="n">
        <v>0.0656830217645807</v>
      </c>
      <c r="D169" s="0" t="e">
        <f aca="false">VLOOKUP(Shelf_Life!A169,Demand_Fresh!A167:A261,1,FALSE())</f>
        <v>#N/A</v>
      </c>
      <c r="E169" s="0" t="e">
        <f aca="false">VLOOKUP(Shelf_Life!A169,Demand_Frozen!A166:A282,1,FALSE())</f>
        <v>#N/A</v>
      </c>
    </row>
    <row r="170" customFormat="false" ht="15" hidden="false" customHeight="false" outlineLevel="0" collapsed="false">
      <c r="A170" s="0" t="s">
        <v>616</v>
      </c>
      <c r="B170" s="0" t="n">
        <v>1</v>
      </c>
      <c r="C170" s="125" t="n">
        <v>0.0525464174116646</v>
      </c>
      <c r="D170" s="0" t="e">
        <f aca="false">VLOOKUP(Shelf_Life!A170,Demand_Fresh!A168:A262,1,FALSE())</f>
        <v>#N/A</v>
      </c>
      <c r="E170" s="0" t="e">
        <f aca="false">VLOOKUP(Shelf_Life!A170,Demand_Frozen!A167:A283,1,FALSE())</f>
        <v>#N/A</v>
      </c>
    </row>
    <row r="171" customFormat="false" ht="15" hidden="false" customHeight="false" outlineLevel="0" collapsed="false">
      <c r="A171" s="0" t="s">
        <v>619</v>
      </c>
      <c r="B171" s="0" t="n">
        <v>1</v>
      </c>
      <c r="C171" s="125" t="n">
        <v>0.0525464174116646</v>
      </c>
      <c r="D171" s="0" t="e">
        <f aca="false">VLOOKUP(Shelf_Life!A171,Demand_Fresh!A169:A263,1,FALSE())</f>
        <v>#N/A</v>
      </c>
      <c r="E171" s="0" t="e">
        <f aca="false">VLOOKUP(Shelf_Life!A171,Demand_Frozen!A168:A284,1,FALSE())</f>
        <v>#N/A</v>
      </c>
    </row>
    <row r="172" customFormat="false" ht="15" hidden="false" customHeight="false" outlineLevel="0" collapsed="false">
      <c r="A172" s="0" t="s">
        <v>218</v>
      </c>
      <c r="B172" s="0" t="n">
        <v>1</v>
      </c>
      <c r="C172" s="125" t="n">
        <v>0.0643951193770399</v>
      </c>
      <c r="D172" s="0" t="e">
        <f aca="false">VLOOKUP(Shelf_Life!A172,Demand_Fresh!A170:A264,1,FALSE())</f>
        <v>#N/A</v>
      </c>
      <c r="E172" s="0" t="e">
        <f aca="false">VLOOKUP(Shelf_Life!A172,Demand_Frozen!A169:A285,1,FALSE())</f>
        <v>#N/A</v>
      </c>
    </row>
    <row r="173" customFormat="false" ht="15" hidden="false" customHeight="false" outlineLevel="0" collapsed="false">
      <c r="A173" s="0" t="s">
        <v>627</v>
      </c>
      <c r="B173" s="0" t="n">
        <v>1</v>
      </c>
      <c r="C173" s="125" t="n">
        <v>0.0656830217645807</v>
      </c>
      <c r="D173" s="0" t="e">
        <f aca="false">VLOOKUP(Shelf_Life!A173,Demand_Fresh!A171:A265,1,FALSE())</f>
        <v>#N/A</v>
      </c>
      <c r="E173" s="0" t="e">
        <f aca="false">VLOOKUP(Shelf_Life!A173,Demand_Frozen!A170:A286,1,FALSE())</f>
        <v>#N/A</v>
      </c>
    </row>
    <row r="174" customFormat="false" ht="15" hidden="false" customHeight="false" outlineLevel="0" collapsed="false">
      <c r="A174" s="0" t="s">
        <v>630</v>
      </c>
      <c r="B174" s="0" t="n">
        <v>1</v>
      </c>
      <c r="C174" s="125" t="n">
        <v>0.0656830217645807</v>
      </c>
      <c r="D174" s="0" t="e">
        <f aca="false">VLOOKUP(Shelf_Life!A174,Demand_Fresh!A172:A266,1,FALSE())</f>
        <v>#N/A</v>
      </c>
      <c r="E174" s="0" t="e">
        <f aca="false">VLOOKUP(Shelf_Life!A174,Demand_Frozen!A171:A287,1,FALSE())</f>
        <v>#N/A</v>
      </c>
    </row>
    <row r="175" customFormat="false" ht="15" hidden="false" customHeight="false" outlineLevel="0" collapsed="false">
      <c r="A175" s="0" t="s">
        <v>633</v>
      </c>
      <c r="B175" s="0" t="n">
        <v>1</v>
      </c>
      <c r="C175" s="125" t="n">
        <v>0.0525464174116646</v>
      </c>
      <c r="D175" s="0" t="e">
        <f aca="false">VLOOKUP(Shelf_Life!A175,Demand_Fresh!A173:A267,1,FALSE())</f>
        <v>#N/A</v>
      </c>
      <c r="E175" s="0" t="e">
        <f aca="false">VLOOKUP(Shelf_Life!A175,Demand_Frozen!A172:A288,1,FALSE())</f>
        <v>#N/A</v>
      </c>
    </row>
    <row r="176" customFormat="false" ht="15" hidden="false" customHeight="false" outlineLevel="0" collapsed="false">
      <c r="A176" s="0" t="s">
        <v>219</v>
      </c>
      <c r="B176" s="0" t="n">
        <v>1</v>
      </c>
      <c r="C176" s="125" t="n">
        <v>0.0525464174116646</v>
      </c>
      <c r="D176" s="0" t="e">
        <f aca="false">VLOOKUP(Shelf_Life!A176,Demand_Fresh!A174:A268,1,FALSE())</f>
        <v>#N/A</v>
      </c>
      <c r="E176" s="0" t="e">
        <f aca="false">VLOOKUP(Shelf_Life!A176,Demand_Frozen!A173:A289,1,FALSE())</f>
        <v>#N/A</v>
      </c>
    </row>
    <row r="177" customFormat="false" ht="15" hidden="false" customHeight="false" outlineLevel="0" collapsed="false">
      <c r="A177" s="0" t="s">
        <v>638</v>
      </c>
      <c r="B177" s="0" t="n">
        <v>1</v>
      </c>
      <c r="C177" s="125" t="n">
        <v>0.0656830217645807</v>
      </c>
      <c r="D177" s="0" t="e">
        <f aca="false">VLOOKUP(Shelf_Life!A177,Demand_Fresh!A175:A269,1,FALSE())</f>
        <v>#N/A</v>
      </c>
      <c r="E177" s="0" t="e">
        <f aca="false">VLOOKUP(Shelf_Life!A177,Demand_Frozen!A174:A290,1,FALSE())</f>
        <v>#N/A</v>
      </c>
    </row>
    <row r="178" customFormat="false" ht="15" hidden="false" customHeight="false" outlineLevel="0" collapsed="false">
      <c r="A178" s="0" t="s">
        <v>220</v>
      </c>
      <c r="B178" s="0" t="n">
        <v>1</v>
      </c>
      <c r="C178" s="125" t="n">
        <v>0.0656830217645807</v>
      </c>
      <c r="D178" s="0" t="e">
        <f aca="false">VLOOKUP(Shelf_Life!A178,Demand_Fresh!A176:A270,1,FALSE())</f>
        <v>#N/A</v>
      </c>
      <c r="E178" s="0" t="e">
        <f aca="false">VLOOKUP(Shelf_Life!A178,Demand_Frozen!A175:A291,1,FALSE())</f>
        <v>#N/A</v>
      </c>
    </row>
    <row r="179" customFormat="false" ht="15" hidden="false" customHeight="false" outlineLevel="0" collapsed="false">
      <c r="A179" s="0" t="s">
        <v>221</v>
      </c>
      <c r="B179" s="0" t="n">
        <v>1</v>
      </c>
      <c r="C179" s="125" t="n">
        <v>0.0656830217645807</v>
      </c>
      <c r="D179" s="0" t="e">
        <f aca="false">VLOOKUP(Shelf_Life!A179,Demand_Fresh!A177:A271,1,FALSE())</f>
        <v>#N/A</v>
      </c>
      <c r="E179" s="0" t="e">
        <f aca="false">VLOOKUP(Shelf_Life!A179,Demand_Frozen!A176:A292,1,FALSE())</f>
        <v>#N/A</v>
      </c>
    </row>
    <row r="180" customFormat="false" ht="15" hidden="false" customHeight="false" outlineLevel="0" collapsed="false">
      <c r="A180" s="0" t="s">
        <v>645</v>
      </c>
      <c r="B180" s="0" t="n">
        <v>1</v>
      </c>
      <c r="C180" s="125" t="n">
        <v>0.0656830217645807</v>
      </c>
      <c r="D180" s="0" t="e">
        <f aca="false">VLOOKUP(Shelf_Life!A180,Demand_Fresh!A178:A272,1,FALSE())</f>
        <v>#N/A</v>
      </c>
      <c r="E180" s="0" t="e">
        <f aca="false">VLOOKUP(Shelf_Life!A180,Demand_Frozen!A177:A293,1,FALSE())</f>
        <v>#N/A</v>
      </c>
    </row>
    <row r="181" customFormat="false" ht="15" hidden="false" customHeight="false" outlineLevel="0" collapsed="false">
      <c r="A181" s="0" t="s">
        <v>222</v>
      </c>
      <c r="B181" s="0" t="n">
        <v>1</v>
      </c>
      <c r="C181" s="125" t="n">
        <v>0.0656830217645807</v>
      </c>
      <c r="D181" s="0" t="e">
        <f aca="false">VLOOKUP(Shelf_Life!A181,Demand_Fresh!A179:A273,1,FALSE())</f>
        <v>#N/A</v>
      </c>
      <c r="E181" s="0" t="e">
        <f aca="false">VLOOKUP(Shelf_Life!A181,Demand_Frozen!A178:A294,1,FALSE())</f>
        <v>#N/A</v>
      </c>
    </row>
    <row r="182" customFormat="false" ht="15" hidden="false" customHeight="false" outlineLevel="0" collapsed="false">
      <c r="A182" s="0" t="s">
        <v>121</v>
      </c>
      <c r="B182" s="0" t="n">
        <v>1</v>
      </c>
      <c r="C182" s="125" t="n">
        <v>0.0656830217645807</v>
      </c>
      <c r="D182" s="0" t="e">
        <f aca="false">VLOOKUP(Shelf_Life!A182,Demand_Fresh!A180:A274,1,FALSE())</f>
        <v>#N/A</v>
      </c>
      <c r="E182" s="0" t="e">
        <f aca="false">VLOOKUP(Shelf_Life!A182,Demand_Frozen!A179:A295,1,FALSE())</f>
        <v>#N/A</v>
      </c>
    </row>
    <row r="183" customFormat="false" ht="15" hidden="false" customHeight="false" outlineLevel="0" collapsed="false">
      <c r="A183" s="0" t="s">
        <v>223</v>
      </c>
      <c r="B183" s="0" t="n">
        <v>1</v>
      </c>
      <c r="C183" s="125" t="n">
        <v>0.0656830217645807</v>
      </c>
      <c r="D183" s="0" t="e">
        <f aca="false">VLOOKUP(Shelf_Life!A183,Demand_Fresh!A181:A275,1,FALSE())</f>
        <v>#N/A</v>
      </c>
      <c r="E183" s="0" t="e">
        <f aca="false">VLOOKUP(Shelf_Life!A183,Demand_Frozen!A180:A296,1,FALSE())</f>
        <v>#N/A</v>
      </c>
    </row>
    <row r="184" customFormat="false" ht="15" hidden="false" customHeight="false" outlineLevel="0" collapsed="false">
      <c r="A184" s="0" t="s">
        <v>224</v>
      </c>
      <c r="B184" s="0" t="n">
        <v>1</v>
      </c>
      <c r="C184" s="125" t="n">
        <v>0.0656830217645807</v>
      </c>
      <c r="D184" s="0" t="e">
        <f aca="false">VLOOKUP(Shelf_Life!A184,Demand_Fresh!A182:A276,1,FALSE())</f>
        <v>#N/A</v>
      </c>
      <c r="E184" s="0" t="e">
        <f aca="false">VLOOKUP(Shelf_Life!A184,Demand_Frozen!A181:A297,1,FALSE())</f>
        <v>#N/A</v>
      </c>
    </row>
    <row r="185" customFormat="false" ht="15" hidden="false" customHeight="false" outlineLevel="0" collapsed="false">
      <c r="A185" s="0" t="s">
        <v>122</v>
      </c>
      <c r="B185" s="0" t="n">
        <v>1</v>
      </c>
      <c r="C185" s="125" t="n">
        <v>0.0492622663234355</v>
      </c>
      <c r="D185" s="0" t="e">
        <f aca="false">VLOOKUP(Shelf_Life!A185,Demand_Fresh!A183:A277,1,FALSE())</f>
        <v>#N/A</v>
      </c>
      <c r="E185" s="0" t="e">
        <f aca="false">VLOOKUP(Shelf_Life!A185,Demand_Frozen!A182:A298,1,FALSE())</f>
        <v>#N/A</v>
      </c>
    </row>
    <row r="186" customFormat="false" ht="15" hidden="false" customHeight="false" outlineLevel="0" collapsed="false">
      <c r="A186" s="0" t="s">
        <v>685</v>
      </c>
      <c r="B186" s="0" t="n">
        <v>1</v>
      </c>
      <c r="C186" s="125" t="n">
        <v>0.0656830217645807</v>
      </c>
      <c r="D186" s="0" t="e">
        <f aca="false">VLOOKUP(Shelf_Life!A186,Demand_Fresh!A184:A278,1,FALSE())</f>
        <v>#N/A</v>
      </c>
      <c r="E186" s="0" t="e">
        <f aca="false">VLOOKUP(Shelf_Life!A186,Demand_Frozen!A183:A299,1,FALSE())</f>
        <v>#N/A</v>
      </c>
    </row>
    <row r="187" customFormat="false" ht="15" hidden="false" customHeight="false" outlineLevel="0" collapsed="false">
      <c r="A187" s="0" t="s">
        <v>689</v>
      </c>
      <c r="B187" s="0" t="n">
        <v>1</v>
      </c>
      <c r="C187" s="125" t="n">
        <v>0.0525464174116646</v>
      </c>
      <c r="D187" s="0" t="e">
        <f aca="false">VLOOKUP(Shelf_Life!A187,Demand_Fresh!A185:A279,1,FALSE())</f>
        <v>#N/A</v>
      </c>
      <c r="E187" s="0" t="e">
        <f aca="false">VLOOKUP(Shelf_Life!A187,Demand_Frozen!A184:A300,1,FALSE())</f>
        <v>#N/A</v>
      </c>
    </row>
    <row r="188" customFormat="false" ht="15" hidden="false" customHeight="false" outlineLevel="0" collapsed="false">
      <c r="A188" s="0" t="s">
        <v>692</v>
      </c>
      <c r="B188" s="0" t="n">
        <v>1</v>
      </c>
      <c r="C188" s="126" t="n">
        <v>0.0656830217645807</v>
      </c>
      <c r="D188" s="0" t="e">
        <f aca="false">VLOOKUP(Shelf_Life!A188,Demand_Fresh!A186:A280,1,FALSE())</f>
        <v>#N/A</v>
      </c>
      <c r="E188" s="0" t="e">
        <f aca="false">VLOOKUP(Shelf_Life!A188,Demand_Frozen!A185:A301,1,FALSE())</f>
        <v>#N/A</v>
      </c>
    </row>
    <row r="189" customFormat="false" ht="15" hidden="false" customHeight="false" outlineLevel="0" collapsed="false">
      <c r="A189" s="0" t="s">
        <v>696</v>
      </c>
      <c r="B189" s="0" t="n">
        <v>1</v>
      </c>
      <c r="C189" s="125" t="n">
        <v>0.0656830217645807</v>
      </c>
      <c r="D189" s="0" t="e">
        <f aca="false">VLOOKUP(Shelf_Life!A189,Demand_Fresh!A187:A281,1,FALSE())</f>
        <v>#N/A</v>
      </c>
      <c r="E189" s="0" t="e">
        <f aca="false">VLOOKUP(Shelf_Life!A189,Demand_Frozen!A186:A302,1,FALSE())</f>
        <v>#N/A</v>
      </c>
    </row>
    <row r="190" customFormat="false" ht="15" hidden="false" customHeight="false" outlineLevel="0" collapsed="false">
      <c r="A190" s="0" t="s">
        <v>225</v>
      </c>
      <c r="B190" s="0" t="n">
        <v>1</v>
      </c>
      <c r="C190" s="125" t="n">
        <v>0.0656830217645807</v>
      </c>
      <c r="D190" s="0" t="e">
        <f aca="false">VLOOKUP(Shelf_Life!A190,Demand_Fresh!A188:A282,1,FALSE())</f>
        <v>#N/A</v>
      </c>
      <c r="E190" s="0" t="e">
        <f aca="false">VLOOKUP(Shelf_Life!A190,Demand_Frozen!A187:A303,1,FALSE())</f>
        <v>#N/A</v>
      </c>
    </row>
    <row r="191" customFormat="false" ht="15" hidden="false" customHeight="false" outlineLevel="0" collapsed="false">
      <c r="A191" s="0" t="s">
        <v>226</v>
      </c>
      <c r="B191" s="0" t="n">
        <v>1</v>
      </c>
      <c r="C191" s="125" t="n">
        <v>0.0656830217645807</v>
      </c>
      <c r="D191" s="0" t="e">
        <f aca="false">VLOOKUP(Shelf_Life!A191,Demand_Fresh!A189:A283,1,FALSE())</f>
        <v>#N/A</v>
      </c>
      <c r="E191" s="0" t="e">
        <f aca="false">VLOOKUP(Shelf_Life!A191,Demand_Frozen!A188:A304,1,FALSE())</f>
        <v>#N/A</v>
      </c>
    </row>
    <row r="192" customFormat="false" ht="15" hidden="false" customHeight="false" outlineLevel="0" collapsed="false">
      <c r="A192" s="0" t="s">
        <v>123</v>
      </c>
      <c r="B192" s="0" t="n">
        <v>1</v>
      </c>
      <c r="C192" s="125" t="n">
        <v>0.0656830217645807</v>
      </c>
      <c r="D192" s="0" t="e">
        <f aca="false">VLOOKUP(Shelf_Life!A192,Demand_Fresh!A190:A284,1,FALSE())</f>
        <v>#N/A</v>
      </c>
      <c r="E192" s="0" t="e">
        <f aca="false">VLOOKUP(Shelf_Life!A192,Demand_Frozen!A189:A305,1,FALSE())</f>
        <v>#N/A</v>
      </c>
    </row>
    <row r="193" customFormat="false" ht="15" hidden="false" customHeight="false" outlineLevel="0" collapsed="false">
      <c r="A193" s="0" t="s">
        <v>227</v>
      </c>
      <c r="B193" s="0" t="n">
        <v>1</v>
      </c>
      <c r="C193" s="125" t="n">
        <v>0.0656830217645807</v>
      </c>
      <c r="D193" s="0" t="e">
        <f aca="false">VLOOKUP(Shelf_Life!A193,Demand_Fresh!A191:A285,1,FALSE())</f>
        <v>#N/A</v>
      </c>
      <c r="E193" s="0" t="e">
        <f aca="false">VLOOKUP(Shelf_Life!A193,Demand_Frozen!A190:A306,1,FALSE())</f>
        <v>#N/A</v>
      </c>
    </row>
    <row r="194" customFormat="false" ht="15" hidden="false" customHeight="false" outlineLevel="0" collapsed="false">
      <c r="A194" s="0" t="s">
        <v>228</v>
      </c>
      <c r="B194" s="0" t="n">
        <v>1</v>
      </c>
      <c r="C194" s="125" t="n">
        <v>0.0656830217645807</v>
      </c>
      <c r="D194" s="0" t="e">
        <f aca="false">VLOOKUP(Shelf_Life!A194,Demand_Fresh!A192:A286,1,FALSE())</f>
        <v>#N/A</v>
      </c>
      <c r="E194" s="0" t="e">
        <f aca="false">VLOOKUP(Shelf_Life!A194,Demand_Frozen!A191:A307,1,FALSE())</f>
        <v>#N/A</v>
      </c>
    </row>
    <row r="195" customFormat="false" ht="15" hidden="false" customHeight="false" outlineLevel="0" collapsed="false">
      <c r="A195" s="0" t="s">
        <v>124</v>
      </c>
      <c r="B195" s="0" t="n">
        <v>1</v>
      </c>
      <c r="C195" s="125" t="n">
        <v>0.0656830217645807</v>
      </c>
      <c r="D195" s="0" t="e">
        <f aca="false">VLOOKUP(Shelf_Life!A195,Demand_Fresh!A193:A287,1,FALSE())</f>
        <v>#N/A</v>
      </c>
      <c r="E195" s="0" t="e">
        <f aca="false">VLOOKUP(Shelf_Life!A195,Demand_Frozen!A192:A308,1,FALSE())</f>
        <v>#N/A</v>
      </c>
    </row>
    <row r="196" customFormat="false" ht="15" hidden="false" customHeight="false" outlineLevel="0" collapsed="false">
      <c r="A196" s="0" t="s">
        <v>229</v>
      </c>
      <c r="B196" s="0" t="n">
        <v>1</v>
      </c>
      <c r="C196" s="125" t="n">
        <v>0.0656830217645807</v>
      </c>
      <c r="D196" s="0" t="e">
        <f aca="false">VLOOKUP(Shelf_Life!A196,Demand_Fresh!A194:A288,1,FALSE())</f>
        <v>#N/A</v>
      </c>
      <c r="E196" s="0" t="e">
        <f aca="false">VLOOKUP(Shelf_Life!A196,Demand_Frozen!A193:A309,1,FALSE())</f>
        <v>#N/A</v>
      </c>
    </row>
    <row r="197" customFormat="false" ht="15" hidden="false" customHeight="false" outlineLevel="0" collapsed="false">
      <c r="A197" s="0" t="s">
        <v>1351</v>
      </c>
      <c r="B197" s="0" t="n">
        <v>1</v>
      </c>
      <c r="C197" s="125" t="n">
        <v>0.0525464174116646</v>
      </c>
      <c r="D197" s="0" t="e">
        <f aca="false">VLOOKUP(Shelf_Life!A197,Demand_Fresh!A195:A289,1,FALSE())</f>
        <v>#N/A</v>
      </c>
      <c r="E197" s="0" t="e">
        <f aca="false">VLOOKUP(Shelf_Life!A197,Demand_Frozen!A194:A310,1,FALSE())</f>
        <v>#N/A</v>
      </c>
    </row>
    <row r="198" customFormat="false" ht="15" hidden="false" customHeight="false" outlineLevel="0" collapsed="false">
      <c r="A198" s="0" t="s">
        <v>1352</v>
      </c>
      <c r="B198" s="0" t="n">
        <v>1</v>
      </c>
      <c r="C198" s="125" t="n">
        <v>0.0525464174116646</v>
      </c>
      <c r="D198" s="0" t="e">
        <f aca="false">VLOOKUP(Shelf_Life!A198,Demand_Fresh!A196:A290,1,FALSE())</f>
        <v>#N/A</v>
      </c>
      <c r="E198" s="0" t="e">
        <f aca="false">VLOOKUP(Shelf_Life!A198,Demand_Frozen!A195:A311,1,FALSE())</f>
        <v>#N/A</v>
      </c>
    </row>
    <row r="199" customFormat="false" ht="15" hidden="false" customHeight="false" outlineLevel="0" collapsed="false">
      <c r="A199" s="0" t="s">
        <v>230</v>
      </c>
      <c r="B199" s="0" t="n">
        <v>1</v>
      </c>
      <c r="C199" s="125" t="n">
        <v>0.0643951193770399</v>
      </c>
      <c r="D199" s="0" t="e">
        <f aca="false">VLOOKUP(Shelf_Life!A199,Demand_Fresh!A197:A291,1,FALSE())</f>
        <v>#N/A</v>
      </c>
      <c r="E199" s="0" t="e">
        <f aca="false">VLOOKUP(Shelf_Life!A199,Demand_Frozen!A196:A312,1,FALSE())</f>
        <v>#N/A</v>
      </c>
    </row>
    <row r="200" customFormat="false" ht="15" hidden="false" customHeight="false" outlineLevel="0" collapsed="false">
      <c r="A200" s="0" t="s">
        <v>125</v>
      </c>
      <c r="B200" s="0" t="n">
        <v>1</v>
      </c>
      <c r="C200" s="125" t="n">
        <v>0.0656830217645807</v>
      </c>
      <c r="D200" s="0" t="e">
        <f aca="false">VLOOKUP(Shelf_Life!A200,Demand_Fresh!A198:A292,1,FALSE())</f>
        <v>#N/A</v>
      </c>
      <c r="E200" s="0" t="e">
        <f aca="false">VLOOKUP(Shelf_Life!A200,Demand_Frozen!A197:A313,1,FALSE())</f>
        <v>#N/A</v>
      </c>
    </row>
    <row r="201" customFormat="false" ht="15" hidden="false" customHeight="false" outlineLevel="0" collapsed="false">
      <c r="A201" s="0" t="s">
        <v>231</v>
      </c>
      <c r="B201" s="0" t="n">
        <v>1</v>
      </c>
      <c r="C201" s="125" t="n">
        <v>0.0656830217645807</v>
      </c>
      <c r="D201" s="0" t="e">
        <f aca="false">VLOOKUP(Shelf_Life!A201,Demand_Fresh!A199:A293,1,FALSE())</f>
        <v>#N/A</v>
      </c>
      <c r="E201" s="0" t="e">
        <f aca="false">VLOOKUP(Shelf_Life!A201,Demand_Frozen!A198:A314,1,FALSE())</f>
        <v>#N/A</v>
      </c>
    </row>
    <row r="202" customFormat="false" ht="15" hidden="false" customHeight="false" outlineLevel="0" collapsed="false">
      <c r="A202" s="0" t="s">
        <v>777</v>
      </c>
      <c r="B202" s="0" t="n">
        <v>1</v>
      </c>
      <c r="C202" s="125" t="n">
        <v>0.0525464174116646</v>
      </c>
      <c r="D202" s="0" t="e">
        <f aca="false">VLOOKUP(Shelf_Life!A202,Demand_Fresh!A200:A294,1,FALSE())</f>
        <v>#N/A</v>
      </c>
      <c r="E202" s="0" t="e">
        <f aca="false">VLOOKUP(Shelf_Life!A202,Demand_Frozen!A199:A315,1,FALSE())</f>
        <v>#N/A</v>
      </c>
    </row>
    <row r="203" customFormat="false" ht="15" hidden="false" customHeight="false" outlineLevel="0" collapsed="false">
      <c r="A203" s="0" t="s">
        <v>232</v>
      </c>
      <c r="B203" s="0" t="n">
        <v>1</v>
      </c>
      <c r="C203" s="125" t="n">
        <v>0.0656830217645807</v>
      </c>
      <c r="D203" s="0" t="e">
        <f aca="false">VLOOKUP(Shelf_Life!A203,Demand_Fresh!A201:A295,1,FALSE())</f>
        <v>#N/A</v>
      </c>
      <c r="E203" s="0" t="e">
        <f aca="false">VLOOKUP(Shelf_Life!A203,Demand_Frozen!A200:A316,1,FALSE())</f>
        <v>#N/A</v>
      </c>
    </row>
    <row r="204" customFormat="false" ht="15" hidden="false" customHeight="false" outlineLevel="0" collapsed="false">
      <c r="A204" s="0" t="s">
        <v>126</v>
      </c>
      <c r="B204" s="0" t="n">
        <v>1</v>
      </c>
      <c r="C204" s="125" t="n">
        <v>0.0656830217645807</v>
      </c>
      <c r="D204" s="0" t="e">
        <f aca="false">VLOOKUP(Shelf_Life!A204,Demand_Fresh!A202:A296,1,FALSE())</f>
        <v>#N/A</v>
      </c>
      <c r="E204" s="0" t="e">
        <f aca="false">VLOOKUP(Shelf_Life!A204,Demand_Frozen!A201:A317,1,FALSE())</f>
        <v>#N/A</v>
      </c>
    </row>
    <row r="205" customFormat="false" ht="15" hidden="false" customHeight="false" outlineLevel="0" collapsed="false">
      <c r="A205" s="0" t="s">
        <v>784</v>
      </c>
      <c r="B205" s="0" t="n">
        <v>1</v>
      </c>
      <c r="C205" s="125" t="n">
        <v>0.0684198143381049</v>
      </c>
      <c r="D205" s="0" t="e">
        <f aca="false">VLOOKUP(Shelf_Life!A205,Demand_Fresh!A203:A297,1,FALSE())</f>
        <v>#N/A</v>
      </c>
      <c r="E205" s="0" t="e">
        <f aca="false">VLOOKUP(Shelf_Life!A205,Demand_Frozen!A201:A318,1,FALSE())</f>
        <v>#N/A</v>
      </c>
    </row>
    <row r="206" customFormat="false" ht="15" hidden="false" customHeight="false" outlineLevel="0" collapsed="false">
      <c r="A206" s="0" t="s">
        <v>233</v>
      </c>
      <c r="B206" s="0" t="n">
        <v>1</v>
      </c>
      <c r="C206" s="125" t="n">
        <v>0.0656830217645807</v>
      </c>
      <c r="D206" s="0" t="e">
        <f aca="false">VLOOKUP(Shelf_Life!A206,Demand_Fresh!A204:A298,1,FALSE())</f>
        <v>#N/A</v>
      </c>
      <c r="E206" s="0" t="e">
        <f aca="false">VLOOKUP(Shelf_Life!A206,Demand_Frozen!A202:A319,1,FALSE())</f>
        <v>#N/A</v>
      </c>
    </row>
    <row r="207" customFormat="false" ht="15" hidden="false" customHeight="false" outlineLevel="0" collapsed="false">
      <c r="A207" s="0" t="s">
        <v>789</v>
      </c>
      <c r="B207" s="0" t="n">
        <v>1</v>
      </c>
      <c r="C207" s="125" t="n">
        <v>0.0691400229100849</v>
      </c>
      <c r="D207" s="0" t="e">
        <f aca="false">VLOOKUP(Shelf_Life!A207,Demand_Fresh!A205:A299,1,FALSE())</f>
        <v>#N/A</v>
      </c>
      <c r="E207" s="0" t="e">
        <f aca="false">VLOOKUP(Shelf_Life!A207,Demand_Frozen!A203:A320,1,FALSE())</f>
        <v>#N/A</v>
      </c>
    </row>
    <row r="208" customFormat="false" ht="15" hidden="false" customHeight="false" outlineLevel="0" collapsed="false">
      <c r="A208" s="0" t="s">
        <v>234</v>
      </c>
      <c r="B208" s="0" t="n">
        <v>1</v>
      </c>
      <c r="C208" s="125" t="n">
        <v>0.0656830217645807</v>
      </c>
      <c r="D208" s="0" t="e">
        <f aca="false">VLOOKUP(Shelf_Life!A208,Demand_Fresh!A206:A300,1,FALSE())</f>
        <v>#N/A</v>
      </c>
      <c r="E208" s="0" t="e">
        <f aca="false">VLOOKUP(Shelf_Life!A208,Demand_Frozen!A204:A321,1,FALSE())</f>
        <v>#N/A</v>
      </c>
    </row>
    <row r="209" customFormat="false" ht="15" hidden="false" customHeight="false" outlineLevel="0" collapsed="false">
      <c r="A209" s="0" t="s">
        <v>794</v>
      </c>
      <c r="B209" s="0" t="n">
        <v>1</v>
      </c>
      <c r="C209" s="125" t="n">
        <v>0.0656830217645807</v>
      </c>
      <c r="D209" s="0" t="e">
        <f aca="false">VLOOKUP(Shelf_Life!A209,Demand_Fresh!A207:A301,1,FALSE())</f>
        <v>#N/A</v>
      </c>
      <c r="E209" s="0" t="e">
        <f aca="false">VLOOKUP(Shelf_Life!A209,Demand_Frozen!A205:A322,1,FALSE())</f>
        <v>#N/A</v>
      </c>
    </row>
    <row r="210" customFormat="false" ht="15" hidden="false" customHeight="false" outlineLevel="0" collapsed="false">
      <c r="A210" s="0" t="s">
        <v>235</v>
      </c>
      <c r="B210" s="0" t="n">
        <v>1</v>
      </c>
      <c r="C210" s="125" t="n">
        <v>0.0656830217645807</v>
      </c>
      <c r="D210" s="0" t="e">
        <f aca="false">VLOOKUP(Shelf_Life!A210,Demand_Fresh!A208:A302,1,FALSE())</f>
        <v>#N/A</v>
      </c>
      <c r="E210" s="0" t="e">
        <f aca="false">VLOOKUP(Shelf_Life!A210,Demand_Frozen!A206:A323,1,FALSE())</f>
        <v>#N/A</v>
      </c>
    </row>
    <row r="211" customFormat="false" ht="15" hidden="false" customHeight="false" outlineLevel="0" collapsed="false">
      <c r="A211" s="0" t="s">
        <v>236</v>
      </c>
      <c r="B211" s="0" t="n">
        <v>1</v>
      </c>
      <c r="C211" s="125" t="n">
        <v>0.0643951193770399</v>
      </c>
      <c r="D211" s="0" t="e">
        <f aca="false">VLOOKUP(Shelf_Life!A211,Demand_Fresh!A209:A303,1,FALSE())</f>
        <v>#N/A</v>
      </c>
      <c r="E211" s="0" t="e">
        <f aca="false">VLOOKUP(Shelf_Life!A211,Demand_Frozen!A207:A324,1,FALSE())</f>
        <v>#N/A</v>
      </c>
    </row>
    <row r="212" customFormat="false" ht="15" hidden="false" customHeight="false" outlineLevel="0" collapsed="false">
      <c r="A212" s="0" t="s">
        <v>127</v>
      </c>
      <c r="B212" s="0" t="n">
        <v>1</v>
      </c>
      <c r="C212" s="125" t="n">
        <v>0.0656830217645807</v>
      </c>
      <c r="D212" s="0" t="e">
        <f aca="false">VLOOKUP(Shelf_Life!A212,Demand_Fresh!A210:A304,1,FALSE())</f>
        <v>#N/A</v>
      </c>
      <c r="E212" s="0" t="e">
        <f aca="false">VLOOKUP(Shelf_Life!A212,Demand_Frozen!A207:A325,1,FALSE())</f>
        <v>#N/A</v>
      </c>
    </row>
    <row r="213" customFormat="false" ht="15" hidden="false" customHeight="false" outlineLevel="0" collapsed="false">
      <c r="A213" s="0" t="s">
        <v>237</v>
      </c>
      <c r="B213" s="0" t="n">
        <v>1</v>
      </c>
      <c r="C213" s="125" t="n">
        <v>0.0656830217645807</v>
      </c>
      <c r="D213" s="0" t="e">
        <f aca="false">VLOOKUP(Shelf_Life!A213,Demand_Fresh!A211:A305,1,FALSE())</f>
        <v>#N/A</v>
      </c>
      <c r="E213" s="0" t="e">
        <f aca="false">VLOOKUP(Shelf_Life!A213,Demand_Frozen!A208:A326,1,FALSE())</f>
        <v>#N/A</v>
      </c>
    </row>
    <row r="214" customFormat="false" ht="15" hidden="false" customHeight="false" outlineLevel="0" collapsed="false">
      <c r="A214" s="0" t="s">
        <v>128</v>
      </c>
      <c r="B214" s="0" t="n">
        <v>1</v>
      </c>
      <c r="C214" s="125" t="n">
        <v>0.0492622663234355</v>
      </c>
      <c r="D214" s="0" t="e">
        <f aca="false">VLOOKUP(Shelf_Life!A214,Demand_Fresh!A212:A306,1,FALSE())</f>
        <v>#N/A</v>
      </c>
      <c r="E214" s="0" t="e">
        <f aca="false">VLOOKUP(Shelf_Life!A214,Demand_Frozen!A209:A327,1,FALSE())</f>
        <v>#N/A</v>
      </c>
    </row>
    <row r="215" customFormat="false" ht="15" hidden="false" customHeight="false" outlineLevel="0" collapsed="false">
      <c r="A215" s="0" t="s">
        <v>238</v>
      </c>
      <c r="B215" s="0" t="n">
        <v>1</v>
      </c>
      <c r="C215" s="125" t="n">
        <v>0.0656830217645807</v>
      </c>
      <c r="D215" s="0" t="e">
        <f aca="false">VLOOKUP(Shelf_Life!A215,Demand_Fresh!A213:A307,1,FALSE())</f>
        <v>#N/A</v>
      </c>
      <c r="E215" s="0" t="e">
        <f aca="false">VLOOKUP(Shelf_Life!A215,Demand_Frozen!A210:A328,1,FALSE())</f>
        <v>#N/A</v>
      </c>
    </row>
    <row r="216" customFormat="false" ht="15" hidden="false" customHeight="false" outlineLevel="0" collapsed="false">
      <c r="A216" s="0" t="s">
        <v>239</v>
      </c>
      <c r="B216" s="0" t="n">
        <v>1</v>
      </c>
      <c r="C216" s="125" t="n">
        <v>0.0656830217645807</v>
      </c>
      <c r="D216" s="0" t="e">
        <f aca="false">VLOOKUP(Shelf_Life!A216,Demand_Fresh!A214:A308,1,FALSE())</f>
        <v>#N/A</v>
      </c>
      <c r="E216" s="0" t="e">
        <f aca="false">VLOOKUP(Shelf_Life!A216,Demand_Frozen!A211:A329,1,FALSE())</f>
        <v>#N/A</v>
      </c>
    </row>
    <row r="217" customFormat="false" ht="15" hidden="false" customHeight="false" outlineLevel="0" collapsed="false">
      <c r="A217" s="0" t="s">
        <v>129</v>
      </c>
      <c r="B217" s="0" t="n">
        <v>1</v>
      </c>
      <c r="C217" s="125" t="n">
        <v>0.0656830217645807</v>
      </c>
      <c r="D217" s="0" t="e">
        <f aca="false">VLOOKUP(Shelf_Life!A217,Demand_Fresh!A215:A309,1,FALSE())</f>
        <v>#N/A</v>
      </c>
      <c r="E217" s="0" t="e">
        <f aca="false">VLOOKUP(Shelf_Life!A217,Demand_Frozen!A212:A330,1,FALSE())</f>
        <v>#N/A</v>
      </c>
    </row>
    <row r="218" customFormat="false" ht="15" hidden="false" customHeight="false" outlineLevel="0" collapsed="false">
      <c r="A218" s="0" t="s">
        <v>240</v>
      </c>
      <c r="B218" s="0" t="n">
        <v>1</v>
      </c>
      <c r="C218" s="125" t="n">
        <v>0.112599465882138</v>
      </c>
      <c r="D218" s="0" t="e">
        <f aca="false">VLOOKUP(Shelf_Life!A218,Demand_Fresh!A216:A310,1,FALSE())</f>
        <v>#N/A</v>
      </c>
      <c r="E218" s="0" t="e">
        <f aca="false">VLOOKUP(Shelf_Life!A218,Demand_Frozen!A213:A331,1,FALSE())</f>
        <v>#N/A</v>
      </c>
    </row>
    <row r="219" customFormat="false" ht="15" hidden="false" customHeight="false" outlineLevel="0" collapsed="false">
      <c r="A219" s="0" t="s">
        <v>130</v>
      </c>
      <c r="B219" s="0" t="n">
        <v>1</v>
      </c>
      <c r="C219" s="125" t="n">
        <v>0.112599465882138</v>
      </c>
      <c r="D219" s="0" t="e">
        <f aca="false">VLOOKUP(Shelf_Life!A219,Demand_Fresh!A217:A311,1,FALSE())</f>
        <v>#N/A</v>
      </c>
      <c r="E219" s="0" t="e">
        <f aca="false">VLOOKUP(Shelf_Life!A219,Demand_Frozen!A214:A332,1,FALSE())</f>
        <v>#N/A</v>
      </c>
    </row>
    <row r="220" customFormat="false" ht="15" hidden="false" customHeight="false" outlineLevel="0" collapsed="false">
      <c r="A220" s="0" t="s">
        <v>241</v>
      </c>
      <c r="B220" s="0" t="n">
        <v>1</v>
      </c>
      <c r="C220" s="125" t="n">
        <v>0.112599465882138</v>
      </c>
      <c r="D220" s="0" t="e">
        <f aca="false">VLOOKUP(Shelf_Life!A220,Demand_Fresh!A218:A312,1,FALSE())</f>
        <v>#N/A</v>
      </c>
      <c r="E220" s="0" t="e">
        <f aca="false">VLOOKUP(Shelf_Life!A220,Demand_Frozen!A215:A333,1,FALSE())</f>
        <v>#N/A</v>
      </c>
    </row>
    <row r="221" customFormat="false" ht="15" hidden="false" customHeight="false" outlineLevel="0" collapsed="false">
      <c r="A221" s="0" t="s">
        <v>242</v>
      </c>
      <c r="B221" s="0" t="n">
        <v>1</v>
      </c>
      <c r="C221" s="125" t="n">
        <v>0.112599465882138</v>
      </c>
      <c r="D221" s="0" t="e">
        <f aca="false">VLOOKUP(Shelf_Life!A221,Demand_Fresh!A219:A313,1,FALSE())</f>
        <v>#N/A</v>
      </c>
      <c r="E221" s="0" t="e">
        <f aca="false">VLOOKUP(Shelf_Life!A221,Demand_Frozen!A216:A334,1,FALSE())</f>
        <v>#N/A</v>
      </c>
    </row>
    <row r="222" customFormat="false" ht="15" hidden="false" customHeight="false" outlineLevel="0" collapsed="false">
      <c r="A222" s="0" t="s">
        <v>131</v>
      </c>
      <c r="B222" s="0" t="n">
        <v>1</v>
      </c>
      <c r="C222" s="125" t="n">
        <v>0.112599465882138</v>
      </c>
      <c r="D222" s="0" t="e">
        <f aca="false">VLOOKUP(Shelf_Life!A222,Demand_Fresh!A220:A314,1,FALSE())</f>
        <v>#N/A</v>
      </c>
      <c r="E222" s="0" t="e">
        <f aca="false">VLOOKUP(Shelf_Life!A222,Demand_Frozen!A217:A335,1,FALSE())</f>
        <v>#N/A</v>
      </c>
    </row>
    <row r="223" customFormat="false" ht="15" hidden="false" customHeight="false" outlineLevel="0" collapsed="false">
      <c r="A223" s="0" t="s">
        <v>243</v>
      </c>
      <c r="B223" s="0" t="n">
        <v>1</v>
      </c>
      <c r="C223" s="125" t="n">
        <v>0.112599465882138</v>
      </c>
      <c r="D223" s="0" t="e">
        <f aca="false">VLOOKUP(Shelf_Life!A223,Demand_Fresh!A221:A315,1,FALSE())</f>
        <v>#N/A</v>
      </c>
      <c r="E223" s="0" t="e">
        <f aca="false">VLOOKUP(Shelf_Life!A223,Demand_Frozen!A218:A336,1,FALSE())</f>
        <v>#N/A</v>
      </c>
    </row>
    <row r="224" customFormat="false" ht="15" hidden="false" customHeight="false" outlineLevel="0" collapsed="false">
      <c r="A224" s="0" t="s">
        <v>861</v>
      </c>
      <c r="B224" s="0" t="n">
        <v>1</v>
      </c>
      <c r="C224" s="125" t="n">
        <v>0.102363150801944</v>
      </c>
      <c r="D224" s="0" t="e">
        <f aca="false">VLOOKUP(Shelf_Life!A224,Demand_Fresh!A222:A316,1,FALSE())</f>
        <v>#N/A</v>
      </c>
      <c r="E224" s="0" t="e">
        <f aca="false">VLOOKUP(Shelf_Life!A224,Demand_Frozen!A219:A337,1,FALSE())</f>
        <v>#N/A</v>
      </c>
    </row>
    <row r="225" customFormat="false" ht="15" hidden="false" customHeight="false" outlineLevel="0" collapsed="false">
      <c r="A225" s="0" t="s">
        <v>244</v>
      </c>
      <c r="B225" s="0" t="n">
        <v>1</v>
      </c>
      <c r="C225" s="125" t="n">
        <v>0.102363150801944</v>
      </c>
      <c r="D225" s="0" t="e">
        <f aca="false">VLOOKUP(Shelf_Life!A225,Demand_Fresh!A223:A317,1,FALSE())</f>
        <v>#N/A</v>
      </c>
      <c r="E225" s="0" t="e">
        <f aca="false">VLOOKUP(Shelf_Life!A225,Demand_Frozen!A220:A338,1,FALSE())</f>
        <v>#N/A</v>
      </c>
    </row>
    <row r="226" customFormat="false" ht="15" hidden="false" customHeight="false" outlineLevel="0" collapsed="false">
      <c r="A226" s="0" t="s">
        <v>245</v>
      </c>
      <c r="B226" s="0" t="n">
        <v>1</v>
      </c>
      <c r="C226" s="125" t="n">
        <v>0.112599465882138</v>
      </c>
      <c r="D226" s="0" t="e">
        <f aca="false">VLOOKUP(Shelf_Life!A226,Demand_Fresh!A224:A318,1,FALSE())</f>
        <v>#N/A</v>
      </c>
      <c r="E226" s="0" t="e">
        <f aca="false">VLOOKUP(Shelf_Life!A226,Demand_Frozen!A221:A339,1,FALSE())</f>
        <v>#N/A</v>
      </c>
    </row>
    <row r="227" customFormat="false" ht="15" hidden="false" customHeight="false" outlineLevel="0" collapsed="false">
      <c r="A227" s="0" t="s">
        <v>873</v>
      </c>
      <c r="B227" s="0" t="n">
        <v>1</v>
      </c>
      <c r="C227" s="126" t="n">
        <v>0.112599465882138</v>
      </c>
      <c r="D227" s="0" t="e">
        <f aca="false">VLOOKUP(Shelf_Life!A227,Demand_Fresh!A225:A319,1,FALSE())</f>
        <v>#N/A</v>
      </c>
      <c r="E227" s="0" t="e">
        <f aca="false">VLOOKUP(Shelf_Life!A227,Demand_Frozen!A222:A340,1,FALSE())</f>
        <v>#N/A</v>
      </c>
    </row>
    <row r="228" customFormat="false" ht="15" hidden="false" customHeight="false" outlineLevel="0" collapsed="false">
      <c r="A228" s="0" t="s">
        <v>132</v>
      </c>
      <c r="B228" s="0" t="n">
        <v>1</v>
      </c>
      <c r="C228" s="125" t="n">
        <v>0.127471093451477</v>
      </c>
      <c r="D228" s="0" t="e">
        <f aca="false">VLOOKUP(Shelf_Life!A228,Demand_Fresh!A226:A320,1,FALSE())</f>
        <v>#N/A</v>
      </c>
      <c r="E228" s="0" t="e">
        <f aca="false">VLOOKUP(Shelf_Life!A228,Demand_Frozen!A223:A341,1,FALSE())</f>
        <v>#N/A</v>
      </c>
    </row>
    <row r="229" customFormat="false" ht="15" hidden="false" customHeight="false" outlineLevel="0" collapsed="false">
      <c r="A229" s="0" t="s">
        <v>133</v>
      </c>
      <c r="B229" s="0" t="n">
        <v>1</v>
      </c>
      <c r="C229" s="125" t="n">
        <v>0.102270177912932</v>
      </c>
      <c r="D229" s="0" t="e">
        <f aca="false">VLOOKUP(Shelf_Life!A229,Demand_Fresh!A227:A321,1,FALSE())</f>
        <v>#N/A</v>
      </c>
      <c r="E229" s="0" t="e">
        <f aca="false">VLOOKUP(Shelf_Life!A229,Demand_Frozen!A224:A342,1,FALSE())</f>
        <v>#N/A</v>
      </c>
    </row>
    <row r="230" customFormat="false" ht="15" hidden="false" customHeight="false" outlineLevel="0" collapsed="false">
      <c r="A230" s="0" t="s">
        <v>246</v>
      </c>
      <c r="B230" s="0" t="n">
        <v>1</v>
      </c>
      <c r="C230" s="125" t="n">
        <v>0.102270177912932</v>
      </c>
      <c r="D230" s="0" t="e">
        <f aca="false">VLOOKUP(Shelf_Life!A230,Demand_Fresh!A228:A322,1,FALSE())</f>
        <v>#N/A</v>
      </c>
      <c r="E230" s="0" t="e">
        <f aca="false">VLOOKUP(Shelf_Life!A230,Demand_Frozen!A225:A343,1,FALSE())</f>
        <v>#N/A</v>
      </c>
    </row>
    <row r="231" customFormat="false" ht="15" hidden="false" customHeight="false" outlineLevel="0" collapsed="false">
      <c r="A231" s="0" t="s">
        <v>247</v>
      </c>
      <c r="B231" s="0" t="n">
        <v>1</v>
      </c>
      <c r="C231" s="125" t="n">
        <v>0.0697930573649618</v>
      </c>
      <c r="D231" s="0" t="e">
        <f aca="false">VLOOKUP(Shelf_Life!A231,Demand_Fresh!A229:A323,1,FALSE())</f>
        <v>#N/A</v>
      </c>
      <c r="E231" s="0" t="e">
        <f aca="false">VLOOKUP(Shelf_Life!A231,Demand_Frozen!A226:A344,1,FALSE())</f>
        <v>#N/A</v>
      </c>
    </row>
    <row r="232" customFormat="false" ht="15" hidden="false" customHeight="false" outlineLevel="0" collapsed="false">
      <c r="A232" s="0" t="s">
        <v>248</v>
      </c>
      <c r="B232" s="0" t="n">
        <v>1</v>
      </c>
      <c r="C232" s="125" t="n">
        <v>0.0900795727057107</v>
      </c>
      <c r="D232" s="0" t="e">
        <f aca="false">VLOOKUP(Shelf_Life!A232,Demand_Fresh!A230:A324,1,FALSE())</f>
        <v>#N/A</v>
      </c>
      <c r="E232" s="0" t="e">
        <f aca="false">VLOOKUP(Shelf_Life!A232,Demand_Frozen!A227:A345,1,FALSE())</f>
        <v>#N/A</v>
      </c>
    </row>
    <row r="233" customFormat="false" ht="15" hidden="false" customHeight="false" outlineLevel="0" collapsed="false">
      <c r="A233" s="0" t="s">
        <v>134</v>
      </c>
      <c r="B233" s="0" t="n">
        <v>1</v>
      </c>
      <c r="C233" s="125" t="n">
        <v>0.0737551086564225</v>
      </c>
      <c r="D233" s="0" t="e">
        <f aca="false">VLOOKUP(Shelf_Life!A233,Demand_Fresh!A231:A325,1,FALSE())</f>
        <v>#N/A</v>
      </c>
      <c r="E233" s="0" t="e">
        <f aca="false">VLOOKUP(Shelf_Life!A233,Demand_Frozen!A228:A346,1,FALSE())</f>
        <v>#N/A</v>
      </c>
    </row>
    <row r="234" customFormat="false" ht="15" hidden="false" customHeight="false" outlineLevel="0" collapsed="false">
      <c r="A234" s="0" t="s">
        <v>249</v>
      </c>
      <c r="B234" s="0" t="n">
        <v>1</v>
      </c>
      <c r="C234" s="125" t="n">
        <v>0.0737551086564225</v>
      </c>
      <c r="D234" s="0" t="e">
        <f aca="false">VLOOKUP(Shelf_Life!A234,Demand_Fresh!A232:A326,1,FALSE())</f>
        <v>#N/A</v>
      </c>
      <c r="E234" s="0" t="e">
        <f aca="false">VLOOKUP(Shelf_Life!A234,Demand_Frozen!A229:A347,1,FALSE())</f>
        <v>#N/A</v>
      </c>
    </row>
    <row r="235" customFormat="false" ht="15" hidden="false" customHeight="false" outlineLevel="0" collapsed="false">
      <c r="A235" s="0" t="s">
        <v>135</v>
      </c>
      <c r="B235" s="0" t="n">
        <v>1</v>
      </c>
      <c r="C235" s="125" t="n">
        <v>0.0697930573649618</v>
      </c>
      <c r="D235" s="0" t="e">
        <f aca="false">VLOOKUP(Shelf_Life!A235,Demand_Fresh!A233:A327,1,FALSE())</f>
        <v>#N/A</v>
      </c>
      <c r="E235" s="0" t="e">
        <f aca="false">VLOOKUP(Shelf_Life!A235,Demand_Frozen!A230:A348,1,FALSE())</f>
        <v>#N/A</v>
      </c>
    </row>
    <row r="236" customFormat="false" ht="15" hidden="false" customHeight="false" outlineLevel="0" collapsed="false">
      <c r="A236" s="0" t="s">
        <v>136</v>
      </c>
      <c r="B236" s="0" t="n">
        <v>1</v>
      </c>
      <c r="C236" s="125" t="n">
        <v>0.0900795727057107</v>
      </c>
      <c r="D236" s="0" t="e">
        <f aca="false">VLOOKUP(Shelf_Life!A236,Demand_Fresh!A234:A328,1,FALSE())</f>
        <v>#N/A</v>
      </c>
      <c r="E236" s="0" t="e">
        <f aca="false">VLOOKUP(Shelf_Life!A236,Demand_Frozen!A231:A349,1,FALSE())</f>
        <v>#N/A</v>
      </c>
    </row>
    <row r="237" customFormat="false" ht="15" hidden="false" customHeight="false" outlineLevel="0" collapsed="false">
      <c r="A237" s="0" t="s">
        <v>250</v>
      </c>
      <c r="B237" s="0" t="n">
        <v>1</v>
      </c>
      <c r="C237" s="125" t="n">
        <v>0.0900795727057107</v>
      </c>
      <c r="D237" s="0" t="e">
        <f aca="false">VLOOKUP(Shelf_Life!A237,Demand_Fresh!A235:A329,1,FALSE())</f>
        <v>#N/A</v>
      </c>
      <c r="E237" s="0" t="e">
        <f aca="false">VLOOKUP(Shelf_Life!A237,Demand_Frozen!A232:A350,1,FALSE())</f>
        <v>#N/A</v>
      </c>
    </row>
    <row r="238" customFormat="false" ht="15" hidden="false" customHeight="false" outlineLevel="0" collapsed="false">
      <c r="A238" s="0" t="s">
        <v>922</v>
      </c>
      <c r="B238" s="0" t="n">
        <v>1</v>
      </c>
      <c r="C238" s="125" t="n">
        <v>0.112599465882138</v>
      </c>
      <c r="D238" s="0" t="e">
        <f aca="false">VLOOKUP(Shelf_Life!A238,Demand_Fresh!A236:A330,1,FALSE())</f>
        <v>#N/A</v>
      </c>
      <c r="E238" s="0" t="e">
        <f aca="false">VLOOKUP(Shelf_Life!A238,Demand_Frozen!A233:A351,1,FALSE())</f>
        <v>#N/A</v>
      </c>
    </row>
    <row r="239" customFormat="false" ht="15" hidden="false" customHeight="false" outlineLevel="0" collapsed="false">
      <c r="A239" s="0" t="s">
        <v>925</v>
      </c>
      <c r="B239" s="0" t="n">
        <v>1</v>
      </c>
      <c r="C239" s="125" t="n">
        <v>0.112599465882138</v>
      </c>
      <c r="D239" s="0" t="e">
        <f aca="false">VLOOKUP(Shelf_Life!A239,Demand_Fresh!A237:A331,1,FALSE())</f>
        <v>#N/A</v>
      </c>
      <c r="E239" s="0" t="e">
        <f aca="false">VLOOKUP(Shelf_Life!A239,Demand_Frozen!A234:A352,1,FALSE())</f>
        <v>#N/A</v>
      </c>
    </row>
    <row r="240" customFormat="false" ht="15" hidden="false" customHeight="false" outlineLevel="0" collapsed="false">
      <c r="A240" s="0" t="s">
        <v>137</v>
      </c>
      <c r="B240" s="0" t="n">
        <v>1</v>
      </c>
      <c r="C240" s="125" t="n">
        <v>0.0818905206415552</v>
      </c>
      <c r="D240" s="0" t="e">
        <f aca="false">VLOOKUP(Shelf_Life!A240,Demand_Fresh!A238:A332,1,FALSE())</f>
        <v>#N/A</v>
      </c>
      <c r="E240" s="0" t="e">
        <f aca="false">VLOOKUP(Shelf_Life!A240,Demand_Frozen!A235:A353,1,FALSE())</f>
        <v>#N/A</v>
      </c>
    </row>
    <row r="241" customFormat="false" ht="15" hidden="false" customHeight="false" outlineLevel="0" collapsed="false">
      <c r="A241" s="0" t="s">
        <v>251</v>
      </c>
      <c r="B241" s="0" t="n">
        <v>1</v>
      </c>
      <c r="C241" s="125" t="n">
        <v>0.0818905206415552</v>
      </c>
      <c r="D241" s="0" t="e">
        <f aca="false">VLOOKUP(Shelf_Life!A241,Demand_Fresh!A239:A333,1,FALSE())</f>
        <v>#N/A</v>
      </c>
      <c r="E241" s="0" t="e">
        <f aca="false">VLOOKUP(Shelf_Life!A241,Demand_Frozen!A236:A354,1,FALSE())</f>
        <v>#N/A</v>
      </c>
    </row>
    <row r="242" customFormat="false" ht="15" hidden="false" customHeight="false" outlineLevel="0" collapsed="false">
      <c r="A242" s="0" t="s">
        <v>138</v>
      </c>
      <c r="B242" s="0" t="n">
        <v>1</v>
      </c>
      <c r="C242" s="125" t="n">
        <v>0.112599465882138</v>
      </c>
      <c r="D242" s="0" t="e">
        <f aca="false">VLOOKUP(Shelf_Life!A242,Demand_Fresh!A240:A334,1,FALSE())</f>
        <v>#N/A</v>
      </c>
      <c r="E242" s="0" t="e">
        <f aca="false">VLOOKUP(Shelf_Life!A242,Demand_Frozen!A237:A355,1,FALSE())</f>
        <v>#N/A</v>
      </c>
    </row>
    <row r="243" customFormat="false" ht="15" hidden="false" customHeight="false" outlineLevel="0" collapsed="false">
      <c r="A243" s="0" t="s">
        <v>139</v>
      </c>
      <c r="B243" s="0" t="n">
        <v>1</v>
      </c>
      <c r="C243" s="125" t="n">
        <v>0.112599465882138</v>
      </c>
      <c r="D243" s="0" t="e">
        <f aca="false">VLOOKUP(Shelf_Life!A243,Demand_Fresh!A241:A335,1,FALSE())</f>
        <v>#N/A</v>
      </c>
      <c r="E243" s="0" t="e">
        <f aca="false">VLOOKUP(Shelf_Life!A243,Demand_Frozen!A238:A356,1,FALSE())</f>
        <v>#N/A</v>
      </c>
    </row>
    <row r="244" customFormat="false" ht="15" hidden="false" customHeight="false" outlineLevel="0" collapsed="false">
      <c r="A244" s="0" t="s">
        <v>252</v>
      </c>
      <c r="B244" s="0" t="n">
        <v>1</v>
      </c>
      <c r="C244" s="125" t="n">
        <v>0.112599465882138</v>
      </c>
      <c r="D244" s="0" t="e">
        <f aca="false">VLOOKUP(Shelf_Life!A244,Demand_Fresh!A242:A336,1,FALSE())</f>
        <v>#N/A</v>
      </c>
      <c r="E244" s="0" t="e">
        <f aca="false">VLOOKUP(Shelf_Life!A244,Demand_Frozen!A239:A357,1,FALSE())</f>
        <v>#N/A</v>
      </c>
    </row>
    <row r="245" customFormat="false" ht="15" hidden="false" customHeight="false" outlineLevel="0" collapsed="false">
      <c r="A245" s="0" t="s">
        <v>140</v>
      </c>
      <c r="B245" s="0" t="n">
        <v>1</v>
      </c>
      <c r="C245" s="125" t="n">
        <v>0.112599465882138</v>
      </c>
      <c r="D245" s="0" t="e">
        <f aca="false">VLOOKUP(Shelf_Life!A245,Demand_Fresh!A243:A337,1,FALSE())</f>
        <v>#N/A</v>
      </c>
      <c r="E245" s="0" t="e">
        <f aca="false">VLOOKUP(Shelf_Life!A245,Demand_Frozen!A240:A358,1,FALSE())</f>
        <v>#N/A</v>
      </c>
    </row>
    <row r="246" customFormat="false" ht="15" hidden="false" customHeight="false" outlineLevel="0" collapsed="false">
      <c r="A246" s="0" t="s">
        <v>253</v>
      </c>
      <c r="B246" s="0" t="n">
        <v>1</v>
      </c>
      <c r="C246" s="125" t="n">
        <v>0.112599465882138</v>
      </c>
      <c r="D246" s="0" t="e">
        <f aca="false">VLOOKUP(Shelf_Life!A246,Demand_Fresh!A244:A338,1,FALSE())</f>
        <v>#N/A</v>
      </c>
      <c r="E246" s="0" t="e">
        <f aca="false">VLOOKUP(Shelf_Life!A246,Demand_Frozen!A241:A359,1,FALSE())</f>
        <v>#N/A</v>
      </c>
    </row>
    <row r="247" customFormat="false" ht="15" hidden="false" customHeight="false" outlineLevel="0" collapsed="false">
      <c r="A247" s="0" t="s">
        <v>141</v>
      </c>
      <c r="B247" s="0" t="n">
        <v>1</v>
      </c>
      <c r="C247" s="125" t="n">
        <v>0.112599465882138</v>
      </c>
      <c r="D247" s="0" t="e">
        <f aca="false">VLOOKUP(Shelf_Life!A247,Demand_Fresh!A245:A339,1,FALSE())</f>
        <v>#N/A</v>
      </c>
      <c r="E247" s="0" t="e">
        <f aca="false">VLOOKUP(Shelf_Life!A247,Demand_Frozen!A242:A360,1,FALSE())</f>
        <v>#N/A</v>
      </c>
    </row>
    <row r="248" customFormat="false" ht="15" hidden="false" customHeight="false" outlineLevel="0" collapsed="false">
      <c r="A248" s="0" t="s">
        <v>254</v>
      </c>
      <c r="B248" s="0" t="n">
        <v>1</v>
      </c>
      <c r="C248" s="125" t="n">
        <v>0.112599465882138</v>
      </c>
      <c r="D248" s="0" t="e">
        <f aca="false">VLOOKUP(Shelf_Life!A248,Demand_Fresh!A246:A340,1,FALSE())</f>
        <v>#N/A</v>
      </c>
      <c r="E248" s="0" t="e">
        <f aca="false">VLOOKUP(Shelf_Life!A248,Demand_Frozen!A243:A361,1,FALSE())</f>
        <v>#N/A</v>
      </c>
    </row>
    <row r="249" customFormat="false" ht="15" hidden="false" customHeight="false" outlineLevel="0" collapsed="false">
      <c r="A249" s="0" t="s">
        <v>142</v>
      </c>
      <c r="B249" s="0" t="n">
        <v>1</v>
      </c>
      <c r="C249" s="125" t="n">
        <v>0.0938328882351153</v>
      </c>
      <c r="D249" s="0" t="e">
        <f aca="false">VLOOKUP(Shelf_Life!A249,Demand_Fresh!A247:A341,1,FALSE())</f>
        <v>#N/A</v>
      </c>
      <c r="E249" s="0" t="e">
        <f aca="false">VLOOKUP(Shelf_Life!A249,Demand_Frozen!A244:A362,1,FALSE())</f>
        <v>#N/A</v>
      </c>
    </row>
    <row r="250" customFormat="false" ht="15" hidden="false" customHeight="false" outlineLevel="0" collapsed="false">
      <c r="A250" s="0" t="s">
        <v>255</v>
      </c>
      <c r="B250" s="0" t="n">
        <v>1</v>
      </c>
      <c r="C250" s="125" t="n">
        <v>0.0938328882351153</v>
      </c>
      <c r="D250" s="0" t="e">
        <f aca="false">VLOOKUP(Shelf_Life!A250,Demand_Fresh!A248:A342,1,FALSE())</f>
        <v>#N/A</v>
      </c>
      <c r="E250" s="0" t="e">
        <f aca="false">VLOOKUP(Shelf_Life!A250,Demand_Frozen!A245:A363,1,FALSE())</f>
        <v>#N/A</v>
      </c>
    </row>
    <row r="251" customFormat="false" ht="15" hidden="false" customHeight="false" outlineLevel="0" collapsed="false">
      <c r="A251" s="0" t="s">
        <v>968</v>
      </c>
      <c r="B251" s="0" t="n">
        <v>1</v>
      </c>
      <c r="C251" s="125" t="n">
        <v>0.0938328882351153</v>
      </c>
      <c r="D251" s="0" t="e">
        <f aca="false">VLOOKUP(Shelf_Life!A251,Demand_Fresh!A249:A343,1,FALSE())</f>
        <v>#N/A</v>
      </c>
      <c r="E251" s="0" t="e">
        <f aca="false">VLOOKUP(Shelf_Life!A251,Demand_Frozen!A246:A364,1,FALSE())</f>
        <v>#N/A</v>
      </c>
    </row>
    <row r="252" customFormat="false" ht="15" hidden="false" customHeight="false" outlineLevel="0" collapsed="false">
      <c r="A252" s="0" t="s">
        <v>256</v>
      </c>
      <c r="B252" s="0" t="n">
        <v>1</v>
      </c>
      <c r="C252" s="125" t="n">
        <v>0.0938328882351153</v>
      </c>
      <c r="D252" s="0" t="e">
        <f aca="false">VLOOKUP(Shelf_Life!A252,Demand_Fresh!A250:A344,1,FALSE())</f>
        <v>#N/A</v>
      </c>
      <c r="E252" s="0" t="e">
        <f aca="false">VLOOKUP(Shelf_Life!A252,Demand_Frozen!A247:A365,1,FALSE())</f>
        <v>#N/A</v>
      </c>
    </row>
    <row r="253" customFormat="false" ht="15" hidden="false" customHeight="false" outlineLevel="0" collapsed="false">
      <c r="A253" s="0" t="s">
        <v>143</v>
      </c>
      <c r="B253" s="0" t="n">
        <v>1</v>
      </c>
      <c r="C253" s="125" t="n">
        <v>0.112599465882138</v>
      </c>
      <c r="D253" s="0" t="e">
        <f aca="false">VLOOKUP(Shelf_Life!A253,Demand_Fresh!A251:A345,1,FALSE())</f>
        <v>#N/A</v>
      </c>
      <c r="E253" s="0" t="e">
        <f aca="false">VLOOKUP(Shelf_Life!A253,Demand_Frozen!A248:A366,1,FALSE())</f>
        <v>#N/A</v>
      </c>
    </row>
    <row r="254" customFormat="false" ht="15" hidden="false" customHeight="false" outlineLevel="0" collapsed="false">
      <c r="A254" s="0" t="s">
        <v>257</v>
      </c>
      <c r="B254" s="0" t="n">
        <v>1</v>
      </c>
      <c r="C254" s="125" t="n">
        <v>0.112599465882138</v>
      </c>
      <c r="D254" s="0" t="e">
        <f aca="false">VLOOKUP(Shelf_Life!A254,Demand_Fresh!A252:A346,1,FALSE())</f>
        <v>#N/A</v>
      </c>
      <c r="E254" s="0" t="e">
        <f aca="false">VLOOKUP(Shelf_Life!A254,Demand_Frozen!A249:A367,1,FALSE())</f>
        <v>#N/A</v>
      </c>
    </row>
    <row r="255" customFormat="false" ht="15" hidden="false" customHeight="false" outlineLevel="0" collapsed="false">
      <c r="A255" s="0" t="s">
        <v>258</v>
      </c>
      <c r="B255" s="0" t="n">
        <v>1</v>
      </c>
      <c r="C255" s="125" t="n">
        <v>0.112599465882138</v>
      </c>
      <c r="D255" s="0" t="e">
        <f aca="false">VLOOKUP(Shelf_Life!A255,Demand_Fresh!A253:A347,1,FALSE())</f>
        <v>#N/A</v>
      </c>
      <c r="E255" s="0" t="e">
        <f aca="false">VLOOKUP(Shelf_Life!A255,Demand_Frozen!A250:A368,1,FALSE())</f>
        <v>#N/A</v>
      </c>
    </row>
    <row r="256" customFormat="false" ht="15" hidden="false" customHeight="false" outlineLevel="0" collapsed="false">
      <c r="A256" s="0" t="s">
        <v>977</v>
      </c>
      <c r="B256" s="0" t="n">
        <v>1</v>
      </c>
      <c r="C256" s="125" t="n">
        <v>0.112599465882138</v>
      </c>
      <c r="D256" s="0" t="e">
        <f aca="false">VLOOKUP(Shelf_Life!A256,Demand_Fresh!A254:A348,1,FALSE())</f>
        <v>#N/A</v>
      </c>
      <c r="E256" s="0" t="e">
        <f aca="false">VLOOKUP(Shelf_Life!A256,Demand_Frozen!A251:A369,1,FALSE())</f>
        <v>#N/A</v>
      </c>
    </row>
    <row r="257" customFormat="false" ht="15" hidden="false" customHeight="false" outlineLevel="0" collapsed="false">
      <c r="A257" s="0" t="s">
        <v>982</v>
      </c>
      <c r="B257" s="0" t="n">
        <v>1</v>
      </c>
      <c r="C257" s="125" t="n">
        <v>0.112599465882138</v>
      </c>
      <c r="D257" s="0" t="e">
        <f aca="false">VLOOKUP(Shelf_Life!A257,Demand_Fresh!A255:A349,1,FALSE())</f>
        <v>#N/A</v>
      </c>
      <c r="E257" s="0" t="e">
        <f aca="false">VLOOKUP(Shelf_Life!A257,Demand_Frozen!A252:A370,1,FALSE())</f>
        <v>#N/A</v>
      </c>
    </row>
    <row r="258" customFormat="false" ht="15" hidden="false" customHeight="false" outlineLevel="0" collapsed="false">
      <c r="A258" s="0" t="s">
        <v>259</v>
      </c>
      <c r="B258" s="0" t="n">
        <v>1</v>
      </c>
      <c r="C258" s="125" t="n">
        <v>0.112599465882138</v>
      </c>
      <c r="D258" s="0" t="e">
        <f aca="false">VLOOKUP(Shelf_Life!A258,Demand_Fresh!A256:A350,1,FALSE())</f>
        <v>#N/A</v>
      </c>
      <c r="E258" s="0" t="e">
        <f aca="false">VLOOKUP(Shelf_Life!A258,Demand_Frozen!A253:A371,1,FALSE())</f>
        <v>#N/A</v>
      </c>
    </row>
    <row r="259" customFormat="false" ht="15" hidden="false" customHeight="false" outlineLevel="0" collapsed="false">
      <c r="A259" s="0" t="s">
        <v>989</v>
      </c>
      <c r="B259" s="0" t="n">
        <v>1</v>
      </c>
      <c r="C259" s="125" t="n">
        <v>0.112599465882138</v>
      </c>
      <c r="D259" s="0" t="e">
        <f aca="false">VLOOKUP(Shelf_Life!A259,Demand_Fresh!A257:A351,1,FALSE())</f>
        <v>#N/A</v>
      </c>
      <c r="E259" s="0" t="e">
        <f aca="false">VLOOKUP(Shelf_Life!A259,Demand_Frozen!A254:A372,1,FALSE())</f>
        <v>#N/A</v>
      </c>
    </row>
    <row r="260" customFormat="false" ht="15" hidden="false" customHeight="false" outlineLevel="0" collapsed="false">
      <c r="A260" s="0" t="s">
        <v>260</v>
      </c>
      <c r="B260" s="0" t="n">
        <v>1</v>
      </c>
      <c r="C260" s="125" t="n">
        <v>0.112599465882138</v>
      </c>
      <c r="D260" s="0" t="e">
        <f aca="false">VLOOKUP(Shelf_Life!A260,Demand_Fresh!A258:A352,1,FALSE())</f>
        <v>#N/A</v>
      </c>
      <c r="E260" s="0" t="e">
        <f aca="false">VLOOKUP(Shelf_Life!A260,Demand_Frozen!A255:A373,1,FALSE())</f>
        <v>#N/A</v>
      </c>
    </row>
    <row r="261" customFormat="false" ht="15" hidden="false" customHeight="false" outlineLevel="0" collapsed="false">
      <c r="A261" s="0" t="s">
        <v>144</v>
      </c>
      <c r="B261" s="0" t="n">
        <v>1</v>
      </c>
      <c r="C261" s="125" t="n">
        <v>0.112599465882138</v>
      </c>
      <c r="D261" s="0" t="e">
        <f aca="false">VLOOKUP(Shelf_Life!A261,Demand_Fresh!A259:A353,1,FALSE())</f>
        <v>#N/A</v>
      </c>
      <c r="E261" s="0" t="e">
        <f aca="false">VLOOKUP(Shelf_Life!A261,Demand_Frozen!A256:A374,1,FALSE())</f>
        <v>#N/A</v>
      </c>
    </row>
    <row r="262" customFormat="false" ht="15" hidden="false" customHeight="false" outlineLevel="0" collapsed="false">
      <c r="A262" s="0" t="s">
        <v>261</v>
      </c>
      <c r="B262" s="0" t="n">
        <v>1</v>
      </c>
      <c r="C262" s="125" t="n">
        <v>0.112599465882138</v>
      </c>
      <c r="D262" s="0" t="e">
        <f aca="false">VLOOKUP(Shelf_Life!A262,Demand_Fresh!A260:A354,1,FALSE())</f>
        <v>#N/A</v>
      </c>
      <c r="E262" s="0" t="e">
        <f aca="false">VLOOKUP(Shelf_Life!A262,Demand_Frozen!A257:A375,1,FALSE())</f>
        <v>#N/A</v>
      </c>
    </row>
    <row r="263" customFormat="false" ht="15" hidden="false" customHeight="false" outlineLevel="0" collapsed="false">
      <c r="A263" s="0" t="s">
        <v>1000</v>
      </c>
      <c r="B263" s="0" t="n">
        <v>1</v>
      </c>
      <c r="C263" s="125" t="n">
        <v>0.112599465882138</v>
      </c>
      <c r="D263" s="0" t="e">
        <f aca="false">VLOOKUP(Shelf_Life!A263,Demand_Fresh!A261:A355,1,FALSE())</f>
        <v>#N/A</v>
      </c>
      <c r="E263" s="0" t="e">
        <f aca="false">VLOOKUP(Shelf_Life!A263,Demand_Frozen!A258:A376,1,FALSE())</f>
        <v>#N/A</v>
      </c>
    </row>
    <row r="264" customFormat="false" ht="15" hidden="false" customHeight="false" outlineLevel="0" collapsed="false">
      <c r="A264" s="0" t="s">
        <v>145</v>
      </c>
      <c r="B264" s="0" t="n">
        <v>1</v>
      </c>
      <c r="C264" s="125" t="n">
        <v>0.112599465882138</v>
      </c>
      <c r="D264" s="0" t="e">
        <f aca="false">VLOOKUP(Shelf_Life!A264,Demand_Fresh!A262:A356,1,FALSE())</f>
        <v>#N/A</v>
      </c>
      <c r="E264" s="0" t="e">
        <f aca="false">VLOOKUP(Shelf_Life!A264,Demand_Frozen!A259:A377,1,FALSE())</f>
        <v>#N/A</v>
      </c>
    </row>
    <row r="265" customFormat="false" ht="15" hidden="false" customHeight="false" outlineLevel="0" collapsed="false">
      <c r="A265" s="0" t="s">
        <v>262</v>
      </c>
      <c r="B265" s="0" t="n">
        <v>1</v>
      </c>
      <c r="C265" s="125" t="n">
        <v>0.112599465882138</v>
      </c>
      <c r="D265" s="0" t="e">
        <f aca="false">VLOOKUP(Shelf_Life!A265,Demand_Fresh!A263:A357,1,FALSE())</f>
        <v>#N/A</v>
      </c>
      <c r="E265" s="0" t="e">
        <f aca="false">VLOOKUP(Shelf_Life!A265,Demand_Frozen!A260:A378,1,FALSE())</f>
        <v>#N/A</v>
      </c>
    </row>
    <row r="266" customFormat="false" ht="15" hidden="false" customHeight="false" outlineLevel="0" collapsed="false">
      <c r="A266" s="0" t="s">
        <v>146</v>
      </c>
      <c r="B266" s="0" t="n">
        <v>1</v>
      </c>
      <c r="C266" s="125" t="n">
        <v>0.0919179313323578</v>
      </c>
      <c r="D266" s="0" t="e">
        <f aca="false">VLOOKUP(Shelf_Life!A266,Demand_Fresh!A264:A358,1,FALSE())</f>
        <v>#N/A</v>
      </c>
      <c r="E266" s="0" t="e">
        <f aca="false">VLOOKUP(Shelf_Life!A266,Demand_Frozen!A261:A379,1,FALSE())</f>
        <v>#N/A</v>
      </c>
    </row>
    <row r="267" customFormat="false" ht="15" hidden="false" customHeight="false" outlineLevel="0" collapsed="false">
      <c r="A267" s="0" t="s">
        <v>263</v>
      </c>
      <c r="B267" s="0" t="n">
        <v>1</v>
      </c>
      <c r="C267" s="125" t="n">
        <v>0.0919179313323578</v>
      </c>
      <c r="D267" s="0" t="e">
        <f aca="false">VLOOKUP(Shelf_Life!A267,Demand_Fresh!A265:A359,1,FALSE())</f>
        <v>#N/A</v>
      </c>
      <c r="E267" s="0" t="e">
        <f aca="false">VLOOKUP(Shelf_Life!A267,Demand_Frozen!A262:A380,1,FALSE())</f>
        <v>#N/A</v>
      </c>
    </row>
    <row r="268" customFormat="false" ht="15" hidden="false" customHeight="false" outlineLevel="0" collapsed="false">
      <c r="A268" s="0" t="s">
        <v>147</v>
      </c>
      <c r="B268" s="0" t="n">
        <v>1</v>
      </c>
      <c r="C268" s="125" t="n">
        <v>0.112599465882138</v>
      </c>
      <c r="D268" s="0" t="e">
        <f aca="false">VLOOKUP(Shelf_Life!A268,Demand_Fresh!A266:A360,1,FALSE())</f>
        <v>#N/A</v>
      </c>
      <c r="E268" s="0" t="e">
        <f aca="false">VLOOKUP(Shelf_Life!A268,Demand_Frozen!A263:A381,1,FALSE())</f>
        <v>#N/A</v>
      </c>
    </row>
    <row r="269" customFormat="false" ht="15" hidden="false" customHeight="false" outlineLevel="0" collapsed="false">
      <c r="A269" s="0" t="s">
        <v>264</v>
      </c>
      <c r="B269" s="0" t="n">
        <v>1</v>
      </c>
      <c r="C269" s="125" t="n">
        <v>0.112599465882138</v>
      </c>
      <c r="D269" s="0" t="e">
        <f aca="false">VLOOKUP(Shelf_Life!A269,Demand_Fresh!A267:A361,1,FALSE())</f>
        <v>#N/A</v>
      </c>
      <c r="E269" s="0" t="e">
        <f aca="false">VLOOKUP(Shelf_Life!A269,Demand_Frozen!A264:A382,1,FALSE())</f>
        <v>#N/A</v>
      </c>
    </row>
    <row r="270" customFormat="false" ht="15" hidden="false" customHeight="false" outlineLevel="0" collapsed="false">
      <c r="A270" s="0" t="s">
        <v>148</v>
      </c>
      <c r="B270" s="0" t="n">
        <v>1</v>
      </c>
      <c r="C270" s="125" t="n">
        <v>0.112599465882138</v>
      </c>
      <c r="D270" s="0" t="e">
        <f aca="false">VLOOKUP(Shelf_Life!A270,Demand_Fresh!A268:A362,1,FALSE())</f>
        <v>#N/A</v>
      </c>
      <c r="E270" s="0" t="e">
        <f aca="false">VLOOKUP(Shelf_Life!A270,Demand_Frozen!A265:A383,1,FALSE())</f>
        <v>#N/A</v>
      </c>
    </row>
    <row r="271" customFormat="false" ht="15" hidden="false" customHeight="false" outlineLevel="0" collapsed="false">
      <c r="A271" s="0" t="s">
        <v>265</v>
      </c>
      <c r="B271" s="0" t="n">
        <v>1</v>
      </c>
      <c r="C271" s="125" t="n">
        <v>0.112599465882138</v>
      </c>
      <c r="D271" s="0" t="e">
        <f aca="false">VLOOKUP(Shelf_Life!A271,Demand_Fresh!A269:A363,1,FALSE())</f>
        <v>#N/A</v>
      </c>
      <c r="E271" s="0" t="e">
        <f aca="false">VLOOKUP(Shelf_Life!A271,Demand_Frozen!A266:A384,1,FALSE())</f>
        <v>#N/A</v>
      </c>
    </row>
    <row r="272" customFormat="false" ht="15" hidden="false" customHeight="false" outlineLevel="0" collapsed="false">
      <c r="A272" s="0" t="s">
        <v>149</v>
      </c>
      <c r="B272" s="0" t="n">
        <v>1</v>
      </c>
      <c r="C272" s="125" t="n">
        <v>0.112599465882138</v>
      </c>
      <c r="D272" s="0" t="e">
        <f aca="false">VLOOKUP(Shelf_Life!A272,Demand_Fresh!A270:A364,1,FALSE())</f>
        <v>#N/A</v>
      </c>
      <c r="E272" s="0" t="e">
        <f aca="false">VLOOKUP(Shelf_Life!A272,Demand_Frozen!A267:A385,1,FALSE())</f>
        <v>#N/A</v>
      </c>
    </row>
    <row r="273" customFormat="false" ht="15" hidden="false" customHeight="false" outlineLevel="0" collapsed="false">
      <c r="A273" s="0" t="s">
        <v>150</v>
      </c>
      <c r="B273" s="0" t="n">
        <v>1</v>
      </c>
      <c r="C273" s="125" t="n">
        <v>0.112599465882138</v>
      </c>
      <c r="D273" s="0" t="e">
        <f aca="false">VLOOKUP(Shelf_Life!A273,Demand_Fresh!A271:A365,1,FALSE())</f>
        <v>#N/A</v>
      </c>
      <c r="E273" s="0" t="e">
        <f aca="false">VLOOKUP(Shelf_Life!A273,Demand_Frozen!A268:A386,1,FALSE())</f>
        <v>#N/A</v>
      </c>
    </row>
    <row r="274" customFormat="false" ht="15" hidden="false" customHeight="false" outlineLevel="0" collapsed="false">
      <c r="A274" s="0" t="s">
        <v>266</v>
      </c>
      <c r="B274" s="0" t="n">
        <v>1</v>
      </c>
      <c r="C274" s="125" t="n">
        <v>0.112599465882138</v>
      </c>
      <c r="D274" s="0" t="e">
        <f aca="false">VLOOKUP(Shelf_Life!A274,Demand_Fresh!A272:A366,1,FALSE())</f>
        <v>#N/A</v>
      </c>
      <c r="E274" s="0" t="e">
        <f aca="false">VLOOKUP(Shelf_Life!A274,Demand_Frozen!A269:A387,1,FALSE())</f>
        <v>#N/A</v>
      </c>
    </row>
    <row r="275" customFormat="false" ht="15" hidden="false" customHeight="false" outlineLevel="0" collapsed="false">
      <c r="A275" s="0" t="s">
        <v>151</v>
      </c>
      <c r="B275" s="0" t="n">
        <v>1</v>
      </c>
      <c r="C275" s="125" t="n">
        <v>0.112599465882138</v>
      </c>
      <c r="D275" s="0" t="e">
        <f aca="false">VLOOKUP(Shelf_Life!A275,Demand_Fresh!A273:A367,1,FALSE())</f>
        <v>#N/A</v>
      </c>
      <c r="E275" s="0" t="e">
        <f aca="false">VLOOKUP(Shelf_Life!A275,Demand_Frozen!A270:A388,1,FALSE())</f>
        <v>#N/A</v>
      </c>
    </row>
    <row r="276" customFormat="false" ht="15" hidden="false" customHeight="false" outlineLevel="0" collapsed="false">
      <c r="A276" s="0" t="s">
        <v>1039</v>
      </c>
      <c r="B276" s="0" t="n">
        <v>1</v>
      </c>
      <c r="C276" s="125" t="n">
        <v>0.130929611490859</v>
      </c>
      <c r="D276" s="0" t="e">
        <f aca="false">VLOOKUP(Shelf_Life!A276,Demand_Fresh!A274:A368,1,FALSE())</f>
        <v>#N/A</v>
      </c>
      <c r="E276" s="0" t="e">
        <f aca="false">VLOOKUP(Shelf_Life!A276,Demand_Frozen!A271:A389,1,FALSE())</f>
        <v>#N/A</v>
      </c>
    </row>
    <row r="277" customFormat="false" ht="15" hidden="false" customHeight="false" outlineLevel="0" collapsed="false">
      <c r="A277" s="0" t="s">
        <v>267</v>
      </c>
      <c r="B277" s="0" t="n">
        <v>1</v>
      </c>
      <c r="C277" s="125" t="n">
        <v>0.130929611490859</v>
      </c>
      <c r="D277" s="0" t="e">
        <f aca="false">VLOOKUP(Shelf_Life!A277,Demand_Fresh!A275:A369,1,FALSE())</f>
        <v>#N/A</v>
      </c>
      <c r="E277" s="0" t="e">
        <f aca="false">VLOOKUP(Shelf_Life!A277,Demand_Frozen!A272:A390,1,FALSE())</f>
        <v>#N/A</v>
      </c>
    </row>
    <row r="278" customFormat="false" ht="15" hidden="false" customHeight="false" outlineLevel="0" collapsed="false">
      <c r="A278" s="0" t="s">
        <v>152</v>
      </c>
      <c r="B278" s="0" t="n">
        <v>1</v>
      </c>
      <c r="C278" s="125" t="n">
        <v>0.112599465882138</v>
      </c>
      <c r="D278" s="0" t="e">
        <f aca="false">VLOOKUP(Shelf_Life!A278,Demand_Fresh!A276:A370,1,FALSE())</f>
        <v>#N/A</v>
      </c>
      <c r="E278" s="0" t="e">
        <f aca="false">VLOOKUP(Shelf_Life!A278,Demand_Frozen!A273:A391,1,FALSE())</f>
        <v>#N/A</v>
      </c>
    </row>
    <row r="279" customFormat="false" ht="15" hidden="false" customHeight="false" outlineLevel="0" collapsed="false">
      <c r="A279" s="0" t="s">
        <v>268</v>
      </c>
      <c r="B279" s="0" t="n">
        <v>1</v>
      </c>
      <c r="C279" s="125" t="n">
        <v>0.112599465882138</v>
      </c>
      <c r="D279" s="0" t="e">
        <f aca="false">VLOOKUP(Shelf_Life!A279,Demand_Fresh!A277:A371,1,FALSE())</f>
        <v>#N/A</v>
      </c>
      <c r="E279" s="0" t="e">
        <f aca="false">VLOOKUP(Shelf_Life!A279,Demand_Frozen!A274:A392,1,FALSE())</f>
        <v>#N/A</v>
      </c>
    </row>
    <row r="280" customFormat="false" ht="15" hidden="false" customHeight="false" outlineLevel="0" collapsed="false">
      <c r="A280" s="0" t="s">
        <v>1050</v>
      </c>
      <c r="B280" s="0" t="n">
        <v>1</v>
      </c>
      <c r="C280" s="125" t="n">
        <v>0.0776548040566471</v>
      </c>
      <c r="D280" s="0" t="e">
        <f aca="false">VLOOKUP(Shelf_Life!A280,Demand_Fresh!A278:A372,1,FALSE())</f>
        <v>#N/A</v>
      </c>
      <c r="E280" s="0" t="e">
        <f aca="false">VLOOKUP(Shelf_Life!A280,Demand_Frozen!A275:A393,1,FALSE())</f>
        <v>#N/A</v>
      </c>
    </row>
    <row r="281" customFormat="false" ht="15" hidden="false" customHeight="false" outlineLevel="0" collapsed="false">
      <c r="A281" s="0" t="s">
        <v>269</v>
      </c>
      <c r="B281" s="0" t="n">
        <v>1</v>
      </c>
      <c r="C281" s="125" t="n">
        <v>0.113736834224382</v>
      </c>
      <c r="D281" s="0" t="e">
        <f aca="false">VLOOKUP(Shelf_Life!A281,Demand_Fresh!A279:A373,1,FALSE())</f>
        <v>#N/A</v>
      </c>
      <c r="E281" s="0" t="e">
        <f aca="false">VLOOKUP(Shelf_Life!A281,Demand_Frozen!A276:A394,1,FALSE())</f>
        <v>#N/A</v>
      </c>
    </row>
    <row r="282" customFormat="false" ht="15" hidden="false" customHeight="false" outlineLevel="0" collapsed="false">
      <c r="A282" s="0" t="s">
        <v>270</v>
      </c>
      <c r="B282" s="0" t="n">
        <v>1</v>
      </c>
      <c r="C282" s="125" t="n">
        <v>0.112599465882138</v>
      </c>
      <c r="D282" s="0" t="e">
        <f aca="false">VLOOKUP(Shelf_Life!A282,Demand_Fresh!A280:A374,1,FALSE())</f>
        <v>#N/A</v>
      </c>
      <c r="E282" s="0" t="e">
        <f aca="false">VLOOKUP(Shelf_Life!A282,Demand_Frozen!A277:A395,1,FALSE())</f>
        <v>#N/A</v>
      </c>
    </row>
    <row r="283" customFormat="false" ht="15" hidden="false" customHeight="false" outlineLevel="0" collapsed="false">
      <c r="A283" s="0" t="s">
        <v>153</v>
      </c>
      <c r="B283" s="0" t="n">
        <v>1</v>
      </c>
      <c r="C283" s="125" t="n">
        <v>0.112599465882138</v>
      </c>
      <c r="D283" s="0" t="e">
        <f aca="false">VLOOKUP(Shelf_Life!A283,Demand_Fresh!A281:A375,1,FALSE())</f>
        <v>#N/A</v>
      </c>
      <c r="E283" s="0" t="e">
        <f aca="false">VLOOKUP(Shelf_Life!A283,Demand_Frozen!A278:A396,1,FALSE())</f>
        <v>#N/A</v>
      </c>
    </row>
    <row r="284" customFormat="false" ht="15" hidden="false" customHeight="false" outlineLevel="0" collapsed="false">
      <c r="A284" s="0" t="s">
        <v>271</v>
      </c>
      <c r="B284" s="0" t="n">
        <v>1</v>
      </c>
      <c r="C284" s="125" t="n">
        <v>0.112599465882138</v>
      </c>
      <c r="D284" s="0" t="e">
        <f aca="false">VLOOKUP(Shelf_Life!A284,Demand_Fresh!A282:A376,1,FALSE())</f>
        <v>#N/A</v>
      </c>
      <c r="E284" s="0" t="e">
        <f aca="false">VLOOKUP(Shelf_Life!A284,Demand_Frozen!A279:A397,1,FALSE())</f>
        <v>#N/A</v>
      </c>
    </row>
    <row r="285" customFormat="false" ht="15" hidden="false" customHeight="false" outlineLevel="0" collapsed="false">
      <c r="A285" s="0" t="s">
        <v>1068</v>
      </c>
      <c r="B285" s="0" t="n">
        <v>1</v>
      </c>
      <c r="C285" s="125" t="n">
        <v>0.0608645761525072</v>
      </c>
      <c r="D285" s="0" t="e">
        <f aca="false">VLOOKUP(Shelf_Life!A285,Demand_Fresh!A283:A377,1,FALSE())</f>
        <v>#N/A</v>
      </c>
      <c r="E285" s="0" t="e">
        <f aca="false">VLOOKUP(Shelf_Life!A285,Demand_Frozen!A280:A398,1,FALSE())</f>
        <v>#N/A</v>
      </c>
    </row>
    <row r="286" customFormat="false" ht="15" hidden="false" customHeight="false" outlineLevel="0" collapsed="false">
      <c r="A286" s="0" t="s">
        <v>1072</v>
      </c>
      <c r="B286" s="0" t="n">
        <v>1</v>
      </c>
      <c r="C286" s="125" t="n">
        <v>0.0912968642287608</v>
      </c>
      <c r="D286" s="0" t="e">
        <f aca="false">VLOOKUP(Shelf_Life!A286,Demand_Fresh!A284:A378,1,FALSE())</f>
        <v>#N/A</v>
      </c>
      <c r="E286" s="0" t="e">
        <f aca="false">VLOOKUP(Shelf_Life!A286,Demand_Frozen!A281:A399,1,FALSE())</f>
        <v>#N/A</v>
      </c>
    </row>
    <row r="287" customFormat="false" ht="15" hidden="false" customHeight="false" outlineLevel="0" collapsed="false">
      <c r="A287" s="0" t="s">
        <v>272</v>
      </c>
      <c r="B287" s="0" t="n">
        <v>1</v>
      </c>
      <c r="C287" s="125" t="n">
        <v>0.0912968642287608</v>
      </c>
      <c r="D287" s="0" t="e">
        <f aca="false">VLOOKUP(Shelf_Life!A287,Demand_Fresh!A285:A379,1,FALSE())</f>
        <v>#N/A</v>
      </c>
      <c r="E287" s="0" t="e">
        <f aca="false">VLOOKUP(Shelf_Life!A287,Demand_Frozen!A282:A400,1,FALSE())</f>
        <v>#N/A</v>
      </c>
    </row>
    <row r="288" customFormat="false" ht="15" hidden="false" customHeight="false" outlineLevel="0" collapsed="false">
      <c r="A288" s="0" t="s">
        <v>154</v>
      </c>
      <c r="B288" s="0" t="n">
        <v>1</v>
      </c>
      <c r="C288" s="125" t="n">
        <v>0.135119359058566</v>
      </c>
      <c r="D288" s="0" t="e">
        <f aca="false">VLOOKUP(Shelf_Life!A288,Demand_Fresh!A286:A380,1,FALSE())</f>
        <v>#N/A</v>
      </c>
      <c r="E288" s="0" t="e">
        <f aca="false">VLOOKUP(Shelf_Life!A288,Demand_Frozen!A283:A401,1,FALSE())</f>
        <v>#N/A</v>
      </c>
    </row>
    <row r="289" customFormat="false" ht="15" hidden="false" customHeight="false" outlineLevel="0" collapsed="false">
      <c r="A289" s="0" t="s">
        <v>273</v>
      </c>
      <c r="B289" s="0" t="n">
        <v>1</v>
      </c>
      <c r="C289" s="125" t="n">
        <v>0.135119359058566</v>
      </c>
      <c r="D289" s="0" t="e">
        <f aca="false">VLOOKUP(Shelf_Life!A289,Demand_Fresh!A287:A381,1,FALSE())</f>
        <v>#N/A</v>
      </c>
      <c r="E289" s="0" t="e">
        <f aca="false">VLOOKUP(Shelf_Life!A289,Demand_Frozen!A284:A402,1,FALSE())</f>
        <v>#N/A</v>
      </c>
    </row>
    <row r="290" customFormat="false" ht="15" hidden="false" customHeight="false" outlineLevel="0" collapsed="false">
      <c r="A290" s="0" t="s">
        <v>1353</v>
      </c>
      <c r="B290" s="0" t="n">
        <v>1</v>
      </c>
      <c r="C290" s="125" t="n">
        <v>0.112599465882138</v>
      </c>
      <c r="D290" s="0" t="e">
        <f aca="false">VLOOKUP(Shelf_Life!A290,Demand_Fresh!A288:A382,1,FALSE())</f>
        <v>#N/A</v>
      </c>
      <c r="E290" s="0" t="e">
        <f aca="false">VLOOKUP(Shelf_Life!A290,Demand_Frozen!A285:A403,1,FALSE())</f>
        <v>#N/A</v>
      </c>
    </row>
    <row r="291" customFormat="false" ht="15" hidden="false" customHeight="false" outlineLevel="0" collapsed="false">
      <c r="A291" s="0" t="s">
        <v>274</v>
      </c>
      <c r="B291" s="0" t="n">
        <v>1</v>
      </c>
      <c r="C291" s="125" t="n">
        <v>0.112599465882138</v>
      </c>
      <c r="D291" s="0" t="e">
        <f aca="false">VLOOKUP(Shelf_Life!A291,Demand_Fresh!A289:A383,1,FALSE())</f>
        <v>#N/A</v>
      </c>
      <c r="E291" s="0" t="e">
        <f aca="false">VLOOKUP(Shelf_Life!A291,Demand_Frozen!A286:A404,1,FALSE())</f>
        <v>#N/A</v>
      </c>
    </row>
    <row r="292" customFormat="false" ht="15" hidden="false" customHeight="false" outlineLevel="0" collapsed="false">
      <c r="A292" s="0" t="s">
        <v>1354</v>
      </c>
      <c r="B292" s="0" t="n">
        <v>1</v>
      </c>
      <c r="C292" s="125" t="n">
        <v>0.0900795727057107</v>
      </c>
      <c r="D292" s="0" t="e">
        <f aca="false">VLOOKUP(Shelf_Life!A292,Demand_Fresh!A290:A384,1,FALSE())</f>
        <v>#N/A</v>
      </c>
      <c r="E292" s="0" t="e">
        <f aca="false">VLOOKUP(Shelf_Life!A292,Demand_Frozen!A287:A405,1,FALSE())</f>
        <v>#N/A</v>
      </c>
    </row>
    <row r="293" customFormat="false" ht="15" hidden="false" customHeight="false" outlineLevel="0" collapsed="false">
      <c r="A293" s="0" t="s">
        <v>275</v>
      </c>
      <c r="B293" s="0" t="n">
        <v>1</v>
      </c>
      <c r="C293" s="125" t="n">
        <v>0.0900795727057107</v>
      </c>
      <c r="D293" s="0" t="e">
        <f aca="false">VLOOKUP(Shelf_Life!A293,Demand_Fresh!A291:A385,1,FALSE())</f>
        <v>#N/A</v>
      </c>
      <c r="E293" s="0" t="e">
        <f aca="false">VLOOKUP(Shelf_Life!A293,Demand_Frozen!A288:A406,1,FALSE())</f>
        <v>#N/A</v>
      </c>
    </row>
    <row r="294" customFormat="false" ht="15" hidden="false" customHeight="false" outlineLevel="0" collapsed="false">
      <c r="A294" s="0" t="s">
        <v>1355</v>
      </c>
      <c r="B294" s="0" t="n">
        <v>1</v>
      </c>
      <c r="C294" s="125" t="n">
        <v>0.112599465882138</v>
      </c>
      <c r="D294" s="0" t="e">
        <f aca="false">VLOOKUP(Shelf_Life!A294,Demand_Fresh!A292:A386,1,FALSE())</f>
        <v>#N/A</v>
      </c>
      <c r="E294" s="0" t="e">
        <f aca="false">VLOOKUP(Shelf_Life!A294,Demand_Frozen!A289:A407,1,FALSE())</f>
        <v>#N/A</v>
      </c>
    </row>
    <row r="295" customFormat="false" ht="15" hidden="false" customHeight="false" outlineLevel="0" collapsed="false">
      <c r="A295" s="0" t="s">
        <v>155</v>
      </c>
      <c r="B295" s="0" t="n">
        <v>1</v>
      </c>
      <c r="C295" s="125" t="n">
        <v>0.112599465882138</v>
      </c>
      <c r="D295" s="0" t="e">
        <f aca="false">VLOOKUP(Shelf_Life!A295,Demand_Fresh!A293:A387,1,FALSE())</f>
        <v>#N/A</v>
      </c>
      <c r="E295" s="0" t="e">
        <f aca="false">VLOOKUP(Shelf_Life!A295,Demand_Frozen!A290:A408,1,FALSE())</f>
        <v>#N/A</v>
      </c>
    </row>
    <row r="296" customFormat="false" ht="15" hidden="false" customHeight="false" outlineLevel="0" collapsed="false">
      <c r="A296" s="0" t="s">
        <v>276</v>
      </c>
      <c r="B296" s="0" t="n">
        <v>1</v>
      </c>
      <c r="C296" s="125" t="n">
        <v>0.112599465882138</v>
      </c>
      <c r="D296" s="0" t="e">
        <f aca="false">VLOOKUP(Shelf_Life!A296,Demand_Fresh!A294:A388,1,FALSE())</f>
        <v>#N/A</v>
      </c>
      <c r="E296" s="0" t="e">
        <f aca="false">VLOOKUP(Shelf_Life!A296,Demand_Frozen!A291:A409,1,FALSE())</f>
        <v>#N/A</v>
      </c>
    </row>
    <row r="297" customFormat="false" ht="15" hidden="false" customHeight="false" outlineLevel="0" collapsed="false">
      <c r="A297" s="0" t="s">
        <v>156</v>
      </c>
      <c r="B297" s="0" t="n">
        <v>1</v>
      </c>
      <c r="C297" s="125" t="n">
        <v>0.112599465882138</v>
      </c>
      <c r="D297" s="0" t="e">
        <f aca="false">VLOOKUP(Shelf_Life!A297,Demand_Fresh!A295:A389,1,FALSE())</f>
        <v>#N/A</v>
      </c>
      <c r="E297" s="0" t="e">
        <f aca="false">VLOOKUP(Shelf_Life!A297,Demand_Frozen!A292:A410,1,FALSE())</f>
        <v>#N/A</v>
      </c>
    </row>
    <row r="298" customFormat="false" ht="15" hidden="false" customHeight="false" outlineLevel="0" collapsed="false">
      <c r="A298" s="0" t="s">
        <v>277</v>
      </c>
      <c r="B298" s="0" t="n">
        <v>1</v>
      </c>
      <c r="C298" s="125" t="n">
        <v>0.112599465882138</v>
      </c>
      <c r="D298" s="0" t="e">
        <f aca="false">VLOOKUP(Shelf_Life!A298,Demand_Fresh!A296:A390,1,FALSE())</f>
        <v>#N/A</v>
      </c>
      <c r="E298" s="0" t="e">
        <f aca="false">VLOOKUP(Shelf_Life!A298,Demand_Frozen!A293:A411,1,FALSE())</f>
        <v>#N/A</v>
      </c>
    </row>
    <row r="299" customFormat="false" ht="15" hidden="false" customHeight="false" outlineLevel="0" collapsed="false">
      <c r="A299" s="0" t="s">
        <v>157</v>
      </c>
      <c r="B299" s="0" t="n">
        <v>1</v>
      </c>
      <c r="C299" s="125" t="n">
        <v>0.112599465882138</v>
      </c>
      <c r="D299" s="0" t="e">
        <f aca="false">VLOOKUP(Shelf_Life!A299,Demand_Fresh!A297:A391,1,FALSE())</f>
        <v>#N/A</v>
      </c>
      <c r="E299" s="0" t="e">
        <f aca="false">VLOOKUP(Shelf_Life!A299,Demand_Frozen!A294:A412,1,FALSE())</f>
        <v>#N/A</v>
      </c>
    </row>
    <row r="300" customFormat="false" ht="15" hidden="false" customHeight="false" outlineLevel="0" collapsed="false">
      <c r="A300" s="0" t="s">
        <v>278</v>
      </c>
      <c r="B300" s="0" t="n">
        <v>1</v>
      </c>
      <c r="C300" s="125" t="n">
        <v>0.112599465882138</v>
      </c>
      <c r="D300" s="0" t="e">
        <f aca="false">VLOOKUP(Shelf_Life!A300,Demand_Fresh!A298:A392,1,FALSE())</f>
        <v>#N/A</v>
      </c>
      <c r="E300" s="0" t="e">
        <f aca="false">VLOOKUP(Shelf_Life!A300,Demand_Frozen!A295:A413,1,FALSE())</f>
        <v>#N/A</v>
      </c>
    </row>
    <row r="301" customFormat="false" ht="15" hidden="false" customHeight="false" outlineLevel="0" collapsed="false">
      <c r="A301" s="0" t="s">
        <v>279</v>
      </c>
      <c r="B301" s="0" t="n">
        <v>1</v>
      </c>
      <c r="C301" s="125" t="n">
        <v>0.135119359058566</v>
      </c>
      <c r="D301" s="0" t="e">
        <f aca="false">VLOOKUP(Shelf_Life!A301,Demand_Fresh!A299:A393,1,FALSE())</f>
        <v>#N/A</v>
      </c>
      <c r="E301" s="0" t="e">
        <f aca="false">VLOOKUP(Shelf_Life!A301,Demand_Frozen!A296:A414,1,FALSE())</f>
        <v>#N/A</v>
      </c>
    </row>
    <row r="302" customFormat="false" ht="15" hidden="false" customHeight="false" outlineLevel="0" collapsed="false">
      <c r="A302" s="0" t="s">
        <v>158</v>
      </c>
      <c r="B302" s="0" t="n">
        <v>1</v>
      </c>
      <c r="C302" s="125" t="n">
        <v>0.112599465882138</v>
      </c>
      <c r="D302" s="0" t="e">
        <f aca="false">VLOOKUP(Shelf_Life!A302,Demand_Fresh!A300:A394,1,FALSE())</f>
        <v>#N/A</v>
      </c>
      <c r="E302" s="0" t="e">
        <f aca="false">VLOOKUP(Shelf_Life!A302,Demand_Frozen!A297:A415,1,FALSE())</f>
        <v>#N/A</v>
      </c>
    </row>
    <row r="303" customFormat="false" ht="15" hidden="false" customHeight="false" outlineLevel="0" collapsed="false">
      <c r="A303" s="0" t="s">
        <v>280</v>
      </c>
      <c r="B303" s="0" t="n">
        <v>1</v>
      </c>
      <c r="C303" s="125" t="n">
        <v>0.112599465882138</v>
      </c>
      <c r="D303" s="0" t="e">
        <f aca="false">VLOOKUP(Shelf_Life!A303,Demand_Fresh!A301:A395,1,FALSE())</f>
        <v>#N/A</v>
      </c>
      <c r="E303" s="0" t="e">
        <f aca="false">VLOOKUP(Shelf_Life!A303,Demand_Frozen!A298:A416,1,FALSE())</f>
        <v>#N/A</v>
      </c>
    </row>
    <row r="304" customFormat="false" ht="15" hidden="false" customHeight="false" outlineLevel="0" collapsed="false">
      <c r="A304" s="0" t="s">
        <v>159</v>
      </c>
      <c r="B304" s="0" t="n">
        <v>1</v>
      </c>
      <c r="C304" s="125" t="n">
        <v>0.0900795727057107</v>
      </c>
      <c r="D304" s="0" t="e">
        <f aca="false">VLOOKUP(Shelf_Life!A304,Demand_Fresh!A302:A396,1,FALSE())</f>
        <v>#N/A</v>
      </c>
      <c r="E304" s="0" t="e">
        <f aca="false">VLOOKUP(Shelf_Life!A304,Demand_Frozen!A299:A417,1,FALSE())</f>
        <v>#N/A</v>
      </c>
    </row>
    <row r="305" customFormat="false" ht="15" hidden="false" customHeight="false" outlineLevel="0" collapsed="false">
      <c r="A305" s="0" t="s">
        <v>160</v>
      </c>
      <c r="B305" s="0" t="n">
        <v>1</v>
      </c>
      <c r="C305" s="125" t="n">
        <v>0.112599465882138</v>
      </c>
      <c r="D305" s="0" t="e">
        <f aca="false">VLOOKUP(Shelf_Life!A305,Demand_Fresh!A303:A397,1,FALSE())</f>
        <v>#N/A</v>
      </c>
      <c r="E305" s="0" t="e">
        <f aca="false">VLOOKUP(Shelf_Life!A305,Demand_Frozen!A300:A418,1,FALSE())</f>
        <v>#N/A</v>
      </c>
    </row>
    <row r="306" customFormat="false" ht="15" hidden="false" customHeight="false" outlineLevel="0" collapsed="false">
      <c r="A306" s="0" t="s">
        <v>283</v>
      </c>
      <c r="B306" s="0" t="n">
        <v>1</v>
      </c>
      <c r="C306" s="125" t="n">
        <v>0.112599465882138</v>
      </c>
      <c r="D306" s="0" t="e">
        <f aca="false">VLOOKUP(Shelf_Life!A306,Demand_Fresh!A304:A398,1,FALSE())</f>
        <v>#N/A</v>
      </c>
      <c r="E306" s="0" t="e">
        <f aca="false">VLOOKUP(Shelf_Life!A306,Demand_Frozen!A301:A419,1,FALSE())</f>
        <v>#N/A</v>
      </c>
    </row>
    <row r="307" customFormat="false" ht="15" hidden="false" customHeight="false" outlineLevel="0" collapsed="false">
      <c r="A307" s="0" t="s">
        <v>161</v>
      </c>
      <c r="B307" s="0" t="n">
        <v>1</v>
      </c>
      <c r="C307" s="125" t="n">
        <v>0.112599465882138</v>
      </c>
      <c r="D307" s="0" t="e">
        <f aca="false">VLOOKUP(Shelf_Life!A307,Demand_Fresh!A305:A399,1,FALSE())</f>
        <v>#N/A</v>
      </c>
      <c r="E307" s="0" t="e">
        <f aca="false">VLOOKUP(Shelf_Life!A307,Demand_Frozen!A302:A420,1,FALSE())</f>
        <v>#N/A</v>
      </c>
    </row>
    <row r="308" customFormat="false" ht="15" hidden="false" customHeight="false" outlineLevel="0" collapsed="false">
      <c r="A308" s="0" t="s">
        <v>284</v>
      </c>
      <c r="B308" s="0" t="n">
        <v>1</v>
      </c>
      <c r="C308" s="125" t="n">
        <v>0.112599465882138</v>
      </c>
      <c r="D308" s="0" t="e">
        <f aca="false">VLOOKUP(Shelf_Life!A308,Demand_Fresh!A306:A400,1,FALSE())</f>
        <v>#N/A</v>
      </c>
      <c r="E308" s="0" t="e">
        <f aca="false">VLOOKUP(Shelf_Life!A308,Demand_Frozen!A303:A421,1,FALSE())</f>
        <v>#N/A</v>
      </c>
    </row>
    <row r="309" customFormat="false" ht="15" hidden="false" customHeight="false" outlineLevel="0" collapsed="false">
      <c r="A309" s="0" t="s">
        <v>162</v>
      </c>
      <c r="B309" s="0" t="n">
        <v>1</v>
      </c>
      <c r="C309" s="125" t="n">
        <v>0.112599465882138</v>
      </c>
      <c r="D309" s="0" t="e">
        <f aca="false">VLOOKUP(Shelf_Life!A309,Demand_Fresh!A307:A401,1,FALSE())</f>
        <v>#N/A</v>
      </c>
      <c r="E309" s="0" t="e">
        <f aca="false">VLOOKUP(Shelf_Life!A309,Demand_Frozen!A304:A422,1,FALSE())</f>
        <v>#N/A</v>
      </c>
    </row>
    <row r="310" customFormat="false" ht="15" hidden="false" customHeight="false" outlineLevel="0" collapsed="false">
      <c r="A310" s="0" t="s">
        <v>163</v>
      </c>
      <c r="B310" s="0" t="n">
        <v>1</v>
      </c>
      <c r="C310" s="125" t="n">
        <v>0.225198931764277</v>
      </c>
      <c r="D310" s="0" t="e">
        <f aca="false">VLOOKUP(Shelf_Life!A310,Demand_Fresh!A308:A402,1,FALSE())</f>
        <v>#N/A</v>
      </c>
      <c r="E310" s="0" t="e">
        <f aca="false">VLOOKUP(Shelf_Life!A310,Demand_Frozen!A305:A423,1,FALSE())</f>
        <v>#N/A</v>
      </c>
    </row>
    <row r="311" customFormat="false" ht="15" hidden="false" customHeight="false" outlineLevel="0" collapsed="false">
      <c r="A311" s="0" t="s">
        <v>285</v>
      </c>
      <c r="B311" s="0" t="n">
        <v>1</v>
      </c>
      <c r="C311" s="125" t="n">
        <v>0.135119359058566</v>
      </c>
      <c r="D311" s="0" t="e">
        <f aca="false">VLOOKUP(Shelf_Life!A311,Demand_Fresh!A309:A403,1,FALSE())</f>
        <v>#N/A</v>
      </c>
      <c r="E311" s="0" t="e">
        <f aca="false">VLOOKUP(Shelf_Life!A311,Demand_Frozen!A306:A424,1,FALSE())</f>
        <v>#N/A</v>
      </c>
    </row>
    <row r="312" customFormat="false" ht="15" hidden="false" customHeight="false" outlineLevel="0" collapsed="false">
      <c r="A312" s="0" t="s">
        <v>164</v>
      </c>
      <c r="B312" s="0" t="n">
        <v>1</v>
      </c>
      <c r="C312" s="125" t="n">
        <v>0.112599465882138</v>
      </c>
      <c r="D312" s="0" t="e">
        <f aca="false">VLOOKUP(Shelf_Life!A312,Demand_Fresh!A310:A404,1,FALSE())</f>
        <v>#N/A</v>
      </c>
      <c r="E312" s="0" t="e">
        <f aca="false">VLOOKUP(Shelf_Life!A312,Demand_Frozen!A307:A425,1,FALSE())</f>
        <v>#N/A</v>
      </c>
    </row>
    <row r="313" customFormat="false" ht="15" hidden="false" customHeight="false" outlineLevel="0" collapsed="false">
      <c r="A313" s="0" t="s">
        <v>286</v>
      </c>
      <c r="B313" s="0" t="n">
        <v>1</v>
      </c>
      <c r="C313" s="125" t="n">
        <v>0.112599465882138</v>
      </c>
      <c r="D313" s="0" t="e">
        <f aca="false">VLOOKUP(Shelf_Life!A313,Demand_Fresh!A311:A405,1,FALSE())</f>
        <v>#N/A</v>
      </c>
      <c r="E313" s="0" t="e">
        <f aca="false">VLOOKUP(Shelf_Life!A313,Demand_Frozen!A308:A426,1,FALSE())</f>
        <v>#N/A</v>
      </c>
    </row>
    <row r="314" customFormat="false" ht="15" hidden="false" customHeight="false" outlineLevel="0" collapsed="false">
      <c r="A314" s="0" t="s">
        <v>1356</v>
      </c>
      <c r="B314" s="0" t="n">
        <v>1</v>
      </c>
      <c r="C314" s="125" t="n">
        <v>0.0900795727057107</v>
      </c>
      <c r="D314" s="0" t="e">
        <f aca="false">VLOOKUP(Shelf_Life!A314,Demand_Fresh!A312:A406,1,FALSE())</f>
        <v>#N/A</v>
      </c>
      <c r="E314" s="0" t="e">
        <f aca="false">VLOOKUP(Shelf_Life!A314,Demand_Frozen!A309:A427,1,FALSE())</f>
        <v>#N/A</v>
      </c>
    </row>
    <row r="315" customFormat="false" ht="15" hidden="false" customHeight="false" outlineLevel="0" collapsed="false">
      <c r="A315" s="0" t="s">
        <v>1357</v>
      </c>
      <c r="B315" s="0" t="n">
        <v>1</v>
      </c>
      <c r="C315" s="125" t="n">
        <v>0.0900795727057107</v>
      </c>
      <c r="D315" s="0" t="e">
        <f aca="false">VLOOKUP(Shelf_Life!A315,Demand_Fresh!A313:A407,1,FALSE())</f>
        <v>#N/A</v>
      </c>
      <c r="E315" s="0" t="e">
        <f aca="false">VLOOKUP(Shelf_Life!A315,Demand_Frozen!A310:A428,1,FALSE())</f>
        <v>#N/A</v>
      </c>
    </row>
    <row r="316" customFormat="false" ht="15" hidden="false" customHeight="false" outlineLevel="0" collapsed="false">
      <c r="A316" s="0" t="s">
        <v>1358</v>
      </c>
      <c r="B316" s="0" t="n">
        <v>1</v>
      </c>
      <c r="C316" s="125" t="n">
        <v>0.112599465882138</v>
      </c>
      <c r="D316" s="0" t="e">
        <f aca="false">VLOOKUP(Shelf_Life!A316,Demand_Fresh!A314:A408,1,FALSE())</f>
        <v>#N/A</v>
      </c>
      <c r="E316" s="0" t="e">
        <f aca="false">VLOOKUP(Shelf_Life!A316,Demand_Frozen!A311:A429,1,FALSE())</f>
        <v>#N/A</v>
      </c>
    </row>
    <row r="317" customFormat="false" ht="15" hidden="false" customHeight="false" outlineLevel="0" collapsed="false">
      <c r="A317" s="0" t="s">
        <v>165</v>
      </c>
      <c r="B317" s="0" t="n">
        <v>1</v>
      </c>
      <c r="C317" s="125" t="n">
        <v>0.0844495994116038</v>
      </c>
      <c r="D317" s="0" t="e">
        <f aca="false">VLOOKUP(Shelf_Life!A317,Demand_Fresh!A315:A409,1,FALSE())</f>
        <v>#N/A</v>
      </c>
      <c r="E317" s="0" t="e">
        <f aca="false">VLOOKUP(Shelf_Life!A317,Demand_Frozen!A312:A430,1,FALSE())</f>
        <v>#N/A</v>
      </c>
    </row>
    <row r="318" customFormat="false" ht="15" hidden="false" customHeight="false" outlineLevel="0" collapsed="false">
      <c r="A318" s="0" t="s">
        <v>1359</v>
      </c>
      <c r="B318" s="0" t="n">
        <v>1</v>
      </c>
      <c r="C318" s="125" t="n">
        <v>0.0900795727057107</v>
      </c>
      <c r="D318" s="0" t="e">
        <f aca="false">VLOOKUP(Shelf_Life!A318,Demand_Fresh!A316:A410,1,FALSE())</f>
        <v>#N/A</v>
      </c>
      <c r="E318" s="0" t="e">
        <f aca="false">VLOOKUP(Shelf_Life!A318,Demand_Frozen!A313:A431,1,FALSE())</f>
        <v>#N/A</v>
      </c>
    </row>
    <row r="319" customFormat="false" ht="15" hidden="false" customHeight="false" outlineLevel="0" collapsed="false">
      <c r="A319" s="0" t="s">
        <v>287</v>
      </c>
      <c r="B319" s="0" t="n">
        <v>1</v>
      </c>
      <c r="C319" s="125" t="n">
        <v>0.0900795727057107</v>
      </c>
      <c r="D319" s="0" t="e">
        <f aca="false">VLOOKUP(Shelf_Life!A319,Demand_Fresh!A317:A411,1,FALSE())</f>
        <v>#N/A</v>
      </c>
      <c r="E319" s="0" t="e">
        <f aca="false">VLOOKUP(Shelf_Life!A319,Demand_Frozen!A314:A432,1,FALSE())</f>
        <v>#N/A</v>
      </c>
    </row>
    <row r="320" customFormat="false" ht="15" hidden="false" customHeight="false" outlineLevel="0" collapsed="false">
      <c r="A320" s="0" t="s">
        <v>1360</v>
      </c>
      <c r="B320" s="0" t="n">
        <v>1</v>
      </c>
      <c r="C320" s="125" t="n">
        <v>0.0900795727057107</v>
      </c>
      <c r="D320" s="0" t="e">
        <f aca="false">VLOOKUP(Shelf_Life!A320,Demand_Fresh!A318:A412,1,FALSE())</f>
        <v>#N/A</v>
      </c>
      <c r="E320" s="0" t="e">
        <f aca="false">VLOOKUP(Shelf_Life!A320,Demand_Frozen!A315:A433,1,FALSE())</f>
        <v>#N/A</v>
      </c>
    </row>
    <row r="321" customFormat="false" ht="15" hidden="false" customHeight="false" outlineLevel="0" collapsed="false">
      <c r="A321" s="0" t="s">
        <v>1361</v>
      </c>
      <c r="B321" s="0" t="n">
        <v>1</v>
      </c>
      <c r="C321" s="125" t="n">
        <v>0.0900795727057107</v>
      </c>
      <c r="D321" s="0" t="e">
        <f aca="false">VLOOKUP(Shelf_Life!A321,Demand_Fresh!A319:A413,1,FALSE())</f>
        <v>#N/A</v>
      </c>
      <c r="E321" s="0" t="e">
        <f aca="false">VLOOKUP(Shelf_Life!A321,Demand_Frozen!A316:A434,1,FALSE())</f>
        <v>#N/A</v>
      </c>
    </row>
    <row r="322" customFormat="false" ht="15" hidden="false" customHeight="false" outlineLevel="0" collapsed="false">
      <c r="A322" s="0" t="s">
        <v>166</v>
      </c>
      <c r="B322" s="0" t="n">
        <v>1</v>
      </c>
      <c r="C322" s="125" t="n">
        <v>0.112599465882138</v>
      </c>
      <c r="D322" s="0" t="e">
        <f aca="false">VLOOKUP(Shelf_Life!A322,Demand_Fresh!A320:A414,1,FALSE())</f>
        <v>#N/A</v>
      </c>
      <c r="E322" s="0" t="e">
        <f aca="false">VLOOKUP(Shelf_Life!A322,Demand_Frozen!A317:A435,1,FALSE())</f>
        <v>#N/A</v>
      </c>
    </row>
    <row r="323" customFormat="false" ht="15" hidden="false" customHeight="false" outlineLevel="0" collapsed="false">
      <c r="A323" s="0" t="s">
        <v>289</v>
      </c>
      <c r="B323" s="0" t="n">
        <v>1</v>
      </c>
      <c r="C323" s="125" t="n">
        <v>0.112599465882138</v>
      </c>
      <c r="D323" s="0" t="e">
        <f aca="false">VLOOKUP(Shelf_Life!A323,Demand_Fresh!A321:A415,1,FALSE())</f>
        <v>#N/A</v>
      </c>
      <c r="E323" s="0" t="e">
        <f aca="false">VLOOKUP(Shelf_Life!A323,Demand_Frozen!A318:A436,1,FALSE())</f>
        <v>#N/A</v>
      </c>
    </row>
    <row r="324" customFormat="false" ht="15" hidden="false" customHeight="false" outlineLevel="0" collapsed="false">
      <c r="A324" s="0" t="s">
        <v>305</v>
      </c>
      <c r="B324" s="0" t="n">
        <v>1</v>
      </c>
      <c r="C324" s="125" t="n">
        <v>0.0793486168968089</v>
      </c>
      <c r="D324" s="0" t="e">
        <f aca="false">VLOOKUP(Shelf_Life!A324,Demand_Fresh!A322:A416,1,FALSE())</f>
        <v>#N/A</v>
      </c>
      <c r="E324" s="0" t="e">
        <f aca="false">VLOOKUP(Shelf_Life!A324,Demand_Frozen!A319:A437,1,FALSE())</f>
        <v>#N/A</v>
      </c>
    </row>
    <row r="325" customFormat="false" ht="15" hidden="false" customHeight="false" outlineLevel="0" collapsed="false">
      <c r="A325" s="0" t="s">
        <v>306</v>
      </c>
      <c r="B325" s="0" t="n">
        <v>1</v>
      </c>
      <c r="C325" s="125" t="n">
        <v>0.10105080271474</v>
      </c>
      <c r="D325" s="0" t="e">
        <f aca="false">VLOOKUP(Shelf_Life!A325,Demand_Fresh!A323:A417,1,FALSE())</f>
        <v>#N/A</v>
      </c>
      <c r="E325" s="0" t="e">
        <f aca="false">VLOOKUP(Shelf_Life!A325,Demand_Frozen!A320:A438,1,FALSE())</f>
        <v>#N/A</v>
      </c>
    </row>
    <row r="326" customFormat="false" ht="15" hidden="false" customHeight="false" outlineLevel="0" collapsed="false">
      <c r="A326" s="0" t="s">
        <v>1076</v>
      </c>
      <c r="B326" s="0" t="n">
        <v>1</v>
      </c>
      <c r="C326" s="125" t="n">
        <v>0.112599465882138</v>
      </c>
      <c r="D326" s="0" t="e">
        <f aca="false">VLOOKUP(Shelf_Life!A326,Demand_Fresh!A324:A418,1,FALSE())</f>
        <v>#N/A</v>
      </c>
      <c r="E326" s="0" t="e">
        <f aca="false">VLOOKUP(Shelf_Life!A326,Demand_Frozen!A321:A439,1,FALSE())</f>
        <v>#N/A</v>
      </c>
    </row>
    <row r="327" customFormat="false" ht="15" hidden="false" customHeight="false" outlineLevel="0" collapsed="false">
      <c r="A327" s="0" t="s">
        <v>320</v>
      </c>
      <c r="B327" s="0" t="n">
        <v>1</v>
      </c>
      <c r="C327" s="125" t="n">
        <v>0.112599465882138</v>
      </c>
      <c r="D327" s="0" t="e">
        <f aca="false">VLOOKUP(Shelf_Life!A327,Demand_Fresh!A325:A419,1,FALSE())</f>
        <v>#N/A</v>
      </c>
      <c r="E327" s="0" t="e">
        <f aca="false">VLOOKUP(Shelf_Life!A327,Demand_Frozen!A322:A440,1,FALSE())</f>
        <v>#N/A</v>
      </c>
    </row>
    <row r="328" customFormat="false" ht="15" hidden="false" customHeight="false" outlineLevel="0" collapsed="false">
      <c r="A328" s="0" t="s">
        <v>199</v>
      </c>
      <c r="B328" s="0" t="n">
        <v>1</v>
      </c>
      <c r="C328" s="125" t="n">
        <v>0.112599465882138</v>
      </c>
      <c r="D328" s="0" t="e">
        <f aca="false">VLOOKUP(Shelf_Life!A328,Demand_Fresh!A326:A420,1,FALSE())</f>
        <v>#N/A</v>
      </c>
      <c r="E328" s="0" t="e">
        <f aca="false">VLOOKUP(Shelf_Life!A328,Demand_Frozen!A323:A441,1,FALSE())</f>
        <v>#N/A</v>
      </c>
    </row>
    <row r="329" customFormat="false" ht="15" hidden="false" customHeight="false" outlineLevel="0" collapsed="false">
      <c r="A329" s="0" t="s">
        <v>321</v>
      </c>
      <c r="B329" s="0" t="n">
        <v>1</v>
      </c>
      <c r="C329" s="125" t="n">
        <v>0.112599465882138</v>
      </c>
      <c r="D329" s="0" t="e">
        <f aca="false">VLOOKUP(Shelf_Life!A329,Demand_Fresh!A327:A421,1,FALSE())</f>
        <v>#N/A</v>
      </c>
      <c r="E329" s="0" t="e">
        <f aca="false">VLOOKUP(Shelf_Life!A329,Demand_Frozen!A324:A442,1,FALSE())</f>
        <v>#N/A</v>
      </c>
    </row>
    <row r="330" customFormat="false" ht="15" hidden="false" customHeight="false" outlineLevel="0" collapsed="false">
      <c r="A330" s="0" t="s">
        <v>200</v>
      </c>
      <c r="B330" s="0" t="n">
        <v>1</v>
      </c>
      <c r="C330" s="125" t="n">
        <v>0.112599465882138</v>
      </c>
      <c r="D330" s="0" t="e">
        <f aca="false">VLOOKUP(Shelf_Life!A330,Demand_Fresh!A328:A422,1,FALSE())</f>
        <v>#N/A</v>
      </c>
      <c r="E330" s="0" t="e">
        <f aca="false">VLOOKUP(Shelf_Life!A330,Demand_Frozen!A325:A443,1,FALSE())</f>
        <v>#N/A</v>
      </c>
    </row>
    <row r="331" customFormat="false" ht="15" hidden="false" customHeight="false" outlineLevel="0" collapsed="false">
      <c r="A331" s="0" t="s">
        <v>322</v>
      </c>
      <c r="B331" s="0" t="n">
        <v>1</v>
      </c>
      <c r="C331" s="125" t="n">
        <v>0.112599465882138</v>
      </c>
      <c r="D331" s="0" t="e">
        <f aca="false">VLOOKUP(Shelf_Life!A331,Demand_Fresh!A329:A423,1,FALSE())</f>
        <v>#N/A</v>
      </c>
      <c r="E331" s="0" t="e">
        <f aca="false">VLOOKUP(Shelf_Life!A331,Demand_Frozen!A326:A444,1,FALSE())</f>
        <v>#N/A</v>
      </c>
    </row>
    <row r="332" customFormat="false" ht="15" hidden="false" customHeight="false" outlineLevel="0" collapsed="false">
      <c r="A332" s="0" t="s">
        <v>1104</v>
      </c>
      <c r="B332" s="0" t="n">
        <v>1</v>
      </c>
      <c r="C332" s="125" t="n">
        <v>0.112599465882138</v>
      </c>
      <c r="D332" s="0" t="e">
        <f aca="false">VLOOKUP(Shelf_Life!A332,Demand_Fresh!A330:A424,1,FALSE())</f>
        <v>#N/A</v>
      </c>
      <c r="E332" s="0" t="e">
        <f aca="false">VLOOKUP(Shelf_Life!A332,Demand_Frozen!A327:A445,1,FALSE())</f>
        <v>#N/A</v>
      </c>
    </row>
    <row r="333" customFormat="false" ht="15" hidden="false" customHeight="false" outlineLevel="0" collapsed="false">
      <c r="A333" s="0" t="s">
        <v>1106</v>
      </c>
      <c r="B333" s="0" t="n">
        <v>1</v>
      </c>
      <c r="C333" s="125" t="n">
        <v>0.112599465882138</v>
      </c>
      <c r="D333" s="0" t="e">
        <f aca="false">VLOOKUP(Shelf_Life!A333,Demand_Fresh!A331:A425,1,FALSE())</f>
        <v>#N/A</v>
      </c>
      <c r="E333" s="0" t="e">
        <f aca="false">VLOOKUP(Shelf_Life!A333,Demand_Frozen!A328:A446,1,FALSE())</f>
        <v>#N/A</v>
      </c>
    </row>
    <row r="334" customFormat="false" ht="15" hidden="false" customHeight="false" outlineLevel="0" collapsed="false">
      <c r="A334" s="0" t="s">
        <v>1109</v>
      </c>
      <c r="B334" s="0" t="n">
        <v>1</v>
      </c>
      <c r="C334" s="125" t="n">
        <v>0.112599465882138</v>
      </c>
      <c r="D334" s="0" t="e">
        <f aca="false">VLOOKUP(Shelf_Life!A334,Demand_Fresh!A332:A426,1,FALSE())</f>
        <v>#N/A</v>
      </c>
      <c r="E334" s="0" t="e">
        <f aca="false">VLOOKUP(Shelf_Life!A334,Demand_Frozen!A329:A447,1,FALSE())</f>
        <v>#N/A</v>
      </c>
    </row>
    <row r="335" customFormat="false" ht="15" hidden="false" customHeight="false" outlineLevel="0" collapsed="false">
      <c r="A335" s="0" t="s">
        <v>1114</v>
      </c>
      <c r="B335" s="0" t="n">
        <v>1</v>
      </c>
      <c r="C335" s="125" t="n">
        <v>0.112599465882138</v>
      </c>
      <c r="D335" s="0" t="e">
        <f aca="false">VLOOKUP(Shelf_Life!A335,Demand_Fresh!A333:A427,1,FALSE())</f>
        <v>#N/A</v>
      </c>
      <c r="E335" s="0" t="e">
        <f aca="false">VLOOKUP(Shelf_Life!A335,Demand_Frozen!A330:A448,1,FALSE())</f>
        <v>#N/A</v>
      </c>
    </row>
    <row r="336" customFormat="false" ht="15" hidden="false" customHeight="false" outlineLevel="0" collapsed="false">
      <c r="A336" s="0" t="s">
        <v>323</v>
      </c>
      <c r="B336" s="0" t="n">
        <v>1</v>
      </c>
      <c r="C336" s="125" t="n">
        <v>0.112599465882138</v>
      </c>
      <c r="D336" s="0" t="e">
        <f aca="false">VLOOKUP(Shelf_Life!A336,Demand_Fresh!A334:A428,1,FALSE())</f>
        <v>#N/A</v>
      </c>
      <c r="E336" s="0" t="e">
        <f aca="false">VLOOKUP(Shelf_Life!A336,Demand_Frozen!A331:A449,1,FALSE())</f>
        <v>#N/A</v>
      </c>
    </row>
    <row r="337" customFormat="false" ht="15" hidden="false" customHeight="false" outlineLevel="0" collapsed="false">
      <c r="A337" s="0" t="s">
        <v>201</v>
      </c>
      <c r="B337" s="0" t="n">
        <v>1</v>
      </c>
      <c r="C337" s="125" t="n">
        <v>0.112599465882138</v>
      </c>
      <c r="D337" s="0" t="e">
        <f aca="false">VLOOKUP(Shelf_Life!A337,Demand_Fresh!A335:A429,1,FALSE())</f>
        <v>#N/A</v>
      </c>
      <c r="E337" s="0" t="e">
        <f aca="false">VLOOKUP(Shelf_Life!A337,Demand_Frozen!A332:A450,1,FALSE())</f>
        <v>#N/A</v>
      </c>
    </row>
    <row r="338" customFormat="false" ht="15" hidden="false" customHeight="false" outlineLevel="0" collapsed="false">
      <c r="A338" s="0" t="s">
        <v>324</v>
      </c>
      <c r="B338" s="0" t="n">
        <v>1</v>
      </c>
      <c r="C338" s="125" t="n">
        <v>0.112599465882138</v>
      </c>
      <c r="D338" s="0" t="e">
        <f aca="false">VLOOKUP(Shelf_Life!A338,Demand_Fresh!A336:A430,1,FALSE())</f>
        <v>#N/A</v>
      </c>
      <c r="E338" s="0" t="e">
        <f aca="false">VLOOKUP(Shelf_Life!A338,Demand_Frozen!A333:A451,1,FALSE())</f>
        <v>#N/A</v>
      </c>
    </row>
    <row r="339" customFormat="false" ht="15" hidden="false" customHeight="false" outlineLevel="0" collapsed="false">
      <c r="A339" s="0" t="s">
        <v>202</v>
      </c>
      <c r="B339" s="0" t="n">
        <v>1</v>
      </c>
      <c r="C339" s="125" t="n">
        <v>0.102363150801944</v>
      </c>
      <c r="D339" s="0" t="e">
        <f aca="false">VLOOKUP(Shelf_Life!A339,Demand_Fresh!A337:A431,1,FALSE())</f>
        <v>#N/A</v>
      </c>
      <c r="E339" s="0" t="e">
        <f aca="false">VLOOKUP(Shelf_Life!A339,Demand_Frozen!A334:A452,1,FALSE())</f>
        <v>#N/A</v>
      </c>
    </row>
    <row r="340" customFormat="false" ht="15" hidden="false" customHeight="false" outlineLevel="0" collapsed="false">
      <c r="A340" s="0" t="s">
        <v>1139</v>
      </c>
      <c r="B340" s="0" t="n">
        <v>1</v>
      </c>
      <c r="C340" s="125" t="n">
        <v>0.112599465882138</v>
      </c>
      <c r="D340" s="0" t="e">
        <f aca="false">VLOOKUP(Shelf_Life!A340,Demand_Fresh!A338:A432,1,FALSE())</f>
        <v>#N/A</v>
      </c>
      <c r="E340" s="0" t="e">
        <f aca="false">VLOOKUP(Shelf_Life!A340,Demand_Frozen!A335:A453,1,FALSE())</f>
        <v>#N/A</v>
      </c>
    </row>
    <row r="341" customFormat="false" ht="15" hidden="false" customHeight="false" outlineLevel="0" collapsed="false">
      <c r="A341" s="0" t="s">
        <v>1142</v>
      </c>
      <c r="B341" s="0" t="n">
        <v>1</v>
      </c>
      <c r="C341" s="125" t="n">
        <v>0.112599465882138</v>
      </c>
      <c r="D341" s="0" t="e">
        <f aca="false">VLOOKUP(Shelf_Life!A341,Demand_Fresh!A339:A433,1,FALSE())</f>
        <v>#N/A</v>
      </c>
      <c r="E341" s="0" t="e">
        <f aca="false">VLOOKUP(Shelf_Life!A341,Demand_Frozen!A336:A454,1,FALSE())</f>
        <v>#N/A</v>
      </c>
    </row>
    <row r="342" customFormat="false" ht="15" hidden="false" customHeight="false" outlineLevel="0" collapsed="false">
      <c r="A342" s="0" t="s">
        <v>1145</v>
      </c>
      <c r="B342" s="0" t="n">
        <v>1</v>
      </c>
      <c r="C342" s="125" t="n">
        <v>0.112599465882138</v>
      </c>
      <c r="D342" s="0" t="e">
        <f aca="false">VLOOKUP(Shelf_Life!A342,Demand_Fresh!A340:A434,1,FALSE())</f>
        <v>#N/A</v>
      </c>
      <c r="E342" s="0" t="e">
        <f aca="false">VLOOKUP(Shelf_Life!A342,Demand_Frozen!A337:A455,1,FALSE())</f>
        <v>#N/A</v>
      </c>
    </row>
    <row r="343" customFormat="false" ht="15" hidden="false" customHeight="false" outlineLevel="0" collapsed="false">
      <c r="A343" s="0" t="s">
        <v>203</v>
      </c>
      <c r="B343" s="0" t="n">
        <v>1</v>
      </c>
      <c r="C343" s="125" t="n">
        <v>0.112599465882138</v>
      </c>
      <c r="D343" s="0" t="e">
        <f aca="false">VLOOKUP(Shelf_Life!A343,Demand_Fresh!A341:A435,1,FALSE())</f>
        <v>#N/A</v>
      </c>
      <c r="E343" s="0" t="e">
        <f aca="false">VLOOKUP(Shelf_Life!A343,Demand_Frozen!A338:A456,1,FALSE())</f>
        <v>#N/A</v>
      </c>
    </row>
    <row r="344" customFormat="false" ht="15" hidden="false" customHeight="false" outlineLevel="0" collapsed="false">
      <c r="A344" s="0" t="s">
        <v>325</v>
      </c>
      <c r="B344" s="0" t="n">
        <v>1</v>
      </c>
      <c r="C344" s="125" t="n">
        <v>0.112599465882138</v>
      </c>
      <c r="D344" s="0" t="e">
        <f aca="false">VLOOKUP(Shelf_Life!A344,Demand_Fresh!A342:A436,1,FALSE())</f>
        <v>#N/A</v>
      </c>
      <c r="E344" s="0" t="e">
        <f aca="false">VLOOKUP(Shelf_Life!A344,Demand_Frozen!A339:A457,1,FALSE())</f>
        <v>#N/A</v>
      </c>
    </row>
    <row r="345" customFormat="false" ht="15" hidden="false" customHeight="false" outlineLevel="0" collapsed="false">
      <c r="A345" s="0" t="s">
        <v>204</v>
      </c>
      <c r="B345" s="0" t="n">
        <v>1</v>
      </c>
      <c r="C345" s="125" t="n">
        <v>0.128685103865301</v>
      </c>
      <c r="D345" s="0" t="e">
        <f aca="false">VLOOKUP(Shelf_Life!A345,Demand_Fresh!A343:A437,1,FALSE())</f>
        <v>#N/A</v>
      </c>
      <c r="E345" s="0" t="e">
        <f aca="false">VLOOKUP(Shelf_Life!A345,Demand_Frozen!A340:A458,1,FALSE())</f>
        <v>#N/A</v>
      </c>
    </row>
    <row r="346" customFormat="false" ht="15" hidden="false" customHeight="false" outlineLevel="0" collapsed="false">
      <c r="A346" s="0" t="s">
        <v>1362</v>
      </c>
      <c r="B346" s="0" t="n">
        <v>1</v>
      </c>
      <c r="C346" s="125" t="n">
        <v>0.0900795727057107</v>
      </c>
      <c r="D346" s="0" t="e">
        <f aca="false">VLOOKUP(Shelf_Life!A346,Demand_Fresh!A344:A438,1,FALSE())</f>
        <v>#N/A</v>
      </c>
      <c r="E346" s="0" t="e">
        <f aca="false">VLOOKUP(Shelf_Life!A346,Demand_Frozen!A341:A459,1,FALSE())</f>
        <v>#N/A</v>
      </c>
    </row>
    <row r="347" customFormat="false" ht="15" hidden="false" customHeight="false" outlineLevel="0" collapsed="false">
      <c r="A347" s="0" t="s">
        <v>1363</v>
      </c>
      <c r="B347" s="0" t="n">
        <v>1</v>
      </c>
      <c r="C347" s="125" t="n">
        <v>0.0900795727057107</v>
      </c>
      <c r="D347" s="0" t="e">
        <f aca="false">VLOOKUP(Shelf_Life!A347,Demand_Fresh!A345:A439,1,FALSE())</f>
        <v>#N/A</v>
      </c>
      <c r="E347" s="0" t="e">
        <f aca="false">VLOOKUP(Shelf_Life!A347,Demand_Frozen!A342:A460,1,FALSE())</f>
        <v>#N/A</v>
      </c>
    </row>
    <row r="348" customFormat="false" ht="15" hidden="false" customHeight="false" outlineLevel="0" collapsed="false">
      <c r="A348" s="0" t="s">
        <v>205</v>
      </c>
      <c r="B348" s="0" t="n">
        <v>1</v>
      </c>
      <c r="C348" s="125" t="n">
        <v>0.07502463023796</v>
      </c>
      <c r="D348" s="0" t="e">
        <f aca="false">VLOOKUP(Shelf_Life!A348,Demand_Fresh!A346:A440,1,FALSE())</f>
        <v>#N/A</v>
      </c>
      <c r="E348" s="0" t="e">
        <f aca="false">VLOOKUP(Shelf_Life!A348,Demand_Frozen!A343:A461,1,FALSE())</f>
        <v>#N/A</v>
      </c>
    </row>
    <row r="349" customFormat="false" ht="15" hidden="false" customHeight="false" outlineLevel="0" collapsed="false">
      <c r="A349" s="0" t="s">
        <v>326</v>
      </c>
      <c r="B349" s="0" t="n">
        <v>1</v>
      </c>
      <c r="C349" s="125" t="n">
        <v>0.07502463023796</v>
      </c>
      <c r="D349" s="0" t="e">
        <f aca="false">VLOOKUP(Shelf_Life!A349,Demand_Fresh!A347:A441,1,FALSE())</f>
        <v>#N/A</v>
      </c>
      <c r="E349" s="0" t="e">
        <f aca="false">VLOOKUP(Shelf_Life!A349,Demand_Frozen!A344:A462,1,FALSE())</f>
        <v>#N/A</v>
      </c>
    </row>
    <row r="350" customFormat="false" ht="15" hidden="false" customHeight="false" outlineLevel="0" collapsed="false">
      <c r="A350" s="0" t="s">
        <v>206</v>
      </c>
      <c r="B350" s="0" t="n">
        <v>1</v>
      </c>
      <c r="C350" s="125" t="n">
        <v>0.0818905206415552</v>
      </c>
      <c r="D350" s="0" t="e">
        <f aca="false">VLOOKUP(Shelf_Life!A350,Demand_Fresh!A348:A442,1,FALSE())</f>
        <v>#N/A</v>
      </c>
      <c r="E350" s="0" t="e">
        <f aca="false">VLOOKUP(Shelf_Life!A350,Demand_Frozen!A345:A463,1,FALSE())</f>
        <v>#N/A</v>
      </c>
    </row>
    <row r="351" customFormat="false" ht="15" hidden="false" customHeight="false" outlineLevel="0" collapsed="false">
      <c r="A351" s="0" t="s">
        <v>207</v>
      </c>
      <c r="B351" s="0" t="n">
        <v>1</v>
      </c>
      <c r="C351" s="125" t="n">
        <v>0.0794819759168035</v>
      </c>
      <c r="D351" s="0" t="e">
        <f aca="false">VLOOKUP(Shelf_Life!A351,Demand_Fresh!A349:A443,1,FALSE())</f>
        <v>#N/A</v>
      </c>
      <c r="E351" s="0" t="e">
        <f aca="false">VLOOKUP(Shelf_Life!A351,Demand_Frozen!A346:A464,1,FALSE())</f>
        <v>#N/A</v>
      </c>
    </row>
    <row r="352" customFormat="false" ht="15" hidden="false" customHeight="false" outlineLevel="0" collapsed="false">
      <c r="A352" s="0" t="s">
        <v>327</v>
      </c>
      <c r="B352" s="0" t="n">
        <v>1</v>
      </c>
      <c r="C352" s="125" t="n">
        <v>0.0794819759168035</v>
      </c>
      <c r="D352" s="0" t="e">
        <f aca="false">VLOOKUP(Shelf_Life!A352,Demand_Fresh!A350:A444,1,FALSE())</f>
        <v>#N/A</v>
      </c>
      <c r="E352" s="0" t="e">
        <f aca="false">VLOOKUP(Shelf_Life!A352,Demand_Frozen!A347:A465,1,FALSE())</f>
        <v>#N/A</v>
      </c>
    </row>
    <row r="353" customFormat="false" ht="15" hidden="false" customHeight="false" outlineLevel="0" collapsed="false">
      <c r="A353" s="0" t="s">
        <v>208</v>
      </c>
      <c r="B353" s="0" t="n">
        <v>1</v>
      </c>
      <c r="C353" s="125" t="n">
        <v>0.112505711122869</v>
      </c>
      <c r="D353" s="0" t="e">
        <f aca="false">VLOOKUP(Shelf_Life!A353,Demand_Fresh!A351:A445,1,FALSE())</f>
        <v>#N/A</v>
      </c>
      <c r="E353" s="0" t="e">
        <f aca="false">VLOOKUP(Shelf_Life!A353,Demand_Frozen!A348:A466,1,FALSE())</f>
        <v>#N/A</v>
      </c>
    </row>
    <row r="354" customFormat="false" ht="15" hidden="false" customHeight="false" outlineLevel="0" collapsed="false">
      <c r="A354" s="0" t="s">
        <v>209</v>
      </c>
      <c r="B354" s="0" t="n">
        <v>1</v>
      </c>
      <c r="C354" s="125" t="n">
        <v>0.112505711122869</v>
      </c>
      <c r="D354" s="0" t="e">
        <f aca="false">VLOOKUP(Shelf_Life!A354,Demand_Fresh!A352:A446,1,FALSE())</f>
        <v>#N/A</v>
      </c>
      <c r="E354" s="0" t="e">
        <f aca="false">VLOOKUP(Shelf_Life!A354,Demand_Frozen!A349:A467,1,FALSE())</f>
        <v>#N/A</v>
      </c>
    </row>
    <row r="355" customFormat="false" ht="15" hidden="false" customHeight="false" outlineLevel="0" collapsed="false">
      <c r="A355" s="0" t="s">
        <v>329</v>
      </c>
      <c r="B355" s="0" t="n">
        <v>1</v>
      </c>
      <c r="C355" s="125" t="n">
        <v>0.112505711122869</v>
      </c>
      <c r="D355" s="0" t="e">
        <f aca="false">VLOOKUP(Shelf_Life!A355,Demand_Fresh!A353:A447,1,FALSE())</f>
        <v>#N/A</v>
      </c>
      <c r="E355" s="0" t="e">
        <f aca="false">VLOOKUP(Shelf_Life!A355,Demand_Frozen!A350:A468,1,FALSE())</f>
        <v>#N/A</v>
      </c>
    </row>
    <row r="356" customFormat="false" ht="15" hidden="false" customHeight="false" outlineLevel="0" collapsed="false">
      <c r="A356" s="0" t="s">
        <v>330</v>
      </c>
      <c r="B356" s="0" t="n">
        <v>1</v>
      </c>
      <c r="C356" s="125" t="n">
        <v>0.11499519919878</v>
      </c>
      <c r="D356" s="0" t="e">
        <f aca="false">VLOOKUP(Shelf_Life!A356,Demand_Fresh!A354:A448,1,FALSE())</f>
        <v>#N/A</v>
      </c>
      <c r="E356" s="0" t="e">
        <f aca="false">VLOOKUP(Shelf_Life!A356,Demand_Frozen!A351:A469,1,FALSE())</f>
        <v>#N/A</v>
      </c>
    </row>
    <row r="357" customFormat="false" ht="15" hidden="false" customHeight="false" outlineLevel="0" collapsed="false">
      <c r="A357" s="0" t="s">
        <v>210</v>
      </c>
      <c r="B357" s="0" t="n">
        <v>1</v>
      </c>
      <c r="C357" s="125" t="n">
        <v>0.0900195596659334</v>
      </c>
      <c r="D357" s="0" t="e">
        <f aca="false">VLOOKUP(Shelf_Life!A357,Demand_Fresh!A355:A449,1,FALSE())</f>
        <v>#N/A</v>
      </c>
      <c r="E357" s="0" t="e">
        <f aca="false">VLOOKUP(Shelf_Life!A357,Demand_Frozen!A352:A470,1,FALSE())</f>
        <v>#N/A</v>
      </c>
    </row>
    <row r="358" customFormat="false" ht="15" hidden="false" customHeight="false" outlineLevel="0" collapsed="false">
      <c r="A358" s="0" t="s">
        <v>331</v>
      </c>
      <c r="B358" s="0" t="n">
        <v>1</v>
      </c>
      <c r="C358" s="125" t="n">
        <v>0.0900195596659334</v>
      </c>
      <c r="D358" s="0" t="e">
        <f aca="false">VLOOKUP(Shelf_Life!A358,Demand_Fresh!A356:A450,1,FALSE())</f>
        <v>#N/A</v>
      </c>
      <c r="E358" s="0" t="e">
        <f aca="false">VLOOKUP(Shelf_Life!A358,Demand_Frozen!A353:A471,1,FALSE())</f>
        <v>#N/A</v>
      </c>
    </row>
    <row r="359" customFormat="false" ht="15" hidden="false" customHeight="false" outlineLevel="0" collapsed="false">
      <c r="A359" s="0" t="s">
        <v>211</v>
      </c>
      <c r="B359" s="0" t="n">
        <v>1</v>
      </c>
      <c r="C359" s="125" t="n">
        <v>0.0900195596659334</v>
      </c>
      <c r="D359" s="0" t="e">
        <f aca="false">VLOOKUP(Shelf_Life!A359,Demand_Fresh!A357:A451,1,FALSE())</f>
        <v>#N/A</v>
      </c>
      <c r="E359" s="0" t="e">
        <f aca="false">VLOOKUP(Shelf_Life!A359,Demand_Frozen!A354:A472,1,FALSE())</f>
        <v>#N/A</v>
      </c>
    </row>
    <row r="360" customFormat="false" ht="15" hidden="false" customHeight="false" outlineLevel="0" collapsed="false">
      <c r="A360" s="0" t="s">
        <v>332</v>
      </c>
      <c r="B360" s="0" t="n">
        <v>1</v>
      </c>
      <c r="C360" s="125" t="n">
        <v>0.0900195596659334</v>
      </c>
      <c r="D360" s="0" t="e">
        <f aca="false">VLOOKUP(Shelf_Life!A360,Demand_Fresh!A358:A452,1,FALSE())</f>
        <v>#N/A</v>
      </c>
      <c r="E360" s="0" t="e">
        <f aca="false">VLOOKUP(Shelf_Life!A360,Demand_Frozen!A355:A473,1,FALSE())</f>
        <v>#N/A</v>
      </c>
    </row>
    <row r="361" customFormat="false" ht="15" hidden="false" customHeight="false" outlineLevel="0" collapsed="false">
      <c r="A361" s="0" t="s">
        <v>212</v>
      </c>
      <c r="B361" s="0" t="n">
        <v>1</v>
      </c>
      <c r="C361" s="125" t="n">
        <v>0.0900795727057107</v>
      </c>
      <c r="D361" s="0" t="e">
        <f aca="false">VLOOKUP(Shelf_Life!A361,Demand_Fresh!A359:A453,1,FALSE())</f>
        <v>#N/A</v>
      </c>
      <c r="E361" s="0" t="e">
        <f aca="false">VLOOKUP(Shelf_Life!A361,Demand_Frozen!A356:A474,1,FALSE())</f>
        <v>#N/A</v>
      </c>
    </row>
    <row r="362" customFormat="false" ht="15" hidden="false" customHeight="false" outlineLevel="0" collapsed="false">
      <c r="A362" s="0" t="s">
        <v>1364</v>
      </c>
      <c r="B362" s="0" t="n">
        <v>1</v>
      </c>
      <c r="C362" s="125" t="n">
        <v>0.0759097522800932</v>
      </c>
      <c r="D362" s="0" t="e">
        <f aca="false">VLOOKUP(Shelf_Life!A362,Demand_Fresh!A360:A454,1,FALSE())</f>
        <v>#N/A</v>
      </c>
      <c r="E362" s="0" t="e">
        <f aca="false">VLOOKUP(Shelf_Life!A362,Demand_Frozen!A357:A475,1,FALSE())</f>
        <v>#N/A</v>
      </c>
    </row>
    <row r="363" customFormat="false" ht="15" hidden="false" customHeight="false" outlineLevel="0" collapsed="false">
      <c r="A363" s="0" t="s">
        <v>1365</v>
      </c>
      <c r="B363" s="0" t="n">
        <v>1</v>
      </c>
      <c r="C363" s="125" t="n">
        <v>0.0759097522800932</v>
      </c>
      <c r="D363" s="0" t="e">
        <f aca="false">VLOOKUP(Shelf_Life!A363,Demand_Fresh!A361:A455,1,FALSE())</f>
        <v>#N/A</v>
      </c>
      <c r="E363" s="0" t="e">
        <f aca="false">VLOOKUP(Shelf_Life!A363,Demand_Frozen!A358:A476,1,FALSE())</f>
        <v>#N/A</v>
      </c>
    </row>
    <row r="364" customFormat="false" ht="15" hidden="false" customHeight="false" outlineLevel="0" collapsed="false">
      <c r="A364" s="0" t="s">
        <v>214</v>
      </c>
      <c r="B364" s="0" t="n">
        <v>1</v>
      </c>
      <c r="C364" s="125" t="n">
        <v>0.102363150801944</v>
      </c>
      <c r="D364" s="0" t="e">
        <f aca="false">VLOOKUP(Shelf_Life!A364,Demand_Fresh!A362:A456,1,FALSE())</f>
        <v>#N/A</v>
      </c>
      <c r="E364" s="0" t="e">
        <f aca="false">VLOOKUP(Shelf_Life!A364,Demand_Frozen!A359:A477,1,FALSE())</f>
        <v>#N/A</v>
      </c>
    </row>
    <row r="365" customFormat="false" ht="15" hidden="false" customHeight="false" outlineLevel="0" collapsed="false">
      <c r="A365" s="0" t="s">
        <v>334</v>
      </c>
      <c r="B365" s="0" t="n">
        <v>1</v>
      </c>
      <c r="C365" s="125" t="n">
        <v>0.102363150801944</v>
      </c>
      <c r="D365" s="0" t="e">
        <f aca="false">VLOOKUP(Shelf_Life!A365,Demand_Fresh!A363:A457,1,FALSE())</f>
        <v>#N/A</v>
      </c>
      <c r="E365" s="0" t="e">
        <f aca="false">VLOOKUP(Shelf_Life!A365,Demand_Frozen!A360:A478,1,FALSE())</f>
        <v>#N/A</v>
      </c>
    </row>
    <row r="366" customFormat="false" ht="15" hidden="false" customHeight="false" outlineLevel="0" collapsed="false">
      <c r="A366" s="0" t="s">
        <v>215</v>
      </c>
      <c r="B366" s="0" t="n">
        <v>1</v>
      </c>
      <c r="C366" s="125" t="n">
        <v>0.118525753560146</v>
      </c>
      <c r="D366" s="0" t="e">
        <f aca="false">VLOOKUP(Shelf_Life!A366,Demand_Fresh!A364:A458,1,FALSE())</f>
        <v>#N/A</v>
      </c>
      <c r="E366" s="0" t="e">
        <f aca="false">VLOOKUP(Shelf_Life!A366,Demand_Frozen!A361:A479,1,FALSE())</f>
        <v>#N/A</v>
      </c>
    </row>
    <row r="367" customFormat="false" ht="15" hidden="false" customHeight="false" outlineLevel="0" collapsed="false">
      <c r="A367" s="0" t="s">
        <v>335</v>
      </c>
      <c r="B367" s="0" t="n">
        <v>1</v>
      </c>
      <c r="C367" s="125" t="n">
        <v>0.118525753560146</v>
      </c>
      <c r="D367" s="0" t="e">
        <f aca="false">VLOOKUP(Shelf_Life!A367,Demand_Fresh!A365:A459,1,FALSE())</f>
        <v>#N/A</v>
      </c>
      <c r="E367" s="0" t="e">
        <f aca="false">VLOOKUP(Shelf_Life!A367,Demand_Frozen!A362:A480,1,FALSE())</f>
        <v>#N/A</v>
      </c>
    </row>
    <row r="368" customFormat="false" ht="15" hidden="false" customHeight="false" outlineLevel="0" collapsed="false">
      <c r="A368" s="0" t="s">
        <v>1366</v>
      </c>
      <c r="B368" s="0" t="n">
        <v>1</v>
      </c>
      <c r="C368" s="125" t="n">
        <v>0.118525753560146</v>
      </c>
      <c r="D368" s="0" t="e">
        <f aca="false">VLOOKUP(Shelf_Life!A368,Demand_Fresh!A366:A460,1,FALSE())</f>
        <v>#N/A</v>
      </c>
      <c r="E368" s="0" t="e">
        <f aca="false">VLOOKUP(Shelf_Life!A368,Demand_Frozen!A363:A481,1,FALSE())</f>
        <v>#N/A</v>
      </c>
    </row>
    <row r="369" customFormat="false" ht="15" hidden="false" customHeight="false" outlineLevel="0" collapsed="false">
      <c r="A369" s="0" t="s">
        <v>1367</v>
      </c>
      <c r="B369" s="0" t="n">
        <v>1</v>
      </c>
      <c r="C369" s="125" t="n">
        <v>0.118525753560146</v>
      </c>
      <c r="D369" s="0" t="e">
        <f aca="false">VLOOKUP(Shelf_Life!A369,Demand_Fresh!A367:A461,1,FALSE())</f>
        <v>#N/A</v>
      </c>
      <c r="E369" s="0" t="e">
        <f aca="false">VLOOKUP(Shelf_Life!A369,Demand_Frozen!A364:A482,1,FALSE())</f>
        <v>#N/A</v>
      </c>
    </row>
  </sheetData>
  <autoFilter ref="A1:C36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A1:AD44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9.2186234817814"/>
    <col collapsed="false" hidden="false" max="2" min="2" style="0" width="16.1052631578947"/>
    <col collapsed="false" hidden="false" max="29" min="3" style="0" width="9.1417004048583"/>
    <col collapsed="false" hidden="false" max="30" min="30" style="0" width="23"/>
    <col collapsed="false" hidden="false" max="1025" min="31" style="0" width="8.52631578947369"/>
  </cols>
  <sheetData>
    <row r="1" customFormat="false" ht="15" hidden="false" customHeight="false" outlineLevel="0" collapsed="false">
      <c r="A1" s="80" t="s">
        <v>119</v>
      </c>
      <c r="B1" s="101" t="s">
        <v>1223</v>
      </c>
      <c r="C1" s="97" t="n">
        <v>1.3</v>
      </c>
      <c r="D1" s="97" t="n">
        <v>1.35</v>
      </c>
      <c r="E1" s="97" t="n">
        <v>1.4</v>
      </c>
      <c r="F1" s="97" t="n">
        <v>1.45</v>
      </c>
      <c r="G1" s="98" t="n">
        <v>1.5</v>
      </c>
      <c r="H1" s="98" t="n">
        <v>1.55</v>
      </c>
      <c r="I1" s="98" t="n">
        <v>1.6</v>
      </c>
      <c r="J1" s="98" t="n">
        <v>1.65</v>
      </c>
      <c r="K1" s="99" t="n">
        <v>1.7</v>
      </c>
      <c r="L1" s="99" t="n">
        <v>1.75</v>
      </c>
      <c r="M1" s="99" t="n">
        <v>1.8</v>
      </c>
      <c r="N1" s="99" t="n">
        <v>1.85</v>
      </c>
      <c r="O1" s="100" t="n">
        <v>1.9</v>
      </c>
      <c r="P1" s="100" t="n">
        <v>1.95</v>
      </c>
      <c r="Q1" s="100" t="n">
        <v>2</v>
      </c>
      <c r="R1" s="100" t="n">
        <v>2.05</v>
      </c>
      <c r="S1" s="100" t="n">
        <v>2.1</v>
      </c>
      <c r="T1" s="0" t="n">
        <v>2.15</v>
      </c>
      <c r="U1" s="0" t="n">
        <v>2.2</v>
      </c>
      <c r="V1" s="0" t="n">
        <v>2.25</v>
      </c>
      <c r="W1" s="0" t="n">
        <v>2.3</v>
      </c>
      <c r="X1" s="0" t="n">
        <v>2.35</v>
      </c>
      <c r="Y1" s="0" t="n">
        <v>2.4</v>
      </c>
      <c r="Z1" s="0" t="n">
        <v>2.45</v>
      </c>
      <c r="AA1" s="0" t="n">
        <v>2.5</v>
      </c>
      <c r="AB1" s="0" t="n">
        <v>2.55</v>
      </c>
      <c r="AC1" s="0" t="n">
        <v>2.6</v>
      </c>
      <c r="AD1" s="101" t="s">
        <v>1368</v>
      </c>
    </row>
    <row r="2" customFormat="false" ht="15" hidden="true" customHeight="false" outlineLevel="0" collapsed="false">
      <c r="A2" s="127" t="s">
        <v>598</v>
      </c>
      <c r="B2" s="104" t="n">
        <v>11</v>
      </c>
      <c r="C2" s="108"/>
      <c r="D2" s="108"/>
      <c r="E2" s="108"/>
      <c r="F2" s="108"/>
      <c r="G2" s="109"/>
      <c r="H2" s="109"/>
      <c r="I2" s="109" t="n">
        <v>0.307558800533424</v>
      </c>
      <c r="J2" s="109" t="n">
        <v>0.317170013050093</v>
      </c>
      <c r="K2" s="111" t="n">
        <v>0.326781225566763</v>
      </c>
      <c r="L2" s="111"/>
      <c r="M2" s="111"/>
      <c r="N2" s="111"/>
      <c r="O2" s="112"/>
      <c r="P2" s="112"/>
      <c r="Q2" s="112"/>
      <c r="R2" s="112"/>
      <c r="S2" s="112"/>
      <c r="U2" s="114"/>
      <c r="AD2" s="104"/>
    </row>
    <row r="3" customFormat="false" ht="15" hidden="true" customHeight="false" outlineLevel="0" collapsed="false">
      <c r="A3" s="127" t="s">
        <v>598</v>
      </c>
      <c r="B3" s="104" t="n">
        <v>18</v>
      </c>
      <c r="C3" s="108"/>
      <c r="D3" s="108"/>
      <c r="E3" s="108"/>
      <c r="F3" s="108"/>
      <c r="G3" s="109"/>
      <c r="H3" s="109"/>
      <c r="I3" s="109" t="n">
        <v>0.307558800533424</v>
      </c>
      <c r="J3" s="109" t="n">
        <v>0.317170013050093</v>
      </c>
      <c r="K3" s="111" t="n">
        <v>0.326781225566763</v>
      </c>
      <c r="L3" s="111"/>
      <c r="M3" s="111"/>
      <c r="N3" s="111"/>
      <c r="O3" s="112"/>
      <c r="P3" s="112"/>
      <c r="Q3" s="112"/>
      <c r="R3" s="112"/>
      <c r="S3" s="112"/>
      <c r="U3" s="114"/>
      <c r="AD3" s="104"/>
    </row>
    <row r="4" customFormat="false" ht="15" hidden="true" customHeight="false" outlineLevel="0" collapsed="false">
      <c r="A4" s="127" t="s">
        <v>120</v>
      </c>
      <c r="B4" s="104" t="n">
        <v>9</v>
      </c>
      <c r="C4" s="108"/>
      <c r="D4" s="108"/>
      <c r="E4" s="108"/>
      <c r="F4" s="108"/>
      <c r="G4" s="109"/>
      <c r="H4" s="109"/>
      <c r="I4" s="109" t="n">
        <v>0.158401541226588</v>
      </c>
      <c r="J4" s="109" t="n">
        <v>0.163351589389919</v>
      </c>
      <c r="K4" s="111" t="n">
        <v>0.16830163755325</v>
      </c>
      <c r="L4" s="111" t="n">
        <v>0.173251685716581</v>
      </c>
      <c r="M4" s="111" t="n">
        <v>0.185499864630098</v>
      </c>
      <c r="N4" s="111" t="n">
        <v>0.190652638647601</v>
      </c>
      <c r="O4" s="112" t="n">
        <v>0.195805412665104</v>
      </c>
      <c r="P4" s="112" t="n">
        <v>0.200958186682607</v>
      </c>
      <c r="Q4" s="112" t="n">
        <v>0.214219994866983</v>
      </c>
      <c r="R4" s="112" t="n">
        <v>0.219575494738658</v>
      </c>
      <c r="S4" s="112" t="n">
        <v>0.224930994610332</v>
      </c>
      <c r="T4" s="0" t="n">
        <v>0.230286494482007</v>
      </c>
      <c r="U4" s="114" t="n">
        <v>0.220063530926192</v>
      </c>
      <c r="V4" s="0" t="n">
        <v>0.225064974810878</v>
      </c>
      <c r="W4" s="0" t="n">
        <v>0.230066418695565</v>
      </c>
      <c r="X4" s="0" t="n">
        <v>0.235067862580251</v>
      </c>
      <c r="Y4" s="0" t="n">
        <v>0.240069306464937</v>
      </c>
      <c r="Z4" s="0" t="n">
        <v>0.245070750349623</v>
      </c>
      <c r="AA4" s="0" t="n">
        <v>0.250072194234309</v>
      </c>
      <c r="AB4" s="0" t="n">
        <v>0.255073638118995</v>
      </c>
      <c r="AC4" s="0" t="n">
        <v>0.260075082003682</v>
      </c>
      <c r="AD4" s="104"/>
    </row>
    <row r="5" customFormat="false" ht="15" hidden="true" customHeight="false" outlineLevel="0" collapsed="false">
      <c r="A5" s="127" t="s">
        <v>120</v>
      </c>
      <c r="B5" s="104" t="n">
        <v>16</v>
      </c>
      <c r="C5" s="108"/>
      <c r="D5" s="108"/>
      <c r="E5" s="108"/>
      <c r="F5" s="108"/>
      <c r="G5" s="109"/>
      <c r="H5" s="109"/>
      <c r="I5" s="109" t="n">
        <v>0.158401541226588</v>
      </c>
      <c r="J5" s="109" t="n">
        <v>0.163351589389919</v>
      </c>
      <c r="K5" s="111" t="n">
        <v>0.16830163755325</v>
      </c>
      <c r="L5" s="111" t="n">
        <v>0.173251685716581</v>
      </c>
      <c r="M5" s="111" t="n">
        <v>0.185499864630098</v>
      </c>
      <c r="N5" s="111" t="n">
        <v>0.190652638647601</v>
      </c>
      <c r="O5" s="112" t="n">
        <v>0.195805412665104</v>
      </c>
      <c r="P5" s="112" t="n">
        <v>0.200958186682607</v>
      </c>
      <c r="Q5" s="112" t="n">
        <v>0.214219994866983</v>
      </c>
      <c r="R5" s="112" t="n">
        <v>0.219575494738658</v>
      </c>
      <c r="S5" s="112" t="n">
        <v>0.224930994610332</v>
      </c>
      <c r="T5" s="0" t="n">
        <v>0.230286494482007</v>
      </c>
      <c r="U5" s="114" t="n">
        <v>0.220063530926192</v>
      </c>
      <c r="V5" s="0" t="n">
        <v>0.225064974810878</v>
      </c>
      <c r="W5" s="0" t="n">
        <v>0.230066418695565</v>
      </c>
      <c r="X5" s="0" t="n">
        <v>0.235067862580251</v>
      </c>
      <c r="Y5" s="0" t="n">
        <v>0.240069306464937</v>
      </c>
      <c r="Z5" s="0" t="n">
        <v>0.245070750349623</v>
      </c>
      <c r="AA5" s="0" t="n">
        <v>0.250072194234309</v>
      </c>
      <c r="AB5" s="0" t="n">
        <v>0.255073638118995</v>
      </c>
      <c r="AC5" s="0" t="n">
        <v>0.260075082003682</v>
      </c>
      <c r="AD5" s="104"/>
    </row>
    <row r="6" customFormat="false" ht="15" hidden="true" customHeight="false" outlineLevel="0" collapsed="false">
      <c r="A6" s="128" t="s">
        <v>120</v>
      </c>
      <c r="B6" s="104" t="n">
        <v>10</v>
      </c>
      <c r="C6" s="108"/>
      <c r="D6" s="108"/>
      <c r="E6" s="108"/>
      <c r="F6" s="108"/>
      <c r="G6" s="109"/>
      <c r="H6" s="109"/>
      <c r="I6" s="109" t="n">
        <v>0.136457100223242</v>
      </c>
      <c r="J6" s="109" t="n">
        <v>0.140721384605218</v>
      </c>
      <c r="K6" s="111" t="n">
        <v>0.144985668987195</v>
      </c>
      <c r="L6" s="111" t="n">
        <v>0.149249953369171</v>
      </c>
      <c r="M6" s="111" t="n">
        <v>0.163288100948675</v>
      </c>
      <c r="N6" s="111" t="n">
        <v>0.167823881530582</v>
      </c>
      <c r="O6" s="112" t="n">
        <v>0.17235966211249</v>
      </c>
      <c r="P6" s="112" t="n">
        <v>0.176895442694398</v>
      </c>
      <c r="Q6" s="112" t="n">
        <v>0.192291071273558</v>
      </c>
      <c r="R6" s="112" t="n">
        <v>0.197098348055397</v>
      </c>
      <c r="S6" s="112" t="n">
        <v>0.201905624837236</v>
      </c>
      <c r="T6" s="0" t="n">
        <v>0.206712901619075</v>
      </c>
      <c r="U6" s="114" t="n">
        <v>0.189921701038172</v>
      </c>
      <c r="V6" s="0" t="n">
        <v>0.194238103334494</v>
      </c>
      <c r="W6" s="0" t="n">
        <v>0.198554505630816</v>
      </c>
      <c r="X6" s="0" t="n">
        <v>0.202870907927138</v>
      </c>
      <c r="Y6" s="0" t="n">
        <v>0.20718731022346</v>
      </c>
      <c r="Z6" s="0" t="n">
        <v>0.211503712519782</v>
      </c>
      <c r="AA6" s="0" t="n">
        <v>0.215820114816105</v>
      </c>
      <c r="AB6" s="0" t="n">
        <v>0.220136517112427</v>
      </c>
      <c r="AC6" s="0" t="n">
        <v>0.224452919408749</v>
      </c>
      <c r="AD6" s="104"/>
    </row>
    <row r="7" customFormat="false" ht="15" hidden="true" customHeight="false" outlineLevel="0" collapsed="false">
      <c r="A7" s="129" t="s">
        <v>120</v>
      </c>
      <c r="B7" s="104" t="n">
        <v>17</v>
      </c>
      <c r="C7" s="108"/>
      <c r="D7" s="108"/>
      <c r="E7" s="108"/>
      <c r="F7" s="108"/>
      <c r="G7" s="109"/>
      <c r="H7" s="109"/>
      <c r="I7" s="109" t="n">
        <v>0.136457100223242</v>
      </c>
      <c r="J7" s="109" t="n">
        <v>0.140721384605218</v>
      </c>
      <c r="K7" s="111" t="n">
        <v>0.144985668987195</v>
      </c>
      <c r="L7" s="111" t="n">
        <v>0.149249953369171</v>
      </c>
      <c r="M7" s="111" t="n">
        <v>0.163288100948675</v>
      </c>
      <c r="N7" s="111" t="n">
        <v>0.167823881530582</v>
      </c>
      <c r="O7" s="112" t="n">
        <v>0.17235966211249</v>
      </c>
      <c r="P7" s="112" t="n">
        <v>0.176895442694398</v>
      </c>
      <c r="Q7" s="112" t="n">
        <v>0.192291071273558</v>
      </c>
      <c r="R7" s="112" t="n">
        <v>0.197098348055397</v>
      </c>
      <c r="S7" s="112" t="n">
        <v>0.201905624837236</v>
      </c>
      <c r="T7" s="0" t="n">
        <v>0.206712901619075</v>
      </c>
      <c r="U7" s="114" t="n">
        <v>0.189921701038172</v>
      </c>
      <c r="V7" s="0" t="n">
        <v>0.194238103334494</v>
      </c>
      <c r="W7" s="0" t="n">
        <v>0.198554505630816</v>
      </c>
      <c r="X7" s="0" t="n">
        <v>0.202870907927138</v>
      </c>
      <c r="Y7" s="0" t="n">
        <v>0.20718731022346</v>
      </c>
      <c r="Z7" s="0" t="n">
        <v>0.211503712519782</v>
      </c>
      <c r="AA7" s="0" t="n">
        <v>0.215820114816105</v>
      </c>
      <c r="AB7" s="0" t="n">
        <v>0.220136517112427</v>
      </c>
      <c r="AC7" s="0" t="n">
        <v>0.224452919408749</v>
      </c>
      <c r="AD7" s="104"/>
    </row>
    <row r="8" customFormat="false" ht="15" hidden="true" customHeight="false" outlineLevel="0" collapsed="false">
      <c r="A8" s="127" t="s">
        <v>217</v>
      </c>
      <c r="B8" s="104" t="n">
        <v>9</v>
      </c>
      <c r="C8" s="108"/>
      <c r="D8" s="108"/>
      <c r="E8" s="108"/>
      <c r="F8" s="108"/>
      <c r="G8" s="109"/>
      <c r="H8" s="109"/>
      <c r="I8" s="109" t="n">
        <v>0.158401541226588</v>
      </c>
      <c r="J8" s="109" t="n">
        <v>0.163351589389919</v>
      </c>
      <c r="K8" s="111" t="n">
        <v>0.16830163755325</v>
      </c>
      <c r="L8" s="111" t="n">
        <v>0.173251685716581</v>
      </c>
      <c r="M8" s="111" t="n">
        <v>0.185499864630098</v>
      </c>
      <c r="N8" s="111" t="n">
        <v>0.190652638647601</v>
      </c>
      <c r="O8" s="112" t="n">
        <v>0.195805412665104</v>
      </c>
      <c r="P8" s="112" t="n">
        <v>0.200958186682607</v>
      </c>
      <c r="Q8" s="112" t="n">
        <v>0.214219994866983</v>
      </c>
      <c r="R8" s="112" t="n">
        <v>0.219575494738658</v>
      </c>
      <c r="S8" s="112" t="n">
        <v>0.224930994610332</v>
      </c>
      <c r="T8" s="0" t="n">
        <v>0.230286494482007</v>
      </c>
      <c r="U8" s="114" t="n">
        <v>0.220063530926192</v>
      </c>
      <c r="V8" s="0" t="n">
        <v>0.225064974810878</v>
      </c>
      <c r="W8" s="0" t="n">
        <v>0.230066418695565</v>
      </c>
      <c r="X8" s="0" t="n">
        <v>0.235067862580251</v>
      </c>
      <c r="Y8" s="0" t="n">
        <v>0.240069306464937</v>
      </c>
      <c r="Z8" s="0" t="n">
        <v>0.245070750349623</v>
      </c>
      <c r="AA8" s="0" t="n">
        <v>0.250072194234309</v>
      </c>
      <c r="AB8" s="0" t="n">
        <v>0.255073638118995</v>
      </c>
      <c r="AC8" s="0" t="n">
        <v>0.260075082003682</v>
      </c>
      <c r="AD8" s="104"/>
    </row>
    <row r="9" customFormat="false" ht="15" hidden="true" customHeight="false" outlineLevel="0" collapsed="false">
      <c r="A9" s="127" t="s">
        <v>217</v>
      </c>
      <c r="B9" s="104" t="n">
        <v>16</v>
      </c>
      <c r="C9" s="108"/>
      <c r="D9" s="108"/>
      <c r="E9" s="108"/>
      <c r="F9" s="108"/>
      <c r="G9" s="109"/>
      <c r="H9" s="109"/>
      <c r="I9" s="109" t="n">
        <v>0.158401541226588</v>
      </c>
      <c r="J9" s="109" t="n">
        <v>0.163351589389919</v>
      </c>
      <c r="K9" s="111" t="n">
        <v>0.16830163755325</v>
      </c>
      <c r="L9" s="111" t="n">
        <v>0.173251685716581</v>
      </c>
      <c r="M9" s="111" t="n">
        <v>0.185499864630098</v>
      </c>
      <c r="N9" s="111" t="n">
        <v>0.190652638647601</v>
      </c>
      <c r="O9" s="112" t="n">
        <v>0.195805412665104</v>
      </c>
      <c r="P9" s="112" t="n">
        <v>0.200958186682607</v>
      </c>
      <c r="Q9" s="112" t="n">
        <v>0.214219994866983</v>
      </c>
      <c r="R9" s="112" t="n">
        <v>0.219575494738658</v>
      </c>
      <c r="S9" s="112" t="n">
        <v>0.224930994610332</v>
      </c>
      <c r="T9" s="0" t="n">
        <v>0.230286494482007</v>
      </c>
      <c r="U9" s="114" t="n">
        <v>0.220063530926192</v>
      </c>
      <c r="V9" s="0" t="n">
        <v>0.225064974810878</v>
      </c>
      <c r="W9" s="0" t="n">
        <v>0.230066418695565</v>
      </c>
      <c r="X9" s="0" t="n">
        <v>0.235067862580251</v>
      </c>
      <c r="Y9" s="0" t="n">
        <v>0.240069306464937</v>
      </c>
      <c r="Z9" s="0" t="n">
        <v>0.245070750349623</v>
      </c>
      <c r="AA9" s="0" t="n">
        <v>0.250072194234309</v>
      </c>
      <c r="AB9" s="0" t="n">
        <v>0.255073638118995</v>
      </c>
      <c r="AC9" s="0" t="n">
        <v>0.260075082003682</v>
      </c>
      <c r="AD9" s="104"/>
    </row>
    <row r="10" customFormat="false" ht="15" hidden="true" customHeight="false" outlineLevel="0" collapsed="false">
      <c r="A10" s="129" t="s">
        <v>217</v>
      </c>
      <c r="B10" s="104" t="n">
        <v>10</v>
      </c>
      <c r="C10" s="108"/>
      <c r="D10" s="108"/>
      <c r="E10" s="108"/>
      <c r="F10" s="108"/>
      <c r="G10" s="109"/>
      <c r="H10" s="109"/>
      <c r="I10" s="109" t="n">
        <v>0.136457100223242</v>
      </c>
      <c r="J10" s="109" t="n">
        <v>0.140721384605218</v>
      </c>
      <c r="K10" s="111" t="n">
        <v>0.144985668987195</v>
      </c>
      <c r="L10" s="111" t="n">
        <v>0.149249953369171</v>
      </c>
      <c r="M10" s="111" t="n">
        <v>0.163288100948675</v>
      </c>
      <c r="N10" s="111" t="n">
        <v>0.167823881530582</v>
      </c>
      <c r="O10" s="112" t="n">
        <v>0.17235966211249</v>
      </c>
      <c r="P10" s="112" t="n">
        <v>0.176895442694398</v>
      </c>
      <c r="Q10" s="112" t="n">
        <v>0.192291071273558</v>
      </c>
      <c r="R10" s="112" t="n">
        <v>0.197098348055397</v>
      </c>
      <c r="S10" s="112" t="n">
        <v>0.201905624837236</v>
      </c>
      <c r="T10" s="0" t="n">
        <v>0.206712901619075</v>
      </c>
      <c r="U10" s="114" t="n">
        <v>0.189921701038172</v>
      </c>
      <c r="V10" s="0" t="n">
        <v>0.194238103334494</v>
      </c>
      <c r="W10" s="0" t="n">
        <v>0.198554505630816</v>
      </c>
      <c r="X10" s="0" t="n">
        <v>0.202870907927138</v>
      </c>
      <c r="Y10" s="0" t="n">
        <v>0.20718731022346</v>
      </c>
      <c r="Z10" s="0" t="n">
        <v>0.211503712519782</v>
      </c>
      <c r="AA10" s="0" t="n">
        <v>0.215820114816105</v>
      </c>
      <c r="AB10" s="0" t="n">
        <v>0.220136517112427</v>
      </c>
      <c r="AC10" s="0" t="n">
        <v>0.224452919408749</v>
      </c>
      <c r="AD10" s="104"/>
    </row>
    <row r="11" customFormat="false" ht="15" hidden="true" customHeight="false" outlineLevel="0" collapsed="false">
      <c r="A11" s="128" t="s">
        <v>217</v>
      </c>
      <c r="B11" s="104" t="n">
        <v>17</v>
      </c>
      <c r="C11" s="108"/>
      <c r="D11" s="108"/>
      <c r="E11" s="108"/>
      <c r="F11" s="108"/>
      <c r="G11" s="109"/>
      <c r="H11" s="109"/>
      <c r="I11" s="109" t="n">
        <v>0.136457100223242</v>
      </c>
      <c r="J11" s="109" t="n">
        <v>0.140721384605218</v>
      </c>
      <c r="K11" s="111" t="n">
        <v>0.144985668987195</v>
      </c>
      <c r="L11" s="111" t="n">
        <v>0.149249953369171</v>
      </c>
      <c r="M11" s="111" t="n">
        <v>0.163288100948675</v>
      </c>
      <c r="N11" s="111" t="n">
        <v>0.167823881530582</v>
      </c>
      <c r="O11" s="112" t="n">
        <v>0.17235966211249</v>
      </c>
      <c r="P11" s="112" t="n">
        <v>0.176895442694398</v>
      </c>
      <c r="Q11" s="112" t="n">
        <v>0.192291071273558</v>
      </c>
      <c r="R11" s="112" t="n">
        <v>0.197098348055397</v>
      </c>
      <c r="S11" s="112" t="n">
        <v>0.201905624837236</v>
      </c>
      <c r="T11" s="0" t="n">
        <v>0.206712901619075</v>
      </c>
      <c r="U11" s="114" t="n">
        <v>0.189921701038172</v>
      </c>
      <c r="V11" s="0" t="n">
        <v>0.194238103334494</v>
      </c>
      <c r="W11" s="0" t="n">
        <v>0.198554505630816</v>
      </c>
      <c r="X11" s="0" t="n">
        <v>0.202870907927138</v>
      </c>
      <c r="Y11" s="0" t="n">
        <v>0.20718731022346</v>
      </c>
      <c r="Z11" s="0" t="n">
        <v>0.211503712519782</v>
      </c>
      <c r="AA11" s="0" t="n">
        <v>0.215820114816105</v>
      </c>
      <c r="AB11" s="0" t="n">
        <v>0.220136517112427</v>
      </c>
      <c r="AC11" s="0" t="n">
        <v>0.224452919408749</v>
      </c>
      <c r="AD11" s="104"/>
    </row>
    <row r="12" customFormat="false" ht="15" hidden="true" customHeight="false" outlineLevel="0" collapsed="false">
      <c r="A12" s="127" t="s">
        <v>607</v>
      </c>
      <c r="B12" s="104" t="n">
        <v>9</v>
      </c>
      <c r="C12" s="108"/>
      <c r="D12" s="108"/>
      <c r="E12" s="108"/>
      <c r="F12" s="108"/>
      <c r="G12" s="109"/>
      <c r="H12" s="109"/>
      <c r="I12" s="109" t="n">
        <v>0.158401541226588</v>
      </c>
      <c r="J12" s="109" t="n">
        <v>0.163351589389919</v>
      </c>
      <c r="K12" s="111" t="n">
        <v>0.16830163755325</v>
      </c>
      <c r="L12" s="111" t="n">
        <v>0.173251685716581</v>
      </c>
      <c r="M12" s="111" t="n">
        <v>0.185499864630098</v>
      </c>
      <c r="N12" s="111" t="n">
        <v>0.190652638647601</v>
      </c>
      <c r="O12" s="112" t="n">
        <v>0.195805412665104</v>
      </c>
      <c r="P12" s="112" t="n">
        <v>0.200958186682607</v>
      </c>
      <c r="Q12" s="112" t="n">
        <v>0.214219994866983</v>
      </c>
      <c r="R12" s="112" t="n">
        <v>0.219575494738658</v>
      </c>
      <c r="S12" s="112" t="n">
        <v>0.224930994610332</v>
      </c>
      <c r="T12" s="0" t="n">
        <v>0.230286494482007</v>
      </c>
      <c r="U12" s="114" t="n">
        <v>0.220063530926192</v>
      </c>
      <c r="V12" s="0" t="n">
        <v>0.225064974810878</v>
      </c>
      <c r="W12" s="0" t="n">
        <v>0.230066418695565</v>
      </c>
      <c r="X12" s="0" t="n">
        <v>0.235067862580251</v>
      </c>
      <c r="Y12" s="0" t="n">
        <v>0.240069306464937</v>
      </c>
      <c r="Z12" s="0" t="n">
        <v>0.245070750349623</v>
      </c>
      <c r="AA12" s="0" t="n">
        <v>0.250072194234309</v>
      </c>
      <c r="AB12" s="0" t="n">
        <v>0.255073638118995</v>
      </c>
      <c r="AC12" s="0" t="n">
        <v>0.260075082003682</v>
      </c>
      <c r="AD12" s="104"/>
    </row>
    <row r="13" customFormat="false" ht="15" hidden="true" customHeight="false" outlineLevel="0" collapsed="false">
      <c r="A13" s="127" t="s">
        <v>607</v>
      </c>
      <c r="B13" s="104" t="n">
        <v>16</v>
      </c>
      <c r="C13" s="108"/>
      <c r="D13" s="108"/>
      <c r="E13" s="108"/>
      <c r="F13" s="108"/>
      <c r="G13" s="109"/>
      <c r="H13" s="109"/>
      <c r="I13" s="109" t="n">
        <v>0.158401541226588</v>
      </c>
      <c r="J13" s="109" t="n">
        <v>0.163351589389919</v>
      </c>
      <c r="K13" s="111" t="n">
        <v>0.16830163755325</v>
      </c>
      <c r="L13" s="111" t="n">
        <v>0.173251685716581</v>
      </c>
      <c r="M13" s="111" t="n">
        <v>0.185499864630098</v>
      </c>
      <c r="N13" s="111" t="n">
        <v>0.190652638647601</v>
      </c>
      <c r="O13" s="112" t="n">
        <v>0.195805412665104</v>
      </c>
      <c r="P13" s="112" t="n">
        <v>0.200958186682607</v>
      </c>
      <c r="Q13" s="112" t="n">
        <v>0.214219994866983</v>
      </c>
      <c r="R13" s="112" t="n">
        <v>0.219575494738658</v>
      </c>
      <c r="S13" s="112" t="n">
        <v>0.224930994610332</v>
      </c>
      <c r="T13" s="0" t="n">
        <v>0.230286494482007</v>
      </c>
      <c r="U13" s="114" t="n">
        <v>0.220063530926192</v>
      </c>
      <c r="V13" s="0" t="n">
        <v>0.225064974810878</v>
      </c>
      <c r="W13" s="0" t="n">
        <v>0.230066418695565</v>
      </c>
      <c r="X13" s="0" t="n">
        <v>0.235067862580251</v>
      </c>
      <c r="Y13" s="0" t="n">
        <v>0.240069306464937</v>
      </c>
      <c r="Z13" s="0" t="n">
        <v>0.245070750349623</v>
      </c>
      <c r="AA13" s="0" t="n">
        <v>0.250072194234309</v>
      </c>
      <c r="AB13" s="0" t="n">
        <v>0.255073638118995</v>
      </c>
      <c r="AC13" s="0" t="n">
        <v>0.260075082003682</v>
      </c>
      <c r="AD13" s="104"/>
    </row>
    <row r="14" customFormat="false" ht="15" hidden="true" customHeight="false" outlineLevel="0" collapsed="false">
      <c r="A14" s="128" t="s">
        <v>607</v>
      </c>
      <c r="B14" s="104" t="n">
        <v>10</v>
      </c>
      <c r="C14" s="108"/>
      <c r="D14" s="108"/>
      <c r="E14" s="108"/>
      <c r="F14" s="108"/>
      <c r="G14" s="109"/>
      <c r="H14" s="109"/>
      <c r="I14" s="109" t="n">
        <v>0.136457100223242</v>
      </c>
      <c r="J14" s="109" t="n">
        <v>0.140721384605218</v>
      </c>
      <c r="K14" s="111" t="n">
        <v>0.144985668987195</v>
      </c>
      <c r="L14" s="111" t="n">
        <v>0.149249953369171</v>
      </c>
      <c r="M14" s="111" t="n">
        <v>0.163288100948675</v>
      </c>
      <c r="N14" s="111" t="n">
        <v>0.167823881530582</v>
      </c>
      <c r="O14" s="112" t="n">
        <v>0.17235966211249</v>
      </c>
      <c r="P14" s="112" t="n">
        <v>0.176895442694398</v>
      </c>
      <c r="Q14" s="112" t="n">
        <v>0.192291071273558</v>
      </c>
      <c r="R14" s="112" t="n">
        <v>0.197098348055397</v>
      </c>
      <c r="S14" s="112" t="n">
        <v>0.201905624837236</v>
      </c>
      <c r="T14" s="0" t="n">
        <v>0.206712901619075</v>
      </c>
      <c r="U14" s="114" t="n">
        <v>0.189921701038172</v>
      </c>
      <c r="V14" s="0" t="n">
        <v>0.194238103334494</v>
      </c>
      <c r="W14" s="0" t="n">
        <v>0.198554505630816</v>
      </c>
      <c r="X14" s="0" t="n">
        <v>0.202870907927138</v>
      </c>
      <c r="Y14" s="0" t="n">
        <v>0.20718731022346</v>
      </c>
      <c r="Z14" s="0" t="n">
        <v>0.211503712519782</v>
      </c>
      <c r="AA14" s="0" t="n">
        <v>0.215820114816105</v>
      </c>
      <c r="AB14" s="0" t="n">
        <v>0.220136517112427</v>
      </c>
      <c r="AC14" s="0" t="n">
        <v>0.224452919408749</v>
      </c>
      <c r="AD14" s="104"/>
    </row>
    <row r="15" customFormat="false" ht="15" hidden="true" customHeight="false" outlineLevel="0" collapsed="false">
      <c r="A15" s="129" t="s">
        <v>607</v>
      </c>
      <c r="B15" s="104" t="n">
        <v>17</v>
      </c>
      <c r="C15" s="108"/>
      <c r="D15" s="108"/>
      <c r="E15" s="108"/>
      <c r="F15" s="108"/>
      <c r="G15" s="109"/>
      <c r="H15" s="109"/>
      <c r="I15" s="109" t="n">
        <v>0.136457100223242</v>
      </c>
      <c r="J15" s="109" t="n">
        <v>0.140721384605218</v>
      </c>
      <c r="K15" s="111" t="n">
        <v>0.144985668987195</v>
      </c>
      <c r="L15" s="111" t="n">
        <v>0.149249953369171</v>
      </c>
      <c r="M15" s="111" t="n">
        <v>0.163288100948675</v>
      </c>
      <c r="N15" s="111" t="n">
        <v>0.167823881530582</v>
      </c>
      <c r="O15" s="112" t="n">
        <v>0.17235966211249</v>
      </c>
      <c r="P15" s="112" t="n">
        <v>0.176895442694398</v>
      </c>
      <c r="Q15" s="112" t="n">
        <v>0.192291071273558</v>
      </c>
      <c r="R15" s="112" t="n">
        <v>0.197098348055397</v>
      </c>
      <c r="S15" s="112" t="n">
        <v>0.201905624837236</v>
      </c>
      <c r="T15" s="0" t="n">
        <v>0.206712901619075</v>
      </c>
      <c r="U15" s="114" t="n">
        <v>0.189921701038172</v>
      </c>
      <c r="V15" s="0" t="n">
        <v>0.194238103334494</v>
      </c>
      <c r="W15" s="0" t="n">
        <v>0.198554505630816</v>
      </c>
      <c r="X15" s="0" t="n">
        <v>0.202870907927138</v>
      </c>
      <c r="Y15" s="0" t="n">
        <v>0.20718731022346</v>
      </c>
      <c r="Z15" s="0" t="n">
        <v>0.211503712519782</v>
      </c>
      <c r="AA15" s="0" t="n">
        <v>0.215820114816105</v>
      </c>
      <c r="AB15" s="0" t="n">
        <v>0.220136517112427</v>
      </c>
      <c r="AC15" s="0" t="n">
        <v>0.224452919408749</v>
      </c>
      <c r="AD15" s="104"/>
    </row>
    <row r="16" customFormat="false" ht="15" hidden="true" customHeight="false" outlineLevel="0" collapsed="false">
      <c r="A16" s="129" t="s">
        <v>612</v>
      </c>
      <c r="B16" s="104" t="n">
        <v>10</v>
      </c>
      <c r="C16" s="108"/>
      <c r="D16" s="108"/>
      <c r="E16" s="108"/>
      <c r="F16" s="108"/>
      <c r="G16" s="109"/>
      <c r="H16" s="109"/>
      <c r="I16" s="109" t="n">
        <v>0.136457100223242</v>
      </c>
      <c r="J16" s="109" t="n">
        <v>0.140721384605218</v>
      </c>
      <c r="K16" s="111" t="n">
        <v>0.144985668987195</v>
      </c>
      <c r="L16" s="111" t="n">
        <v>0.149249953369171</v>
      </c>
      <c r="M16" s="111" t="n">
        <v>0.163288100948675</v>
      </c>
      <c r="N16" s="111" t="n">
        <v>0.167823881530582</v>
      </c>
      <c r="O16" s="112" t="n">
        <v>0.17235966211249</v>
      </c>
      <c r="P16" s="112" t="n">
        <v>0.176895442694398</v>
      </c>
      <c r="Q16" s="112" t="n">
        <v>0.192291071273558</v>
      </c>
      <c r="R16" s="112" t="n">
        <v>0.197098348055397</v>
      </c>
      <c r="S16" s="112" t="n">
        <v>0.201905624837236</v>
      </c>
      <c r="T16" s="0" t="n">
        <v>0.206712901619075</v>
      </c>
      <c r="U16" s="114" t="n">
        <v>0.189921701038172</v>
      </c>
      <c r="V16" s="0" t="n">
        <v>0.194238103334494</v>
      </c>
      <c r="W16" s="0" t="n">
        <v>0.198554505630816</v>
      </c>
      <c r="X16" s="0" t="n">
        <v>0.202870907927138</v>
      </c>
      <c r="Y16" s="0" t="n">
        <v>0.20718731022346</v>
      </c>
      <c r="Z16" s="0" t="n">
        <v>0.211503712519782</v>
      </c>
      <c r="AA16" s="0" t="n">
        <v>0.215820114816105</v>
      </c>
      <c r="AB16" s="0" t="n">
        <v>0.220136517112427</v>
      </c>
      <c r="AC16" s="0" t="n">
        <v>0.224452919408749</v>
      </c>
      <c r="AD16" s="104"/>
    </row>
    <row r="17" customFormat="false" ht="15" hidden="true" customHeight="false" outlineLevel="0" collapsed="false">
      <c r="A17" s="128" t="s">
        <v>612</v>
      </c>
      <c r="B17" s="104" t="n">
        <v>17</v>
      </c>
      <c r="C17" s="108"/>
      <c r="D17" s="108"/>
      <c r="E17" s="108"/>
      <c r="F17" s="108"/>
      <c r="G17" s="109"/>
      <c r="H17" s="109"/>
      <c r="I17" s="109" t="n">
        <v>0.136457100223242</v>
      </c>
      <c r="J17" s="109" t="n">
        <v>0.140721384605218</v>
      </c>
      <c r="K17" s="111" t="n">
        <v>0.144985668987195</v>
      </c>
      <c r="L17" s="111" t="n">
        <v>0.149249953369171</v>
      </c>
      <c r="M17" s="111" t="n">
        <v>0.163288100948675</v>
      </c>
      <c r="N17" s="111" t="n">
        <v>0.167823881530582</v>
      </c>
      <c r="O17" s="112" t="n">
        <v>0.17235966211249</v>
      </c>
      <c r="P17" s="112" t="n">
        <v>0.176895442694398</v>
      </c>
      <c r="Q17" s="112" t="n">
        <v>0.192291071273558</v>
      </c>
      <c r="R17" s="112" t="n">
        <v>0.197098348055397</v>
      </c>
      <c r="S17" s="112" t="n">
        <v>0.201905624837236</v>
      </c>
      <c r="T17" s="0" t="n">
        <v>0.206712901619075</v>
      </c>
      <c r="U17" s="114" t="n">
        <v>0.189921701038172</v>
      </c>
      <c r="V17" s="0" t="n">
        <v>0.194238103334494</v>
      </c>
      <c r="W17" s="0" t="n">
        <v>0.198554505630816</v>
      </c>
      <c r="X17" s="0" t="n">
        <v>0.202870907927138</v>
      </c>
      <c r="Y17" s="0" t="n">
        <v>0.20718731022346</v>
      </c>
      <c r="Z17" s="0" t="n">
        <v>0.211503712519782</v>
      </c>
      <c r="AA17" s="0" t="n">
        <v>0.215820114816105</v>
      </c>
      <c r="AB17" s="0" t="n">
        <v>0.220136517112427</v>
      </c>
      <c r="AC17" s="0" t="n">
        <v>0.224452919408749</v>
      </c>
      <c r="AD17" s="104"/>
    </row>
    <row r="18" customFormat="false" ht="15" hidden="true" customHeight="false" outlineLevel="0" collapsed="false">
      <c r="A18" s="129" t="s">
        <v>616</v>
      </c>
      <c r="B18" s="104" t="n">
        <v>10</v>
      </c>
      <c r="C18" s="108"/>
      <c r="D18" s="108"/>
      <c r="E18" s="108"/>
      <c r="F18" s="108"/>
      <c r="G18" s="109"/>
      <c r="H18" s="109"/>
      <c r="I18" s="109" t="n">
        <v>0.136457100223242</v>
      </c>
      <c r="J18" s="109" t="n">
        <v>0.140721384605218</v>
      </c>
      <c r="K18" s="111" t="n">
        <v>0.144985668987195</v>
      </c>
      <c r="L18" s="111" t="n">
        <v>0.149249953369171</v>
      </c>
      <c r="M18" s="111" t="n">
        <v>0.163288100948675</v>
      </c>
      <c r="N18" s="111" t="n">
        <v>0.167823881530582</v>
      </c>
      <c r="O18" s="112" t="n">
        <v>0.17235966211249</v>
      </c>
      <c r="P18" s="112" t="n">
        <v>0.176895442694398</v>
      </c>
      <c r="Q18" s="112" t="n">
        <v>0.192291071273558</v>
      </c>
      <c r="R18" s="112" t="n">
        <v>0.197098348055397</v>
      </c>
      <c r="S18" s="112" t="n">
        <v>0.201905624837236</v>
      </c>
      <c r="T18" s="0" t="n">
        <v>0.206712901619075</v>
      </c>
      <c r="U18" s="114" t="n">
        <v>0.189921701038172</v>
      </c>
      <c r="V18" s="0" t="n">
        <v>0.194238103334494</v>
      </c>
      <c r="W18" s="0" t="n">
        <v>0.198554505630816</v>
      </c>
      <c r="X18" s="0" t="n">
        <v>0.202870907927138</v>
      </c>
      <c r="Y18" s="0" t="n">
        <v>0.20718731022346</v>
      </c>
      <c r="Z18" s="0" t="n">
        <v>0.211503712519782</v>
      </c>
      <c r="AA18" s="0" t="n">
        <v>0.215820114816105</v>
      </c>
      <c r="AB18" s="0" t="n">
        <v>0.220136517112427</v>
      </c>
      <c r="AC18" s="0" t="n">
        <v>0.224452919408749</v>
      </c>
      <c r="AD18" s="104"/>
    </row>
    <row r="19" customFormat="false" ht="15" hidden="true" customHeight="false" outlineLevel="0" collapsed="false">
      <c r="A19" s="128" t="s">
        <v>616</v>
      </c>
      <c r="B19" s="104" t="n">
        <v>17</v>
      </c>
      <c r="C19" s="108"/>
      <c r="D19" s="108"/>
      <c r="E19" s="108"/>
      <c r="F19" s="108"/>
      <c r="G19" s="109"/>
      <c r="H19" s="109"/>
      <c r="I19" s="109" t="n">
        <v>0.136457100223242</v>
      </c>
      <c r="J19" s="109" t="n">
        <v>0.140721384605218</v>
      </c>
      <c r="K19" s="111" t="n">
        <v>0.144985668987195</v>
      </c>
      <c r="L19" s="111" t="n">
        <v>0.149249953369171</v>
      </c>
      <c r="M19" s="111" t="n">
        <v>0.163288100948675</v>
      </c>
      <c r="N19" s="111" t="n">
        <v>0.167823881530582</v>
      </c>
      <c r="O19" s="112" t="n">
        <v>0.17235966211249</v>
      </c>
      <c r="P19" s="112" t="n">
        <v>0.176895442694398</v>
      </c>
      <c r="Q19" s="112" t="n">
        <v>0.192291071273558</v>
      </c>
      <c r="R19" s="112" t="n">
        <v>0.197098348055397</v>
      </c>
      <c r="S19" s="112" t="n">
        <v>0.201905624837236</v>
      </c>
      <c r="T19" s="0" t="n">
        <v>0.206712901619075</v>
      </c>
      <c r="U19" s="114" t="n">
        <v>0.189921701038172</v>
      </c>
      <c r="V19" s="0" t="n">
        <v>0.194238103334494</v>
      </c>
      <c r="W19" s="0" t="n">
        <v>0.198554505630816</v>
      </c>
      <c r="X19" s="0" t="n">
        <v>0.202870907927138</v>
      </c>
      <c r="Y19" s="0" t="n">
        <v>0.20718731022346</v>
      </c>
      <c r="Z19" s="0" t="n">
        <v>0.211503712519782</v>
      </c>
      <c r="AA19" s="0" t="n">
        <v>0.215820114816105</v>
      </c>
      <c r="AB19" s="0" t="n">
        <v>0.220136517112427</v>
      </c>
      <c r="AC19" s="0" t="n">
        <v>0.224452919408749</v>
      </c>
      <c r="AD19" s="104"/>
    </row>
    <row r="20" customFormat="false" ht="15" hidden="true" customHeight="false" outlineLevel="0" collapsed="false">
      <c r="A20" s="128" t="s">
        <v>619</v>
      </c>
      <c r="B20" s="104" t="n">
        <v>10</v>
      </c>
      <c r="C20" s="108"/>
      <c r="D20" s="108"/>
      <c r="E20" s="108"/>
      <c r="F20" s="108"/>
      <c r="G20" s="109"/>
      <c r="H20" s="109"/>
      <c r="I20" s="109" t="n">
        <v>0.136457100223242</v>
      </c>
      <c r="J20" s="109" t="n">
        <v>0.140721384605218</v>
      </c>
      <c r="K20" s="111" t="n">
        <v>0.144985668987195</v>
      </c>
      <c r="L20" s="111" t="n">
        <v>0.149249953369171</v>
      </c>
      <c r="M20" s="111" t="n">
        <v>0.163288100948675</v>
      </c>
      <c r="N20" s="111" t="n">
        <v>0.167823881530582</v>
      </c>
      <c r="O20" s="112" t="n">
        <v>0.17235966211249</v>
      </c>
      <c r="P20" s="112" t="n">
        <v>0.176895442694398</v>
      </c>
      <c r="Q20" s="112" t="n">
        <v>0.192291071273558</v>
      </c>
      <c r="R20" s="112" t="n">
        <v>0.197098348055397</v>
      </c>
      <c r="S20" s="112" t="n">
        <v>0.201905624837236</v>
      </c>
      <c r="T20" s="0" t="n">
        <v>0.206712901619075</v>
      </c>
      <c r="U20" s="114" t="n">
        <v>0.189921701038172</v>
      </c>
      <c r="V20" s="0" t="n">
        <v>0.194238103334494</v>
      </c>
      <c r="W20" s="0" t="n">
        <v>0.198554505630816</v>
      </c>
      <c r="X20" s="0" t="n">
        <v>0.202870907927138</v>
      </c>
      <c r="Y20" s="0" t="n">
        <v>0.20718731022346</v>
      </c>
      <c r="Z20" s="0" t="n">
        <v>0.211503712519782</v>
      </c>
      <c r="AA20" s="0" t="n">
        <v>0.215820114816105</v>
      </c>
      <c r="AB20" s="0" t="n">
        <v>0.220136517112427</v>
      </c>
      <c r="AC20" s="0" t="n">
        <v>0.224452919408749</v>
      </c>
      <c r="AD20" s="104"/>
    </row>
    <row r="21" customFormat="false" ht="15" hidden="true" customHeight="false" outlineLevel="0" collapsed="false">
      <c r="A21" s="129" t="s">
        <v>619</v>
      </c>
      <c r="B21" s="104" t="n">
        <v>17</v>
      </c>
      <c r="C21" s="108"/>
      <c r="D21" s="108"/>
      <c r="E21" s="108"/>
      <c r="F21" s="108"/>
      <c r="G21" s="109"/>
      <c r="H21" s="109"/>
      <c r="I21" s="109" t="n">
        <v>0.136457100223242</v>
      </c>
      <c r="J21" s="109" t="n">
        <v>0.140721384605218</v>
      </c>
      <c r="K21" s="111" t="n">
        <v>0.144985668987195</v>
      </c>
      <c r="L21" s="111" t="n">
        <v>0.149249953369171</v>
      </c>
      <c r="M21" s="111" t="n">
        <v>0.163288100948675</v>
      </c>
      <c r="N21" s="111" t="n">
        <v>0.167823881530582</v>
      </c>
      <c r="O21" s="112" t="n">
        <v>0.17235966211249</v>
      </c>
      <c r="P21" s="112" t="n">
        <v>0.176895442694398</v>
      </c>
      <c r="Q21" s="112" t="n">
        <v>0.192291071273558</v>
      </c>
      <c r="R21" s="112" t="n">
        <v>0.197098348055397</v>
      </c>
      <c r="S21" s="112" t="n">
        <v>0.201905624837236</v>
      </c>
      <c r="T21" s="0" t="n">
        <v>0.206712901619075</v>
      </c>
      <c r="U21" s="114" t="n">
        <v>0.189921701038172</v>
      </c>
      <c r="V21" s="0" t="n">
        <v>0.194238103334494</v>
      </c>
      <c r="W21" s="0" t="n">
        <v>0.198554505630816</v>
      </c>
      <c r="X21" s="0" t="n">
        <v>0.202870907927138</v>
      </c>
      <c r="Y21" s="0" t="n">
        <v>0.20718731022346</v>
      </c>
      <c r="Z21" s="0" t="n">
        <v>0.211503712519782</v>
      </c>
      <c r="AA21" s="0" t="n">
        <v>0.215820114816105</v>
      </c>
      <c r="AB21" s="0" t="n">
        <v>0.220136517112427</v>
      </c>
      <c r="AC21" s="0" t="n">
        <v>0.224452919408749</v>
      </c>
      <c r="AD21" s="104"/>
    </row>
    <row r="22" customFormat="false" ht="15" hidden="true" customHeight="false" outlineLevel="0" collapsed="false">
      <c r="A22" s="129" t="s">
        <v>622</v>
      </c>
      <c r="B22" s="104" t="n">
        <v>10</v>
      </c>
      <c r="C22" s="108"/>
      <c r="D22" s="108"/>
      <c r="E22" s="108"/>
      <c r="F22" s="108"/>
      <c r="G22" s="109"/>
      <c r="H22" s="109"/>
      <c r="I22" s="109" t="n">
        <v>0.136457100223242</v>
      </c>
      <c r="J22" s="109" t="n">
        <v>0.140721384605218</v>
      </c>
      <c r="K22" s="111" t="n">
        <v>0.144985668987195</v>
      </c>
      <c r="L22" s="111" t="n">
        <v>0.149249953369171</v>
      </c>
      <c r="M22" s="111" t="n">
        <v>0.163288100948675</v>
      </c>
      <c r="N22" s="111" t="n">
        <v>0.167823881530582</v>
      </c>
      <c r="O22" s="112" t="n">
        <v>0.17235966211249</v>
      </c>
      <c r="P22" s="112" t="n">
        <v>0.176895442694398</v>
      </c>
      <c r="Q22" s="112" t="n">
        <v>0.192291071273558</v>
      </c>
      <c r="R22" s="112" t="n">
        <v>0.197098348055397</v>
      </c>
      <c r="S22" s="112" t="n">
        <v>0.201905624837236</v>
      </c>
      <c r="T22" s="0" t="n">
        <v>0.206712901619075</v>
      </c>
      <c r="U22" s="114" t="n">
        <v>0.189921701038172</v>
      </c>
      <c r="V22" s="0" t="n">
        <v>0.194238103334494</v>
      </c>
      <c r="W22" s="0" t="n">
        <v>0.198554505630816</v>
      </c>
      <c r="X22" s="0" t="n">
        <v>0.202870907927138</v>
      </c>
      <c r="Y22" s="0" t="n">
        <v>0.20718731022346</v>
      </c>
      <c r="Z22" s="0" t="n">
        <v>0.211503712519782</v>
      </c>
      <c r="AA22" s="0" t="n">
        <v>0.215820114816105</v>
      </c>
      <c r="AB22" s="0" t="n">
        <v>0.220136517112427</v>
      </c>
      <c r="AC22" s="0" t="n">
        <v>0.224452919408749</v>
      </c>
      <c r="AD22" s="104"/>
    </row>
    <row r="23" customFormat="false" ht="15" hidden="true" customHeight="false" outlineLevel="0" collapsed="false">
      <c r="A23" s="128" t="s">
        <v>622</v>
      </c>
      <c r="B23" s="104" t="n">
        <v>17</v>
      </c>
      <c r="C23" s="108"/>
      <c r="D23" s="108"/>
      <c r="E23" s="108"/>
      <c r="F23" s="108"/>
      <c r="G23" s="109"/>
      <c r="H23" s="109"/>
      <c r="I23" s="109" t="n">
        <v>0.136457100223242</v>
      </c>
      <c r="J23" s="109" t="n">
        <v>0.140721384605218</v>
      </c>
      <c r="K23" s="111" t="n">
        <v>0.144985668987195</v>
      </c>
      <c r="L23" s="111" t="n">
        <v>0.149249953369171</v>
      </c>
      <c r="M23" s="111" t="n">
        <v>0.163288100948675</v>
      </c>
      <c r="N23" s="111" t="n">
        <v>0.167823881530582</v>
      </c>
      <c r="O23" s="112" t="n">
        <v>0.17235966211249</v>
      </c>
      <c r="P23" s="112" t="n">
        <v>0.176895442694398</v>
      </c>
      <c r="Q23" s="112" t="n">
        <v>0.192291071273558</v>
      </c>
      <c r="R23" s="112" t="n">
        <v>0.197098348055397</v>
      </c>
      <c r="S23" s="112" t="n">
        <v>0.201905624837236</v>
      </c>
      <c r="T23" s="0" t="n">
        <v>0.206712901619075</v>
      </c>
      <c r="U23" s="114" t="n">
        <v>0.189921701038172</v>
      </c>
      <c r="V23" s="0" t="n">
        <v>0.194238103334494</v>
      </c>
      <c r="W23" s="0" t="n">
        <v>0.198554505630816</v>
      </c>
      <c r="X23" s="0" t="n">
        <v>0.202870907927138</v>
      </c>
      <c r="Y23" s="0" t="n">
        <v>0.20718731022346</v>
      </c>
      <c r="Z23" s="0" t="n">
        <v>0.211503712519782</v>
      </c>
      <c r="AA23" s="0" t="n">
        <v>0.215820114816105</v>
      </c>
      <c r="AB23" s="0" t="n">
        <v>0.220136517112427</v>
      </c>
      <c r="AC23" s="0" t="n">
        <v>0.224452919408749</v>
      </c>
      <c r="AD23" s="104"/>
    </row>
    <row r="24" customFormat="false" ht="15" hidden="true" customHeight="false" outlineLevel="0" collapsed="false">
      <c r="A24" s="128" t="s">
        <v>218</v>
      </c>
      <c r="B24" s="104" t="n">
        <v>10</v>
      </c>
      <c r="C24" s="108"/>
      <c r="D24" s="108"/>
      <c r="E24" s="108"/>
      <c r="F24" s="108"/>
      <c r="G24" s="109"/>
      <c r="H24" s="109"/>
      <c r="I24" s="109" t="n">
        <v>0.136457100223242</v>
      </c>
      <c r="J24" s="109" t="n">
        <v>0.140721384605218</v>
      </c>
      <c r="K24" s="111" t="n">
        <v>0.144985668987195</v>
      </c>
      <c r="L24" s="111" t="n">
        <v>0.149249953369171</v>
      </c>
      <c r="M24" s="111" t="n">
        <v>0.163288100948675</v>
      </c>
      <c r="N24" s="111" t="n">
        <v>0.167823881530582</v>
      </c>
      <c r="O24" s="112" t="n">
        <v>0.17235966211249</v>
      </c>
      <c r="P24" s="112" t="n">
        <v>0.176895442694398</v>
      </c>
      <c r="Q24" s="112" t="n">
        <v>0.192291071273558</v>
      </c>
      <c r="R24" s="112" t="n">
        <v>0.197098348055397</v>
      </c>
      <c r="S24" s="112" t="n">
        <v>0.201905624837236</v>
      </c>
      <c r="T24" s="0" t="n">
        <v>0.206712901619075</v>
      </c>
      <c r="U24" s="114" t="n">
        <v>0.189921701038172</v>
      </c>
      <c r="V24" s="0" t="n">
        <v>0.194238103334494</v>
      </c>
      <c r="W24" s="0" t="n">
        <v>0.198554505630816</v>
      </c>
      <c r="X24" s="0" t="n">
        <v>0.202870907927138</v>
      </c>
      <c r="Y24" s="0" t="n">
        <v>0.20718731022346</v>
      </c>
      <c r="Z24" s="0" t="n">
        <v>0.211503712519782</v>
      </c>
      <c r="AA24" s="0" t="n">
        <v>0.215820114816105</v>
      </c>
      <c r="AB24" s="0" t="n">
        <v>0.220136517112427</v>
      </c>
      <c r="AC24" s="0" t="n">
        <v>0.224452919408749</v>
      </c>
      <c r="AD24" s="104"/>
    </row>
    <row r="25" customFormat="false" ht="15" hidden="true" customHeight="false" outlineLevel="0" collapsed="false">
      <c r="A25" s="128" t="s">
        <v>218</v>
      </c>
      <c r="B25" s="104" t="n">
        <v>17</v>
      </c>
      <c r="C25" s="117"/>
      <c r="D25" s="117"/>
      <c r="E25" s="117"/>
      <c r="F25" s="118"/>
      <c r="G25" s="119"/>
      <c r="H25" s="119"/>
      <c r="I25" s="119" t="n">
        <v>0.272914200446484</v>
      </c>
      <c r="J25" s="119" t="n">
        <v>0.281442769210436</v>
      </c>
      <c r="K25" s="111" t="n">
        <v>0.289971337974389</v>
      </c>
      <c r="L25" s="96" t="n">
        <v>0.298499906738342</v>
      </c>
      <c r="M25" s="96"/>
      <c r="N25" s="96"/>
      <c r="O25" s="93"/>
      <c r="P25" s="93"/>
      <c r="Q25" s="93"/>
      <c r="R25" s="93"/>
      <c r="S25" s="93"/>
      <c r="AD25" s="104"/>
    </row>
    <row r="26" customFormat="false" ht="15" hidden="true" customHeight="false" outlineLevel="0" collapsed="false">
      <c r="A26" s="128" t="s">
        <v>627</v>
      </c>
      <c r="B26" s="104" t="n">
        <v>10</v>
      </c>
      <c r="C26" s="108"/>
      <c r="D26" s="108"/>
      <c r="E26" s="108"/>
      <c r="F26" s="108"/>
      <c r="G26" s="109"/>
      <c r="H26" s="109"/>
      <c r="I26" s="109" t="n">
        <v>0.136457100223242</v>
      </c>
      <c r="J26" s="109" t="n">
        <v>0.140721384605218</v>
      </c>
      <c r="K26" s="111" t="n">
        <v>0.144985668987195</v>
      </c>
      <c r="L26" s="111" t="n">
        <v>0.149249953369171</v>
      </c>
      <c r="M26" s="111" t="n">
        <v>0.163288100948675</v>
      </c>
      <c r="N26" s="111" t="n">
        <v>0.167823881530582</v>
      </c>
      <c r="O26" s="112" t="n">
        <v>0.17235966211249</v>
      </c>
      <c r="P26" s="112" t="n">
        <v>0.176895442694398</v>
      </c>
      <c r="Q26" s="112" t="n">
        <v>0.192291071273558</v>
      </c>
      <c r="R26" s="112" t="n">
        <v>0.197098348055397</v>
      </c>
      <c r="S26" s="112" t="n">
        <v>0.201905624837236</v>
      </c>
      <c r="T26" s="0" t="n">
        <v>0.206712901619075</v>
      </c>
      <c r="U26" s="114" t="n">
        <v>0.189921701038172</v>
      </c>
      <c r="V26" s="0" t="n">
        <v>0.194238103334494</v>
      </c>
      <c r="W26" s="0" t="n">
        <v>0.198554505630816</v>
      </c>
      <c r="X26" s="0" t="n">
        <v>0.202870907927138</v>
      </c>
      <c r="Y26" s="0" t="n">
        <v>0.20718731022346</v>
      </c>
      <c r="Z26" s="0" t="n">
        <v>0.211503712519782</v>
      </c>
      <c r="AA26" s="0" t="n">
        <v>0.215820114816105</v>
      </c>
      <c r="AB26" s="0" t="n">
        <v>0.220136517112427</v>
      </c>
      <c r="AC26" s="0" t="n">
        <v>0.224452919408749</v>
      </c>
      <c r="AD26" s="104"/>
    </row>
    <row r="27" customFormat="false" ht="15" hidden="true" customHeight="false" outlineLevel="0" collapsed="false">
      <c r="A27" s="128" t="s">
        <v>627</v>
      </c>
      <c r="B27" s="104" t="n">
        <v>17</v>
      </c>
      <c r="C27" s="108"/>
      <c r="D27" s="108"/>
      <c r="E27" s="108"/>
      <c r="F27" s="108"/>
      <c r="G27" s="109"/>
      <c r="H27" s="109"/>
      <c r="I27" s="109" t="n">
        <v>0.272914200446484</v>
      </c>
      <c r="J27" s="109" t="n">
        <v>0.281442769210436</v>
      </c>
      <c r="K27" s="111" t="n">
        <v>0.289971337974389</v>
      </c>
      <c r="L27" s="111" t="n">
        <v>0.298499906738342</v>
      </c>
      <c r="M27" s="111"/>
      <c r="N27" s="111"/>
      <c r="O27" s="112"/>
      <c r="P27" s="112"/>
      <c r="Q27" s="112"/>
      <c r="R27" s="112"/>
      <c r="S27" s="112"/>
      <c r="U27" s="114"/>
      <c r="AD27" s="104"/>
    </row>
    <row r="28" customFormat="false" ht="15" hidden="true" customHeight="false" outlineLevel="0" collapsed="false">
      <c r="A28" s="129" t="s">
        <v>630</v>
      </c>
      <c r="B28" s="104" t="n">
        <v>10</v>
      </c>
      <c r="C28" s="108"/>
      <c r="D28" s="108"/>
      <c r="E28" s="108"/>
      <c r="F28" s="108"/>
      <c r="G28" s="109"/>
      <c r="H28" s="109"/>
      <c r="I28" s="109" t="n">
        <v>0.136457100223242</v>
      </c>
      <c r="J28" s="109" t="n">
        <v>0.140721384605218</v>
      </c>
      <c r="K28" s="111" t="n">
        <v>0.144985668987195</v>
      </c>
      <c r="L28" s="111" t="n">
        <v>0.149249953369171</v>
      </c>
      <c r="M28" s="111" t="n">
        <v>0.163288100948675</v>
      </c>
      <c r="N28" s="111" t="n">
        <v>0.167823881530582</v>
      </c>
      <c r="O28" s="112" t="n">
        <v>0.17235966211249</v>
      </c>
      <c r="P28" s="112" t="n">
        <v>0.176895442694398</v>
      </c>
      <c r="Q28" s="112" t="n">
        <v>0.192291071273558</v>
      </c>
      <c r="R28" s="112" t="n">
        <v>0.197098348055397</v>
      </c>
      <c r="S28" s="112" t="n">
        <v>0.201905624837236</v>
      </c>
      <c r="T28" s="0" t="n">
        <v>0.206712901619075</v>
      </c>
      <c r="U28" s="114" t="n">
        <v>0.189921701038172</v>
      </c>
      <c r="V28" s="0" t="n">
        <v>0.194238103334494</v>
      </c>
      <c r="W28" s="0" t="n">
        <v>0.198554505630816</v>
      </c>
      <c r="X28" s="0" t="n">
        <v>0.202870907927138</v>
      </c>
      <c r="Y28" s="0" t="n">
        <v>0.20718731022346</v>
      </c>
      <c r="Z28" s="0" t="n">
        <v>0.211503712519782</v>
      </c>
      <c r="AA28" s="0" t="n">
        <v>0.215820114816105</v>
      </c>
      <c r="AB28" s="0" t="n">
        <v>0.220136517112427</v>
      </c>
      <c r="AC28" s="0" t="n">
        <v>0.224452919408749</v>
      </c>
      <c r="AD28" s="104"/>
    </row>
    <row r="29" customFormat="false" ht="15" hidden="true" customHeight="false" outlineLevel="0" collapsed="false">
      <c r="A29" s="129" t="s">
        <v>630</v>
      </c>
      <c r="B29" s="104" t="n">
        <v>17</v>
      </c>
      <c r="C29" s="108"/>
      <c r="D29" s="108"/>
      <c r="E29" s="108"/>
      <c r="F29" s="108"/>
      <c r="G29" s="109"/>
      <c r="H29" s="109"/>
      <c r="I29" s="109" t="n">
        <v>0.272914200446484</v>
      </c>
      <c r="J29" s="109" t="n">
        <v>0.281442769210436</v>
      </c>
      <c r="K29" s="111" t="n">
        <v>0.289971337974389</v>
      </c>
      <c r="L29" s="111" t="n">
        <v>0.298499906738342</v>
      </c>
      <c r="M29" s="111"/>
      <c r="N29" s="111"/>
      <c r="O29" s="112"/>
      <c r="P29" s="112"/>
      <c r="Q29" s="112"/>
      <c r="R29" s="112"/>
      <c r="S29" s="112"/>
      <c r="U29" s="114"/>
      <c r="AD29" s="104"/>
    </row>
    <row r="30" customFormat="false" ht="15" hidden="true" customHeight="false" outlineLevel="0" collapsed="false">
      <c r="A30" s="0" t="s">
        <v>633</v>
      </c>
      <c r="B30" s="104" t="n">
        <v>13</v>
      </c>
      <c r="C30" s="108"/>
      <c r="D30" s="108"/>
      <c r="E30" s="108"/>
      <c r="F30" s="108"/>
      <c r="G30" s="109"/>
      <c r="H30" s="109"/>
      <c r="I30" s="109"/>
      <c r="J30" s="109"/>
      <c r="K30" s="111"/>
      <c r="L30" s="111"/>
      <c r="M30" s="111" t="n">
        <v>0.326576201897349</v>
      </c>
      <c r="N30" s="111" t="n">
        <v>0.335647763061165</v>
      </c>
      <c r="O30" s="112" t="n">
        <v>0.34471932422498</v>
      </c>
      <c r="P30" s="112" t="n">
        <v>0.353790885388795</v>
      </c>
      <c r="Q30" s="93" t="n">
        <v>0.384582142547116</v>
      </c>
      <c r="R30" s="93"/>
      <c r="S30" s="93"/>
      <c r="AD30" s="104"/>
    </row>
    <row r="31" customFormat="false" ht="15" hidden="true" customHeight="false" outlineLevel="0" collapsed="false">
      <c r="A31" s="0" t="s">
        <v>633</v>
      </c>
      <c r="B31" s="104" t="n">
        <v>20</v>
      </c>
      <c r="C31" s="118"/>
      <c r="D31" s="118"/>
      <c r="E31" s="118"/>
      <c r="F31" s="118"/>
      <c r="G31" s="119"/>
      <c r="H31" s="119"/>
      <c r="I31" s="119"/>
      <c r="J31" s="71"/>
      <c r="K31" s="120"/>
      <c r="L31" s="120"/>
      <c r="M31" s="120" t="n">
        <v>0.326576201897349</v>
      </c>
      <c r="N31" s="120" t="n">
        <v>0.335647763061165</v>
      </c>
      <c r="O31" s="121" t="n">
        <v>0.34471932422498</v>
      </c>
      <c r="P31" s="121" t="n">
        <v>0.353790885388795</v>
      </c>
      <c r="Q31" s="121" t="n">
        <v>0.384582142547116</v>
      </c>
      <c r="R31" s="121"/>
      <c r="S31" s="121"/>
      <c r="U31" s="38"/>
      <c r="AD31" s="104"/>
    </row>
    <row r="32" customFormat="false" ht="15" hidden="true" customHeight="false" outlineLevel="0" collapsed="false">
      <c r="A32" s="0" t="s">
        <v>219</v>
      </c>
      <c r="B32" s="104" t="n">
        <v>13</v>
      </c>
      <c r="C32" s="108"/>
      <c r="D32" s="108"/>
      <c r="E32" s="108"/>
      <c r="F32" s="108"/>
      <c r="G32" s="109"/>
      <c r="H32" s="109"/>
      <c r="I32" s="109"/>
      <c r="J32" s="109"/>
      <c r="K32" s="111"/>
      <c r="L32" s="111"/>
      <c r="M32" s="111" t="n">
        <v>0.326576201897349</v>
      </c>
      <c r="N32" s="111" t="n">
        <v>0.335647763061165</v>
      </c>
      <c r="O32" s="112" t="n">
        <v>0.34471932422498</v>
      </c>
      <c r="P32" s="112" t="n">
        <v>0.353790885388795</v>
      </c>
      <c r="Q32" s="93" t="n">
        <v>0.384582142547116</v>
      </c>
      <c r="R32" s="93"/>
      <c r="S32" s="93"/>
      <c r="AD32" s="104"/>
    </row>
    <row r="33" customFormat="false" ht="15" hidden="true" customHeight="false" outlineLevel="0" collapsed="false">
      <c r="A33" s="0" t="s">
        <v>219</v>
      </c>
      <c r="B33" s="104" t="n">
        <v>20</v>
      </c>
      <c r="C33" s="108"/>
      <c r="D33" s="108"/>
      <c r="E33" s="108"/>
      <c r="F33" s="108"/>
      <c r="G33" s="109"/>
      <c r="H33" s="109"/>
      <c r="I33" s="109"/>
      <c r="J33" s="95"/>
      <c r="K33" s="96"/>
      <c r="L33" s="96"/>
      <c r="M33" s="96" t="n">
        <v>0.326576201897349</v>
      </c>
      <c r="N33" s="96" t="n">
        <v>0.335647763061165</v>
      </c>
      <c r="O33" s="93" t="n">
        <v>0.34471932422498</v>
      </c>
      <c r="P33" s="93" t="n">
        <v>0.353790885388795</v>
      </c>
      <c r="Q33" s="93" t="n">
        <v>0.384582142547116</v>
      </c>
      <c r="R33" s="93"/>
      <c r="S33" s="93"/>
      <c r="AD33" s="104"/>
    </row>
    <row r="34" customFormat="false" ht="15" hidden="true" customHeight="false" outlineLevel="0" collapsed="false">
      <c r="A34" s="0" t="s">
        <v>638</v>
      </c>
      <c r="B34" s="104" t="n">
        <v>12</v>
      </c>
      <c r="C34" s="108"/>
      <c r="D34" s="108"/>
      <c r="E34" s="108"/>
      <c r="F34" s="108"/>
      <c r="G34" s="109"/>
      <c r="H34" s="109"/>
      <c r="I34" s="109" t="n">
        <v>0.272914200446484</v>
      </c>
      <c r="J34" s="109" t="n">
        <v>0.281442769210436</v>
      </c>
      <c r="K34" s="111" t="n">
        <v>0.289971337974389</v>
      </c>
      <c r="L34" s="111" t="n">
        <v>0.298499906738342</v>
      </c>
      <c r="M34" s="111"/>
      <c r="N34" s="111"/>
      <c r="O34" s="112"/>
      <c r="P34" s="112"/>
      <c r="Q34" s="93"/>
      <c r="R34" s="93"/>
      <c r="S34" s="93"/>
      <c r="AD34" s="104"/>
    </row>
    <row r="35" customFormat="false" ht="15" hidden="true" customHeight="false" outlineLevel="0" collapsed="false">
      <c r="A35" s="0" t="s">
        <v>638</v>
      </c>
      <c r="B35" s="104" t="n">
        <v>19</v>
      </c>
      <c r="C35" s="108"/>
      <c r="D35" s="108"/>
      <c r="E35" s="108"/>
      <c r="F35" s="108"/>
      <c r="G35" s="109"/>
      <c r="H35" s="109"/>
      <c r="I35" s="109" t="n">
        <v>0.272914200446484</v>
      </c>
      <c r="J35" s="109" t="n">
        <v>0.281442769210436</v>
      </c>
      <c r="K35" s="111" t="n">
        <v>0.289971337974389</v>
      </c>
      <c r="L35" s="111" t="n">
        <v>0.298499906738342</v>
      </c>
      <c r="M35" s="111"/>
      <c r="N35" s="111"/>
      <c r="O35" s="112"/>
      <c r="P35" s="112"/>
      <c r="Q35" s="93"/>
      <c r="R35" s="93"/>
      <c r="S35" s="93"/>
      <c r="AD35" s="104"/>
    </row>
    <row r="36" customFormat="false" ht="15" hidden="true" customHeight="false" outlineLevel="0" collapsed="false">
      <c r="A36" s="0" t="s">
        <v>220</v>
      </c>
      <c r="B36" s="104" t="n">
        <v>12</v>
      </c>
      <c r="C36" s="108"/>
      <c r="D36" s="108"/>
      <c r="E36" s="108"/>
      <c r="F36" s="108"/>
      <c r="G36" s="109"/>
      <c r="H36" s="109"/>
      <c r="I36" s="109" t="n">
        <v>0.272914200446484</v>
      </c>
      <c r="J36" s="109" t="n">
        <v>0.281442769210436</v>
      </c>
      <c r="K36" s="96" t="n">
        <v>0.289971337974389</v>
      </c>
      <c r="L36" s="96" t="n">
        <v>0.298499906738342</v>
      </c>
      <c r="M36" s="96"/>
      <c r="N36" s="96"/>
      <c r="O36" s="93"/>
      <c r="P36" s="93"/>
      <c r="Q36" s="93"/>
      <c r="R36" s="93"/>
      <c r="S36" s="93"/>
      <c r="AD36" s="104"/>
    </row>
    <row r="37" customFormat="false" ht="15" hidden="true" customHeight="false" outlineLevel="0" collapsed="false">
      <c r="A37" s="0" t="s">
        <v>220</v>
      </c>
      <c r="B37" s="104" t="n">
        <v>19</v>
      </c>
      <c r="C37" s="108"/>
      <c r="D37" s="108"/>
      <c r="E37" s="108"/>
      <c r="F37" s="108"/>
      <c r="G37" s="109"/>
      <c r="H37" s="109"/>
      <c r="I37" s="109" t="n">
        <v>0.272914200446484</v>
      </c>
      <c r="J37" s="109" t="n">
        <v>0.281442769210436</v>
      </c>
      <c r="K37" s="111" t="n">
        <v>0.289971337974389</v>
      </c>
      <c r="L37" s="111" t="n">
        <v>0.298499906738342</v>
      </c>
      <c r="M37" s="111"/>
      <c r="N37" s="111"/>
      <c r="O37" s="112"/>
      <c r="P37" s="112"/>
      <c r="Q37" s="93"/>
      <c r="R37" s="93"/>
      <c r="S37" s="93"/>
      <c r="AD37" s="104"/>
    </row>
    <row r="38" customFormat="false" ht="15" hidden="true" customHeight="false" outlineLevel="0" collapsed="false">
      <c r="A38" s="0" t="s">
        <v>221</v>
      </c>
      <c r="B38" s="104" t="n">
        <v>12</v>
      </c>
      <c r="C38" s="108"/>
      <c r="D38" s="108"/>
      <c r="E38" s="108"/>
      <c r="F38" s="108"/>
      <c r="G38" s="109"/>
      <c r="H38" s="109"/>
      <c r="I38" s="109" t="n">
        <v>0.272914200446484</v>
      </c>
      <c r="J38" s="109" t="n">
        <v>0.281442769210436</v>
      </c>
      <c r="K38" s="111" t="n">
        <v>0.289971337974389</v>
      </c>
      <c r="L38" s="111" t="n">
        <v>0.298499906738342</v>
      </c>
      <c r="M38" s="111"/>
      <c r="N38" s="111"/>
      <c r="O38" s="112"/>
      <c r="P38" s="112"/>
      <c r="Q38" s="93"/>
      <c r="R38" s="93"/>
      <c r="S38" s="93"/>
      <c r="AD38" s="104"/>
    </row>
    <row r="39" customFormat="false" ht="15" hidden="true" customHeight="false" outlineLevel="0" collapsed="false">
      <c r="A39" s="0" t="s">
        <v>221</v>
      </c>
      <c r="B39" s="104" t="n">
        <v>19</v>
      </c>
      <c r="C39" s="108"/>
      <c r="D39" s="108"/>
      <c r="E39" s="108"/>
      <c r="F39" s="108"/>
      <c r="G39" s="109"/>
      <c r="H39" s="109"/>
      <c r="I39" s="109" t="n">
        <v>0.272914200446484</v>
      </c>
      <c r="J39" s="109" t="n">
        <v>0.281442769210436</v>
      </c>
      <c r="K39" s="111" t="n">
        <v>0.289971337974389</v>
      </c>
      <c r="L39" s="111" t="n">
        <v>0.298499906738342</v>
      </c>
      <c r="M39" s="111"/>
      <c r="N39" s="111"/>
      <c r="O39" s="112"/>
      <c r="P39" s="112"/>
      <c r="Q39" s="93"/>
      <c r="R39" s="93"/>
      <c r="S39" s="93"/>
      <c r="AD39" s="104"/>
    </row>
    <row r="40" customFormat="false" ht="15" hidden="true" customHeight="false" outlineLevel="0" collapsed="false">
      <c r="A40" s="0" t="s">
        <v>645</v>
      </c>
      <c r="B40" s="104" t="n">
        <v>12</v>
      </c>
      <c r="C40" s="108"/>
      <c r="D40" s="108"/>
      <c r="E40" s="108"/>
      <c r="F40" s="108"/>
      <c r="G40" s="109"/>
      <c r="H40" s="109"/>
      <c r="I40" s="109" t="n">
        <v>0.272914200446484</v>
      </c>
      <c r="J40" s="109" t="n">
        <v>0.281442769210436</v>
      </c>
      <c r="K40" s="96" t="n">
        <v>0.289971337974389</v>
      </c>
      <c r="L40" s="96" t="n">
        <v>0.298499906738342</v>
      </c>
      <c r="M40" s="96"/>
      <c r="N40" s="96"/>
      <c r="O40" s="93"/>
      <c r="P40" s="93"/>
      <c r="Q40" s="93"/>
      <c r="R40" s="93"/>
      <c r="S40" s="93"/>
      <c r="AD40" s="104"/>
    </row>
    <row r="41" customFormat="false" ht="15" hidden="true" customHeight="false" outlineLevel="0" collapsed="false">
      <c r="A41" s="0" t="s">
        <v>645</v>
      </c>
      <c r="B41" s="104" t="n">
        <v>19</v>
      </c>
      <c r="C41" s="108"/>
      <c r="D41" s="108"/>
      <c r="E41" s="108"/>
      <c r="F41" s="108"/>
      <c r="G41" s="109"/>
      <c r="H41" s="109"/>
      <c r="I41" s="109" t="n">
        <v>0.272914200446484</v>
      </c>
      <c r="J41" s="109" t="n">
        <v>0.281442769210436</v>
      </c>
      <c r="K41" s="111" t="n">
        <v>0.289971337974389</v>
      </c>
      <c r="L41" s="111" t="n">
        <v>0.298499906738342</v>
      </c>
      <c r="M41" s="111"/>
      <c r="N41" s="111"/>
      <c r="O41" s="112"/>
      <c r="P41" s="112"/>
      <c r="Q41" s="93"/>
      <c r="R41" s="93"/>
      <c r="S41" s="93"/>
      <c r="AD41" s="104"/>
    </row>
    <row r="42" customFormat="false" ht="15" hidden="true" customHeight="false" outlineLevel="0" collapsed="false">
      <c r="A42" s="0" t="s">
        <v>222</v>
      </c>
      <c r="B42" s="104" t="n">
        <v>12</v>
      </c>
      <c r="C42" s="108"/>
      <c r="D42" s="108"/>
      <c r="E42" s="108"/>
      <c r="F42" s="108"/>
      <c r="G42" s="109"/>
      <c r="H42" s="109"/>
      <c r="I42" s="109" t="n">
        <v>0.272914200446484</v>
      </c>
      <c r="J42" s="109" t="n">
        <v>0.281442769210436</v>
      </c>
      <c r="K42" s="96" t="n">
        <v>0.289971337974389</v>
      </c>
      <c r="L42" s="96" t="n">
        <v>0.298499906738342</v>
      </c>
      <c r="M42" s="96"/>
      <c r="N42" s="96"/>
      <c r="O42" s="93"/>
      <c r="P42" s="93"/>
      <c r="Q42" s="93"/>
      <c r="R42" s="93"/>
      <c r="S42" s="93"/>
      <c r="AD42" s="104"/>
    </row>
    <row r="43" customFormat="false" ht="15" hidden="true" customHeight="false" outlineLevel="0" collapsed="false">
      <c r="A43" s="0" t="s">
        <v>222</v>
      </c>
      <c r="B43" s="104" t="n">
        <v>19</v>
      </c>
      <c r="C43" s="108"/>
      <c r="D43" s="108"/>
      <c r="E43" s="108"/>
      <c r="F43" s="108"/>
      <c r="G43" s="109"/>
      <c r="H43" s="109"/>
      <c r="I43" s="109" t="n">
        <v>0.272914200446484</v>
      </c>
      <c r="J43" s="109" t="n">
        <v>0.281442769210436</v>
      </c>
      <c r="K43" s="111" t="n">
        <v>0.289971337974389</v>
      </c>
      <c r="L43" s="111" t="n">
        <v>0.298499906738342</v>
      </c>
      <c r="M43" s="111"/>
      <c r="N43" s="111"/>
      <c r="O43" s="112"/>
      <c r="P43" s="112"/>
      <c r="Q43" s="93"/>
      <c r="R43" s="93"/>
      <c r="S43" s="93"/>
      <c r="AD43" s="104"/>
    </row>
    <row r="44" customFormat="false" ht="15" hidden="true" customHeight="false" outlineLevel="0" collapsed="false">
      <c r="A44" s="129" t="s">
        <v>650</v>
      </c>
      <c r="B44" s="104" t="n">
        <v>10</v>
      </c>
      <c r="C44" s="108"/>
      <c r="D44" s="108"/>
      <c r="E44" s="108"/>
      <c r="F44" s="108"/>
      <c r="G44" s="109"/>
      <c r="H44" s="109"/>
      <c r="I44" s="109" t="n">
        <v>0.136457100223242</v>
      </c>
      <c r="J44" s="109" t="n">
        <v>0.140721384605218</v>
      </c>
      <c r="K44" s="111" t="n">
        <v>0.144985668987195</v>
      </c>
      <c r="L44" s="111" t="n">
        <v>0.149249953369171</v>
      </c>
      <c r="M44" s="111" t="n">
        <v>0.163288100948675</v>
      </c>
      <c r="N44" s="111" t="n">
        <v>0.167823881530582</v>
      </c>
      <c r="O44" s="112" t="n">
        <v>0.17235966211249</v>
      </c>
      <c r="P44" s="112" t="n">
        <v>0.176895442694398</v>
      </c>
      <c r="Q44" s="112" t="n">
        <v>0.192291071273558</v>
      </c>
      <c r="R44" s="112" t="n">
        <v>0.197098348055397</v>
      </c>
      <c r="S44" s="112" t="n">
        <v>0.201905624837236</v>
      </c>
      <c r="T44" s="0" t="n">
        <v>0.206712901619075</v>
      </c>
      <c r="U44" s="114" t="n">
        <v>0.189921701038172</v>
      </c>
      <c r="V44" s="0" t="n">
        <v>0.194238103334494</v>
      </c>
      <c r="W44" s="0" t="n">
        <v>0.198554505630816</v>
      </c>
      <c r="X44" s="0" t="n">
        <v>0.202870907927138</v>
      </c>
      <c r="Y44" s="0" t="n">
        <v>0.20718731022346</v>
      </c>
      <c r="Z44" s="0" t="n">
        <v>0.211503712519782</v>
      </c>
      <c r="AA44" s="0" t="n">
        <v>0.215820114816105</v>
      </c>
      <c r="AB44" s="0" t="n">
        <v>0.220136517112427</v>
      </c>
      <c r="AC44" s="0" t="n">
        <v>0.224452919408749</v>
      </c>
      <c r="AD44" s="104"/>
    </row>
    <row r="45" customFormat="false" ht="15" hidden="true" customHeight="false" outlineLevel="0" collapsed="false">
      <c r="A45" s="129" t="s">
        <v>650</v>
      </c>
      <c r="B45" s="104" t="n">
        <v>17</v>
      </c>
      <c r="C45" s="108"/>
      <c r="D45" s="108"/>
      <c r="E45" s="108"/>
      <c r="F45" s="108"/>
      <c r="G45" s="109"/>
      <c r="H45" s="109"/>
      <c r="I45" s="109" t="n">
        <v>0.136457100223242</v>
      </c>
      <c r="J45" s="109" t="n">
        <v>0.140721384605218</v>
      </c>
      <c r="K45" s="111" t="n">
        <v>0.144985668987195</v>
      </c>
      <c r="L45" s="111" t="n">
        <v>0.149249953369171</v>
      </c>
      <c r="M45" s="111" t="n">
        <v>0.163288100948675</v>
      </c>
      <c r="N45" s="111" t="n">
        <v>0.167823881530582</v>
      </c>
      <c r="O45" s="112" t="n">
        <v>0.17235966211249</v>
      </c>
      <c r="P45" s="112" t="n">
        <v>0.176895442694398</v>
      </c>
      <c r="Q45" s="112" t="n">
        <v>0.192291071273558</v>
      </c>
      <c r="R45" s="112" t="n">
        <v>0.197098348055397</v>
      </c>
      <c r="S45" s="112" t="n">
        <v>0.201905624837236</v>
      </c>
      <c r="T45" s="0" t="n">
        <v>0.206712901619075</v>
      </c>
      <c r="U45" s="114" t="n">
        <v>0.189921701038172</v>
      </c>
      <c r="V45" s="0" t="n">
        <v>0.194238103334494</v>
      </c>
      <c r="W45" s="0" t="n">
        <v>0.198554505630816</v>
      </c>
      <c r="X45" s="0" t="n">
        <v>0.202870907927138</v>
      </c>
      <c r="Y45" s="0" t="n">
        <v>0.20718731022346</v>
      </c>
      <c r="Z45" s="0" t="n">
        <v>0.211503712519782</v>
      </c>
      <c r="AA45" s="0" t="n">
        <v>0.215820114816105</v>
      </c>
      <c r="AB45" s="0" t="n">
        <v>0.220136517112427</v>
      </c>
      <c r="AC45" s="0" t="n">
        <v>0.224452919408749</v>
      </c>
      <c r="AD45" s="104"/>
    </row>
    <row r="46" customFormat="false" ht="15" hidden="true" customHeight="false" outlineLevel="0" collapsed="false">
      <c r="A46" s="129" t="s">
        <v>121</v>
      </c>
      <c r="B46" s="104" t="n">
        <v>10</v>
      </c>
      <c r="C46" s="108"/>
      <c r="D46" s="108"/>
      <c r="E46" s="108"/>
      <c r="F46" s="108"/>
      <c r="G46" s="109"/>
      <c r="H46" s="109"/>
      <c r="I46" s="109" t="n">
        <v>0.136457100223242</v>
      </c>
      <c r="J46" s="109" t="n">
        <v>0.140721384605218</v>
      </c>
      <c r="K46" s="111" t="n">
        <v>0.144985668987195</v>
      </c>
      <c r="L46" s="111" t="n">
        <v>0.149249953369171</v>
      </c>
      <c r="M46" s="111" t="n">
        <v>0.163288100948675</v>
      </c>
      <c r="N46" s="111" t="n">
        <v>0.167823881530582</v>
      </c>
      <c r="O46" s="112" t="n">
        <v>0.17235966211249</v>
      </c>
      <c r="P46" s="112" t="n">
        <v>0.176895442694398</v>
      </c>
      <c r="Q46" s="112" t="n">
        <v>0.192291071273558</v>
      </c>
      <c r="R46" s="112" t="n">
        <v>0.197098348055397</v>
      </c>
      <c r="S46" s="112" t="n">
        <v>0.201905624837236</v>
      </c>
      <c r="T46" s="0" t="n">
        <v>0.206712901619075</v>
      </c>
      <c r="U46" s="114" t="n">
        <v>0.189921701038172</v>
      </c>
      <c r="V46" s="0" t="n">
        <v>0.194238103334494</v>
      </c>
      <c r="W46" s="0" t="n">
        <v>0.198554505630816</v>
      </c>
      <c r="X46" s="0" t="n">
        <v>0.202870907927138</v>
      </c>
      <c r="Y46" s="0" t="n">
        <v>0.20718731022346</v>
      </c>
      <c r="Z46" s="0" t="n">
        <v>0.211503712519782</v>
      </c>
      <c r="AA46" s="0" t="n">
        <v>0.215820114816105</v>
      </c>
      <c r="AB46" s="0" t="n">
        <v>0.220136517112427</v>
      </c>
      <c r="AC46" s="0" t="n">
        <v>0.224452919408749</v>
      </c>
      <c r="AD46" s="104"/>
    </row>
    <row r="47" customFormat="false" ht="15" hidden="true" customHeight="false" outlineLevel="0" collapsed="false">
      <c r="A47" s="129" t="s">
        <v>121</v>
      </c>
      <c r="B47" s="104" t="n">
        <v>17</v>
      </c>
      <c r="C47" s="108"/>
      <c r="D47" s="108"/>
      <c r="E47" s="108"/>
      <c r="F47" s="108"/>
      <c r="G47" s="109"/>
      <c r="H47" s="109"/>
      <c r="I47" s="109" t="n">
        <v>0.136457100223242</v>
      </c>
      <c r="J47" s="109" t="n">
        <v>0.140721384605218</v>
      </c>
      <c r="K47" s="111" t="n">
        <v>0.144985668987195</v>
      </c>
      <c r="L47" s="111" t="n">
        <v>0.149249953369171</v>
      </c>
      <c r="M47" s="111" t="n">
        <v>0.163288100948675</v>
      </c>
      <c r="N47" s="111" t="n">
        <v>0.167823881530582</v>
      </c>
      <c r="O47" s="112" t="n">
        <v>0.17235966211249</v>
      </c>
      <c r="P47" s="112" t="n">
        <v>0.176895442694398</v>
      </c>
      <c r="Q47" s="112" t="n">
        <v>0.192291071273558</v>
      </c>
      <c r="R47" s="112" t="n">
        <v>0.197098348055397</v>
      </c>
      <c r="S47" s="112" t="n">
        <v>0.201905624837236</v>
      </c>
      <c r="T47" s="0" t="n">
        <v>0.206712901619075</v>
      </c>
      <c r="U47" s="114" t="n">
        <v>0.189921701038172</v>
      </c>
      <c r="V47" s="0" t="n">
        <v>0.194238103334494</v>
      </c>
      <c r="W47" s="0" t="n">
        <v>0.198554505630816</v>
      </c>
      <c r="X47" s="0" t="n">
        <v>0.202870907927138</v>
      </c>
      <c r="Y47" s="0" t="n">
        <v>0.20718731022346</v>
      </c>
      <c r="Z47" s="0" t="n">
        <v>0.211503712519782</v>
      </c>
      <c r="AA47" s="0" t="n">
        <v>0.215820114816105</v>
      </c>
      <c r="AB47" s="0" t="n">
        <v>0.220136517112427</v>
      </c>
      <c r="AC47" s="0" t="n">
        <v>0.224452919408749</v>
      </c>
      <c r="AD47" s="104"/>
    </row>
    <row r="48" customFormat="false" ht="15" hidden="true" customHeight="false" outlineLevel="0" collapsed="false">
      <c r="A48" s="129" t="s">
        <v>223</v>
      </c>
      <c r="B48" s="104" t="n">
        <v>10</v>
      </c>
      <c r="C48" s="108"/>
      <c r="D48" s="108"/>
      <c r="E48" s="108"/>
      <c r="F48" s="108"/>
      <c r="G48" s="109"/>
      <c r="H48" s="109"/>
      <c r="I48" s="109" t="n">
        <v>0.136457100223242</v>
      </c>
      <c r="J48" s="109" t="n">
        <v>0.140721384605218</v>
      </c>
      <c r="K48" s="111" t="n">
        <v>0.144985668987195</v>
      </c>
      <c r="L48" s="111" t="n">
        <v>0.149249953369171</v>
      </c>
      <c r="M48" s="111" t="n">
        <v>0.163288100948675</v>
      </c>
      <c r="N48" s="111" t="n">
        <v>0.167823881530582</v>
      </c>
      <c r="O48" s="112" t="n">
        <v>0.17235966211249</v>
      </c>
      <c r="P48" s="112" t="n">
        <v>0.176895442694398</v>
      </c>
      <c r="Q48" s="112" t="n">
        <v>0.192291071273558</v>
      </c>
      <c r="R48" s="112" t="n">
        <v>0.197098348055397</v>
      </c>
      <c r="S48" s="112" t="n">
        <v>0.201905624837236</v>
      </c>
      <c r="T48" s="0" t="n">
        <v>0.206712901619075</v>
      </c>
      <c r="U48" s="114" t="n">
        <v>0.189921701038172</v>
      </c>
      <c r="V48" s="0" t="n">
        <v>0.194238103334494</v>
      </c>
      <c r="W48" s="0" t="n">
        <v>0.198554505630816</v>
      </c>
      <c r="X48" s="0" t="n">
        <v>0.202870907927138</v>
      </c>
      <c r="Y48" s="0" t="n">
        <v>0.20718731022346</v>
      </c>
      <c r="Z48" s="0" t="n">
        <v>0.211503712519782</v>
      </c>
      <c r="AA48" s="0" t="n">
        <v>0.215820114816105</v>
      </c>
      <c r="AB48" s="0" t="n">
        <v>0.220136517112427</v>
      </c>
      <c r="AC48" s="0" t="n">
        <v>0.224452919408749</v>
      </c>
      <c r="AD48" s="104"/>
    </row>
    <row r="49" customFormat="false" ht="15" hidden="true" customHeight="false" outlineLevel="0" collapsed="false">
      <c r="A49" s="129" t="s">
        <v>223</v>
      </c>
      <c r="B49" s="104" t="n">
        <v>17</v>
      </c>
      <c r="C49" s="108"/>
      <c r="D49" s="108"/>
      <c r="E49" s="108"/>
      <c r="F49" s="108"/>
      <c r="G49" s="109"/>
      <c r="H49" s="109"/>
      <c r="I49" s="109" t="n">
        <v>0.136457100223242</v>
      </c>
      <c r="J49" s="109" t="n">
        <v>0.140721384605218</v>
      </c>
      <c r="K49" s="111" t="n">
        <v>0.144985668987195</v>
      </c>
      <c r="L49" s="111" t="n">
        <v>0.149249953369171</v>
      </c>
      <c r="M49" s="111" t="n">
        <v>0.163288100948675</v>
      </c>
      <c r="N49" s="111" t="n">
        <v>0.167823881530582</v>
      </c>
      <c r="O49" s="112" t="n">
        <v>0.17235966211249</v>
      </c>
      <c r="P49" s="112" t="n">
        <v>0.176895442694398</v>
      </c>
      <c r="Q49" s="112" t="n">
        <v>0.192291071273558</v>
      </c>
      <c r="R49" s="112" t="n">
        <v>0.197098348055397</v>
      </c>
      <c r="S49" s="112" t="n">
        <v>0.201905624837236</v>
      </c>
      <c r="T49" s="0" t="n">
        <v>0.206712901619075</v>
      </c>
      <c r="U49" s="114" t="n">
        <v>0.189921701038172</v>
      </c>
      <c r="V49" s="0" t="n">
        <v>0.194238103334494</v>
      </c>
      <c r="W49" s="0" t="n">
        <v>0.198554505630816</v>
      </c>
      <c r="X49" s="0" t="n">
        <v>0.202870907927138</v>
      </c>
      <c r="Y49" s="0" t="n">
        <v>0.20718731022346</v>
      </c>
      <c r="Z49" s="0" t="n">
        <v>0.211503712519782</v>
      </c>
      <c r="AA49" s="0" t="n">
        <v>0.215820114816105</v>
      </c>
      <c r="AB49" s="0" t="n">
        <v>0.220136517112427</v>
      </c>
      <c r="AC49" s="0" t="n">
        <v>0.224452919408749</v>
      </c>
      <c r="AD49" s="104"/>
    </row>
    <row r="50" customFormat="false" ht="15" hidden="true" customHeight="false" outlineLevel="0" collapsed="false">
      <c r="A50" s="129" t="s">
        <v>657</v>
      </c>
      <c r="B50" s="104" t="n">
        <v>10</v>
      </c>
      <c r="C50" s="108"/>
      <c r="D50" s="108"/>
      <c r="E50" s="108"/>
      <c r="F50" s="108"/>
      <c r="G50" s="109"/>
      <c r="H50" s="109"/>
      <c r="I50" s="109" t="n">
        <v>0.136457100223242</v>
      </c>
      <c r="J50" s="109" t="n">
        <v>0.140721384605218</v>
      </c>
      <c r="K50" s="111" t="n">
        <v>0.144985668987195</v>
      </c>
      <c r="L50" s="111" t="n">
        <v>0.149249953369171</v>
      </c>
      <c r="M50" s="111" t="n">
        <v>0.163288100948675</v>
      </c>
      <c r="N50" s="111" t="n">
        <v>0.167823881530582</v>
      </c>
      <c r="O50" s="112" t="n">
        <v>0.17235966211249</v>
      </c>
      <c r="P50" s="112" t="n">
        <v>0.176895442694398</v>
      </c>
      <c r="Q50" s="112" t="n">
        <v>0.192291071273558</v>
      </c>
      <c r="R50" s="112" t="n">
        <v>0.197098348055397</v>
      </c>
      <c r="S50" s="112" t="n">
        <v>0.201905624837236</v>
      </c>
      <c r="T50" s="0" t="n">
        <v>0.206712901619075</v>
      </c>
      <c r="U50" s="114" t="n">
        <v>0.189921701038172</v>
      </c>
      <c r="V50" s="0" t="n">
        <v>0.194238103334494</v>
      </c>
      <c r="W50" s="0" t="n">
        <v>0.198554505630816</v>
      </c>
      <c r="X50" s="0" t="n">
        <v>0.202870907927138</v>
      </c>
      <c r="Y50" s="0" t="n">
        <v>0.20718731022346</v>
      </c>
      <c r="Z50" s="0" t="n">
        <v>0.211503712519782</v>
      </c>
      <c r="AA50" s="0" t="n">
        <v>0.215820114816105</v>
      </c>
      <c r="AB50" s="0" t="n">
        <v>0.220136517112427</v>
      </c>
      <c r="AC50" s="0" t="n">
        <v>0.224452919408749</v>
      </c>
      <c r="AD50" s="104"/>
    </row>
    <row r="51" customFormat="false" ht="15" hidden="true" customHeight="false" outlineLevel="0" collapsed="false">
      <c r="A51" s="129" t="s">
        <v>657</v>
      </c>
      <c r="B51" s="104" t="n">
        <v>17</v>
      </c>
      <c r="C51" s="108"/>
      <c r="D51" s="108"/>
      <c r="E51" s="108"/>
      <c r="F51" s="108"/>
      <c r="G51" s="109"/>
      <c r="H51" s="109"/>
      <c r="I51" s="109" t="n">
        <v>0.136457100223242</v>
      </c>
      <c r="J51" s="109" t="n">
        <v>0.140721384605218</v>
      </c>
      <c r="K51" s="111" t="n">
        <v>0.144985668987195</v>
      </c>
      <c r="L51" s="111" t="n">
        <v>0.149249953369171</v>
      </c>
      <c r="M51" s="111" t="n">
        <v>0.163288100948675</v>
      </c>
      <c r="N51" s="111" t="n">
        <v>0.167823881530582</v>
      </c>
      <c r="O51" s="112" t="n">
        <v>0.17235966211249</v>
      </c>
      <c r="P51" s="112" t="n">
        <v>0.176895442694398</v>
      </c>
      <c r="Q51" s="112" t="n">
        <v>0.192291071273558</v>
      </c>
      <c r="R51" s="112" t="n">
        <v>0.197098348055397</v>
      </c>
      <c r="S51" s="112" t="n">
        <v>0.201905624837236</v>
      </c>
      <c r="T51" s="0" t="n">
        <v>0.206712901619075</v>
      </c>
      <c r="U51" s="114" t="n">
        <v>0.189921701038172</v>
      </c>
      <c r="V51" s="0" t="n">
        <v>0.194238103334494</v>
      </c>
      <c r="W51" s="0" t="n">
        <v>0.198554505630816</v>
      </c>
      <c r="X51" s="0" t="n">
        <v>0.202870907927138</v>
      </c>
      <c r="Y51" s="0" t="n">
        <v>0.20718731022346</v>
      </c>
      <c r="Z51" s="0" t="n">
        <v>0.211503712519782</v>
      </c>
      <c r="AA51" s="0" t="n">
        <v>0.215820114816105</v>
      </c>
      <c r="AB51" s="0" t="n">
        <v>0.220136517112427</v>
      </c>
      <c r="AC51" s="0" t="n">
        <v>0.224452919408749</v>
      </c>
      <c r="AD51" s="104"/>
    </row>
    <row r="52" customFormat="false" ht="15" hidden="true" customHeight="false" outlineLevel="0" collapsed="false">
      <c r="A52" s="103" t="s">
        <v>660</v>
      </c>
      <c r="B52" s="104" t="n">
        <v>10</v>
      </c>
      <c r="C52" s="108"/>
      <c r="D52" s="108"/>
      <c r="E52" s="108"/>
      <c r="F52" s="108"/>
      <c r="G52" s="109"/>
      <c r="H52" s="109"/>
      <c r="I52" s="109" t="n">
        <v>0.136457100223242</v>
      </c>
      <c r="J52" s="109" t="n">
        <v>0.140721384605218</v>
      </c>
      <c r="K52" s="111" t="n">
        <v>0.144985668987195</v>
      </c>
      <c r="L52" s="111" t="n">
        <v>0.149249953369171</v>
      </c>
      <c r="M52" s="111" t="n">
        <v>0.163288100948675</v>
      </c>
      <c r="N52" s="111" t="n">
        <v>0.167823881530582</v>
      </c>
      <c r="O52" s="112" t="n">
        <v>0.17235966211249</v>
      </c>
      <c r="P52" s="112" t="n">
        <v>0.176895442694398</v>
      </c>
      <c r="Q52" s="112" t="n">
        <v>0.192291071273558</v>
      </c>
      <c r="R52" s="112" t="n">
        <v>0.197098348055397</v>
      </c>
      <c r="S52" s="112" t="n">
        <v>0.201905624837236</v>
      </c>
      <c r="T52" s="0" t="n">
        <v>0.206712901619075</v>
      </c>
      <c r="U52" s="114" t="n">
        <v>0.189921701038172</v>
      </c>
      <c r="V52" s="0" t="n">
        <v>0.194238103334494</v>
      </c>
      <c r="W52" s="0" t="n">
        <v>0.198554505630816</v>
      </c>
      <c r="X52" s="0" t="n">
        <v>0.202870907927138</v>
      </c>
      <c r="Y52" s="0" t="n">
        <v>0.20718731022346</v>
      </c>
      <c r="Z52" s="0" t="n">
        <v>0.211503712519782</v>
      </c>
      <c r="AA52" s="0" t="n">
        <v>0.215820114816105</v>
      </c>
      <c r="AB52" s="0" t="n">
        <v>0.220136517112427</v>
      </c>
      <c r="AC52" s="0" t="n">
        <v>0.224452919408749</v>
      </c>
      <c r="AD52" s="104"/>
    </row>
    <row r="53" customFormat="false" ht="15" hidden="true" customHeight="false" outlineLevel="0" collapsed="false">
      <c r="A53" s="129" t="s">
        <v>660</v>
      </c>
      <c r="B53" s="104" t="n">
        <v>17</v>
      </c>
      <c r="C53" s="108"/>
      <c r="D53" s="108"/>
      <c r="E53" s="108"/>
      <c r="F53" s="108"/>
      <c r="G53" s="109"/>
      <c r="H53" s="109"/>
      <c r="I53" s="109" t="n">
        <v>0.136457100223242</v>
      </c>
      <c r="J53" s="109" t="n">
        <v>0.140721384605218</v>
      </c>
      <c r="K53" s="111" t="n">
        <v>0.144985668987195</v>
      </c>
      <c r="L53" s="111" t="n">
        <v>0.149249953369171</v>
      </c>
      <c r="M53" s="111" t="n">
        <v>0.163288100948675</v>
      </c>
      <c r="N53" s="111" t="n">
        <v>0.167823881530582</v>
      </c>
      <c r="O53" s="112" t="n">
        <v>0.17235966211249</v>
      </c>
      <c r="P53" s="112" t="n">
        <v>0.176895442694398</v>
      </c>
      <c r="Q53" s="112" t="n">
        <v>0.192291071273558</v>
      </c>
      <c r="R53" s="112" t="n">
        <v>0.197098348055397</v>
      </c>
      <c r="S53" s="112" t="n">
        <v>0.201905624837236</v>
      </c>
      <c r="T53" s="0" t="n">
        <v>0.206712901619075</v>
      </c>
      <c r="U53" s="114" t="n">
        <v>0.189921701038172</v>
      </c>
      <c r="V53" s="0" t="n">
        <v>0.194238103334494</v>
      </c>
      <c r="W53" s="0" t="n">
        <v>0.198554505630816</v>
      </c>
      <c r="X53" s="0" t="n">
        <v>0.202870907927138</v>
      </c>
      <c r="Y53" s="0" t="n">
        <v>0.20718731022346</v>
      </c>
      <c r="Z53" s="0" t="n">
        <v>0.211503712519782</v>
      </c>
      <c r="AA53" s="0" t="n">
        <v>0.215820114816105</v>
      </c>
      <c r="AB53" s="0" t="n">
        <v>0.220136517112427</v>
      </c>
      <c r="AC53" s="0" t="n">
        <v>0.224452919408749</v>
      </c>
      <c r="AD53" s="104"/>
    </row>
    <row r="54" customFormat="false" ht="15" hidden="true" customHeight="false" outlineLevel="0" collapsed="false">
      <c r="A54" s="129" t="s">
        <v>664</v>
      </c>
      <c r="B54" s="104" t="n">
        <v>10</v>
      </c>
      <c r="C54" s="108"/>
      <c r="D54" s="108"/>
      <c r="E54" s="108"/>
      <c r="F54" s="108"/>
      <c r="G54" s="109"/>
      <c r="H54" s="109"/>
      <c r="I54" s="109" t="n">
        <v>0.136457100223242</v>
      </c>
      <c r="J54" s="109" t="n">
        <v>0.140721384605218</v>
      </c>
      <c r="K54" s="111" t="n">
        <v>0.144985668987195</v>
      </c>
      <c r="L54" s="111" t="n">
        <v>0.149249953369171</v>
      </c>
      <c r="M54" s="111" t="n">
        <v>0.163288100948675</v>
      </c>
      <c r="N54" s="111" t="n">
        <v>0.167823881530582</v>
      </c>
      <c r="O54" s="112" t="n">
        <v>0.17235966211249</v>
      </c>
      <c r="P54" s="112" t="n">
        <v>0.176895442694398</v>
      </c>
      <c r="Q54" s="112" t="n">
        <v>0.192291071273558</v>
      </c>
      <c r="R54" s="112" t="n">
        <v>0.197098348055397</v>
      </c>
      <c r="S54" s="112" t="n">
        <v>0.201905624837236</v>
      </c>
      <c r="T54" s="0" t="n">
        <v>0.206712901619075</v>
      </c>
      <c r="U54" s="114" t="n">
        <v>0.189921701038172</v>
      </c>
      <c r="V54" s="0" t="n">
        <v>0.194238103334494</v>
      </c>
      <c r="W54" s="0" t="n">
        <v>0.198554505630816</v>
      </c>
      <c r="X54" s="0" t="n">
        <v>0.202870907927138</v>
      </c>
      <c r="Y54" s="0" t="n">
        <v>0.20718731022346</v>
      </c>
      <c r="Z54" s="0" t="n">
        <v>0.211503712519782</v>
      </c>
      <c r="AA54" s="0" t="n">
        <v>0.215820114816105</v>
      </c>
      <c r="AB54" s="0" t="n">
        <v>0.220136517112427</v>
      </c>
      <c r="AC54" s="0" t="n">
        <v>0.224452919408749</v>
      </c>
      <c r="AD54" s="104"/>
    </row>
    <row r="55" customFormat="false" ht="15" hidden="true" customHeight="false" outlineLevel="0" collapsed="false">
      <c r="A55" s="129" t="s">
        <v>664</v>
      </c>
      <c r="B55" s="104" t="n">
        <v>17</v>
      </c>
      <c r="C55" s="108"/>
      <c r="D55" s="108"/>
      <c r="E55" s="108"/>
      <c r="F55" s="108"/>
      <c r="G55" s="109"/>
      <c r="H55" s="109"/>
      <c r="I55" s="109" t="n">
        <v>0.136457100223242</v>
      </c>
      <c r="J55" s="109" t="n">
        <v>0.140721384605218</v>
      </c>
      <c r="K55" s="111" t="n">
        <v>0.144985668987195</v>
      </c>
      <c r="L55" s="111" t="n">
        <v>0.149249953369171</v>
      </c>
      <c r="M55" s="111" t="n">
        <v>0.163288100948675</v>
      </c>
      <c r="N55" s="111" t="n">
        <v>0.167823881530582</v>
      </c>
      <c r="O55" s="112" t="n">
        <v>0.17235966211249</v>
      </c>
      <c r="P55" s="112" t="n">
        <v>0.176895442694398</v>
      </c>
      <c r="Q55" s="112" t="n">
        <v>0.192291071273558</v>
      </c>
      <c r="R55" s="112" t="n">
        <v>0.197098348055397</v>
      </c>
      <c r="S55" s="112" t="n">
        <v>0.201905624837236</v>
      </c>
      <c r="T55" s="0" t="n">
        <v>0.206712901619075</v>
      </c>
      <c r="U55" s="114" t="n">
        <v>0.189921701038172</v>
      </c>
      <c r="V55" s="0" t="n">
        <v>0.194238103334494</v>
      </c>
      <c r="W55" s="0" t="n">
        <v>0.198554505630816</v>
      </c>
      <c r="X55" s="0" t="n">
        <v>0.202870907927138</v>
      </c>
      <c r="Y55" s="0" t="n">
        <v>0.20718731022346</v>
      </c>
      <c r="Z55" s="0" t="n">
        <v>0.211503712519782</v>
      </c>
      <c r="AA55" s="0" t="n">
        <v>0.215820114816105</v>
      </c>
      <c r="AB55" s="0" t="n">
        <v>0.220136517112427</v>
      </c>
      <c r="AC55" s="0" t="n">
        <v>0.224452919408749</v>
      </c>
      <c r="AD55" s="104"/>
    </row>
    <row r="56" customFormat="false" ht="15" hidden="true" customHeight="false" outlineLevel="0" collapsed="false">
      <c r="A56" s="0" t="s">
        <v>667</v>
      </c>
      <c r="B56" s="104" t="n">
        <v>13</v>
      </c>
      <c r="C56" s="118"/>
      <c r="D56" s="118"/>
      <c r="E56" s="118"/>
      <c r="F56" s="118"/>
      <c r="G56" s="95"/>
      <c r="H56" s="95"/>
      <c r="I56" s="95" t="n">
        <v>0.272914200446484</v>
      </c>
      <c r="J56" s="95" t="n">
        <v>0.281442769210436</v>
      </c>
      <c r="K56" s="96" t="n">
        <v>0.289971337974389</v>
      </c>
      <c r="L56" s="96" t="n">
        <v>0.298499906738342</v>
      </c>
      <c r="M56" s="96"/>
      <c r="N56" s="96"/>
      <c r="O56" s="93"/>
      <c r="P56" s="93"/>
      <c r="Q56" s="93"/>
      <c r="R56" s="93"/>
      <c r="S56" s="93"/>
      <c r="AD56" s="104"/>
    </row>
    <row r="57" customFormat="false" ht="15" hidden="true" customHeight="false" outlineLevel="0" collapsed="false">
      <c r="A57" s="0" t="s">
        <v>667</v>
      </c>
      <c r="B57" s="104" t="n">
        <v>20</v>
      </c>
      <c r="C57" s="108"/>
      <c r="D57" s="108"/>
      <c r="E57" s="108"/>
      <c r="F57" s="108"/>
      <c r="G57" s="109"/>
      <c r="H57" s="109"/>
      <c r="I57" s="109" t="n">
        <v>0.272914200446484</v>
      </c>
      <c r="J57" s="109" t="n">
        <v>0.281442769210436</v>
      </c>
      <c r="K57" s="111" t="n">
        <v>0.289971337974389</v>
      </c>
      <c r="L57" s="111" t="n">
        <v>0.298499906738342</v>
      </c>
      <c r="M57" s="111"/>
      <c r="N57" s="111"/>
      <c r="O57" s="112"/>
      <c r="P57" s="112"/>
      <c r="Q57" s="112"/>
      <c r="R57" s="112"/>
      <c r="S57" s="112"/>
      <c r="AD57" s="104"/>
    </row>
    <row r="58" customFormat="false" ht="15" hidden="true" customHeight="false" outlineLevel="0" collapsed="false">
      <c r="A58" s="0" t="s">
        <v>670</v>
      </c>
      <c r="B58" s="104" t="n">
        <v>15</v>
      </c>
      <c r="C58" s="108"/>
      <c r="D58" s="108"/>
      <c r="E58" s="108"/>
      <c r="F58" s="108"/>
      <c r="G58" s="109"/>
      <c r="H58" s="109"/>
      <c r="I58" s="109" t="n">
        <v>0.136457100223242</v>
      </c>
      <c r="J58" s="109" t="n">
        <v>0.140721384605218</v>
      </c>
      <c r="K58" s="111" t="n">
        <v>0.144985668987195</v>
      </c>
      <c r="L58" s="111" t="n">
        <v>0.149249953369171</v>
      </c>
      <c r="M58" s="111" t="n">
        <v>0.163288100948675</v>
      </c>
      <c r="N58" s="111" t="n">
        <v>0.167823881530582</v>
      </c>
      <c r="O58" s="112" t="n">
        <v>0.17235966211249</v>
      </c>
      <c r="P58" s="112" t="n">
        <v>0.176895442694398</v>
      </c>
      <c r="Q58" s="112" t="n">
        <v>0.192291071273558</v>
      </c>
      <c r="R58" s="112" t="n">
        <v>0.197098348055397</v>
      </c>
      <c r="S58" s="112" t="n">
        <v>0.201905624837236</v>
      </c>
      <c r="T58" s="0" t="n">
        <v>0.206712901619075</v>
      </c>
      <c r="U58" s="0" t="n">
        <v>0.189921701038172</v>
      </c>
      <c r="V58" s="0" t="n">
        <v>0.194238103334494</v>
      </c>
      <c r="W58" s="0" t="n">
        <v>0.198554505630816</v>
      </c>
      <c r="X58" s="0" t="n">
        <v>0.202870907927138</v>
      </c>
      <c r="Y58" s="0" t="n">
        <v>0.20718731022346</v>
      </c>
      <c r="Z58" s="0" t="n">
        <v>0.211503712519782</v>
      </c>
      <c r="AA58" s="0" t="n">
        <v>0.215820114816105</v>
      </c>
      <c r="AB58" s="0" t="n">
        <v>0.220136517112427</v>
      </c>
      <c r="AC58" s="0" t="n">
        <v>0.224452919408749</v>
      </c>
      <c r="AD58" s="104"/>
    </row>
    <row r="59" customFormat="false" ht="15" hidden="true" customHeight="false" outlineLevel="0" collapsed="false">
      <c r="A59" s="0" t="s">
        <v>670</v>
      </c>
      <c r="B59" s="104" t="n">
        <v>22</v>
      </c>
      <c r="C59" s="108"/>
      <c r="D59" s="108"/>
      <c r="E59" s="108"/>
      <c r="F59" s="108"/>
      <c r="G59" s="109"/>
      <c r="H59" s="109"/>
      <c r="I59" s="109" t="n">
        <v>0.136457100223242</v>
      </c>
      <c r="J59" s="109" t="n">
        <v>0.140721384605218</v>
      </c>
      <c r="K59" s="111" t="n">
        <v>0.144985668987195</v>
      </c>
      <c r="L59" s="111" t="n">
        <v>0.149249953369171</v>
      </c>
      <c r="M59" s="111" t="n">
        <v>0.163288100948675</v>
      </c>
      <c r="N59" s="111" t="n">
        <v>0.167823881530582</v>
      </c>
      <c r="O59" s="112" t="n">
        <v>0.17235966211249</v>
      </c>
      <c r="P59" s="112" t="n">
        <v>0.176895442694398</v>
      </c>
      <c r="Q59" s="112" t="n">
        <v>0.192291071273558</v>
      </c>
      <c r="R59" s="112" t="n">
        <v>0.197098348055397</v>
      </c>
      <c r="S59" s="112" t="n">
        <v>0.201905624837236</v>
      </c>
      <c r="T59" s="0" t="n">
        <v>0.206712901619075</v>
      </c>
      <c r="U59" s="0" t="n">
        <v>0.189921701038172</v>
      </c>
      <c r="V59" s="0" t="n">
        <v>0.194238103334494</v>
      </c>
      <c r="W59" s="0" t="n">
        <v>0.198554505630816</v>
      </c>
      <c r="X59" s="0" t="n">
        <v>0.202870907927138</v>
      </c>
      <c r="Y59" s="0" t="n">
        <v>0.20718731022346</v>
      </c>
      <c r="Z59" s="0" t="n">
        <v>0.211503712519782</v>
      </c>
      <c r="AA59" s="0" t="n">
        <v>0.215820114816105</v>
      </c>
      <c r="AB59" s="0" t="n">
        <v>0.220136517112427</v>
      </c>
      <c r="AC59" s="0" t="n">
        <v>0.224452919408749</v>
      </c>
      <c r="AD59" s="104"/>
    </row>
    <row r="60" customFormat="false" ht="15" hidden="true" customHeight="false" outlineLevel="0" collapsed="false">
      <c r="A60" s="129" t="s">
        <v>224</v>
      </c>
      <c r="B60" s="104" t="n">
        <v>10</v>
      </c>
      <c r="C60" s="108"/>
      <c r="D60" s="108"/>
      <c r="E60" s="108"/>
      <c r="F60" s="108"/>
      <c r="G60" s="109"/>
      <c r="H60" s="109"/>
      <c r="I60" s="109" t="n">
        <v>0.136457100223242</v>
      </c>
      <c r="J60" s="109" t="n">
        <v>0.140721384605218</v>
      </c>
      <c r="K60" s="111" t="n">
        <v>0.144985668987195</v>
      </c>
      <c r="L60" s="111" t="n">
        <v>0.149249953369171</v>
      </c>
      <c r="M60" s="111" t="n">
        <v>0.163288100948675</v>
      </c>
      <c r="N60" s="111" t="n">
        <v>0.167823881530582</v>
      </c>
      <c r="O60" s="112" t="n">
        <v>0.17235966211249</v>
      </c>
      <c r="P60" s="112" t="n">
        <v>0.176895442694398</v>
      </c>
      <c r="Q60" s="112" t="n">
        <v>0.192291071273558</v>
      </c>
      <c r="R60" s="112" t="n">
        <v>0.197098348055397</v>
      </c>
      <c r="S60" s="112" t="n">
        <v>0.201905624837236</v>
      </c>
      <c r="T60" s="0" t="n">
        <v>0.206712901619075</v>
      </c>
      <c r="U60" s="114" t="n">
        <v>0.189921701038172</v>
      </c>
      <c r="V60" s="0" t="n">
        <v>0.194238103334494</v>
      </c>
      <c r="W60" s="0" t="n">
        <v>0.198554505630816</v>
      </c>
      <c r="X60" s="0" t="n">
        <v>0.202870907927138</v>
      </c>
      <c r="Y60" s="0" t="n">
        <v>0.20718731022346</v>
      </c>
      <c r="Z60" s="0" t="n">
        <v>0.211503712519782</v>
      </c>
      <c r="AA60" s="0" t="n">
        <v>0.215820114816105</v>
      </c>
      <c r="AB60" s="0" t="n">
        <v>0.220136517112427</v>
      </c>
      <c r="AC60" s="0" t="n">
        <v>0.224452919408749</v>
      </c>
      <c r="AD60" s="104"/>
    </row>
    <row r="61" customFormat="false" ht="15" hidden="true" customHeight="false" outlineLevel="0" collapsed="false">
      <c r="A61" s="129" t="s">
        <v>224</v>
      </c>
      <c r="B61" s="104" t="n">
        <v>17</v>
      </c>
      <c r="C61" s="108"/>
      <c r="D61" s="108"/>
      <c r="E61" s="108"/>
      <c r="F61" s="108"/>
      <c r="G61" s="109"/>
      <c r="H61" s="109"/>
      <c r="I61" s="109" t="n">
        <v>0.136457100223242</v>
      </c>
      <c r="J61" s="109" t="n">
        <v>0.140721384605218</v>
      </c>
      <c r="K61" s="111" t="n">
        <v>0.144985668987195</v>
      </c>
      <c r="L61" s="111" t="n">
        <v>0.149249953369171</v>
      </c>
      <c r="M61" s="111" t="n">
        <v>0.163288100948675</v>
      </c>
      <c r="N61" s="111" t="n">
        <v>0.167823881530582</v>
      </c>
      <c r="O61" s="112" t="n">
        <v>0.17235966211249</v>
      </c>
      <c r="P61" s="112" t="n">
        <v>0.176895442694398</v>
      </c>
      <c r="Q61" s="112" t="n">
        <v>0.192291071273558</v>
      </c>
      <c r="R61" s="112" t="n">
        <v>0.197098348055397</v>
      </c>
      <c r="S61" s="112" t="n">
        <v>0.201905624837236</v>
      </c>
      <c r="T61" s="0" t="n">
        <v>0.206712901619075</v>
      </c>
      <c r="U61" s="114" t="n">
        <v>0.189921701038172</v>
      </c>
      <c r="V61" s="0" t="n">
        <v>0.194238103334494</v>
      </c>
      <c r="W61" s="0" t="n">
        <v>0.198554505630816</v>
      </c>
      <c r="X61" s="0" t="n">
        <v>0.202870907927138</v>
      </c>
      <c r="Y61" s="0" t="n">
        <v>0.20718731022346</v>
      </c>
      <c r="Z61" s="0" t="n">
        <v>0.211503712519782</v>
      </c>
      <c r="AA61" s="0" t="n">
        <v>0.215820114816105</v>
      </c>
      <c r="AB61" s="0" t="n">
        <v>0.220136517112427</v>
      </c>
      <c r="AC61" s="0" t="n">
        <v>0.224452919408749</v>
      </c>
      <c r="AD61" s="104"/>
    </row>
    <row r="62" customFormat="false" ht="15" hidden="true" customHeight="false" outlineLevel="0" collapsed="false">
      <c r="A62" s="0" t="s">
        <v>224</v>
      </c>
      <c r="B62" s="104" t="n">
        <v>14</v>
      </c>
      <c r="C62" s="108"/>
      <c r="D62" s="108"/>
      <c r="E62" s="108"/>
      <c r="F62" s="108"/>
      <c r="G62" s="109"/>
      <c r="H62" s="109"/>
      <c r="I62" s="109" t="n">
        <v>0.122811390200918</v>
      </c>
      <c r="J62" s="109" t="n">
        <v>0.126649246144696</v>
      </c>
      <c r="K62" s="111" t="n">
        <v>0.130487102088475</v>
      </c>
      <c r="L62" s="111" t="n">
        <v>0.134324958032254</v>
      </c>
      <c r="M62" s="111" t="n">
        <v>0.146959290853807</v>
      </c>
      <c r="N62" s="111" t="n">
        <v>0.151041493377524</v>
      </c>
      <c r="O62" s="112" t="n">
        <v>0.155123695901241</v>
      </c>
      <c r="P62" s="112" t="n">
        <v>0.159205898424958</v>
      </c>
      <c r="Q62" s="112" t="n">
        <v>0.173061964146202</v>
      </c>
      <c r="R62" s="112" t="n">
        <v>0.177388513249857</v>
      </c>
      <c r="S62" s="112" t="n">
        <v>0.181715062353512</v>
      </c>
      <c r="T62" s="0" t="n">
        <v>0.186041611457167</v>
      </c>
      <c r="U62" s="0" t="n">
        <v>0.170929530934355</v>
      </c>
      <c r="V62" s="0" t="n">
        <v>0.174814293001045</v>
      </c>
      <c r="W62" s="0" t="n">
        <v>0.178699055067735</v>
      </c>
      <c r="X62" s="0" t="n">
        <v>0.182583817134424</v>
      </c>
      <c r="Y62" s="0" t="n">
        <v>0.186468579201114</v>
      </c>
      <c r="Z62" s="0" t="n">
        <v>0.190353341267804</v>
      </c>
      <c r="AA62" s="0" t="n">
        <v>0.194238103334494</v>
      </c>
      <c r="AB62" s="0" t="n">
        <v>0.198122865401184</v>
      </c>
      <c r="AC62" s="0" t="n">
        <v>0.202007627467874</v>
      </c>
      <c r="AD62" s="104"/>
    </row>
    <row r="63" customFormat="false" ht="15" hidden="true" customHeight="false" outlineLevel="0" collapsed="false">
      <c r="A63" s="0" t="s">
        <v>224</v>
      </c>
      <c r="B63" s="104" t="n">
        <v>21</v>
      </c>
      <c r="C63" s="108"/>
      <c r="D63" s="108"/>
      <c r="E63" s="108"/>
      <c r="F63" s="108"/>
      <c r="G63" s="109"/>
      <c r="H63" s="109"/>
      <c r="I63" s="109" t="n">
        <v>0.122811390200918</v>
      </c>
      <c r="J63" s="109" t="n">
        <v>0.126649246144696</v>
      </c>
      <c r="K63" s="111" t="n">
        <v>0.130487102088475</v>
      </c>
      <c r="L63" s="111" t="n">
        <v>0.134324958032254</v>
      </c>
      <c r="M63" s="111" t="n">
        <v>0.146959290853807</v>
      </c>
      <c r="N63" s="111" t="n">
        <v>0.151041493377524</v>
      </c>
      <c r="O63" s="112" t="n">
        <v>0.155123695901241</v>
      </c>
      <c r="P63" s="112" t="n">
        <v>0.159205898424958</v>
      </c>
      <c r="Q63" s="112" t="n">
        <v>0.173061964146202</v>
      </c>
      <c r="R63" s="112" t="n">
        <v>0.177388513249857</v>
      </c>
      <c r="S63" s="112" t="n">
        <v>0.181715062353512</v>
      </c>
      <c r="T63" s="0" t="n">
        <v>0.186041611457167</v>
      </c>
      <c r="U63" s="0" t="n">
        <v>0.170929530934355</v>
      </c>
      <c r="V63" s="0" t="n">
        <v>0.174814293001045</v>
      </c>
      <c r="W63" s="0" t="n">
        <v>0.178699055067735</v>
      </c>
      <c r="X63" s="0" t="n">
        <v>0.182583817134424</v>
      </c>
      <c r="Y63" s="0" t="n">
        <v>0.186468579201114</v>
      </c>
      <c r="Z63" s="0" t="n">
        <v>0.190353341267804</v>
      </c>
      <c r="AA63" s="0" t="n">
        <v>0.194238103334494</v>
      </c>
      <c r="AB63" s="0" t="n">
        <v>0.198122865401184</v>
      </c>
      <c r="AC63" s="0" t="n">
        <v>0.202007627467874</v>
      </c>
      <c r="AD63" s="104"/>
    </row>
    <row r="64" customFormat="false" ht="15" hidden="true" customHeight="false" outlineLevel="0" collapsed="false">
      <c r="A64" s="0" t="s">
        <v>675</v>
      </c>
      <c r="B64" s="104" t="n">
        <v>14</v>
      </c>
      <c r="C64" s="108"/>
      <c r="D64" s="108"/>
      <c r="E64" s="108"/>
      <c r="F64" s="108"/>
      <c r="G64" s="109"/>
      <c r="H64" s="109"/>
      <c r="I64" s="109" t="n">
        <v>0.122811390200918</v>
      </c>
      <c r="J64" s="109" t="n">
        <v>0.126649246144696</v>
      </c>
      <c r="K64" s="111" t="n">
        <v>0.130487102088475</v>
      </c>
      <c r="L64" s="111" t="n">
        <v>0.134324958032254</v>
      </c>
      <c r="M64" s="111" t="n">
        <v>0.146959290853807</v>
      </c>
      <c r="N64" s="111" t="n">
        <v>0.151041493377524</v>
      </c>
      <c r="O64" s="112" t="n">
        <v>0.155123695901241</v>
      </c>
      <c r="P64" s="112" t="n">
        <v>0.159205898424958</v>
      </c>
      <c r="Q64" s="112" t="n">
        <v>0.173061964146202</v>
      </c>
      <c r="R64" s="112" t="n">
        <v>0.177388513249857</v>
      </c>
      <c r="S64" s="112" t="n">
        <v>0.181715062353512</v>
      </c>
      <c r="T64" s="0" t="n">
        <v>0.186041611457167</v>
      </c>
      <c r="U64" s="0" t="n">
        <v>0.170929530934355</v>
      </c>
      <c r="V64" s="0" t="n">
        <v>0.174814293001045</v>
      </c>
      <c r="W64" s="0" t="n">
        <v>0.178699055067735</v>
      </c>
      <c r="X64" s="0" t="n">
        <v>0.182583817134424</v>
      </c>
      <c r="Y64" s="0" t="n">
        <v>0.186468579201114</v>
      </c>
      <c r="Z64" s="0" t="n">
        <v>0.190353341267804</v>
      </c>
      <c r="AA64" s="0" t="n">
        <v>0.194238103334494</v>
      </c>
      <c r="AB64" s="0" t="n">
        <v>0.198122865401184</v>
      </c>
      <c r="AC64" s="0" t="n">
        <v>0.202007627467874</v>
      </c>
      <c r="AD64" s="104"/>
    </row>
    <row r="65" customFormat="false" ht="15" hidden="true" customHeight="false" outlineLevel="0" collapsed="false">
      <c r="A65" s="0" t="s">
        <v>675</v>
      </c>
      <c r="B65" s="104" t="n">
        <v>21</v>
      </c>
      <c r="C65" s="108"/>
      <c r="D65" s="108"/>
      <c r="E65" s="108"/>
      <c r="F65" s="108"/>
      <c r="G65" s="109"/>
      <c r="H65" s="109"/>
      <c r="I65" s="109" t="n">
        <v>0.122811390200918</v>
      </c>
      <c r="J65" s="109" t="n">
        <v>0.126649246144696</v>
      </c>
      <c r="K65" s="111" t="n">
        <v>0.130487102088475</v>
      </c>
      <c r="L65" s="111" t="n">
        <v>0.134324958032254</v>
      </c>
      <c r="M65" s="111" t="n">
        <v>0.146959290853807</v>
      </c>
      <c r="N65" s="111" t="n">
        <v>0.151041493377524</v>
      </c>
      <c r="O65" s="112" t="n">
        <v>0.155123695901241</v>
      </c>
      <c r="P65" s="112" t="n">
        <v>0.159205898424958</v>
      </c>
      <c r="Q65" s="112" t="n">
        <v>0.173061964146202</v>
      </c>
      <c r="R65" s="112" t="n">
        <v>0.177388513249857</v>
      </c>
      <c r="S65" s="112" t="n">
        <v>0.181715062353512</v>
      </c>
      <c r="T65" s="0" t="n">
        <v>0.186041611457167</v>
      </c>
      <c r="U65" s="0" t="n">
        <v>0.170929530934355</v>
      </c>
      <c r="V65" s="0" t="n">
        <v>0.174814293001045</v>
      </c>
      <c r="W65" s="0" t="n">
        <v>0.178699055067735</v>
      </c>
      <c r="X65" s="0" t="n">
        <v>0.182583817134424</v>
      </c>
      <c r="Y65" s="0" t="n">
        <v>0.186468579201114</v>
      </c>
      <c r="Z65" s="0" t="n">
        <v>0.190353341267804</v>
      </c>
      <c r="AA65" s="0" t="n">
        <v>0.194238103334494</v>
      </c>
      <c r="AB65" s="0" t="n">
        <v>0.198122865401184</v>
      </c>
      <c r="AC65" s="0" t="n">
        <v>0.202007627467874</v>
      </c>
      <c r="AD65" s="104"/>
    </row>
    <row r="66" customFormat="false" ht="15" hidden="true" customHeight="false" outlineLevel="0" collapsed="false">
      <c r="A66" s="0" t="s">
        <v>680</v>
      </c>
      <c r="B66" s="104" t="n">
        <v>15</v>
      </c>
      <c r="C66" s="108"/>
      <c r="D66" s="108"/>
      <c r="E66" s="108"/>
      <c r="F66" s="108"/>
      <c r="G66" s="109"/>
      <c r="H66" s="109"/>
      <c r="I66" s="109" t="n">
        <v>0.136457100223242</v>
      </c>
      <c r="J66" s="109" t="n">
        <v>0.140721384605218</v>
      </c>
      <c r="K66" s="111" t="n">
        <v>0.144985668987195</v>
      </c>
      <c r="L66" s="111" t="n">
        <v>0.149249953369171</v>
      </c>
      <c r="M66" s="111" t="n">
        <v>0.163288100948675</v>
      </c>
      <c r="N66" s="111" t="n">
        <v>0.167823881530582</v>
      </c>
      <c r="O66" s="112" t="n">
        <v>0.17235966211249</v>
      </c>
      <c r="P66" s="112" t="n">
        <v>0.176895442694398</v>
      </c>
      <c r="Q66" s="112" t="n">
        <v>0.192291071273558</v>
      </c>
      <c r="R66" s="112" t="n">
        <v>0.197098348055397</v>
      </c>
      <c r="S66" s="112" t="n">
        <v>0.201905624837236</v>
      </c>
      <c r="T66" s="0" t="n">
        <v>0.206712901619075</v>
      </c>
      <c r="U66" s="0" t="n">
        <v>0.189921701038172</v>
      </c>
      <c r="V66" s="0" t="n">
        <v>0.194238103334494</v>
      </c>
      <c r="W66" s="0" t="n">
        <v>0.198554505630816</v>
      </c>
      <c r="X66" s="0" t="n">
        <v>0.202870907927138</v>
      </c>
      <c r="Y66" s="0" t="n">
        <v>0.20718731022346</v>
      </c>
      <c r="Z66" s="0" t="n">
        <v>0.211503712519782</v>
      </c>
      <c r="AA66" s="0" t="n">
        <v>0.215820114816105</v>
      </c>
      <c r="AB66" s="0" t="n">
        <v>0.220136517112427</v>
      </c>
      <c r="AC66" s="0" t="n">
        <v>0.224452919408749</v>
      </c>
      <c r="AD66" s="104"/>
    </row>
    <row r="67" customFormat="false" ht="15" hidden="true" customHeight="false" outlineLevel="0" collapsed="false">
      <c r="A67" s="0" t="s">
        <v>680</v>
      </c>
      <c r="B67" s="104" t="n">
        <v>22</v>
      </c>
      <c r="C67" s="108"/>
      <c r="D67" s="108"/>
      <c r="E67" s="108"/>
      <c r="F67" s="108"/>
      <c r="G67" s="109"/>
      <c r="H67" s="109"/>
      <c r="I67" s="109" t="n">
        <v>0.136457100223242</v>
      </c>
      <c r="J67" s="109" t="n">
        <v>0.140721384605218</v>
      </c>
      <c r="K67" s="111" t="n">
        <v>0.144985668987195</v>
      </c>
      <c r="L67" s="111" t="n">
        <v>0.149249953369171</v>
      </c>
      <c r="M67" s="111" t="n">
        <v>0.163288100948675</v>
      </c>
      <c r="N67" s="111" t="n">
        <v>0.167823881530582</v>
      </c>
      <c r="O67" s="112" t="n">
        <v>0.17235966211249</v>
      </c>
      <c r="P67" s="112" t="n">
        <v>0.176895442694398</v>
      </c>
      <c r="Q67" s="112" t="n">
        <v>0.192291071273558</v>
      </c>
      <c r="R67" s="112" t="n">
        <v>0.197098348055397</v>
      </c>
      <c r="S67" s="112" t="n">
        <v>0.201905624837236</v>
      </c>
      <c r="T67" s="0" t="n">
        <v>0.206712901619075</v>
      </c>
      <c r="U67" s="0" t="n">
        <v>0.189921701038172</v>
      </c>
      <c r="V67" s="0" t="n">
        <v>0.194238103334494</v>
      </c>
      <c r="W67" s="0" t="n">
        <v>0.198554505630816</v>
      </c>
      <c r="X67" s="0" t="n">
        <v>0.202870907927138</v>
      </c>
      <c r="Y67" s="0" t="n">
        <v>0.20718731022346</v>
      </c>
      <c r="Z67" s="0" t="n">
        <v>0.211503712519782</v>
      </c>
      <c r="AA67" s="0" t="n">
        <v>0.215820114816105</v>
      </c>
      <c r="AB67" s="0" t="n">
        <v>0.220136517112427</v>
      </c>
      <c r="AC67" s="0" t="n">
        <v>0.224452919408749</v>
      </c>
      <c r="AD67" s="104"/>
    </row>
    <row r="68" customFormat="false" ht="15" hidden="true" customHeight="false" outlineLevel="0" collapsed="false">
      <c r="A68" s="129" t="s">
        <v>122</v>
      </c>
      <c r="B68" s="104" t="n">
        <v>10</v>
      </c>
      <c r="C68" s="108"/>
      <c r="D68" s="108"/>
      <c r="E68" s="108"/>
      <c r="F68" s="108"/>
      <c r="G68" s="109"/>
      <c r="H68" s="109"/>
      <c r="I68" s="109" t="n">
        <v>0.136457100223242</v>
      </c>
      <c r="J68" s="109" t="n">
        <v>0.140721384605218</v>
      </c>
      <c r="K68" s="111" t="n">
        <v>0.144985668987195</v>
      </c>
      <c r="L68" s="111" t="n">
        <v>0.149249953369171</v>
      </c>
      <c r="M68" s="111" t="n">
        <v>0.163288100948675</v>
      </c>
      <c r="N68" s="111" t="n">
        <v>0.167823881530582</v>
      </c>
      <c r="O68" s="112" t="n">
        <v>0.17235966211249</v>
      </c>
      <c r="P68" s="112" t="n">
        <v>0.176895442694398</v>
      </c>
      <c r="Q68" s="112" t="n">
        <v>0.192291071273558</v>
      </c>
      <c r="R68" s="112" t="n">
        <v>0.197098348055397</v>
      </c>
      <c r="S68" s="112" t="n">
        <v>0.201905624837236</v>
      </c>
      <c r="T68" s="0" t="n">
        <v>0.206712901619075</v>
      </c>
      <c r="U68" s="114" t="n">
        <v>0.189921701038172</v>
      </c>
      <c r="V68" s="0" t="n">
        <v>0.194238103334494</v>
      </c>
      <c r="W68" s="0" t="n">
        <v>0.198554505630816</v>
      </c>
      <c r="X68" s="0" t="n">
        <v>0.202870907927138</v>
      </c>
      <c r="Y68" s="0" t="n">
        <v>0.20718731022346</v>
      </c>
      <c r="Z68" s="0" t="n">
        <v>0.211503712519782</v>
      </c>
      <c r="AA68" s="0" t="n">
        <v>0.215820114816105</v>
      </c>
      <c r="AB68" s="0" t="n">
        <v>0.220136517112427</v>
      </c>
      <c r="AC68" s="0" t="n">
        <v>0.224452919408749</v>
      </c>
      <c r="AD68" s="104"/>
    </row>
    <row r="69" customFormat="false" ht="15" hidden="true" customHeight="false" outlineLevel="0" collapsed="false">
      <c r="A69" s="129" t="s">
        <v>122</v>
      </c>
      <c r="B69" s="104" t="n">
        <v>17</v>
      </c>
      <c r="C69" s="108"/>
      <c r="D69" s="108"/>
      <c r="E69" s="108"/>
      <c r="F69" s="108"/>
      <c r="G69" s="109"/>
      <c r="H69" s="109"/>
      <c r="I69" s="109" t="n">
        <v>0.136457100223242</v>
      </c>
      <c r="J69" s="109" t="n">
        <v>0.140721384605218</v>
      </c>
      <c r="K69" s="111" t="n">
        <v>0.144985668987195</v>
      </c>
      <c r="L69" s="111" t="n">
        <v>0.149249953369171</v>
      </c>
      <c r="M69" s="111" t="n">
        <v>0.163288100948675</v>
      </c>
      <c r="N69" s="111" t="n">
        <v>0.167823881530582</v>
      </c>
      <c r="O69" s="112" t="n">
        <v>0.17235966211249</v>
      </c>
      <c r="P69" s="112" t="n">
        <v>0.176895442694398</v>
      </c>
      <c r="Q69" s="112" t="n">
        <v>0.192291071273558</v>
      </c>
      <c r="R69" s="112" t="n">
        <v>0.197098348055397</v>
      </c>
      <c r="S69" s="112" t="n">
        <v>0.201905624837236</v>
      </c>
      <c r="T69" s="0" t="n">
        <v>0.206712901619075</v>
      </c>
      <c r="U69" s="114" t="n">
        <v>0.189921701038172</v>
      </c>
      <c r="V69" s="0" t="n">
        <v>0.194238103334494</v>
      </c>
      <c r="W69" s="0" t="n">
        <v>0.198554505630816</v>
      </c>
      <c r="X69" s="0" t="n">
        <v>0.202870907927138</v>
      </c>
      <c r="Y69" s="0" t="n">
        <v>0.20718731022346</v>
      </c>
      <c r="Z69" s="0" t="n">
        <v>0.211503712519782</v>
      </c>
      <c r="AA69" s="0" t="n">
        <v>0.215820114816105</v>
      </c>
      <c r="AB69" s="0" t="n">
        <v>0.220136517112427</v>
      </c>
      <c r="AC69" s="0" t="n">
        <v>0.224452919408749</v>
      </c>
      <c r="AD69" s="104"/>
    </row>
    <row r="70" customFormat="false" ht="15" hidden="true" customHeight="false" outlineLevel="0" collapsed="false">
      <c r="A70" s="129" t="s">
        <v>685</v>
      </c>
      <c r="B70" s="104" t="n">
        <v>10</v>
      </c>
      <c r="C70" s="108"/>
      <c r="D70" s="108"/>
      <c r="E70" s="108"/>
      <c r="F70" s="108"/>
      <c r="G70" s="109"/>
      <c r="H70" s="109"/>
      <c r="I70" s="109" t="n">
        <v>0.136457100223242</v>
      </c>
      <c r="J70" s="109" t="n">
        <v>0.140721384605218</v>
      </c>
      <c r="K70" s="111" t="n">
        <v>0.144985668987195</v>
      </c>
      <c r="L70" s="111" t="n">
        <v>0.149249953369171</v>
      </c>
      <c r="M70" s="111" t="n">
        <v>0.163288100948675</v>
      </c>
      <c r="N70" s="111" t="n">
        <v>0.167823881530582</v>
      </c>
      <c r="O70" s="112" t="n">
        <v>0.17235966211249</v>
      </c>
      <c r="P70" s="112" t="n">
        <v>0.176895442694398</v>
      </c>
      <c r="Q70" s="112" t="n">
        <v>0.192291071273558</v>
      </c>
      <c r="R70" s="112" t="n">
        <v>0.197098348055397</v>
      </c>
      <c r="S70" s="112" t="n">
        <v>0.201905624837236</v>
      </c>
      <c r="T70" s="0" t="n">
        <v>0.206712901619075</v>
      </c>
      <c r="U70" s="114" t="n">
        <v>0.189921701038172</v>
      </c>
      <c r="V70" s="0" t="n">
        <v>0.194238103334494</v>
      </c>
      <c r="W70" s="0" t="n">
        <v>0.198554505630816</v>
      </c>
      <c r="X70" s="0" t="n">
        <v>0.202870907927138</v>
      </c>
      <c r="Y70" s="0" t="n">
        <v>0.20718731022346</v>
      </c>
      <c r="Z70" s="0" t="n">
        <v>0.211503712519782</v>
      </c>
      <c r="AA70" s="0" t="n">
        <v>0.215820114816105</v>
      </c>
      <c r="AB70" s="0" t="n">
        <v>0.220136517112427</v>
      </c>
      <c r="AC70" s="0" t="n">
        <v>0.224452919408749</v>
      </c>
      <c r="AD70" s="104"/>
    </row>
    <row r="71" customFormat="false" ht="15" hidden="true" customHeight="false" outlineLevel="0" collapsed="false">
      <c r="A71" s="129" t="s">
        <v>685</v>
      </c>
      <c r="B71" s="104" t="n">
        <v>17</v>
      </c>
      <c r="C71" s="108"/>
      <c r="D71" s="108"/>
      <c r="E71" s="108"/>
      <c r="F71" s="108"/>
      <c r="G71" s="109"/>
      <c r="H71" s="109"/>
      <c r="I71" s="109" t="n">
        <v>0.136457100223242</v>
      </c>
      <c r="J71" s="109" t="n">
        <v>0.140721384605218</v>
      </c>
      <c r="K71" s="111" t="n">
        <v>0.144985668987195</v>
      </c>
      <c r="L71" s="111" t="n">
        <v>0.149249953369171</v>
      </c>
      <c r="M71" s="111" t="n">
        <v>0.163288100948675</v>
      </c>
      <c r="N71" s="111" t="n">
        <v>0.167823881530582</v>
      </c>
      <c r="O71" s="112" t="n">
        <v>0.17235966211249</v>
      </c>
      <c r="P71" s="112" t="n">
        <v>0.176895442694398</v>
      </c>
      <c r="Q71" s="112" t="n">
        <v>0.192291071273558</v>
      </c>
      <c r="R71" s="112" t="n">
        <v>0.197098348055397</v>
      </c>
      <c r="S71" s="112" t="n">
        <v>0.201905624837236</v>
      </c>
      <c r="T71" s="0" t="n">
        <v>0.206712901619075</v>
      </c>
      <c r="U71" s="114" t="n">
        <v>0.189921701038172</v>
      </c>
      <c r="V71" s="0" t="n">
        <v>0.194238103334494</v>
      </c>
      <c r="W71" s="0" t="n">
        <v>0.198554505630816</v>
      </c>
      <c r="X71" s="0" t="n">
        <v>0.202870907927138</v>
      </c>
      <c r="Y71" s="0" t="n">
        <v>0.20718731022346</v>
      </c>
      <c r="Z71" s="0" t="n">
        <v>0.211503712519782</v>
      </c>
      <c r="AA71" s="0" t="n">
        <v>0.215820114816105</v>
      </c>
      <c r="AB71" s="0" t="n">
        <v>0.220136517112427</v>
      </c>
      <c r="AC71" s="0" t="n">
        <v>0.224452919408749</v>
      </c>
      <c r="AD71" s="104"/>
    </row>
    <row r="72" customFormat="false" ht="15" hidden="true" customHeight="false" outlineLevel="0" collapsed="false">
      <c r="A72" s="129" t="s">
        <v>689</v>
      </c>
      <c r="B72" s="104" t="n">
        <v>10</v>
      </c>
      <c r="C72" s="108"/>
      <c r="D72" s="108"/>
      <c r="E72" s="108"/>
      <c r="F72" s="108"/>
      <c r="G72" s="109"/>
      <c r="H72" s="109"/>
      <c r="I72" s="109" t="n">
        <v>0.136457100223242</v>
      </c>
      <c r="J72" s="109" t="n">
        <v>0.140721384605218</v>
      </c>
      <c r="K72" s="111" t="n">
        <v>0.144985668987195</v>
      </c>
      <c r="L72" s="111" t="n">
        <v>0.149249953369171</v>
      </c>
      <c r="M72" s="111" t="n">
        <v>0.163288100948675</v>
      </c>
      <c r="N72" s="111" t="n">
        <v>0.167823881530582</v>
      </c>
      <c r="O72" s="112" t="n">
        <v>0.17235966211249</v>
      </c>
      <c r="P72" s="112" t="n">
        <v>0.176895442694398</v>
      </c>
      <c r="Q72" s="112" t="n">
        <v>0.192291071273558</v>
      </c>
      <c r="R72" s="112" t="n">
        <v>0.197098348055397</v>
      </c>
      <c r="S72" s="112" t="n">
        <v>0.201905624837236</v>
      </c>
      <c r="T72" s="0" t="n">
        <v>0.206712901619075</v>
      </c>
      <c r="U72" s="114" t="n">
        <v>0.189921701038172</v>
      </c>
      <c r="V72" s="0" t="n">
        <v>0.194238103334494</v>
      </c>
      <c r="W72" s="0" t="n">
        <v>0.198554505630816</v>
      </c>
      <c r="X72" s="0" t="n">
        <v>0.202870907927138</v>
      </c>
      <c r="Y72" s="0" t="n">
        <v>0.20718731022346</v>
      </c>
      <c r="Z72" s="0" t="n">
        <v>0.211503712519782</v>
      </c>
      <c r="AA72" s="0" t="n">
        <v>0.215820114816105</v>
      </c>
      <c r="AB72" s="0" t="n">
        <v>0.220136517112427</v>
      </c>
      <c r="AC72" s="0" t="n">
        <v>0.224452919408749</v>
      </c>
      <c r="AD72" s="104"/>
    </row>
    <row r="73" customFormat="false" ht="15" hidden="true" customHeight="false" outlineLevel="0" collapsed="false">
      <c r="A73" s="129" t="s">
        <v>689</v>
      </c>
      <c r="B73" s="104" t="n">
        <v>17</v>
      </c>
      <c r="C73" s="108"/>
      <c r="D73" s="108"/>
      <c r="E73" s="108"/>
      <c r="F73" s="108"/>
      <c r="G73" s="109"/>
      <c r="H73" s="109"/>
      <c r="I73" s="109" t="n">
        <v>0.136457100223242</v>
      </c>
      <c r="J73" s="109" t="n">
        <v>0.140721384605218</v>
      </c>
      <c r="K73" s="111" t="n">
        <v>0.144985668987195</v>
      </c>
      <c r="L73" s="111" t="n">
        <v>0.149249953369171</v>
      </c>
      <c r="M73" s="111" t="n">
        <v>0.163288100948675</v>
      </c>
      <c r="N73" s="111" t="n">
        <v>0.167823881530582</v>
      </c>
      <c r="O73" s="112" t="n">
        <v>0.17235966211249</v>
      </c>
      <c r="P73" s="112" t="n">
        <v>0.176895442694398</v>
      </c>
      <c r="Q73" s="112" t="n">
        <v>0.192291071273558</v>
      </c>
      <c r="R73" s="112" t="n">
        <v>0.197098348055397</v>
      </c>
      <c r="S73" s="112" t="n">
        <v>0.201905624837236</v>
      </c>
      <c r="T73" s="0" t="n">
        <v>0.206712901619075</v>
      </c>
      <c r="U73" s="114" t="n">
        <v>0.189921701038172</v>
      </c>
      <c r="V73" s="0" t="n">
        <v>0.194238103334494</v>
      </c>
      <c r="W73" s="0" t="n">
        <v>0.198554505630816</v>
      </c>
      <c r="X73" s="0" t="n">
        <v>0.202870907927138</v>
      </c>
      <c r="Y73" s="0" t="n">
        <v>0.20718731022346</v>
      </c>
      <c r="Z73" s="0" t="n">
        <v>0.211503712519782</v>
      </c>
      <c r="AA73" s="0" t="n">
        <v>0.215820114816105</v>
      </c>
      <c r="AB73" s="0" t="n">
        <v>0.220136517112427</v>
      </c>
      <c r="AC73" s="0" t="n">
        <v>0.224452919408749</v>
      </c>
      <c r="AD73" s="104"/>
    </row>
    <row r="74" customFormat="false" ht="15" hidden="true" customHeight="false" outlineLevel="0" collapsed="false">
      <c r="A74" s="129" t="s">
        <v>692</v>
      </c>
      <c r="B74" s="104" t="n">
        <v>10</v>
      </c>
      <c r="C74" s="108"/>
      <c r="D74" s="108"/>
      <c r="E74" s="108"/>
      <c r="F74" s="108"/>
      <c r="G74" s="109"/>
      <c r="H74" s="109"/>
      <c r="I74" s="109" t="n">
        <v>0.136457100223242</v>
      </c>
      <c r="J74" s="109" t="n">
        <v>0.140721384605218</v>
      </c>
      <c r="K74" s="111" t="n">
        <v>0.144985668987195</v>
      </c>
      <c r="L74" s="111" t="n">
        <v>0.149249953369171</v>
      </c>
      <c r="M74" s="111" t="n">
        <v>0.163288100948675</v>
      </c>
      <c r="N74" s="111" t="n">
        <v>0.167823881530582</v>
      </c>
      <c r="O74" s="112" t="n">
        <v>0.17235966211249</v>
      </c>
      <c r="P74" s="112" t="n">
        <v>0.176895442694398</v>
      </c>
      <c r="Q74" s="112" t="n">
        <v>0.192291071273558</v>
      </c>
      <c r="R74" s="112" t="n">
        <v>0.197098348055397</v>
      </c>
      <c r="S74" s="112" t="n">
        <v>0.201905624837236</v>
      </c>
      <c r="T74" s="0" t="n">
        <v>0.206712901619075</v>
      </c>
      <c r="U74" s="114" t="n">
        <v>0.189921701038172</v>
      </c>
      <c r="V74" s="0" t="n">
        <v>0.194238103334494</v>
      </c>
      <c r="W74" s="0" t="n">
        <v>0.198554505630816</v>
      </c>
      <c r="X74" s="0" t="n">
        <v>0.202870907927138</v>
      </c>
      <c r="Y74" s="0" t="n">
        <v>0.20718731022346</v>
      </c>
      <c r="Z74" s="0" t="n">
        <v>0.211503712519782</v>
      </c>
      <c r="AA74" s="0" t="n">
        <v>0.215820114816105</v>
      </c>
      <c r="AB74" s="0" t="n">
        <v>0.220136517112427</v>
      </c>
      <c r="AC74" s="0" t="n">
        <v>0.224452919408749</v>
      </c>
      <c r="AD74" s="104"/>
    </row>
    <row r="75" customFormat="false" ht="15" hidden="true" customHeight="false" outlineLevel="0" collapsed="false">
      <c r="A75" s="129" t="s">
        <v>692</v>
      </c>
      <c r="B75" s="104" t="n">
        <v>17</v>
      </c>
      <c r="C75" s="108"/>
      <c r="D75" s="108"/>
      <c r="E75" s="108"/>
      <c r="F75" s="108"/>
      <c r="G75" s="109"/>
      <c r="H75" s="109"/>
      <c r="I75" s="109" t="n">
        <v>0.136457100223242</v>
      </c>
      <c r="J75" s="109" t="n">
        <v>0.140721384605218</v>
      </c>
      <c r="K75" s="111" t="n">
        <v>0.144985668987195</v>
      </c>
      <c r="L75" s="111" t="n">
        <v>0.149249953369171</v>
      </c>
      <c r="M75" s="111" t="n">
        <v>0.163288100948675</v>
      </c>
      <c r="N75" s="111" t="n">
        <v>0.167823881530582</v>
      </c>
      <c r="O75" s="112" t="n">
        <v>0.17235966211249</v>
      </c>
      <c r="P75" s="112" t="n">
        <v>0.176895442694398</v>
      </c>
      <c r="Q75" s="112" t="n">
        <v>0.192291071273558</v>
      </c>
      <c r="R75" s="112" t="n">
        <v>0.197098348055397</v>
      </c>
      <c r="S75" s="112" t="n">
        <v>0.201905624837236</v>
      </c>
      <c r="T75" s="0" t="n">
        <v>0.206712901619075</v>
      </c>
      <c r="U75" s="114" t="n">
        <v>0.189921701038172</v>
      </c>
      <c r="V75" s="0" t="n">
        <v>0.194238103334494</v>
      </c>
      <c r="W75" s="0" t="n">
        <v>0.198554505630816</v>
      </c>
      <c r="X75" s="0" t="n">
        <v>0.202870907927138</v>
      </c>
      <c r="Y75" s="0" t="n">
        <v>0.20718731022346</v>
      </c>
      <c r="Z75" s="0" t="n">
        <v>0.211503712519782</v>
      </c>
      <c r="AA75" s="0" t="n">
        <v>0.215820114816105</v>
      </c>
      <c r="AB75" s="0" t="n">
        <v>0.220136517112427</v>
      </c>
      <c r="AC75" s="0" t="n">
        <v>0.224452919408749</v>
      </c>
      <c r="AD75" s="104"/>
    </row>
    <row r="76" customFormat="false" ht="15" hidden="true" customHeight="false" outlineLevel="0" collapsed="false">
      <c r="A76" s="129" t="s">
        <v>696</v>
      </c>
      <c r="B76" s="104" t="n">
        <v>10</v>
      </c>
      <c r="C76" s="108"/>
      <c r="D76" s="108"/>
      <c r="E76" s="108"/>
      <c r="F76" s="108"/>
      <c r="G76" s="109"/>
      <c r="H76" s="109"/>
      <c r="I76" s="109" t="n">
        <v>0.136457100223242</v>
      </c>
      <c r="J76" s="109" t="n">
        <v>0.140721384605218</v>
      </c>
      <c r="K76" s="111" t="n">
        <v>0.144985668987195</v>
      </c>
      <c r="L76" s="111" t="n">
        <v>0.149249953369171</v>
      </c>
      <c r="M76" s="111" t="n">
        <v>0.163288100948675</v>
      </c>
      <c r="N76" s="111" t="n">
        <v>0.167823881530582</v>
      </c>
      <c r="O76" s="112" t="n">
        <v>0.17235966211249</v>
      </c>
      <c r="P76" s="112" t="n">
        <v>0.176895442694398</v>
      </c>
      <c r="Q76" s="112" t="n">
        <v>0.192291071273558</v>
      </c>
      <c r="R76" s="112" t="n">
        <v>0.197098348055397</v>
      </c>
      <c r="S76" s="112" t="n">
        <v>0.201905624837236</v>
      </c>
      <c r="T76" s="0" t="n">
        <v>0.206712901619075</v>
      </c>
      <c r="U76" s="114" t="n">
        <v>0.189921701038172</v>
      </c>
      <c r="V76" s="0" t="n">
        <v>0.194238103334494</v>
      </c>
      <c r="W76" s="0" t="n">
        <v>0.198554505630816</v>
      </c>
      <c r="X76" s="0" t="n">
        <v>0.202870907927138</v>
      </c>
      <c r="Y76" s="0" t="n">
        <v>0.20718731022346</v>
      </c>
      <c r="Z76" s="0" t="n">
        <v>0.211503712519782</v>
      </c>
      <c r="AA76" s="0" t="n">
        <v>0.215820114816105</v>
      </c>
      <c r="AB76" s="0" t="n">
        <v>0.220136517112427</v>
      </c>
      <c r="AC76" s="0" t="n">
        <v>0.224452919408749</v>
      </c>
      <c r="AD76" s="104"/>
    </row>
    <row r="77" customFormat="false" ht="15" hidden="true" customHeight="false" outlineLevel="0" collapsed="false">
      <c r="A77" s="129" t="s">
        <v>696</v>
      </c>
      <c r="B77" s="104" t="n">
        <v>17</v>
      </c>
      <c r="C77" s="108"/>
      <c r="D77" s="108"/>
      <c r="E77" s="108"/>
      <c r="F77" s="108"/>
      <c r="G77" s="109"/>
      <c r="H77" s="109"/>
      <c r="I77" s="109" t="n">
        <v>0.136457100223242</v>
      </c>
      <c r="J77" s="109" t="n">
        <v>0.140721384605218</v>
      </c>
      <c r="K77" s="111" t="n">
        <v>0.144985668987195</v>
      </c>
      <c r="L77" s="111" t="n">
        <v>0.149249953369171</v>
      </c>
      <c r="M77" s="111" t="n">
        <v>0.163288100948675</v>
      </c>
      <c r="N77" s="111" t="n">
        <v>0.167823881530582</v>
      </c>
      <c r="O77" s="112" t="n">
        <v>0.17235966211249</v>
      </c>
      <c r="P77" s="112" t="n">
        <v>0.176895442694398</v>
      </c>
      <c r="Q77" s="112" t="n">
        <v>0.192291071273558</v>
      </c>
      <c r="R77" s="112" t="n">
        <v>0.197098348055397</v>
      </c>
      <c r="S77" s="112" t="n">
        <v>0.201905624837236</v>
      </c>
      <c r="T77" s="0" t="n">
        <v>0.206712901619075</v>
      </c>
      <c r="U77" s="114" t="n">
        <v>0.189921701038172</v>
      </c>
      <c r="V77" s="0" t="n">
        <v>0.194238103334494</v>
      </c>
      <c r="W77" s="0" t="n">
        <v>0.198554505630816</v>
      </c>
      <c r="X77" s="0" t="n">
        <v>0.202870907927138</v>
      </c>
      <c r="Y77" s="0" t="n">
        <v>0.20718731022346</v>
      </c>
      <c r="Z77" s="0" t="n">
        <v>0.211503712519782</v>
      </c>
      <c r="AA77" s="0" t="n">
        <v>0.215820114816105</v>
      </c>
      <c r="AB77" s="0" t="n">
        <v>0.220136517112427</v>
      </c>
      <c r="AC77" s="0" t="n">
        <v>0.224452919408749</v>
      </c>
      <c r="AD77" s="104"/>
    </row>
    <row r="78" customFormat="false" ht="15" hidden="true" customHeight="false" outlineLevel="0" collapsed="false">
      <c r="A78" s="114" t="s">
        <v>225</v>
      </c>
      <c r="B78" s="104" t="n">
        <v>29</v>
      </c>
      <c r="C78" s="108"/>
      <c r="D78" s="108"/>
      <c r="E78" s="108"/>
      <c r="F78" s="108"/>
      <c r="G78" s="109"/>
      <c r="H78" s="109"/>
      <c r="I78" s="109"/>
      <c r="J78" s="109"/>
      <c r="K78" s="96"/>
      <c r="L78" s="96"/>
      <c r="M78" s="96"/>
      <c r="N78" s="96" t="n">
        <v>0.381363786937782</v>
      </c>
      <c r="O78" s="93" t="n">
        <v>0.391670916314478</v>
      </c>
      <c r="P78" s="93" t="n">
        <v>0.401978045691175</v>
      </c>
      <c r="Q78" s="93" t="n">
        <v>0.401843077408471</v>
      </c>
      <c r="R78" s="93" t="n">
        <v>0.411889154343683</v>
      </c>
      <c r="S78" s="93" t="n">
        <v>0.421935231278895</v>
      </c>
      <c r="T78" s="0" t="n">
        <v>0.431981308214106</v>
      </c>
      <c r="U78" s="103"/>
      <c r="AD78" s="104"/>
    </row>
    <row r="79" customFormat="false" ht="15" hidden="true" customHeight="false" outlineLevel="0" collapsed="false">
      <c r="A79" s="114" t="s">
        <v>702</v>
      </c>
      <c r="B79" s="104" t="n">
        <v>29</v>
      </c>
      <c r="C79" s="108"/>
      <c r="D79" s="108"/>
      <c r="E79" s="108"/>
      <c r="F79" s="108"/>
      <c r="G79" s="109"/>
      <c r="H79" s="109"/>
      <c r="I79" s="109"/>
      <c r="J79" s="109"/>
      <c r="K79" s="96"/>
      <c r="L79" s="96"/>
      <c r="M79" s="96"/>
      <c r="N79" s="96" t="n">
        <v>0.381363786937782</v>
      </c>
      <c r="O79" s="93" t="n">
        <v>0.391670916314478</v>
      </c>
      <c r="P79" s="93" t="n">
        <v>0.401978045691175</v>
      </c>
      <c r="Q79" s="93" t="n">
        <v>0.401843077408471</v>
      </c>
      <c r="R79" s="93" t="n">
        <v>0.411889154343683</v>
      </c>
      <c r="S79" s="93" t="n">
        <v>0.421935231278895</v>
      </c>
      <c r="T79" s="0" t="n">
        <v>0.431981308214106</v>
      </c>
      <c r="U79" s="103"/>
      <c r="AD79" s="104"/>
    </row>
    <row r="80" customFormat="false" ht="15" hidden="true" customHeight="false" outlineLevel="0" collapsed="false">
      <c r="A80" s="114" t="s">
        <v>705</v>
      </c>
      <c r="B80" s="104" t="n">
        <v>29</v>
      </c>
      <c r="C80" s="108"/>
      <c r="D80" s="108"/>
      <c r="E80" s="108"/>
      <c r="F80" s="108"/>
      <c r="G80" s="109"/>
      <c r="H80" s="109"/>
      <c r="I80" s="109" t="n">
        <v>0.338181818181818</v>
      </c>
      <c r="J80" s="109" t="n">
        <v>0.34875</v>
      </c>
      <c r="K80" s="96" t="n">
        <v>0.359318181818182</v>
      </c>
      <c r="L80" s="96" t="n">
        <v>0.369886363636364</v>
      </c>
      <c r="M80" s="96"/>
      <c r="N80" s="96"/>
      <c r="O80" s="93"/>
      <c r="P80" s="93"/>
      <c r="Q80" s="93"/>
      <c r="R80" s="93"/>
      <c r="S80" s="93"/>
      <c r="U80" s="103"/>
      <c r="AD80" s="104"/>
    </row>
    <row r="81" customFormat="false" ht="15" hidden="true" customHeight="false" outlineLevel="0" collapsed="false">
      <c r="A81" s="114" t="s">
        <v>708</v>
      </c>
      <c r="B81" s="104" t="n">
        <v>29</v>
      </c>
      <c r="C81" s="108"/>
      <c r="D81" s="108"/>
      <c r="E81" s="108"/>
      <c r="F81" s="108"/>
      <c r="G81" s="109"/>
      <c r="H81" s="109"/>
      <c r="I81" s="109"/>
      <c r="J81" s="109"/>
      <c r="K81" s="111"/>
      <c r="L81" s="111"/>
      <c r="M81" s="111"/>
      <c r="N81" s="111"/>
      <c r="O81" s="112"/>
      <c r="P81" s="112"/>
      <c r="Q81" s="112"/>
      <c r="R81" s="112"/>
      <c r="S81" s="112" t="n">
        <v>0.421935231278895</v>
      </c>
      <c r="T81" s="0" t="n">
        <v>0.431981308214106</v>
      </c>
      <c r="U81" s="103" t="n">
        <v>0.468434435133801</v>
      </c>
      <c r="V81" s="0" t="n">
        <v>0.479080672295932</v>
      </c>
      <c r="AD81" s="104"/>
    </row>
    <row r="82" customFormat="false" ht="15" hidden="true" customHeight="false" outlineLevel="0" collapsed="false">
      <c r="A82" s="114" t="s">
        <v>226</v>
      </c>
      <c r="B82" s="104" t="n">
        <v>16</v>
      </c>
      <c r="C82" s="108"/>
      <c r="D82" s="108"/>
      <c r="E82" s="108"/>
      <c r="F82" s="108"/>
      <c r="G82" s="109"/>
      <c r="H82" s="109"/>
      <c r="I82" s="109"/>
      <c r="J82" s="109"/>
      <c r="K82" s="111"/>
      <c r="L82" s="111"/>
      <c r="M82" s="111"/>
      <c r="N82" s="111" t="n">
        <v>0.0690806027538099</v>
      </c>
      <c r="O82" s="112" t="n">
        <v>0.0709476460714805</v>
      </c>
      <c r="P82" s="112" t="n">
        <v>0.072814689389151</v>
      </c>
      <c r="Q82" s="93" t="n">
        <v>0.0774831673391406</v>
      </c>
      <c r="R82" s="93" t="n">
        <v>0.0794202465226191</v>
      </c>
      <c r="S82" s="93" t="n">
        <v>0.0813573257060976</v>
      </c>
      <c r="T82" s="0" t="n">
        <v>0.0832944048895761</v>
      </c>
      <c r="U82" s="103" t="n">
        <v>0.0797470016246012</v>
      </c>
      <c r="V82" s="0" t="n">
        <v>0.0815594334797057</v>
      </c>
      <c r="W82" s="0" t="n">
        <v>0.0833718653348103</v>
      </c>
      <c r="AD82" s="104"/>
    </row>
    <row r="83" customFormat="false" ht="15" hidden="true" customHeight="false" outlineLevel="0" collapsed="false">
      <c r="A83" s="114" t="s">
        <v>226</v>
      </c>
      <c r="B83" s="104" t="n">
        <v>17</v>
      </c>
      <c r="C83" s="108"/>
      <c r="D83" s="108"/>
      <c r="E83" s="108"/>
      <c r="F83" s="108"/>
      <c r="G83" s="109"/>
      <c r="H83" s="109"/>
      <c r="I83" s="109"/>
      <c r="J83" s="109"/>
      <c r="K83" s="111"/>
      <c r="L83" s="111"/>
      <c r="M83" s="111"/>
      <c r="N83" s="111" t="n">
        <v>0.0690806027538099</v>
      </c>
      <c r="O83" s="112" t="n">
        <v>0.0709476460714805</v>
      </c>
      <c r="P83" s="112" t="n">
        <v>0.072814689389151</v>
      </c>
      <c r="Q83" s="93" t="n">
        <v>0.0774831673391406</v>
      </c>
      <c r="R83" s="93" t="n">
        <v>0.0794202465226191</v>
      </c>
      <c r="S83" s="93" t="n">
        <v>0.0813573257060976</v>
      </c>
      <c r="T83" s="0" t="n">
        <v>0.0832944048895761</v>
      </c>
      <c r="U83" s="103" t="n">
        <v>0.0797470016246012</v>
      </c>
      <c r="V83" s="0" t="n">
        <v>0.0815594334797057</v>
      </c>
      <c r="W83" s="0" t="n">
        <v>0.0833718653348103</v>
      </c>
      <c r="AD83" s="104"/>
    </row>
    <row r="84" customFormat="false" ht="15" hidden="true" customHeight="false" outlineLevel="0" collapsed="false">
      <c r="A84" s="114" t="s">
        <v>226</v>
      </c>
      <c r="B84" s="104" t="n">
        <v>18</v>
      </c>
      <c r="C84" s="108"/>
      <c r="D84" s="108"/>
      <c r="E84" s="108"/>
      <c r="F84" s="108"/>
      <c r="G84" s="109"/>
      <c r="H84" s="109"/>
      <c r="I84" s="109"/>
      <c r="J84" s="109"/>
      <c r="K84" s="111"/>
      <c r="L84" s="111"/>
      <c r="M84" s="111"/>
      <c r="N84" s="111" t="n">
        <v>0.0690806027538099</v>
      </c>
      <c r="O84" s="112" t="n">
        <v>0.0709476460714805</v>
      </c>
      <c r="P84" s="112" t="n">
        <v>0.072814689389151</v>
      </c>
      <c r="Q84" s="93" t="n">
        <v>0.0774831673391406</v>
      </c>
      <c r="R84" s="93" t="n">
        <v>0.0794202465226191</v>
      </c>
      <c r="S84" s="93" t="n">
        <v>0.0813573257060976</v>
      </c>
      <c r="T84" s="0" t="n">
        <v>0.0832944048895761</v>
      </c>
      <c r="U84" s="103" t="n">
        <v>0.0797470016246012</v>
      </c>
      <c r="V84" s="0" t="n">
        <v>0.0815594334797057</v>
      </c>
      <c r="W84" s="0" t="n">
        <v>0.0833718653348103</v>
      </c>
      <c r="AD84" s="104"/>
    </row>
    <row r="85" customFormat="false" ht="15" hidden="true" customHeight="false" outlineLevel="0" collapsed="false">
      <c r="A85" s="114" t="s">
        <v>226</v>
      </c>
      <c r="B85" s="104" t="n">
        <v>19</v>
      </c>
      <c r="C85" s="108"/>
      <c r="D85" s="108"/>
      <c r="E85" s="108"/>
      <c r="F85" s="108"/>
      <c r="G85" s="109"/>
      <c r="H85" s="109"/>
      <c r="I85" s="109"/>
      <c r="J85" s="109"/>
      <c r="K85" s="111"/>
      <c r="L85" s="111"/>
      <c r="M85" s="111"/>
      <c r="N85" s="111" t="n">
        <v>0.0690806027538099</v>
      </c>
      <c r="O85" s="112" t="n">
        <v>0.0709476460714805</v>
      </c>
      <c r="P85" s="112" t="n">
        <v>0.072814689389151</v>
      </c>
      <c r="Q85" s="93" t="n">
        <v>0.0774831673391406</v>
      </c>
      <c r="R85" s="93" t="n">
        <v>0.0794202465226191</v>
      </c>
      <c r="S85" s="93" t="n">
        <v>0.0813573257060976</v>
      </c>
      <c r="T85" s="0" t="n">
        <v>0.0832944048895761</v>
      </c>
      <c r="U85" s="0" t="n">
        <v>0.0797470016246012</v>
      </c>
      <c r="V85" s="0" t="n">
        <v>0.0815594334797057</v>
      </c>
      <c r="W85" s="0" t="n">
        <v>0.0833718653348103</v>
      </c>
      <c r="AD85" s="104"/>
    </row>
    <row r="86" customFormat="false" ht="15" hidden="true" customHeight="false" outlineLevel="0" collapsed="false">
      <c r="A86" s="114" t="s">
        <v>226</v>
      </c>
      <c r="B86" s="104" t="n">
        <v>20</v>
      </c>
      <c r="C86" s="108"/>
      <c r="D86" s="108"/>
      <c r="E86" s="108"/>
      <c r="F86" s="108"/>
      <c r="G86" s="109"/>
      <c r="H86" s="109"/>
      <c r="I86" s="109"/>
      <c r="J86" s="109"/>
      <c r="K86" s="111"/>
      <c r="L86" s="111"/>
      <c r="M86" s="111"/>
      <c r="N86" s="111" t="n">
        <v>0.0690806027538099</v>
      </c>
      <c r="O86" s="112" t="n">
        <v>0.0709476460714805</v>
      </c>
      <c r="P86" s="112" t="n">
        <v>0.072814689389151</v>
      </c>
      <c r="Q86" s="93" t="n">
        <v>0.0774831673391406</v>
      </c>
      <c r="R86" s="93" t="n">
        <v>0.0794202465226191</v>
      </c>
      <c r="S86" s="93" t="n">
        <v>0.0813573257060976</v>
      </c>
      <c r="T86" s="0" t="n">
        <v>0.0832944048895761</v>
      </c>
      <c r="U86" s="0" t="n">
        <v>0.0797470016246012</v>
      </c>
      <c r="V86" s="0" t="n">
        <v>0.0815594334797057</v>
      </c>
      <c r="W86" s="0" t="n">
        <v>0.0833718653348103</v>
      </c>
      <c r="AD86" s="104"/>
    </row>
    <row r="87" customFormat="false" ht="15" hidden="true" customHeight="false" outlineLevel="0" collapsed="false">
      <c r="A87" s="114" t="s">
        <v>226</v>
      </c>
      <c r="B87" s="104" t="n">
        <v>21</v>
      </c>
      <c r="C87" s="108"/>
      <c r="D87" s="108"/>
      <c r="E87" s="108"/>
      <c r="F87" s="108"/>
      <c r="G87" s="109"/>
      <c r="H87" s="109"/>
      <c r="I87" s="109"/>
      <c r="J87" s="109"/>
      <c r="K87" s="111"/>
      <c r="L87" s="111"/>
      <c r="M87" s="111"/>
      <c r="N87" s="111" t="n">
        <v>0.0690806027538099</v>
      </c>
      <c r="O87" s="112" t="n">
        <v>0.0709476460714805</v>
      </c>
      <c r="P87" s="112" t="n">
        <v>0.072814689389151</v>
      </c>
      <c r="Q87" s="93" t="n">
        <v>0.0774831673391406</v>
      </c>
      <c r="R87" s="93" t="n">
        <v>0.0794202465226191</v>
      </c>
      <c r="S87" s="93" t="n">
        <v>0.0813573257060976</v>
      </c>
      <c r="T87" s="0" t="n">
        <v>0.0832944048895761</v>
      </c>
      <c r="U87" s="103" t="n">
        <v>0.0797470016246012</v>
      </c>
      <c r="V87" s="0" t="n">
        <v>0.0815594334797057</v>
      </c>
      <c r="W87" s="0" t="n">
        <v>0.0833718653348103</v>
      </c>
      <c r="AD87" s="104"/>
    </row>
    <row r="88" customFormat="false" ht="15" hidden="true" customHeight="false" outlineLevel="0" collapsed="false">
      <c r="A88" s="114" t="s">
        <v>713</v>
      </c>
      <c r="B88" s="104" t="n">
        <v>16</v>
      </c>
      <c r="C88" s="108"/>
      <c r="D88" s="108"/>
      <c r="E88" s="108"/>
      <c r="F88" s="108"/>
      <c r="G88" s="109"/>
      <c r="H88" s="109"/>
      <c r="I88" s="109" t="n">
        <v>0.028752119229801</v>
      </c>
      <c r="J88" s="109" t="n">
        <v>0.0296506229557323</v>
      </c>
      <c r="K88" s="111" t="n">
        <v>0.0305491266816635</v>
      </c>
      <c r="L88" s="111" t="n">
        <v>0.0314476304075948</v>
      </c>
      <c r="M88" s="111" t="n">
        <v>0.0336067797180697</v>
      </c>
      <c r="N88" s="111" t="n">
        <v>0.034540301376905</v>
      </c>
      <c r="O88" s="112" t="n">
        <v>0.0354738230357402</v>
      </c>
      <c r="P88" s="112" t="n">
        <v>0.0364073446945755</v>
      </c>
      <c r="Q88" s="93" t="n">
        <v>0.0387415836695703</v>
      </c>
      <c r="R88" s="93" t="n">
        <v>0.0397101232613095</v>
      </c>
      <c r="S88" s="93" t="n">
        <v>0.0406786628530488</v>
      </c>
      <c r="T88" s="0" t="n">
        <v>0.0416472024447881</v>
      </c>
      <c r="U88" s="103" t="n">
        <v>0.0398735008123006</v>
      </c>
      <c r="V88" s="0" t="n">
        <v>0.0407797167398529</v>
      </c>
      <c r="W88" s="0" t="n">
        <v>0.0416859326674052</v>
      </c>
      <c r="X88" s="0" t="n">
        <v>0.0425921485949574</v>
      </c>
      <c r="Y88" s="0" t="n">
        <v>0.0434983645225097</v>
      </c>
      <c r="Z88" s="0" t="n">
        <v>0.044404580450062</v>
      </c>
      <c r="AA88" s="0" t="n">
        <v>0.0453107963776143</v>
      </c>
      <c r="AB88" s="0" t="n">
        <v>0.0462170123051666</v>
      </c>
      <c r="AC88" s="0" t="n">
        <v>0.0471232282327189</v>
      </c>
      <c r="AD88" s="104"/>
    </row>
    <row r="89" customFormat="false" ht="15" hidden="true" customHeight="false" outlineLevel="0" collapsed="false">
      <c r="A89" s="114" t="s">
        <v>713</v>
      </c>
      <c r="B89" s="104" t="n">
        <v>17</v>
      </c>
      <c r="C89" s="108"/>
      <c r="D89" s="108"/>
      <c r="E89" s="108"/>
      <c r="F89" s="108"/>
      <c r="G89" s="109"/>
      <c r="H89" s="109"/>
      <c r="I89" s="109" t="n">
        <v>0.028752119229801</v>
      </c>
      <c r="J89" s="109" t="n">
        <v>0.0296506229557323</v>
      </c>
      <c r="K89" s="111" t="n">
        <v>0.0305491266816635</v>
      </c>
      <c r="L89" s="111" t="n">
        <v>0.0314476304075948</v>
      </c>
      <c r="M89" s="111" t="n">
        <v>0.0336067797180697</v>
      </c>
      <c r="N89" s="111" t="n">
        <v>0.034540301376905</v>
      </c>
      <c r="O89" s="112" t="n">
        <v>0.0354738230357402</v>
      </c>
      <c r="P89" s="112" t="n">
        <v>0.0364073446945755</v>
      </c>
      <c r="Q89" s="93" t="n">
        <v>0.0387415836695703</v>
      </c>
      <c r="R89" s="93" t="n">
        <v>0.0397101232613095</v>
      </c>
      <c r="S89" s="93" t="n">
        <v>0.0406786628530488</v>
      </c>
      <c r="T89" s="0" t="n">
        <v>0.0416472024447881</v>
      </c>
      <c r="U89" s="103" t="n">
        <v>0.0398735008123006</v>
      </c>
      <c r="V89" s="0" t="n">
        <v>0.0407797167398529</v>
      </c>
      <c r="W89" s="0" t="n">
        <v>0.0416859326674052</v>
      </c>
      <c r="X89" s="0" t="n">
        <v>0.0425921485949574</v>
      </c>
      <c r="Y89" s="0" t="n">
        <v>0.0434983645225097</v>
      </c>
      <c r="Z89" s="0" t="n">
        <v>0.044404580450062</v>
      </c>
      <c r="AA89" s="0" t="n">
        <v>0.0453107963776143</v>
      </c>
      <c r="AB89" s="0" t="n">
        <v>0.0462170123051666</v>
      </c>
      <c r="AC89" s="0" t="n">
        <v>0.0471232282327189</v>
      </c>
      <c r="AD89" s="104"/>
    </row>
    <row r="90" customFormat="false" ht="15" hidden="true" customHeight="false" outlineLevel="0" collapsed="false">
      <c r="A90" s="114" t="s">
        <v>713</v>
      </c>
      <c r="B90" s="104" t="n">
        <v>18</v>
      </c>
      <c r="C90" s="108"/>
      <c r="D90" s="108"/>
      <c r="E90" s="108"/>
      <c r="F90" s="108"/>
      <c r="G90" s="109"/>
      <c r="H90" s="109"/>
      <c r="I90" s="109" t="n">
        <v>0.028752119229801</v>
      </c>
      <c r="J90" s="109" t="n">
        <v>0.0296506229557323</v>
      </c>
      <c r="K90" s="111" t="n">
        <v>0.0305491266816635</v>
      </c>
      <c r="L90" s="111" t="n">
        <v>0.0314476304075948</v>
      </c>
      <c r="M90" s="111" t="n">
        <v>0.0336067797180697</v>
      </c>
      <c r="N90" s="111" t="n">
        <v>0.034540301376905</v>
      </c>
      <c r="O90" s="112" t="n">
        <v>0.0354738230357402</v>
      </c>
      <c r="P90" s="112" t="n">
        <v>0.0364073446945755</v>
      </c>
      <c r="Q90" s="93" t="n">
        <v>0.0387415836695703</v>
      </c>
      <c r="R90" s="93" t="n">
        <v>0.0397101232613095</v>
      </c>
      <c r="S90" s="93" t="n">
        <v>0.0406786628530488</v>
      </c>
      <c r="T90" s="0" t="n">
        <v>0.0416472024447881</v>
      </c>
      <c r="U90" s="103" t="n">
        <v>0.0398735008123006</v>
      </c>
      <c r="V90" s="0" t="n">
        <v>0.0407797167398529</v>
      </c>
      <c r="W90" s="0" t="n">
        <v>0.0416859326674052</v>
      </c>
      <c r="X90" s="0" t="n">
        <v>0.0425921485949574</v>
      </c>
      <c r="Y90" s="0" t="n">
        <v>0.0434983645225097</v>
      </c>
      <c r="Z90" s="0" t="n">
        <v>0.044404580450062</v>
      </c>
      <c r="AA90" s="0" t="n">
        <v>0.0453107963776143</v>
      </c>
      <c r="AB90" s="0" t="n">
        <v>0.0462170123051666</v>
      </c>
      <c r="AC90" s="0" t="n">
        <v>0.0471232282327189</v>
      </c>
      <c r="AD90" s="104"/>
    </row>
    <row r="91" customFormat="false" ht="15" hidden="true" customHeight="false" outlineLevel="0" collapsed="false">
      <c r="A91" s="114" t="s">
        <v>713</v>
      </c>
      <c r="B91" s="104" t="n">
        <v>19</v>
      </c>
      <c r="C91" s="108"/>
      <c r="D91" s="108"/>
      <c r="E91" s="108"/>
      <c r="F91" s="108"/>
      <c r="G91" s="109"/>
      <c r="H91" s="109"/>
      <c r="I91" s="109" t="n">
        <v>0.028752119229801</v>
      </c>
      <c r="J91" s="109" t="n">
        <v>0.0296506229557323</v>
      </c>
      <c r="K91" s="111" t="n">
        <v>0.0305491266816635</v>
      </c>
      <c r="L91" s="111" t="n">
        <v>0.0314476304075948</v>
      </c>
      <c r="M91" s="111" t="n">
        <v>0.0336067797180697</v>
      </c>
      <c r="N91" s="111" t="n">
        <v>0.034540301376905</v>
      </c>
      <c r="O91" s="112" t="n">
        <v>0.0354738230357402</v>
      </c>
      <c r="P91" s="112" t="n">
        <v>0.0364073446945755</v>
      </c>
      <c r="Q91" s="93" t="n">
        <v>0.0387415836695703</v>
      </c>
      <c r="R91" s="93" t="n">
        <v>0.0397101232613095</v>
      </c>
      <c r="S91" s="93" t="n">
        <v>0.0406786628530488</v>
      </c>
      <c r="T91" s="0" t="n">
        <v>0.0416472024447881</v>
      </c>
      <c r="U91" s="0" t="n">
        <v>0.0398735008123006</v>
      </c>
      <c r="V91" s="0" t="n">
        <v>0.0407797167398529</v>
      </c>
      <c r="W91" s="0" t="n">
        <v>0.0416859326674052</v>
      </c>
      <c r="X91" s="0" t="n">
        <v>0.0425921485949574</v>
      </c>
      <c r="Y91" s="0" t="n">
        <v>0.0434983645225097</v>
      </c>
      <c r="Z91" s="0" t="n">
        <v>0.044404580450062</v>
      </c>
      <c r="AA91" s="0" t="n">
        <v>0.0453107963776143</v>
      </c>
      <c r="AB91" s="0" t="n">
        <v>0.0462170123051666</v>
      </c>
      <c r="AC91" s="0" t="n">
        <v>0.0471232282327189</v>
      </c>
      <c r="AD91" s="104"/>
    </row>
    <row r="92" customFormat="false" ht="15" hidden="true" customHeight="false" outlineLevel="0" collapsed="false">
      <c r="A92" s="114" t="s">
        <v>713</v>
      </c>
      <c r="B92" s="104" t="n">
        <v>20</v>
      </c>
      <c r="C92" s="108"/>
      <c r="D92" s="108"/>
      <c r="E92" s="108"/>
      <c r="F92" s="108"/>
      <c r="G92" s="109"/>
      <c r="H92" s="109"/>
      <c r="I92" s="109" t="n">
        <v>0.028752119229801</v>
      </c>
      <c r="J92" s="109" t="n">
        <v>0.0296506229557323</v>
      </c>
      <c r="K92" s="111" t="n">
        <v>0.0305491266816635</v>
      </c>
      <c r="L92" s="111" t="n">
        <v>0.0314476304075948</v>
      </c>
      <c r="M92" s="111" t="n">
        <v>0.0336067797180697</v>
      </c>
      <c r="N92" s="111" t="n">
        <v>0.034540301376905</v>
      </c>
      <c r="O92" s="112" t="n">
        <v>0.0354738230357402</v>
      </c>
      <c r="P92" s="112" t="n">
        <v>0.0364073446945755</v>
      </c>
      <c r="Q92" s="93" t="n">
        <v>0.0387415836695703</v>
      </c>
      <c r="R92" s="93" t="n">
        <v>0.0397101232613095</v>
      </c>
      <c r="S92" s="93" t="n">
        <v>0.0406786628530488</v>
      </c>
      <c r="T92" s="0" t="n">
        <v>0.0416472024447881</v>
      </c>
      <c r="U92" s="103" t="n">
        <v>0.0398735008123006</v>
      </c>
      <c r="V92" s="0" t="n">
        <v>0.0407797167398529</v>
      </c>
      <c r="W92" s="0" t="n">
        <v>0.0416859326674052</v>
      </c>
      <c r="X92" s="0" t="n">
        <v>0.0425921485949574</v>
      </c>
      <c r="Y92" s="0" t="n">
        <v>0.0434983645225097</v>
      </c>
      <c r="Z92" s="0" t="n">
        <v>0.044404580450062</v>
      </c>
      <c r="AA92" s="0" t="n">
        <v>0.0453107963776143</v>
      </c>
      <c r="AB92" s="0" t="n">
        <v>0.0462170123051666</v>
      </c>
      <c r="AC92" s="0" t="n">
        <v>0.0471232282327189</v>
      </c>
      <c r="AD92" s="104"/>
    </row>
    <row r="93" customFormat="false" ht="15" hidden="true" customHeight="false" outlineLevel="0" collapsed="false">
      <c r="A93" s="114" t="s">
        <v>713</v>
      </c>
      <c r="B93" s="104" t="n">
        <v>21</v>
      </c>
      <c r="C93" s="108"/>
      <c r="D93" s="108"/>
      <c r="E93" s="108"/>
      <c r="F93" s="108"/>
      <c r="G93" s="109"/>
      <c r="H93" s="109"/>
      <c r="I93" s="109" t="n">
        <v>0.028752119229801</v>
      </c>
      <c r="J93" s="109" t="n">
        <v>0.0296506229557323</v>
      </c>
      <c r="K93" s="111" t="n">
        <v>0.0305491266816635</v>
      </c>
      <c r="L93" s="111" t="n">
        <v>0.0314476304075948</v>
      </c>
      <c r="M93" s="111" t="n">
        <v>0.0336067797180697</v>
      </c>
      <c r="N93" s="111" t="n">
        <v>0.034540301376905</v>
      </c>
      <c r="O93" s="112" t="n">
        <v>0.0354738230357402</v>
      </c>
      <c r="P93" s="112" t="n">
        <v>0.0364073446945755</v>
      </c>
      <c r="Q93" s="93" t="n">
        <v>0.0387415836695703</v>
      </c>
      <c r="R93" s="93" t="n">
        <v>0.0397101232613095</v>
      </c>
      <c r="S93" s="93" t="n">
        <v>0.0406786628530488</v>
      </c>
      <c r="T93" s="0" t="n">
        <v>0.0416472024447881</v>
      </c>
      <c r="U93" s="0" t="n">
        <v>0.0398735008123006</v>
      </c>
      <c r="V93" s="0" t="n">
        <v>0.0407797167398529</v>
      </c>
      <c r="W93" s="0" t="n">
        <v>0.0416859326674052</v>
      </c>
      <c r="X93" s="0" t="n">
        <v>0.0425921485949574</v>
      </c>
      <c r="Y93" s="0" t="n">
        <v>0.0434983645225097</v>
      </c>
      <c r="Z93" s="0" t="n">
        <v>0.044404580450062</v>
      </c>
      <c r="AA93" s="0" t="n">
        <v>0.0453107963776143</v>
      </c>
      <c r="AB93" s="0" t="n">
        <v>0.0462170123051666</v>
      </c>
      <c r="AC93" s="0" t="n">
        <v>0.0471232282327189</v>
      </c>
      <c r="AD93" s="104"/>
    </row>
    <row r="94" customFormat="false" ht="15" hidden="true" customHeight="false" outlineLevel="0" collapsed="false">
      <c r="A94" s="114" t="s">
        <v>716</v>
      </c>
      <c r="B94" s="104" t="n">
        <v>16</v>
      </c>
      <c r="C94" s="108"/>
      <c r="D94" s="108"/>
      <c r="E94" s="108"/>
      <c r="F94" s="108"/>
      <c r="G94" s="109"/>
      <c r="H94" s="109"/>
      <c r="I94" s="109" t="n">
        <v>0.057504238459602</v>
      </c>
      <c r="J94" s="109" t="n">
        <v>0.0593012459114645</v>
      </c>
      <c r="K94" s="111" t="n">
        <v>0.0610982533633271</v>
      </c>
      <c r="L94" s="111" t="n">
        <v>0.0628952608151897</v>
      </c>
      <c r="M94" s="111" t="n">
        <v>0.0672135594361394</v>
      </c>
      <c r="N94" s="111" t="n">
        <v>0.0690806027538099</v>
      </c>
      <c r="O94" s="112" t="n">
        <v>0.0709476460714805</v>
      </c>
      <c r="P94" s="112"/>
      <c r="Q94" s="93"/>
      <c r="R94" s="93"/>
      <c r="S94" s="93"/>
      <c r="U94" s="103"/>
      <c r="AD94" s="104"/>
    </row>
    <row r="95" customFormat="false" ht="15" hidden="true" customHeight="false" outlineLevel="0" collapsed="false">
      <c r="A95" s="114" t="s">
        <v>716</v>
      </c>
      <c r="B95" s="104" t="n">
        <v>17</v>
      </c>
      <c r="C95" s="108"/>
      <c r="D95" s="108"/>
      <c r="E95" s="108"/>
      <c r="F95" s="108"/>
      <c r="G95" s="109"/>
      <c r="H95" s="109"/>
      <c r="I95" s="109" t="n">
        <v>0.057504238459602</v>
      </c>
      <c r="J95" s="109" t="n">
        <v>0.0593012459114645</v>
      </c>
      <c r="K95" s="111" t="n">
        <v>0.0610982533633271</v>
      </c>
      <c r="L95" s="111" t="n">
        <v>0.0628952608151897</v>
      </c>
      <c r="M95" s="111" t="n">
        <v>0.0672135594361394</v>
      </c>
      <c r="N95" s="111" t="n">
        <v>0.0690806027538099</v>
      </c>
      <c r="O95" s="112" t="n">
        <v>0.0709476460714805</v>
      </c>
      <c r="P95" s="112"/>
      <c r="Q95" s="93"/>
      <c r="R95" s="93"/>
      <c r="S95" s="93"/>
      <c r="U95" s="103"/>
      <c r="AD95" s="104"/>
    </row>
    <row r="96" customFormat="false" ht="15" hidden="true" customHeight="false" outlineLevel="0" collapsed="false">
      <c r="A96" s="114" t="s">
        <v>716</v>
      </c>
      <c r="B96" s="104" t="n">
        <v>18</v>
      </c>
      <c r="C96" s="108"/>
      <c r="D96" s="108"/>
      <c r="E96" s="108"/>
      <c r="F96" s="108"/>
      <c r="G96" s="109"/>
      <c r="H96" s="109"/>
      <c r="I96" s="109" t="n">
        <v>0.057504238459602</v>
      </c>
      <c r="J96" s="109" t="n">
        <v>0.0593012459114645</v>
      </c>
      <c r="K96" s="111" t="n">
        <v>0.0610982533633271</v>
      </c>
      <c r="L96" s="111" t="n">
        <v>0.0628952608151897</v>
      </c>
      <c r="M96" s="111" t="n">
        <v>0.0672135594361394</v>
      </c>
      <c r="N96" s="111" t="n">
        <v>0.0690806027538099</v>
      </c>
      <c r="O96" s="112" t="n">
        <v>0.0709476460714805</v>
      </c>
      <c r="P96" s="112"/>
      <c r="Q96" s="93"/>
      <c r="R96" s="93"/>
      <c r="S96" s="93"/>
      <c r="U96" s="103"/>
      <c r="AD96" s="104"/>
    </row>
    <row r="97" customFormat="false" ht="15" hidden="true" customHeight="false" outlineLevel="0" collapsed="false">
      <c r="A97" s="114" t="s">
        <v>716</v>
      </c>
      <c r="B97" s="104" t="n">
        <v>19</v>
      </c>
      <c r="C97" s="108"/>
      <c r="D97" s="108"/>
      <c r="E97" s="108"/>
      <c r="F97" s="108"/>
      <c r="G97" s="109"/>
      <c r="H97" s="109"/>
      <c r="I97" s="109" t="n">
        <v>0.057504238459602</v>
      </c>
      <c r="J97" s="109" t="n">
        <v>0.0593012459114645</v>
      </c>
      <c r="K97" s="111" t="n">
        <v>0.0610982533633271</v>
      </c>
      <c r="L97" s="111" t="n">
        <v>0.0628952608151897</v>
      </c>
      <c r="M97" s="111" t="n">
        <v>0.0672135594361394</v>
      </c>
      <c r="N97" s="111" t="n">
        <v>0.0690806027538099</v>
      </c>
      <c r="O97" s="112" t="n">
        <v>0.0709476460714805</v>
      </c>
      <c r="P97" s="112"/>
      <c r="Q97" s="93"/>
      <c r="R97" s="93"/>
      <c r="S97" s="93"/>
      <c r="U97" s="103"/>
      <c r="AD97" s="104"/>
    </row>
    <row r="98" customFormat="false" ht="15" hidden="true" customHeight="false" outlineLevel="0" collapsed="false">
      <c r="A98" s="114" t="s">
        <v>716</v>
      </c>
      <c r="B98" s="104" t="n">
        <v>20</v>
      </c>
      <c r="C98" s="108"/>
      <c r="D98" s="108"/>
      <c r="E98" s="108"/>
      <c r="F98" s="108"/>
      <c r="G98" s="109"/>
      <c r="H98" s="109"/>
      <c r="I98" s="109" t="n">
        <v>0.057504238459602</v>
      </c>
      <c r="J98" s="109" t="n">
        <v>0.0593012459114645</v>
      </c>
      <c r="K98" s="111" t="n">
        <v>0.0610982533633271</v>
      </c>
      <c r="L98" s="111" t="n">
        <v>0.0628952608151897</v>
      </c>
      <c r="M98" s="111" t="n">
        <v>0.0672135594361394</v>
      </c>
      <c r="N98" s="111" t="n">
        <v>0.0690806027538099</v>
      </c>
      <c r="O98" s="112" t="n">
        <v>0.0709476460714805</v>
      </c>
      <c r="P98" s="112"/>
      <c r="Q98" s="93"/>
      <c r="R98" s="93"/>
      <c r="S98" s="93"/>
      <c r="AD98" s="104"/>
    </row>
    <row r="99" customFormat="false" ht="15" hidden="true" customHeight="false" outlineLevel="0" collapsed="false">
      <c r="A99" s="114" t="s">
        <v>716</v>
      </c>
      <c r="B99" s="104" t="n">
        <v>21</v>
      </c>
      <c r="C99" s="108"/>
      <c r="D99" s="108"/>
      <c r="E99" s="108"/>
      <c r="F99" s="108"/>
      <c r="G99" s="109"/>
      <c r="H99" s="109"/>
      <c r="I99" s="109" t="n">
        <v>0.057504238459602</v>
      </c>
      <c r="J99" s="109" t="n">
        <v>0.0593012459114645</v>
      </c>
      <c r="K99" s="111" t="n">
        <v>0.0610982533633271</v>
      </c>
      <c r="L99" s="111" t="n">
        <v>0.0628952608151897</v>
      </c>
      <c r="M99" s="111" t="n">
        <v>0.0672135594361394</v>
      </c>
      <c r="N99" s="111" t="n">
        <v>0.0690806027538099</v>
      </c>
      <c r="O99" s="112" t="n">
        <v>0.0709476460714805</v>
      </c>
      <c r="P99" s="112"/>
      <c r="Q99" s="93"/>
      <c r="R99" s="93"/>
      <c r="S99" s="93"/>
      <c r="AD99" s="104"/>
    </row>
    <row r="100" customFormat="false" ht="15" hidden="true" customHeight="false" outlineLevel="0" collapsed="false">
      <c r="A100" s="114" t="s">
        <v>719</v>
      </c>
      <c r="B100" s="104" t="n">
        <v>16</v>
      </c>
      <c r="C100" s="108"/>
      <c r="D100" s="108"/>
      <c r="E100" s="108"/>
      <c r="F100" s="108"/>
      <c r="G100" s="109"/>
      <c r="H100" s="109"/>
      <c r="I100" s="109"/>
      <c r="J100" s="109"/>
      <c r="K100" s="111"/>
      <c r="L100" s="111"/>
      <c r="M100" s="111"/>
      <c r="N100" s="111" t="n">
        <v>0.0690806027538099</v>
      </c>
      <c r="O100" s="112" t="n">
        <v>0.0709476460714805</v>
      </c>
      <c r="P100" s="112" t="n">
        <v>0.072814689389151</v>
      </c>
      <c r="Q100" s="93" t="n">
        <v>0.0774831673391406</v>
      </c>
      <c r="R100" s="93" t="n">
        <v>0.0794202465226191</v>
      </c>
      <c r="S100" s="93" t="n">
        <v>0.0813573257060976</v>
      </c>
      <c r="T100" s="0" t="n">
        <v>0.0832944048895761</v>
      </c>
      <c r="U100" s="103" t="n">
        <v>0.0797470016246012</v>
      </c>
      <c r="V100" s="0" t="n">
        <v>0.0815594334797057</v>
      </c>
      <c r="W100" s="0" t="n">
        <v>0.0833718653348103</v>
      </c>
      <c r="X100" s="0" t="n">
        <v>0.0851842971899149</v>
      </c>
      <c r="Y100" s="0" t="n">
        <v>0.0869967290450194</v>
      </c>
      <c r="Z100" s="0" t="n">
        <v>0.088809160900124</v>
      </c>
      <c r="AA100" s="0" t="n">
        <v>0.0906215927552286</v>
      </c>
      <c r="AB100" s="0" t="n">
        <v>0.0924340246103331</v>
      </c>
      <c r="AC100" s="0" t="n">
        <v>0.0942464564654377</v>
      </c>
      <c r="AD100" s="104"/>
    </row>
    <row r="101" customFormat="false" ht="15" hidden="true" customHeight="false" outlineLevel="0" collapsed="false">
      <c r="A101" s="114" t="s">
        <v>719</v>
      </c>
      <c r="B101" s="104" t="n">
        <v>17</v>
      </c>
      <c r="C101" s="108"/>
      <c r="D101" s="108"/>
      <c r="E101" s="108"/>
      <c r="F101" s="108"/>
      <c r="G101" s="109"/>
      <c r="H101" s="109"/>
      <c r="I101" s="109"/>
      <c r="J101" s="109"/>
      <c r="K101" s="111"/>
      <c r="L101" s="111"/>
      <c r="M101" s="111"/>
      <c r="N101" s="111" t="n">
        <v>0.0690806027538099</v>
      </c>
      <c r="O101" s="112" t="n">
        <v>0.0709476460714805</v>
      </c>
      <c r="P101" s="112" t="n">
        <v>0.072814689389151</v>
      </c>
      <c r="Q101" s="93" t="n">
        <v>0.0774831673391406</v>
      </c>
      <c r="R101" s="93" t="n">
        <v>0.0794202465226191</v>
      </c>
      <c r="S101" s="93" t="n">
        <v>0.0813573257060976</v>
      </c>
      <c r="T101" s="0" t="n">
        <v>0.0832944048895761</v>
      </c>
      <c r="U101" s="103" t="n">
        <v>0.0797470016246012</v>
      </c>
      <c r="V101" s="0" t="n">
        <v>0.0815594334797057</v>
      </c>
      <c r="W101" s="0" t="n">
        <v>0.0833718653348103</v>
      </c>
      <c r="X101" s="0" t="n">
        <v>0.0851842971899149</v>
      </c>
      <c r="Y101" s="0" t="n">
        <v>0.0869967290450194</v>
      </c>
      <c r="Z101" s="0" t="n">
        <v>0.088809160900124</v>
      </c>
      <c r="AA101" s="0" t="n">
        <v>0.0906215927552286</v>
      </c>
      <c r="AB101" s="0" t="n">
        <v>0.0924340246103331</v>
      </c>
      <c r="AC101" s="0" t="n">
        <v>0.0942464564654377</v>
      </c>
      <c r="AD101" s="104"/>
    </row>
    <row r="102" customFormat="false" ht="15" hidden="true" customHeight="false" outlineLevel="0" collapsed="false">
      <c r="A102" s="114" t="s">
        <v>719</v>
      </c>
      <c r="B102" s="104" t="n">
        <v>18</v>
      </c>
      <c r="C102" s="108"/>
      <c r="D102" s="108"/>
      <c r="E102" s="108"/>
      <c r="F102" s="108"/>
      <c r="G102" s="109"/>
      <c r="H102" s="109"/>
      <c r="I102" s="109"/>
      <c r="J102" s="109"/>
      <c r="K102" s="111"/>
      <c r="L102" s="111"/>
      <c r="M102" s="111"/>
      <c r="N102" s="111" t="n">
        <v>0.0690806027538099</v>
      </c>
      <c r="O102" s="112" t="n">
        <v>0.0709476460714805</v>
      </c>
      <c r="P102" s="112" t="n">
        <v>0.072814689389151</v>
      </c>
      <c r="Q102" s="93" t="n">
        <v>0.0774831673391406</v>
      </c>
      <c r="R102" s="93" t="n">
        <v>0.0794202465226191</v>
      </c>
      <c r="S102" s="93" t="n">
        <v>0.0813573257060976</v>
      </c>
      <c r="T102" s="0" t="n">
        <v>0.0832944048895761</v>
      </c>
      <c r="U102" s="103" t="n">
        <v>0.0797470016246012</v>
      </c>
      <c r="V102" s="0" t="n">
        <v>0.0815594334797057</v>
      </c>
      <c r="W102" s="0" t="n">
        <v>0.0833718653348103</v>
      </c>
      <c r="X102" s="0" t="n">
        <v>0.0851842971899149</v>
      </c>
      <c r="Y102" s="0" t="n">
        <v>0.0869967290450194</v>
      </c>
      <c r="Z102" s="0" t="n">
        <v>0.088809160900124</v>
      </c>
      <c r="AA102" s="0" t="n">
        <v>0.0906215927552286</v>
      </c>
      <c r="AB102" s="0" t="n">
        <v>0.0924340246103331</v>
      </c>
      <c r="AC102" s="0" t="n">
        <v>0.0942464564654377</v>
      </c>
      <c r="AD102" s="104"/>
    </row>
    <row r="103" customFormat="false" ht="15" hidden="true" customHeight="false" outlineLevel="0" collapsed="false">
      <c r="A103" s="114" t="s">
        <v>719</v>
      </c>
      <c r="B103" s="104" t="n">
        <v>19</v>
      </c>
      <c r="C103" s="108"/>
      <c r="D103" s="108"/>
      <c r="E103" s="108"/>
      <c r="F103" s="108"/>
      <c r="G103" s="109"/>
      <c r="H103" s="109"/>
      <c r="I103" s="109"/>
      <c r="J103" s="109"/>
      <c r="K103" s="111"/>
      <c r="L103" s="111"/>
      <c r="M103" s="111"/>
      <c r="N103" s="111" t="n">
        <v>0.0690806027538099</v>
      </c>
      <c r="O103" s="112" t="n">
        <v>0.0709476460714805</v>
      </c>
      <c r="P103" s="112" t="n">
        <v>0.072814689389151</v>
      </c>
      <c r="Q103" s="93" t="n">
        <v>0.0774831673391406</v>
      </c>
      <c r="R103" s="93" t="n">
        <v>0.0794202465226191</v>
      </c>
      <c r="S103" s="93" t="n">
        <v>0.0813573257060976</v>
      </c>
      <c r="T103" s="0" t="n">
        <v>0.0832944048895761</v>
      </c>
      <c r="U103" s="0" t="n">
        <v>0.0797470016246012</v>
      </c>
      <c r="V103" s="0" t="n">
        <v>0.0815594334797057</v>
      </c>
      <c r="W103" s="0" t="n">
        <v>0.0833718653348103</v>
      </c>
      <c r="X103" s="0" t="n">
        <v>0.0851842971899149</v>
      </c>
      <c r="Y103" s="0" t="n">
        <v>0.0869967290450194</v>
      </c>
      <c r="Z103" s="0" t="n">
        <v>0.088809160900124</v>
      </c>
      <c r="AA103" s="0" t="n">
        <v>0.0906215927552286</v>
      </c>
      <c r="AB103" s="0" t="n">
        <v>0.0924340246103331</v>
      </c>
      <c r="AC103" s="0" t="n">
        <v>0.0942464564654377</v>
      </c>
      <c r="AD103" s="104"/>
    </row>
    <row r="104" customFormat="false" ht="15" hidden="true" customHeight="false" outlineLevel="0" collapsed="false">
      <c r="A104" s="114" t="s">
        <v>719</v>
      </c>
      <c r="B104" s="104" t="n">
        <v>20</v>
      </c>
      <c r="C104" s="108"/>
      <c r="D104" s="108"/>
      <c r="E104" s="108"/>
      <c r="F104" s="108"/>
      <c r="G104" s="109"/>
      <c r="H104" s="109"/>
      <c r="I104" s="109"/>
      <c r="J104" s="109"/>
      <c r="K104" s="111"/>
      <c r="L104" s="111"/>
      <c r="M104" s="111"/>
      <c r="N104" s="111" t="n">
        <v>0.0690806027538099</v>
      </c>
      <c r="O104" s="112" t="n">
        <v>0.0709476460714805</v>
      </c>
      <c r="P104" s="112" t="n">
        <v>0.072814689389151</v>
      </c>
      <c r="Q104" s="93" t="n">
        <v>0.0774831673391406</v>
      </c>
      <c r="R104" s="93" t="n">
        <v>0.0794202465226191</v>
      </c>
      <c r="S104" s="93" t="n">
        <v>0.0813573257060976</v>
      </c>
      <c r="T104" s="0" t="n">
        <v>0.0832944048895761</v>
      </c>
      <c r="U104" s="103" t="n">
        <v>0.0797470016246012</v>
      </c>
      <c r="V104" s="0" t="n">
        <v>0.0815594334797057</v>
      </c>
      <c r="W104" s="0" t="n">
        <v>0.0833718653348103</v>
      </c>
      <c r="X104" s="0" t="n">
        <v>0.0851842971899149</v>
      </c>
      <c r="Y104" s="0" t="n">
        <v>0.0869967290450194</v>
      </c>
      <c r="Z104" s="0" t="n">
        <v>0.088809160900124</v>
      </c>
      <c r="AA104" s="0" t="n">
        <v>0.0906215927552286</v>
      </c>
      <c r="AB104" s="0" t="n">
        <v>0.0924340246103331</v>
      </c>
      <c r="AC104" s="0" t="n">
        <v>0.0942464564654377</v>
      </c>
      <c r="AD104" s="104"/>
    </row>
    <row r="105" customFormat="false" ht="15" hidden="true" customHeight="false" outlineLevel="0" collapsed="false">
      <c r="A105" s="114" t="s">
        <v>719</v>
      </c>
      <c r="B105" s="104" t="n">
        <v>21</v>
      </c>
      <c r="C105" s="108"/>
      <c r="D105" s="108"/>
      <c r="E105" s="108"/>
      <c r="F105" s="108"/>
      <c r="G105" s="109"/>
      <c r="H105" s="109"/>
      <c r="I105" s="109"/>
      <c r="J105" s="109"/>
      <c r="K105" s="111"/>
      <c r="L105" s="111"/>
      <c r="M105" s="111"/>
      <c r="N105" s="111" t="n">
        <v>0.0690806027538099</v>
      </c>
      <c r="O105" s="112" t="n">
        <v>0.0709476460714805</v>
      </c>
      <c r="P105" s="112" t="n">
        <v>0.072814689389151</v>
      </c>
      <c r="Q105" s="93" t="n">
        <v>0.0774831673391406</v>
      </c>
      <c r="R105" s="93" t="n">
        <v>0.0794202465226191</v>
      </c>
      <c r="S105" s="93" t="n">
        <v>0.0813573257060976</v>
      </c>
      <c r="T105" s="0" t="n">
        <v>0.0832944048895761</v>
      </c>
      <c r="U105" s="0" t="n">
        <v>0.0797470016246012</v>
      </c>
      <c r="V105" s="0" t="n">
        <v>0.0815594334797057</v>
      </c>
      <c r="W105" s="0" t="n">
        <v>0.0833718653348103</v>
      </c>
      <c r="X105" s="0" t="n">
        <v>0.0851842971899149</v>
      </c>
      <c r="Y105" s="0" t="n">
        <v>0.0869967290450194</v>
      </c>
      <c r="Z105" s="0" t="n">
        <v>0.088809160900124</v>
      </c>
      <c r="AA105" s="0" t="n">
        <v>0.0906215927552286</v>
      </c>
      <c r="AB105" s="0" t="n">
        <v>0.0924340246103331</v>
      </c>
      <c r="AC105" s="0" t="n">
        <v>0.0942464564654377</v>
      </c>
      <c r="AD105" s="104"/>
    </row>
    <row r="106" customFormat="false" ht="15" hidden="true" customHeight="false" outlineLevel="0" collapsed="false">
      <c r="A106" s="0" t="s">
        <v>123</v>
      </c>
      <c r="B106" s="104" t="n">
        <v>9</v>
      </c>
      <c r="C106" s="108"/>
      <c r="D106" s="108"/>
      <c r="E106" s="108"/>
      <c r="F106" s="108"/>
      <c r="G106" s="109"/>
      <c r="H106" s="109"/>
      <c r="I106" s="109" t="n">
        <v>0.0282399646538668</v>
      </c>
      <c r="J106" s="109" t="n">
        <v>0.0291224635493001</v>
      </c>
      <c r="K106" s="111" t="n">
        <v>0.0300049624447335</v>
      </c>
      <c r="L106" s="111" t="n">
        <v>0.0308874613401668</v>
      </c>
      <c r="M106" s="111" t="n">
        <v>0.0336899272727825</v>
      </c>
      <c r="N106" s="111" t="n">
        <v>0.0346257585859154</v>
      </c>
      <c r="O106" s="112" t="n">
        <v>0.0355615898990483</v>
      </c>
      <c r="P106" s="112" t="n">
        <v>0.0364974212121811</v>
      </c>
      <c r="Q106" s="93" t="n">
        <v>0.0395665492332944</v>
      </c>
      <c r="R106" s="93" t="n">
        <v>0.0405557129641268</v>
      </c>
      <c r="S106" s="93" t="n">
        <v>0.0415448766949591</v>
      </c>
      <c r="T106" s="0" t="n">
        <v>0.0425340404257915</v>
      </c>
      <c r="U106" s="103" t="n">
        <v>0.0413820522577369</v>
      </c>
      <c r="V106" s="0" t="n">
        <v>0.0423225534454127</v>
      </c>
      <c r="W106" s="0" t="n">
        <v>0.0432630546330886</v>
      </c>
      <c r="X106" s="0" t="n">
        <v>0.0442035558207644</v>
      </c>
      <c r="Y106" s="0" t="n">
        <v>0.0451440570084403</v>
      </c>
      <c r="Z106" s="0" t="n">
        <v>0.0460845581961161</v>
      </c>
      <c r="AA106" s="0" t="n">
        <v>0.0470250593837919</v>
      </c>
      <c r="AB106" s="0" t="n">
        <v>0.0479655605714678</v>
      </c>
      <c r="AC106" s="0" t="n">
        <v>0.0489060617591436</v>
      </c>
      <c r="AD106" s="104"/>
    </row>
    <row r="107" customFormat="false" ht="15" hidden="true" customHeight="false" outlineLevel="0" collapsed="false">
      <c r="A107" s="0" t="s">
        <v>123</v>
      </c>
      <c r="B107" s="104" t="n">
        <v>10</v>
      </c>
      <c r="C107" s="108"/>
      <c r="D107" s="108"/>
      <c r="E107" s="108"/>
      <c r="F107" s="108"/>
      <c r="G107" s="109"/>
      <c r="H107" s="109"/>
      <c r="I107" s="109" t="n">
        <v>0.0282399646538668</v>
      </c>
      <c r="J107" s="109" t="n">
        <v>0.0291224635493001</v>
      </c>
      <c r="K107" s="111" t="n">
        <v>0.0300049624447335</v>
      </c>
      <c r="L107" s="111" t="n">
        <v>0.0308874613401668</v>
      </c>
      <c r="M107" s="111" t="n">
        <v>0.0336899272727825</v>
      </c>
      <c r="N107" s="111" t="n">
        <v>0.0346257585859154</v>
      </c>
      <c r="O107" s="112" t="n">
        <v>0.0355615898990483</v>
      </c>
      <c r="P107" s="112" t="n">
        <v>0.0364974212121811</v>
      </c>
      <c r="Q107" s="93" t="n">
        <v>0.0395665492332944</v>
      </c>
      <c r="R107" s="93" t="n">
        <v>0.0405557129641268</v>
      </c>
      <c r="S107" s="93" t="n">
        <v>0.0415448766949591</v>
      </c>
      <c r="T107" s="0" t="n">
        <v>0.0425340404257915</v>
      </c>
      <c r="U107" s="103" t="n">
        <v>0.0413820522577369</v>
      </c>
      <c r="V107" s="0" t="n">
        <v>0.0423225534454127</v>
      </c>
      <c r="W107" s="0" t="n">
        <v>0.0432630546330886</v>
      </c>
      <c r="X107" s="0" t="n">
        <v>0.0442035558207644</v>
      </c>
      <c r="Y107" s="0" t="n">
        <v>0.0451440570084403</v>
      </c>
      <c r="Z107" s="0" t="n">
        <v>0.0460845581961161</v>
      </c>
      <c r="AA107" s="0" t="n">
        <v>0.0470250593837919</v>
      </c>
      <c r="AB107" s="0" t="n">
        <v>0.0479655605714678</v>
      </c>
      <c r="AC107" s="0" t="n">
        <v>0.0489060617591436</v>
      </c>
      <c r="AD107" s="104"/>
    </row>
    <row r="108" customFormat="false" ht="15" hidden="true" customHeight="false" outlineLevel="0" collapsed="false">
      <c r="A108" s="0" t="s">
        <v>123</v>
      </c>
      <c r="B108" s="104" t="n">
        <v>11</v>
      </c>
      <c r="C108" s="108"/>
      <c r="D108" s="108"/>
      <c r="E108" s="108"/>
      <c r="F108" s="108"/>
      <c r="G108" s="109"/>
      <c r="H108" s="109"/>
      <c r="I108" s="109" t="n">
        <v>0.0282399646538668</v>
      </c>
      <c r="J108" s="109" t="n">
        <v>0.0291224635493001</v>
      </c>
      <c r="K108" s="111" t="n">
        <v>0.0300049624447335</v>
      </c>
      <c r="L108" s="111" t="n">
        <v>0.0308874613401668</v>
      </c>
      <c r="M108" s="111" t="n">
        <v>0.0336899272727825</v>
      </c>
      <c r="N108" s="111" t="n">
        <v>0.0346257585859154</v>
      </c>
      <c r="O108" s="112" t="n">
        <v>0.0355615898990483</v>
      </c>
      <c r="P108" s="112" t="n">
        <v>0.0364974212121811</v>
      </c>
      <c r="Q108" s="93" t="n">
        <v>0.0395665492332944</v>
      </c>
      <c r="R108" s="93" t="n">
        <v>0.0405557129641268</v>
      </c>
      <c r="S108" s="93" t="n">
        <v>0.0415448766949591</v>
      </c>
      <c r="T108" s="0" t="n">
        <v>0.0425340404257915</v>
      </c>
      <c r="U108" s="103" t="n">
        <v>0.0413820522577369</v>
      </c>
      <c r="V108" s="0" t="n">
        <v>0.0423225534454127</v>
      </c>
      <c r="W108" s="0" t="n">
        <v>0.0432630546330886</v>
      </c>
      <c r="X108" s="0" t="n">
        <v>0.0442035558207644</v>
      </c>
      <c r="Y108" s="0" t="n">
        <v>0.0451440570084403</v>
      </c>
      <c r="Z108" s="0" t="n">
        <v>0.0460845581961161</v>
      </c>
      <c r="AA108" s="0" t="n">
        <v>0.0470250593837919</v>
      </c>
      <c r="AB108" s="0" t="n">
        <v>0.0479655605714678</v>
      </c>
      <c r="AC108" s="0" t="n">
        <v>0.0489060617591436</v>
      </c>
      <c r="AD108" s="104"/>
    </row>
    <row r="109" customFormat="false" ht="15" hidden="true" customHeight="false" outlineLevel="0" collapsed="false">
      <c r="A109" s="0" t="s">
        <v>123</v>
      </c>
      <c r="B109" s="104" t="n">
        <v>12</v>
      </c>
      <c r="C109" s="108"/>
      <c r="D109" s="108"/>
      <c r="E109" s="108"/>
      <c r="F109" s="108"/>
      <c r="G109" s="109"/>
      <c r="H109" s="109"/>
      <c r="I109" s="109" t="n">
        <v>0.0282399646538668</v>
      </c>
      <c r="J109" s="109" t="n">
        <v>0.0291224635493001</v>
      </c>
      <c r="K109" s="111" t="n">
        <v>0.0300049624447335</v>
      </c>
      <c r="L109" s="111" t="n">
        <v>0.0308874613401668</v>
      </c>
      <c r="M109" s="111" t="n">
        <v>0.0336899272727825</v>
      </c>
      <c r="N109" s="111" t="n">
        <v>0.0346257585859154</v>
      </c>
      <c r="O109" s="112" t="n">
        <v>0.0355615898990483</v>
      </c>
      <c r="P109" s="112" t="n">
        <v>0.0364974212121811</v>
      </c>
      <c r="Q109" s="93" t="n">
        <v>0.0395665492332944</v>
      </c>
      <c r="R109" s="93" t="n">
        <v>0.0405557129641268</v>
      </c>
      <c r="S109" s="93" t="n">
        <v>0.0415448766949591</v>
      </c>
      <c r="T109" s="0" t="n">
        <v>0.0425340404257915</v>
      </c>
      <c r="U109" s="103" t="n">
        <v>0.0413820522577369</v>
      </c>
      <c r="V109" s="0" t="n">
        <v>0.0423225534454127</v>
      </c>
      <c r="W109" s="0" t="n">
        <v>0.0432630546330886</v>
      </c>
      <c r="X109" s="0" t="n">
        <v>0.0442035558207644</v>
      </c>
      <c r="Y109" s="0" t="n">
        <v>0.0451440570084403</v>
      </c>
      <c r="Z109" s="0" t="n">
        <v>0.0460845581961161</v>
      </c>
      <c r="AA109" s="0" t="n">
        <v>0.0470250593837919</v>
      </c>
      <c r="AB109" s="0" t="n">
        <v>0.0479655605714678</v>
      </c>
      <c r="AC109" s="0" t="n">
        <v>0.0489060617591436</v>
      </c>
      <c r="AD109" s="104"/>
    </row>
    <row r="110" customFormat="false" ht="15" hidden="true" customHeight="false" outlineLevel="0" collapsed="false">
      <c r="A110" s="0" t="s">
        <v>123</v>
      </c>
      <c r="B110" s="104" t="n">
        <v>13</v>
      </c>
      <c r="C110" s="108"/>
      <c r="D110" s="108"/>
      <c r="E110" s="108"/>
      <c r="F110" s="108"/>
      <c r="G110" s="109"/>
      <c r="H110" s="109"/>
      <c r="I110" s="109" t="n">
        <v>0.0282399646538668</v>
      </c>
      <c r="J110" s="109" t="n">
        <v>0.0291224635493001</v>
      </c>
      <c r="K110" s="111" t="n">
        <v>0.0300049624447335</v>
      </c>
      <c r="L110" s="111" t="n">
        <v>0.0308874613401668</v>
      </c>
      <c r="M110" s="111" t="n">
        <v>0.0336899272727825</v>
      </c>
      <c r="N110" s="111" t="n">
        <v>0.0346257585859154</v>
      </c>
      <c r="O110" s="112" t="n">
        <v>0.0355615898990483</v>
      </c>
      <c r="P110" s="112" t="n">
        <v>0.0364974212121811</v>
      </c>
      <c r="Q110" s="112" t="n">
        <v>0.0395665492332944</v>
      </c>
      <c r="R110" s="112" t="n">
        <v>0.0405557129641268</v>
      </c>
      <c r="S110" s="112" t="n">
        <v>0.0415448766949591</v>
      </c>
      <c r="T110" s="0" t="n">
        <v>0.0425340404257915</v>
      </c>
      <c r="U110" s="103" t="n">
        <v>0.0413820522577369</v>
      </c>
      <c r="V110" s="0" t="n">
        <v>0.0423225534454127</v>
      </c>
      <c r="W110" s="0" t="n">
        <v>0.0432630546330886</v>
      </c>
      <c r="X110" s="0" t="n">
        <v>0.0442035558207644</v>
      </c>
      <c r="Y110" s="0" t="n">
        <v>0.0451440570084403</v>
      </c>
      <c r="Z110" s="0" t="n">
        <v>0.0460845581961161</v>
      </c>
      <c r="AA110" s="0" t="n">
        <v>0.0470250593837919</v>
      </c>
      <c r="AB110" s="0" t="n">
        <v>0.0479655605714678</v>
      </c>
      <c r="AC110" s="0" t="n">
        <v>0.0489060617591436</v>
      </c>
      <c r="AD110" s="104"/>
    </row>
    <row r="111" customFormat="false" ht="15" hidden="true" customHeight="false" outlineLevel="0" collapsed="false">
      <c r="A111" s="0" t="s">
        <v>123</v>
      </c>
      <c r="B111" s="104" t="n">
        <v>14</v>
      </c>
      <c r="C111" s="108"/>
      <c r="D111" s="108"/>
      <c r="E111" s="108"/>
      <c r="F111" s="108"/>
      <c r="G111" s="109"/>
      <c r="H111" s="109"/>
      <c r="I111" s="109" t="n">
        <v>0.0282399646538668</v>
      </c>
      <c r="J111" s="109" t="n">
        <v>0.0291224635493001</v>
      </c>
      <c r="K111" s="111" t="n">
        <v>0.0300049624447335</v>
      </c>
      <c r="L111" s="111" t="n">
        <v>0.0308874613401668</v>
      </c>
      <c r="M111" s="111" t="n">
        <v>0.0336899272727825</v>
      </c>
      <c r="N111" s="111" t="n">
        <v>0.0346257585859154</v>
      </c>
      <c r="O111" s="112" t="n">
        <v>0.0355615898990483</v>
      </c>
      <c r="P111" s="112" t="n">
        <v>0.0364974212121811</v>
      </c>
      <c r="Q111" s="93" t="n">
        <v>0.0395665492332944</v>
      </c>
      <c r="R111" s="93" t="n">
        <v>0.0405557129641268</v>
      </c>
      <c r="S111" s="93" t="n">
        <v>0.0415448766949591</v>
      </c>
      <c r="T111" s="0" t="n">
        <v>0.0425340404257915</v>
      </c>
      <c r="U111" s="103" t="n">
        <v>0.0413820522577369</v>
      </c>
      <c r="V111" s="0" t="n">
        <v>0.0423225534454127</v>
      </c>
      <c r="W111" s="0" t="n">
        <v>0.0432630546330886</v>
      </c>
      <c r="X111" s="0" t="n">
        <v>0.0442035558207644</v>
      </c>
      <c r="Y111" s="0" t="n">
        <v>0.0451440570084403</v>
      </c>
      <c r="Z111" s="0" t="n">
        <v>0.0460845581961161</v>
      </c>
      <c r="AA111" s="0" t="n">
        <v>0.0470250593837919</v>
      </c>
      <c r="AB111" s="0" t="n">
        <v>0.0479655605714678</v>
      </c>
      <c r="AC111" s="0" t="n">
        <v>0.0489060617591436</v>
      </c>
      <c r="AD111" s="104"/>
    </row>
    <row r="112" customFormat="false" ht="15" hidden="true" customHeight="false" outlineLevel="0" collapsed="false">
      <c r="A112" s="0" t="s">
        <v>123</v>
      </c>
      <c r="B112" s="104" t="n">
        <v>15</v>
      </c>
      <c r="C112" s="108"/>
      <c r="D112" s="108"/>
      <c r="E112" s="108"/>
      <c r="F112" s="108"/>
      <c r="G112" s="109"/>
      <c r="H112" s="109"/>
      <c r="I112" s="109" t="n">
        <v>0.0282399646538668</v>
      </c>
      <c r="J112" s="109" t="n">
        <v>0.0291224635493001</v>
      </c>
      <c r="K112" s="111" t="n">
        <v>0.0300049624447335</v>
      </c>
      <c r="L112" s="111" t="n">
        <v>0.0308874613401668</v>
      </c>
      <c r="M112" s="111" t="n">
        <v>0.0336899272727825</v>
      </c>
      <c r="N112" s="111" t="n">
        <v>0.0346257585859154</v>
      </c>
      <c r="O112" s="112" t="n">
        <v>0.0355615898990483</v>
      </c>
      <c r="P112" s="112" t="n">
        <v>0.0364974212121811</v>
      </c>
      <c r="Q112" s="93" t="n">
        <v>0.0395665492332944</v>
      </c>
      <c r="R112" s="93" t="n">
        <v>0.0405557129641268</v>
      </c>
      <c r="S112" s="93" t="n">
        <v>0.0415448766949591</v>
      </c>
      <c r="T112" s="0" t="n">
        <v>0.0425340404257915</v>
      </c>
      <c r="U112" s="103" t="n">
        <v>0.0413820522577369</v>
      </c>
      <c r="V112" s="0" t="n">
        <v>0.0423225534454127</v>
      </c>
      <c r="W112" s="0" t="n">
        <v>0.0432630546330886</v>
      </c>
      <c r="X112" s="0" t="n">
        <v>0.0442035558207644</v>
      </c>
      <c r="Y112" s="0" t="n">
        <v>0.0451440570084403</v>
      </c>
      <c r="Z112" s="0" t="n">
        <v>0.0460845581961161</v>
      </c>
      <c r="AA112" s="0" t="n">
        <v>0.0470250593837919</v>
      </c>
      <c r="AB112" s="0" t="n">
        <v>0.0479655605714678</v>
      </c>
      <c r="AC112" s="0" t="n">
        <v>0.0489060617591436</v>
      </c>
      <c r="AD112" s="104"/>
    </row>
    <row r="113" customFormat="false" ht="15" hidden="true" customHeight="false" outlineLevel="0" collapsed="false">
      <c r="A113" s="0" t="s">
        <v>227</v>
      </c>
      <c r="B113" s="104" t="n">
        <v>9</v>
      </c>
      <c r="C113" s="108"/>
      <c r="D113" s="108"/>
      <c r="E113" s="108"/>
      <c r="F113" s="108"/>
      <c r="G113" s="109"/>
      <c r="H113" s="109"/>
      <c r="I113" s="109" t="n">
        <v>0.0282399646538668</v>
      </c>
      <c r="J113" s="109" t="n">
        <v>0.0291224635493001</v>
      </c>
      <c r="K113" s="111" t="n">
        <v>0.0300049624447335</v>
      </c>
      <c r="L113" s="111" t="n">
        <v>0.0308874613401668</v>
      </c>
      <c r="M113" s="111" t="n">
        <v>0.0336899272727825</v>
      </c>
      <c r="N113" s="111" t="n">
        <v>0.0346257585859154</v>
      </c>
      <c r="O113" s="112" t="n">
        <v>0.0355615898990483</v>
      </c>
      <c r="P113" s="112" t="n">
        <v>0.0364974212121811</v>
      </c>
      <c r="Q113" s="93" t="n">
        <v>0.0395665492332944</v>
      </c>
      <c r="R113" s="93" t="n">
        <v>0.0405557129641268</v>
      </c>
      <c r="S113" s="93" t="n">
        <v>0.0415448766949591</v>
      </c>
      <c r="T113" s="0" t="n">
        <v>0.0425340404257915</v>
      </c>
      <c r="U113" s="103" t="n">
        <v>0.0413820522577369</v>
      </c>
      <c r="V113" s="0" t="n">
        <v>0.0423225534454127</v>
      </c>
      <c r="W113" s="0" t="n">
        <v>0.0432630546330886</v>
      </c>
      <c r="X113" s="0" t="n">
        <v>0.0442035558207644</v>
      </c>
      <c r="Y113" s="0" t="n">
        <v>0.0451440570084403</v>
      </c>
      <c r="Z113" s="0" t="n">
        <v>0.0460845581961161</v>
      </c>
      <c r="AA113" s="0" t="n">
        <v>0.0470250593837919</v>
      </c>
      <c r="AB113" s="0" t="n">
        <v>0.0479655605714678</v>
      </c>
      <c r="AC113" s="0" t="n">
        <v>0.0489060617591436</v>
      </c>
      <c r="AD113" s="104"/>
    </row>
    <row r="114" customFormat="false" ht="15" hidden="true" customHeight="false" outlineLevel="0" collapsed="false">
      <c r="A114" s="0" t="s">
        <v>227</v>
      </c>
      <c r="B114" s="104" t="n">
        <v>10</v>
      </c>
      <c r="C114" s="108"/>
      <c r="D114" s="108"/>
      <c r="E114" s="108"/>
      <c r="F114" s="108"/>
      <c r="G114" s="109"/>
      <c r="H114" s="109"/>
      <c r="I114" s="109" t="n">
        <v>0.0282399646538668</v>
      </c>
      <c r="J114" s="109" t="n">
        <v>0.0291224635493001</v>
      </c>
      <c r="K114" s="111" t="n">
        <v>0.0300049624447335</v>
      </c>
      <c r="L114" s="111" t="n">
        <v>0.0308874613401668</v>
      </c>
      <c r="M114" s="111" t="n">
        <v>0.0336899272727825</v>
      </c>
      <c r="N114" s="111" t="n">
        <v>0.0346257585859154</v>
      </c>
      <c r="O114" s="112" t="n">
        <v>0.0355615898990483</v>
      </c>
      <c r="P114" s="112" t="n">
        <v>0.0364974212121811</v>
      </c>
      <c r="Q114" s="112" t="n">
        <v>0.0395665492332944</v>
      </c>
      <c r="R114" s="112" t="n">
        <v>0.0405557129641268</v>
      </c>
      <c r="S114" s="112" t="n">
        <v>0.0415448766949591</v>
      </c>
      <c r="T114" s="0" t="n">
        <v>0.0425340404257915</v>
      </c>
      <c r="U114" s="103" t="n">
        <v>0.0413820522577369</v>
      </c>
      <c r="V114" s="0" t="n">
        <v>0.0423225534454127</v>
      </c>
      <c r="W114" s="0" t="n">
        <v>0.0432630546330886</v>
      </c>
      <c r="X114" s="0" t="n">
        <v>0.0442035558207644</v>
      </c>
      <c r="Y114" s="0" t="n">
        <v>0.0451440570084403</v>
      </c>
      <c r="Z114" s="0" t="n">
        <v>0.0460845581961161</v>
      </c>
      <c r="AA114" s="0" t="n">
        <v>0.0470250593837919</v>
      </c>
      <c r="AB114" s="0" t="n">
        <v>0.0479655605714678</v>
      </c>
      <c r="AC114" s="0" t="n">
        <v>0.0489060617591436</v>
      </c>
      <c r="AD114" s="104"/>
    </row>
    <row r="115" customFormat="false" ht="15" hidden="true" customHeight="false" outlineLevel="0" collapsed="false">
      <c r="A115" s="0" t="s">
        <v>227</v>
      </c>
      <c r="B115" s="104" t="n">
        <v>11</v>
      </c>
      <c r="C115" s="108"/>
      <c r="D115" s="108"/>
      <c r="E115" s="108"/>
      <c r="F115" s="108"/>
      <c r="G115" s="109"/>
      <c r="H115" s="109"/>
      <c r="I115" s="109" t="n">
        <v>0.0282399646538668</v>
      </c>
      <c r="J115" s="109" t="n">
        <v>0.0291224635493001</v>
      </c>
      <c r="K115" s="111" t="n">
        <v>0.0300049624447335</v>
      </c>
      <c r="L115" s="111" t="n">
        <v>0.0308874613401668</v>
      </c>
      <c r="M115" s="111" t="n">
        <v>0.0336899272727825</v>
      </c>
      <c r="N115" s="111" t="n">
        <v>0.0346257585859154</v>
      </c>
      <c r="O115" s="112" t="n">
        <v>0.0355615898990483</v>
      </c>
      <c r="P115" s="112" t="n">
        <v>0.0364974212121811</v>
      </c>
      <c r="Q115" s="93" t="n">
        <v>0.0395665492332944</v>
      </c>
      <c r="R115" s="93" t="n">
        <v>0.0405557129641268</v>
      </c>
      <c r="S115" s="93" t="n">
        <v>0.0415448766949591</v>
      </c>
      <c r="T115" s="0" t="n">
        <v>0.0425340404257915</v>
      </c>
      <c r="U115" s="103" t="n">
        <v>0.0413820522577369</v>
      </c>
      <c r="V115" s="0" t="n">
        <v>0.0423225534454127</v>
      </c>
      <c r="W115" s="0" t="n">
        <v>0.0432630546330886</v>
      </c>
      <c r="X115" s="0" t="n">
        <v>0.0442035558207644</v>
      </c>
      <c r="Y115" s="0" t="n">
        <v>0.0451440570084403</v>
      </c>
      <c r="Z115" s="0" t="n">
        <v>0.0460845581961161</v>
      </c>
      <c r="AA115" s="0" t="n">
        <v>0.0470250593837919</v>
      </c>
      <c r="AB115" s="0" t="n">
        <v>0.0479655605714678</v>
      </c>
      <c r="AC115" s="0" t="n">
        <v>0.0489060617591436</v>
      </c>
      <c r="AD115" s="104"/>
    </row>
    <row r="116" customFormat="false" ht="15" hidden="true" customHeight="false" outlineLevel="0" collapsed="false">
      <c r="A116" s="0" t="s">
        <v>227</v>
      </c>
      <c r="B116" s="104" t="n">
        <v>12</v>
      </c>
      <c r="C116" s="108"/>
      <c r="D116" s="108"/>
      <c r="E116" s="108"/>
      <c r="F116" s="108"/>
      <c r="G116" s="109"/>
      <c r="H116" s="109"/>
      <c r="I116" s="109" t="n">
        <v>0.0282399646538668</v>
      </c>
      <c r="J116" s="109" t="n">
        <v>0.0291224635493001</v>
      </c>
      <c r="K116" s="111" t="n">
        <v>0.0300049624447335</v>
      </c>
      <c r="L116" s="111" t="n">
        <v>0.0308874613401668</v>
      </c>
      <c r="M116" s="111" t="n">
        <v>0.0336899272727825</v>
      </c>
      <c r="N116" s="111" t="n">
        <v>0.0346257585859154</v>
      </c>
      <c r="O116" s="112" t="n">
        <v>0.0355615898990483</v>
      </c>
      <c r="P116" s="112" t="n">
        <v>0.0364974212121811</v>
      </c>
      <c r="Q116" s="93" t="n">
        <v>0.0395665492332944</v>
      </c>
      <c r="R116" s="93" t="n">
        <v>0.0405557129641268</v>
      </c>
      <c r="S116" s="93" t="n">
        <v>0.0415448766949591</v>
      </c>
      <c r="T116" s="0" t="n">
        <v>0.0425340404257915</v>
      </c>
      <c r="U116" s="103" t="n">
        <v>0.0413820522577369</v>
      </c>
      <c r="V116" s="0" t="n">
        <v>0.0423225534454127</v>
      </c>
      <c r="W116" s="0" t="n">
        <v>0.0432630546330886</v>
      </c>
      <c r="X116" s="0" t="n">
        <v>0.0442035558207644</v>
      </c>
      <c r="Y116" s="0" t="n">
        <v>0.0451440570084403</v>
      </c>
      <c r="Z116" s="0" t="n">
        <v>0.0460845581961161</v>
      </c>
      <c r="AA116" s="0" t="n">
        <v>0.0470250593837919</v>
      </c>
      <c r="AB116" s="0" t="n">
        <v>0.0479655605714678</v>
      </c>
      <c r="AC116" s="0" t="n">
        <v>0.0489060617591436</v>
      </c>
      <c r="AD116" s="104"/>
    </row>
    <row r="117" customFormat="false" ht="15" hidden="true" customHeight="false" outlineLevel="0" collapsed="false">
      <c r="A117" s="0" t="s">
        <v>227</v>
      </c>
      <c r="B117" s="104" t="n">
        <v>13</v>
      </c>
      <c r="C117" s="108"/>
      <c r="D117" s="108"/>
      <c r="E117" s="108"/>
      <c r="F117" s="108"/>
      <c r="G117" s="109"/>
      <c r="H117" s="109"/>
      <c r="I117" s="109" t="n">
        <v>0.0282399646538668</v>
      </c>
      <c r="J117" s="109" t="n">
        <v>0.0291224635493001</v>
      </c>
      <c r="K117" s="111" t="n">
        <v>0.0300049624447335</v>
      </c>
      <c r="L117" s="111" t="n">
        <v>0.0308874613401668</v>
      </c>
      <c r="M117" s="111" t="n">
        <v>0.0336899272727825</v>
      </c>
      <c r="N117" s="111" t="n">
        <v>0.0346257585859154</v>
      </c>
      <c r="O117" s="112" t="n">
        <v>0.0355615898990483</v>
      </c>
      <c r="P117" s="112" t="n">
        <v>0.0364974212121811</v>
      </c>
      <c r="Q117" s="93" t="n">
        <v>0.0395665492332944</v>
      </c>
      <c r="R117" s="93" t="n">
        <v>0.0405557129641268</v>
      </c>
      <c r="S117" s="93" t="n">
        <v>0.0415448766949591</v>
      </c>
      <c r="T117" s="0" t="n">
        <v>0.0425340404257915</v>
      </c>
      <c r="U117" s="103" t="n">
        <v>0.0413820522577369</v>
      </c>
      <c r="V117" s="0" t="n">
        <v>0.0423225534454127</v>
      </c>
      <c r="W117" s="0" t="n">
        <v>0.0432630546330886</v>
      </c>
      <c r="X117" s="0" t="n">
        <v>0.0442035558207644</v>
      </c>
      <c r="Y117" s="0" t="n">
        <v>0.0451440570084403</v>
      </c>
      <c r="Z117" s="0" t="n">
        <v>0.0460845581961161</v>
      </c>
      <c r="AA117" s="0" t="n">
        <v>0.0470250593837919</v>
      </c>
      <c r="AB117" s="0" t="n">
        <v>0.0479655605714678</v>
      </c>
      <c r="AC117" s="0" t="n">
        <v>0.0489060617591436</v>
      </c>
      <c r="AD117" s="104"/>
    </row>
    <row r="118" customFormat="false" ht="15" hidden="true" customHeight="false" outlineLevel="0" collapsed="false">
      <c r="A118" s="0" t="s">
        <v>227</v>
      </c>
      <c r="B118" s="104" t="n">
        <v>14</v>
      </c>
      <c r="C118" s="108"/>
      <c r="D118" s="108"/>
      <c r="E118" s="108"/>
      <c r="F118" s="108"/>
      <c r="G118" s="109"/>
      <c r="H118" s="109"/>
      <c r="I118" s="109" t="n">
        <v>0.0282399646538668</v>
      </c>
      <c r="J118" s="109" t="n">
        <v>0.0291224635493001</v>
      </c>
      <c r="K118" s="111" t="n">
        <v>0.0300049624447335</v>
      </c>
      <c r="L118" s="111" t="n">
        <v>0.0308874613401668</v>
      </c>
      <c r="M118" s="111" t="n">
        <v>0.0336899272727825</v>
      </c>
      <c r="N118" s="111" t="n">
        <v>0.0346257585859154</v>
      </c>
      <c r="O118" s="112" t="n">
        <v>0.0355615898990483</v>
      </c>
      <c r="P118" s="112" t="n">
        <v>0.0364974212121811</v>
      </c>
      <c r="Q118" s="93" t="n">
        <v>0.0395665492332944</v>
      </c>
      <c r="R118" s="93" t="n">
        <v>0.0405557129641268</v>
      </c>
      <c r="S118" s="93" t="n">
        <v>0.0415448766949591</v>
      </c>
      <c r="T118" s="0" t="n">
        <v>0.0425340404257915</v>
      </c>
      <c r="U118" s="103" t="n">
        <v>0.0413820522577369</v>
      </c>
      <c r="V118" s="0" t="n">
        <v>0.0423225534454127</v>
      </c>
      <c r="W118" s="0" t="n">
        <v>0.0432630546330886</v>
      </c>
      <c r="X118" s="0" t="n">
        <v>0.0442035558207644</v>
      </c>
      <c r="Y118" s="0" t="n">
        <v>0.0451440570084403</v>
      </c>
      <c r="Z118" s="0" t="n">
        <v>0.0460845581961161</v>
      </c>
      <c r="AA118" s="0" t="n">
        <v>0.0470250593837919</v>
      </c>
      <c r="AB118" s="0" t="n">
        <v>0.0479655605714678</v>
      </c>
      <c r="AC118" s="0" t="n">
        <v>0.0489060617591436</v>
      </c>
      <c r="AD118" s="104"/>
    </row>
    <row r="119" customFormat="false" ht="15" hidden="true" customHeight="false" outlineLevel="0" collapsed="false">
      <c r="A119" s="0" t="s">
        <v>227</v>
      </c>
      <c r="B119" s="104" t="n">
        <v>15</v>
      </c>
      <c r="C119" s="108"/>
      <c r="D119" s="108"/>
      <c r="E119" s="108"/>
      <c r="F119" s="108"/>
      <c r="G119" s="109"/>
      <c r="H119" s="109"/>
      <c r="I119" s="109" t="n">
        <v>0.0282399646538668</v>
      </c>
      <c r="J119" s="109" t="n">
        <v>0.0291224635493001</v>
      </c>
      <c r="K119" s="111" t="n">
        <v>0.0300049624447335</v>
      </c>
      <c r="L119" s="111" t="n">
        <v>0.0308874613401668</v>
      </c>
      <c r="M119" s="111" t="n">
        <v>0.0336899272727825</v>
      </c>
      <c r="N119" s="111" t="n">
        <v>0.0346257585859154</v>
      </c>
      <c r="O119" s="112" t="n">
        <v>0.0355615898990483</v>
      </c>
      <c r="P119" s="112" t="n">
        <v>0.0364974212121811</v>
      </c>
      <c r="Q119" s="93" t="n">
        <v>0.0395665492332944</v>
      </c>
      <c r="R119" s="93" t="n">
        <v>0.0405557129641268</v>
      </c>
      <c r="S119" s="93" t="n">
        <v>0.0415448766949591</v>
      </c>
      <c r="T119" s="0" t="n">
        <v>0.0425340404257915</v>
      </c>
      <c r="U119" s="103" t="n">
        <v>0.0413820522577369</v>
      </c>
      <c r="V119" s="0" t="n">
        <v>0.0423225534454127</v>
      </c>
      <c r="W119" s="0" t="n">
        <v>0.0432630546330886</v>
      </c>
      <c r="X119" s="0" t="n">
        <v>0.0442035558207644</v>
      </c>
      <c r="Y119" s="0" t="n">
        <v>0.0451440570084403</v>
      </c>
      <c r="Z119" s="0" t="n">
        <v>0.0460845581961161</v>
      </c>
      <c r="AA119" s="0" t="n">
        <v>0.0470250593837919</v>
      </c>
      <c r="AB119" s="0" t="n">
        <v>0.0479655605714678</v>
      </c>
      <c r="AC119" s="0" t="n">
        <v>0.0489060617591436</v>
      </c>
      <c r="AD119" s="104"/>
    </row>
    <row r="120" customFormat="false" ht="15" hidden="true" customHeight="false" outlineLevel="0" collapsed="false">
      <c r="A120" s="0" t="s">
        <v>726</v>
      </c>
      <c r="B120" s="104" t="n">
        <v>9</v>
      </c>
      <c r="C120" s="108"/>
      <c r="D120" s="108"/>
      <c r="E120" s="108"/>
      <c r="F120" s="108"/>
      <c r="G120" s="109"/>
      <c r="H120" s="109"/>
      <c r="I120" s="109" t="n">
        <v>0.0282399646538668</v>
      </c>
      <c r="J120" s="109" t="n">
        <v>0.0291224635493001</v>
      </c>
      <c r="K120" s="111" t="n">
        <v>0.0300049624447335</v>
      </c>
      <c r="L120" s="111" t="n">
        <v>0.0308874613401668</v>
      </c>
      <c r="M120" s="111" t="n">
        <v>0.0336899272727825</v>
      </c>
      <c r="N120" s="111" t="n">
        <v>0.0346257585859154</v>
      </c>
      <c r="O120" s="112" t="n">
        <v>0.0355615898990483</v>
      </c>
      <c r="P120" s="112" t="n">
        <v>0.0364974212121811</v>
      </c>
      <c r="Q120" s="93" t="n">
        <v>0.0395665492332944</v>
      </c>
      <c r="R120" s="93" t="n">
        <v>0.0405557129641268</v>
      </c>
      <c r="S120" s="93" t="n">
        <v>0.0415448766949591</v>
      </c>
      <c r="T120" s="0" t="n">
        <v>0.0425340404257915</v>
      </c>
      <c r="U120" s="103" t="n">
        <v>0.0413820522577369</v>
      </c>
      <c r="V120" s="0" t="n">
        <v>0.0423225534454127</v>
      </c>
      <c r="W120" s="0" t="n">
        <v>0.0432630546330886</v>
      </c>
      <c r="X120" s="0" t="n">
        <v>0.0442035558207644</v>
      </c>
      <c r="Y120" s="0" t="n">
        <v>0.0451440570084403</v>
      </c>
      <c r="Z120" s="0" t="n">
        <v>0.0460845581961161</v>
      </c>
      <c r="AA120" s="0" t="n">
        <v>0.0470250593837919</v>
      </c>
      <c r="AB120" s="0" t="n">
        <v>0.0479655605714678</v>
      </c>
      <c r="AC120" s="0" t="n">
        <v>0.0489060617591436</v>
      </c>
      <c r="AD120" s="104"/>
    </row>
    <row r="121" customFormat="false" ht="15" hidden="true" customHeight="false" outlineLevel="0" collapsed="false">
      <c r="A121" s="0" t="s">
        <v>726</v>
      </c>
      <c r="B121" s="104" t="n">
        <v>10</v>
      </c>
      <c r="C121" s="108"/>
      <c r="D121" s="108"/>
      <c r="E121" s="108"/>
      <c r="F121" s="108"/>
      <c r="G121" s="109"/>
      <c r="H121" s="109"/>
      <c r="I121" s="109" t="n">
        <v>0.0282399646538668</v>
      </c>
      <c r="J121" s="109" t="n">
        <v>0.0291224635493001</v>
      </c>
      <c r="K121" s="111" t="n">
        <v>0.0300049624447335</v>
      </c>
      <c r="L121" s="111" t="n">
        <v>0.0308874613401668</v>
      </c>
      <c r="M121" s="111" t="n">
        <v>0.0336899272727825</v>
      </c>
      <c r="N121" s="111" t="n">
        <v>0.0346257585859154</v>
      </c>
      <c r="O121" s="112" t="n">
        <v>0.0355615898990483</v>
      </c>
      <c r="P121" s="112" t="n">
        <v>0.0364974212121811</v>
      </c>
      <c r="Q121" s="93" t="n">
        <v>0.0395665492332944</v>
      </c>
      <c r="R121" s="93" t="n">
        <v>0.0405557129641268</v>
      </c>
      <c r="S121" s="93" t="n">
        <v>0.0415448766949591</v>
      </c>
      <c r="T121" s="0" t="n">
        <v>0.0425340404257915</v>
      </c>
      <c r="U121" s="103" t="n">
        <v>0.0413820522577369</v>
      </c>
      <c r="V121" s="0" t="n">
        <v>0.0423225534454127</v>
      </c>
      <c r="W121" s="0" t="n">
        <v>0.0432630546330886</v>
      </c>
      <c r="X121" s="0" t="n">
        <v>0.0442035558207644</v>
      </c>
      <c r="Y121" s="0" t="n">
        <v>0.0451440570084403</v>
      </c>
      <c r="Z121" s="0" t="n">
        <v>0.0460845581961161</v>
      </c>
      <c r="AA121" s="0" t="n">
        <v>0.0470250593837919</v>
      </c>
      <c r="AB121" s="0" t="n">
        <v>0.0479655605714678</v>
      </c>
      <c r="AC121" s="0" t="n">
        <v>0.0489060617591436</v>
      </c>
      <c r="AD121" s="104"/>
    </row>
    <row r="122" customFormat="false" ht="15" hidden="true" customHeight="false" outlineLevel="0" collapsed="false">
      <c r="A122" s="0" t="s">
        <v>726</v>
      </c>
      <c r="B122" s="104" t="n">
        <v>11</v>
      </c>
      <c r="C122" s="108"/>
      <c r="D122" s="108"/>
      <c r="E122" s="108"/>
      <c r="F122" s="108"/>
      <c r="G122" s="109"/>
      <c r="H122" s="109"/>
      <c r="I122" s="109" t="n">
        <v>0.0282399646538668</v>
      </c>
      <c r="J122" s="109" t="n">
        <v>0.0291224635493001</v>
      </c>
      <c r="K122" s="111" t="n">
        <v>0.0300049624447335</v>
      </c>
      <c r="L122" s="111" t="n">
        <v>0.0308874613401668</v>
      </c>
      <c r="M122" s="111" t="n">
        <v>0.0336899272727825</v>
      </c>
      <c r="N122" s="111" t="n">
        <v>0.0346257585859154</v>
      </c>
      <c r="O122" s="112" t="n">
        <v>0.0355615898990483</v>
      </c>
      <c r="P122" s="112" t="n">
        <v>0.0364974212121811</v>
      </c>
      <c r="Q122" s="93" t="n">
        <v>0.0395665492332944</v>
      </c>
      <c r="R122" s="93" t="n">
        <v>0.0405557129641268</v>
      </c>
      <c r="S122" s="93" t="n">
        <v>0.0415448766949591</v>
      </c>
      <c r="T122" s="0" t="n">
        <v>0.0425340404257915</v>
      </c>
      <c r="U122" s="103" t="n">
        <v>0.0413820522577369</v>
      </c>
      <c r="V122" s="0" t="n">
        <v>0.0423225534454127</v>
      </c>
      <c r="W122" s="0" t="n">
        <v>0.0432630546330886</v>
      </c>
      <c r="X122" s="0" t="n">
        <v>0.0442035558207644</v>
      </c>
      <c r="Y122" s="0" t="n">
        <v>0.0451440570084403</v>
      </c>
      <c r="Z122" s="0" t="n">
        <v>0.0460845581961161</v>
      </c>
      <c r="AA122" s="0" t="n">
        <v>0.0470250593837919</v>
      </c>
      <c r="AB122" s="0" t="n">
        <v>0.0479655605714678</v>
      </c>
      <c r="AC122" s="0" t="n">
        <v>0.0489060617591436</v>
      </c>
      <c r="AD122" s="104"/>
    </row>
    <row r="123" customFormat="false" ht="15" hidden="true" customHeight="false" outlineLevel="0" collapsed="false">
      <c r="A123" s="0" t="s">
        <v>726</v>
      </c>
      <c r="B123" s="104" t="n">
        <v>12</v>
      </c>
      <c r="C123" s="108"/>
      <c r="D123" s="108"/>
      <c r="E123" s="108"/>
      <c r="F123" s="108"/>
      <c r="G123" s="109"/>
      <c r="H123" s="109"/>
      <c r="I123" s="109" t="n">
        <v>0.0282399646538668</v>
      </c>
      <c r="J123" s="109" t="n">
        <v>0.0291224635493001</v>
      </c>
      <c r="K123" s="111" t="n">
        <v>0.0300049624447335</v>
      </c>
      <c r="L123" s="111" t="n">
        <v>0.0308874613401668</v>
      </c>
      <c r="M123" s="111" t="n">
        <v>0.0336899272727825</v>
      </c>
      <c r="N123" s="111" t="n">
        <v>0.0346257585859154</v>
      </c>
      <c r="O123" s="112" t="n">
        <v>0.0355615898990483</v>
      </c>
      <c r="P123" s="112" t="n">
        <v>0.0364974212121811</v>
      </c>
      <c r="Q123" s="93" t="n">
        <v>0.0395665492332944</v>
      </c>
      <c r="R123" s="93" t="n">
        <v>0.0405557129641268</v>
      </c>
      <c r="S123" s="93" t="n">
        <v>0.0415448766949591</v>
      </c>
      <c r="T123" s="0" t="n">
        <v>0.0425340404257915</v>
      </c>
      <c r="U123" s="0" t="n">
        <v>0.0413820522577369</v>
      </c>
      <c r="V123" s="0" t="n">
        <v>0.0423225534454127</v>
      </c>
      <c r="W123" s="0" t="n">
        <v>0.0432630546330886</v>
      </c>
      <c r="X123" s="0" t="n">
        <v>0.0442035558207644</v>
      </c>
      <c r="Y123" s="0" t="n">
        <v>0.0451440570084403</v>
      </c>
      <c r="Z123" s="0" t="n">
        <v>0.0460845581961161</v>
      </c>
      <c r="AA123" s="0" t="n">
        <v>0.0470250593837919</v>
      </c>
      <c r="AB123" s="0" t="n">
        <v>0.0479655605714678</v>
      </c>
      <c r="AC123" s="0" t="n">
        <v>0.0489060617591436</v>
      </c>
      <c r="AD123" s="104"/>
    </row>
    <row r="124" customFormat="false" ht="15" hidden="true" customHeight="false" outlineLevel="0" collapsed="false">
      <c r="A124" s="0" t="s">
        <v>726</v>
      </c>
      <c r="B124" s="104" t="n">
        <v>13</v>
      </c>
      <c r="C124" s="108"/>
      <c r="D124" s="108"/>
      <c r="E124" s="108"/>
      <c r="F124" s="108"/>
      <c r="G124" s="109"/>
      <c r="H124" s="109"/>
      <c r="I124" s="109" t="n">
        <v>0.0282399646538668</v>
      </c>
      <c r="J124" s="109" t="n">
        <v>0.0291224635493001</v>
      </c>
      <c r="K124" s="111" t="n">
        <v>0.0300049624447335</v>
      </c>
      <c r="L124" s="111" t="n">
        <v>0.0308874613401668</v>
      </c>
      <c r="M124" s="111" t="n">
        <v>0.0336899272727825</v>
      </c>
      <c r="N124" s="111" t="n">
        <v>0.0346257585859154</v>
      </c>
      <c r="O124" s="112" t="n">
        <v>0.0355615898990483</v>
      </c>
      <c r="P124" s="112" t="n">
        <v>0.0364974212121811</v>
      </c>
      <c r="Q124" s="93" t="n">
        <v>0.0395665492332944</v>
      </c>
      <c r="R124" s="93" t="n">
        <v>0.0405557129641268</v>
      </c>
      <c r="S124" s="93" t="n">
        <v>0.0415448766949591</v>
      </c>
      <c r="T124" s="0" t="n">
        <v>0.0425340404257915</v>
      </c>
      <c r="U124" s="103" t="n">
        <v>0.0413820522577369</v>
      </c>
      <c r="V124" s="0" t="n">
        <v>0.0423225534454127</v>
      </c>
      <c r="W124" s="0" t="n">
        <v>0.0432630546330886</v>
      </c>
      <c r="X124" s="0" t="n">
        <v>0.0442035558207644</v>
      </c>
      <c r="Y124" s="0" t="n">
        <v>0.0451440570084403</v>
      </c>
      <c r="Z124" s="0" t="n">
        <v>0.0460845581961161</v>
      </c>
      <c r="AA124" s="0" t="n">
        <v>0.0470250593837919</v>
      </c>
      <c r="AB124" s="0" t="n">
        <v>0.0479655605714678</v>
      </c>
      <c r="AC124" s="0" t="n">
        <v>0.0489060617591436</v>
      </c>
      <c r="AD124" s="104"/>
    </row>
    <row r="125" customFormat="false" ht="15" hidden="true" customHeight="false" outlineLevel="0" collapsed="false">
      <c r="A125" s="0" t="s">
        <v>726</v>
      </c>
      <c r="B125" s="104" t="n">
        <v>14</v>
      </c>
      <c r="C125" s="108"/>
      <c r="D125" s="108"/>
      <c r="E125" s="108"/>
      <c r="F125" s="108"/>
      <c r="G125" s="109"/>
      <c r="H125" s="109"/>
      <c r="I125" s="109" t="n">
        <v>0.0282399646538668</v>
      </c>
      <c r="J125" s="109" t="n">
        <v>0.0291224635493001</v>
      </c>
      <c r="K125" s="111" t="n">
        <v>0.0300049624447335</v>
      </c>
      <c r="L125" s="111" t="n">
        <v>0.0308874613401668</v>
      </c>
      <c r="M125" s="111" t="n">
        <v>0.0336899272727825</v>
      </c>
      <c r="N125" s="111" t="n">
        <v>0.0346257585859154</v>
      </c>
      <c r="O125" s="112" t="n">
        <v>0.0355615898990483</v>
      </c>
      <c r="P125" s="112" t="n">
        <v>0.0364974212121811</v>
      </c>
      <c r="Q125" s="93" t="n">
        <v>0.0395665492332944</v>
      </c>
      <c r="R125" s="93" t="n">
        <v>0.0405557129641268</v>
      </c>
      <c r="S125" s="93" t="n">
        <v>0.0415448766949591</v>
      </c>
      <c r="T125" s="0" t="n">
        <v>0.0425340404257915</v>
      </c>
      <c r="U125" s="103" t="n">
        <v>0.0413820522577369</v>
      </c>
      <c r="V125" s="0" t="n">
        <v>0.0423225534454127</v>
      </c>
      <c r="W125" s="0" t="n">
        <v>0.0432630546330886</v>
      </c>
      <c r="X125" s="0" t="n">
        <v>0.0442035558207644</v>
      </c>
      <c r="Y125" s="0" t="n">
        <v>0.0451440570084403</v>
      </c>
      <c r="Z125" s="0" t="n">
        <v>0.0460845581961161</v>
      </c>
      <c r="AA125" s="0" t="n">
        <v>0.0470250593837919</v>
      </c>
      <c r="AB125" s="0" t="n">
        <v>0.0479655605714678</v>
      </c>
      <c r="AC125" s="0" t="n">
        <v>0.0489060617591436</v>
      </c>
      <c r="AD125" s="104"/>
    </row>
    <row r="126" customFormat="false" ht="15" hidden="true" customHeight="false" outlineLevel="0" collapsed="false">
      <c r="A126" s="0" t="s">
        <v>726</v>
      </c>
      <c r="B126" s="104" t="n">
        <v>15</v>
      </c>
      <c r="C126" s="108"/>
      <c r="D126" s="108"/>
      <c r="E126" s="108"/>
      <c r="F126" s="108"/>
      <c r="G126" s="109"/>
      <c r="H126" s="109"/>
      <c r="I126" s="109" t="n">
        <v>0.0282399646538668</v>
      </c>
      <c r="J126" s="109" t="n">
        <v>0.0291224635493001</v>
      </c>
      <c r="K126" s="111" t="n">
        <v>0.0300049624447335</v>
      </c>
      <c r="L126" s="111" t="n">
        <v>0.0308874613401668</v>
      </c>
      <c r="M126" s="111" t="n">
        <v>0.0336899272727825</v>
      </c>
      <c r="N126" s="111" t="n">
        <v>0.0346257585859154</v>
      </c>
      <c r="O126" s="112" t="n">
        <v>0.0355615898990483</v>
      </c>
      <c r="P126" s="112" t="n">
        <v>0.0364974212121811</v>
      </c>
      <c r="Q126" s="93" t="n">
        <v>0.0395665492332944</v>
      </c>
      <c r="R126" s="93" t="n">
        <v>0.0405557129641268</v>
      </c>
      <c r="S126" s="93" t="n">
        <v>0.0415448766949591</v>
      </c>
      <c r="T126" s="0" t="n">
        <v>0.0425340404257915</v>
      </c>
      <c r="U126" s="103" t="n">
        <v>0.0413820522577369</v>
      </c>
      <c r="V126" s="0" t="n">
        <v>0.0423225534454127</v>
      </c>
      <c r="W126" s="0" t="n">
        <v>0.0432630546330886</v>
      </c>
      <c r="X126" s="0" t="n">
        <v>0.0442035558207644</v>
      </c>
      <c r="Y126" s="0" t="n">
        <v>0.0451440570084403</v>
      </c>
      <c r="Z126" s="0" t="n">
        <v>0.0460845581961161</v>
      </c>
      <c r="AA126" s="0" t="n">
        <v>0.0470250593837919</v>
      </c>
      <c r="AB126" s="0" t="n">
        <v>0.0479655605714678</v>
      </c>
      <c r="AC126" s="0" t="n">
        <v>0.0489060617591436</v>
      </c>
      <c r="AD126" s="104"/>
    </row>
    <row r="127" customFormat="false" ht="15" hidden="true" customHeight="false" outlineLevel="0" collapsed="false">
      <c r="A127" s="0" t="s">
        <v>729</v>
      </c>
      <c r="B127" s="104" t="n">
        <v>9</v>
      </c>
      <c r="C127" s="108"/>
      <c r="D127" s="108"/>
      <c r="E127" s="108"/>
      <c r="F127" s="108"/>
      <c r="G127" s="109"/>
      <c r="H127" s="109"/>
      <c r="I127" s="109" t="n">
        <v>0.0282399646538668</v>
      </c>
      <c r="J127" s="109" t="n">
        <v>0.0291224635493001</v>
      </c>
      <c r="K127" s="111" t="n">
        <v>0.0300049624447335</v>
      </c>
      <c r="L127" s="111" t="n">
        <v>0.0308874613401668</v>
      </c>
      <c r="M127" s="111" t="n">
        <v>0.0336899272727825</v>
      </c>
      <c r="N127" s="111" t="n">
        <v>0.0346257585859154</v>
      </c>
      <c r="O127" s="93" t="n">
        <v>0.0355615898990483</v>
      </c>
      <c r="P127" s="93" t="n">
        <v>0.0364974212121811</v>
      </c>
      <c r="Q127" s="93" t="n">
        <v>0.0395665492332944</v>
      </c>
      <c r="R127" s="93" t="n">
        <v>0.0405557129641268</v>
      </c>
      <c r="S127" s="93" t="n">
        <v>0.0415448766949591</v>
      </c>
      <c r="T127" s="0" t="n">
        <v>0.0425340404257915</v>
      </c>
      <c r="U127" s="0" t="n">
        <v>0.0413820522577369</v>
      </c>
      <c r="V127" s="0" t="n">
        <v>0.0423225534454127</v>
      </c>
      <c r="W127" s="0" t="n">
        <v>0.0432630546330886</v>
      </c>
      <c r="X127" s="0" t="n">
        <v>0.0442035558207644</v>
      </c>
      <c r="Y127" s="0" t="n">
        <v>0.0451440570084403</v>
      </c>
      <c r="Z127" s="0" t="n">
        <v>0.0460845581961161</v>
      </c>
      <c r="AA127" s="0" t="n">
        <v>0.0470250593837919</v>
      </c>
      <c r="AB127" s="0" t="n">
        <v>0.0479655605714678</v>
      </c>
      <c r="AC127" s="0" t="n">
        <v>0.0489060617591436</v>
      </c>
      <c r="AD127" s="104"/>
    </row>
    <row r="128" customFormat="false" ht="15" hidden="true" customHeight="false" outlineLevel="0" collapsed="false">
      <c r="A128" s="0" t="s">
        <v>729</v>
      </c>
      <c r="B128" s="104" t="n">
        <v>10</v>
      </c>
      <c r="C128" s="108"/>
      <c r="D128" s="108"/>
      <c r="E128" s="108"/>
      <c r="F128" s="108"/>
      <c r="G128" s="109"/>
      <c r="H128" s="109"/>
      <c r="I128" s="109" t="n">
        <v>0.0282399646538668</v>
      </c>
      <c r="J128" s="109" t="n">
        <v>0.0291224635493001</v>
      </c>
      <c r="K128" s="111" t="n">
        <v>0.0300049624447335</v>
      </c>
      <c r="L128" s="111" t="n">
        <v>0.0308874613401668</v>
      </c>
      <c r="M128" s="111" t="n">
        <v>0.0336899272727825</v>
      </c>
      <c r="N128" s="111" t="n">
        <v>0.0346257585859154</v>
      </c>
      <c r="O128" s="112" t="n">
        <v>0.0355615898990483</v>
      </c>
      <c r="P128" s="112" t="n">
        <v>0.0364974212121811</v>
      </c>
      <c r="Q128" s="93" t="n">
        <v>0.0395665492332944</v>
      </c>
      <c r="R128" s="93" t="n">
        <v>0.0405557129641268</v>
      </c>
      <c r="S128" s="93" t="n">
        <v>0.0415448766949591</v>
      </c>
      <c r="T128" s="0" t="n">
        <v>0.0425340404257915</v>
      </c>
      <c r="U128" s="103" t="n">
        <v>0.0413820522577369</v>
      </c>
      <c r="V128" s="0" t="n">
        <v>0.0423225534454127</v>
      </c>
      <c r="W128" s="0" t="n">
        <v>0.0432630546330886</v>
      </c>
      <c r="X128" s="0" t="n">
        <v>0.0442035558207644</v>
      </c>
      <c r="Y128" s="0" t="n">
        <v>0.0451440570084403</v>
      </c>
      <c r="Z128" s="0" t="n">
        <v>0.0460845581961161</v>
      </c>
      <c r="AA128" s="0" t="n">
        <v>0.0470250593837919</v>
      </c>
      <c r="AB128" s="0" t="n">
        <v>0.0479655605714678</v>
      </c>
      <c r="AC128" s="0" t="n">
        <v>0.0489060617591436</v>
      </c>
      <c r="AD128" s="104"/>
    </row>
    <row r="129" customFormat="false" ht="15" hidden="true" customHeight="false" outlineLevel="0" collapsed="false">
      <c r="A129" s="0" t="s">
        <v>729</v>
      </c>
      <c r="B129" s="104" t="n">
        <v>11</v>
      </c>
      <c r="C129" s="108"/>
      <c r="D129" s="108"/>
      <c r="E129" s="108"/>
      <c r="F129" s="108"/>
      <c r="G129" s="109"/>
      <c r="H129" s="109"/>
      <c r="I129" s="109" t="n">
        <v>0.0282399646538668</v>
      </c>
      <c r="J129" s="109" t="n">
        <v>0.0291224635493001</v>
      </c>
      <c r="K129" s="111" t="n">
        <v>0.0300049624447335</v>
      </c>
      <c r="L129" s="111" t="n">
        <v>0.0308874613401668</v>
      </c>
      <c r="M129" s="111" t="n">
        <v>0.0336899272727825</v>
      </c>
      <c r="N129" s="111" t="n">
        <v>0.0346257585859154</v>
      </c>
      <c r="O129" s="112" t="n">
        <v>0.0355615898990483</v>
      </c>
      <c r="P129" s="112" t="n">
        <v>0.0364974212121811</v>
      </c>
      <c r="Q129" s="93" t="n">
        <v>0.0395665492332944</v>
      </c>
      <c r="R129" s="93" t="n">
        <v>0.0405557129641268</v>
      </c>
      <c r="S129" s="93" t="n">
        <v>0.0415448766949591</v>
      </c>
      <c r="T129" s="0" t="n">
        <v>0.0425340404257915</v>
      </c>
      <c r="U129" s="0" t="n">
        <v>0.0413820522577369</v>
      </c>
      <c r="V129" s="0" t="n">
        <v>0.0423225534454127</v>
      </c>
      <c r="W129" s="0" t="n">
        <v>0.0432630546330886</v>
      </c>
      <c r="X129" s="0" t="n">
        <v>0.0442035558207644</v>
      </c>
      <c r="Y129" s="0" t="n">
        <v>0.0451440570084403</v>
      </c>
      <c r="Z129" s="0" t="n">
        <v>0.0460845581961161</v>
      </c>
      <c r="AA129" s="0" t="n">
        <v>0.0470250593837919</v>
      </c>
      <c r="AB129" s="0" t="n">
        <v>0.0479655605714678</v>
      </c>
      <c r="AC129" s="0" t="n">
        <v>0.0489060617591436</v>
      </c>
      <c r="AD129" s="104"/>
    </row>
    <row r="130" customFormat="false" ht="15" hidden="true" customHeight="false" outlineLevel="0" collapsed="false">
      <c r="A130" s="0" t="s">
        <v>729</v>
      </c>
      <c r="B130" s="104" t="n">
        <v>12</v>
      </c>
      <c r="C130" s="108"/>
      <c r="D130" s="108"/>
      <c r="E130" s="108"/>
      <c r="F130" s="108"/>
      <c r="G130" s="109"/>
      <c r="H130" s="109"/>
      <c r="I130" s="109" t="n">
        <v>0.0282399646538668</v>
      </c>
      <c r="J130" s="109" t="n">
        <v>0.0291224635493001</v>
      </c>
      <c r="K130" s="111" t="n">
        <v>0.0300049624447335</v>
      </c>
      <c r="L130" s="111" t="n">
        <v>0.0308874613401668</v>
      </c>
      <c r="M130" s="111" t="n">
        <v>0.0336899272727825</v>
      </c>
      <c r="N130" s="111" t="n">
        <v>0.0346257585859154</v>
      </c>
      <c r="O130" s="112" t="n">
        <v>0.0355615898990483</v>
      </c>
      <c r="P130" s="112" t="n">
        <v>0.0364974212121811</v>
      </c>
      <c r="Q130" s="93" t="n">
        <v>0.0395665492332944</v>
      </c>
      <c r="R130" s="93" t="n">
        <v>0.0405557129641268</v>
      </c>
      <c r="S130" s="93" t="n">
        <v>0.0415448766949591</v>
      </c>
      <c r="T130" s="0" t="n">
        <v>0.0425340404257915</v>
      </c>
      <c r="U130" s="103" t="n">
        <v>0.0413820522577369</v>
      </c>
      <c r="V130" s="0" t="n">
        <v>0.0423225534454127</v>
      </c>
      <c r="W130" s="0" t="n">
        <v>0.0432630546330886</v>
      </c>
      <c r="X130" s="0" t="n">
        <v>0.0442035558207644</v>
      </c>
      <c r="Y130" s="0" t="n">
        <v>0.0451440570084403</v>
      </c>
      <c r="Z130" s="0" t="n">
        <v>0.0460845581961161</v>
      </c>
      <c r="AA130" s="0" t="n">
        <v>0.0470250593837919</v>
      </c>
      <c r="AB130" s="0" t="n">
        <v>0.0479655605714678</v>
      </c>
      <c r="AC130" s="0" t="n">
        <v>0.0489060617591436</v>
      </c>
      <c r="AD130" s="104"/>
    </row>
    <row r="131" customFormat="false" ht="15" hidden="true" customHeight="false" outlineLevel="0" collapsed="false">
      <c r="A131" s="0" t="s">
        <v>729</v>
      </c>
      <c r="B131" s="104" t="n">
        <v>13</v>
      </c>
      <c r="C131" s="108"/>
      <c r="D131" s="108"/>
      <c r="E131" s="108"/>
      <c r="F131" s="108"/>
      <c r="G131" s="109"/>
      <c r="H131" s="109"/>
      <c r="I131" s="109" t="n">
        <v>0.0282399646538668</v>
      </c>
      <c r="J131" s="109" t="n">
        <v>0.0291224635493001</v>
      </c>
      <c r="K131" s="111" t="n">
        <v>0.0300049624447335</v>
      </c>
      <c r="L131" s="111" t="n">
        <v>0.0308874613401668</v>
      </c>
      <c r="M131" s="111" t="n">
        <v>0.0336899272727825</v>
      </c>
      <c r="N131" s="111" t="n">
        <v>0.0346257585859154</v>
      </c>
      <c r="O131" s="112" t="n">
        <v>0.0355615898990483</v>
      </c>
      <c r="P131" s="112" t="n">
        <v>0.0364974212121811</v>
      </c>
      <c r="Q131" s="93" t="n">
        <v>0.0395665492332944</v>
      </c>
      <c r="R131" s="93" t="n">
        <v>0.0405557129641268</v>
      </c>
      <c r="S131" s="93" t="n">
        <v>0.0415448766949591</v>
      </c>
      <c r="T131" s="0" t="n">
        <v>0.0425340404257915</v>
      </c>
      <c r="U131" s="103" t="n">
        <v>0.0413820522577369</v>
      </c>
      <c r="V131" s="0" t="n">
        <v>0.0423225534454127</v>
      </c>
      <c r="W131" s="0" t="n">
        <v>0.0432630546330886</v>
      </c>
      <c r="X131" s="0" t="n">
        <v>0.0442035558207644</v>
      </c>
      <c r="Y131" s="0" t="n">
        <v>0.0451440570084403</v>
      </c>
      <c r="Z131" s="0" t="n">
        <v>0.0460845581961161</v>
      </c>
      <c r="AA131" s="0" t="n">
        <v>0.0470250593837919</v>
      </c>
      <c r="AB131" s="0" t="n">
        <v>0.0479655605714678</v>
      </c>
      <c r="AC131" s="0" t="n">
        <v>0.0489060617591436</v>
      </c>
      <c r="AD131" s="104"/>
    </row>
    <row r="132" customFormat="false" ht="15" hidden="true" customHeight="false" outlineLevel="0" collapsed="false">
      <c r="A132" s="0" t="s">
        <v>729</v>
      </c>
      <c r="B132" s="104" t="n">
        <v>14</v>
      </c>
      <c r="C132" s="108"/>
      <c r="D132" s="108"/>
      <c r="E132" s="108"/>
      <c r="F132" s="108"/>
      <c r="G132" s="109"/>
      <c r="H132" s="109"/>
      <c r="I132" s="109" t="n">
        <v>0.0282399646538668</v>
      </c>
      <c r="J132" s="109" t="n">
        <v>0.0291224635493001</v>
      </c>
      <c r="K132" s="111" t="n">
        <v>0.0300049624447335</v>
      </c>
      <c r="L132" s="111" t="n">
        <v>0.0308874613401668</v>
      </c>
      <c r="M132" s="111" t="n">
        <v>0.0336899272727825</v>
      </c>
      <c r="N132" s="111" t="n">
        <v>0.0346257585859154</v>
      </c>
      <c r="O132" s="112" t="n">
        <v>0.0355615898990483</v>
      </c>
      <c r="P132" s="112" t="n">
        <v>0.0364974212121811</v>
      </c>
      <c r="Q132" s="93" t="n">
        <v>0.0395665492332944</v>
      </c>
      <c r="R132" s="93" t="n">
        <v>0.0405557129641268</v>
      </c>
      <c r="S132" s="93" t="n">
        <v>0.0415448766949591</v>
      </c>
      <c r="T132" s="0" t="n">
        <v>0.0425340404257915</v>
      </c>
      <c r="U132" s="103" t="n">
        <v>0.0413820522577369</v>
      </c>
      <c r="V132" s="0" t="n">
        <v>0.0423225534454127</v>
      </c>
      <c r="W132" s="0" t="n">
        <v>0.0432630546330886</v>
      </c>
      <c r="X132" s="0" t="n">
        <v>0.0442035558207644</v>
      </c>
      <c r="Y132" s="0" t="n">
        <v>0.0451440570084403</v>
      </c>
      <c r="Z132" s="0" t="n">
        <v>0.0460845581961161</v>
      </c>
      <c r="AA132" s="0" t="n">
        <v>0.0470250593837919</v>
      </c>
      <c r="AB132" s="0" t="n">
        <v>0.0479655605714678</v>
      </c>
      <c r="AC132" s="0" t="n">
        <v>0.0489060617591436</v>
      </c>
      <c r="AD132" s="104"/>
    </row>
    <row r="133" customFormat="false" ht="15" hidden="true" customHeight="false" outlineLevel="0" collapsed="false">
      <c r="A133" s="0" t="s">
        <v>729</v>
      </c>
      <c r="B133" s="104" t="n">
        <v>15</v>
      </c>
      <c r="C133" s="108"/>
      <c r="D133" s="108"/>
      <c r="E133" s="108"/>
      <c r="F133" s="108"/>
      <c r="G133" s="109"/>
      <c r="H133" s="109"/>
      <c r="I133" s="109" t="n">
        <v>0.0282399646538668</v>
      </c>
      <c r="J133" s="109" t="n">
        <v>0.0291224635493001</v>
      </c>
      <c r="K133" s="111" t="n">
        <v>0.0300049624447335</v>
      </c>
      <c r="L133" s="111" t="n">
        <v>0.0308874613401668</v>
      </c>
      <c r="M133" s="111" t="n">
        <v>0.0336899272727825</v>
      </c>
      <c r="N133" s="111" t="n">
        <v>0.0346257585859154</v>
      </c>
      <c r="O133" s="112" t="n">
        <v>0.0355615898990483</v>
      </c>
      <c r="P133" s="112" t="n">
        <v>0.0364974212121811</v>
      </c>
      <c r="Q133" s="93" t="n">
        <v>0.0395665492332944</v>
      </c>
      <c r="R133" s="93" t="n">
        <v>0.0405557129641268</v>
      </c>
      <c r="S133" s="93" t="n">
        <v>0.0415448766949591</v>
      </c>
      <c r="T133" s="0" t="n">
        <v>0.0425340404257915</v>
      </c>
      <c r="U133" s="103" t="n">
        <v>0.0413820522577369</v>
      </c>
      <c r="V133" s="0" t="n">
        <v>0.0423225534454127</v>
      </c>
      <c r="W133" s="0" t="n">
        <v>0.0432630546330886</v>
      </c>
      <c r="X133" s="0" t="n">
        <v>0.0442035558207644</v>
      </c>
      <c r="Y133" s="0" t="n">
        <v>0.0451440570084403</v>
      </c>
      <c r="Z133" s="0" t="n">
        <v>0.0460845581961161</v>
      </c>
      <c r="AA133" s="0" t="n">
        <v>0.0470250593837919</v>
      </c>
      <c r="AB133" s="0" t="n">
        <v>0.0479655605714678</v>
      </c>
      <c r="AC133" s="0" t="n">
        <v>0.0489060617591436</v>
      </c>
      <c r="AD133" s="104"/>
    </row>
    <row r="134" customFormat="false" ht="15" hidden="true" customHeight="false" outlineLevel="0" collapsed="false">
      <c r="A134" s="0" t="s">
        <v>732</v>
      </c>
      <c r="B134" s="104" t="n">
        <v>9</v>
      </c>
      <c r="C134" s="108"/>
      <c r="D134" s="108"/>
      <c r="E134" s="108"/>
      <c r="F134" s="108"/>
      <c r="G134" s="109"/>
      <c r="H134" s="109"/>
      <c r="I134" s="109" t="n">
        <v>0.0564799293077336</v>
      </c>
      <c r="J134" s="109" t="n">
        <v>0.0582449270986003</v>
      </c>
      <c r="K134" s="111" t="n">
        <v>0.0600099248894669</v>
      </c>
      <c r="L134" s="111" t="n">
        <v>0.0617749226803336</v>
      </c>
      <c r="M134" s="111" t="n">
        <v>0.0673798545455651</v>
      </c>
      <c r="N134" s="111"/>
      <c r="O134" s="93"/>
      <c r="P134" s="93"/>
      <c r="Q134" s="93"/>
      <c r="R134" s="93"/>
      <c r="S134" s="93"/>
      <c r="AD134" s="104"/>
    </row>
    <row r="135" customFormat="false" ht="15" hidden="true" customHeight="false" outlineLevel="0" collapsed="false">
      <c r="A135" s="0" t="s">
        <v>732</v>
      </c>
      <c r="B135" s="104" t="n">
        <v>10</v>
      </c>
      <c r="C135" s="108"/>
      <c r="D135" s="108"/>
      <c r="E135" s="108"/>
      <c r="F135" s="108"/>
      <c r="G135" s="109"/>
      <c r="H135" s="109"/>
      <c r="I135" s="109" t="n">
        <v>0.0564799293077336</v>
      </c>
      <c r="J135" s="109" t="n">
        <v>0.0582449270986003</v>
      </c>
      <c r="K135" s="111" t="n">
        <v>0.0600099248894669</v>
      </c>
      <c r="L135" s="111" t="n">
        <v>0.0617749226803336</v>
      </c>
      <c r="M135" s="111" t="n">
        <v>0.0673798545455651</v>
      </c>
      <c r="N135" s="111"/>
      <c r="O135" s="112"/>
      <c r="P135" s="112"/>
      <c r="Q135" s="93"/>
      <c r="R135" s="93"/>
      <c r="S135" s="93"/>
      <c r="U135" s="103"/>
      <c r="AD135" s="104"/>
    </row>
    <row r="136" customFormat="false" ht="15" hidden="true" customHeight="false" outlineLevel="0" collapsed="false">
      <c r="A136" s="0" t="s">
        <v>732</v>
      </c>
      <c r="B136" s="104" t="n">
        <v>11</v>
      </c>
      <c r="C136" s="108"/>
      <c r="D136" s="108"/>
      <c r="E136" s="108"/>
      <c r="F136" s="108"/>
      <c r="G136" s="109"/>
      <c r="H136" s="109"/>
      <c r="I136" s="109" t="n">
        <v>0.0564799293077336</v>
      </c>
      <c r="J136" s="109" t="n">
        <v>0.0582449270986003</v>
      </c>
      <c r="K136" s="111" t="n">
        <v>0.0600099248894669</v>
      </c>
      <c r="L136" s="111" t="n">
        <v>0.0617749226803336</v>
      </c>
      <c r="M136" s="111" t="n">
        <v>0.0673798545455651</v>
      </c>
      <c r="N136" s="111"/>
      <c r="O136" s="112"/>
      <c r="P136" s="112"/>
      <c r="Q136" s="93"/>
      <c r="R136" s="93"/>
      <c r="S136" s="93"/>
      <c r="U136" s="103"/>
      <c r="AD136" s="104"/>
    </row>
    <row r="137" customFormat="false" ht="15" hidden="true" customHeight="false" outlineLevel="0" collapsed="false">
      <c r="A137" s="0" t="s">
        <v>732</v>
      </c>
      <c r="B137" s="104" t="n">
        <v>12</v>
      </c>
      <c r="C137" s="108"/>
      <c r="D137" s="108"/>
      <c r="E137" s="108"/>
      <c r="F137" s="108"/>
      <c r="G137" s="109"/>
      <c r="H137" s="109"/>
      <c r="I137" s="109" t="n">
        <v>0.0564799293077336</v>
      </c>
      <c r="J137" s="109" t="n">
        <v>0.0582449270986003</v>
      </c>
      <c r="K137" s="111" t="n">
        <v>0.0600099248894669</v>
      </c>
      <c r="L137" s="111" t="n">
        <v>0.0617749226803336</v>
      </c>
      <c r="M137" s="111" t="n">
        <v>0.0673798545455651</v>
      </c>
      <c r="N137" s="111"/>
      <c r="O137" s="112"/>
      <c r="P137" s="112"/>
      <c r="Q137" s="93"/>
      <c r="R137" s="93"/>
      <c r="S137" s="93"/>
      <c r="U137" s="103"/>
      <c r="AD137" s="104"/>
    </row>
    <row r="138" customFormat="false" ht="15" hidden="true" customHeight="false" outlineLevel="0" collapsed="false">
      <c r="A138" s="0" t="s">
        <v>732</v>
      </c>
      <c r="B138" s="104" t="n">
        <v>13</v>
      </c>
      <c r="C138" s="108"/>
      <c r="D138" s="108"/>
      <c r="E138" s="108"/>
      <c r="F138" s="108"/>
      <c r="G138" s="109"/>
      <c r="H138" s="109"/>
      <c r="I138" s="109" t="n">
        <v>0.0564799293077336</v>
      </c>
      <c r="J138" s="109" t="n">
        <v>0.0582449270986003</v>
      </c>
      <c r="K138" s="111" t="n">
        <v>0.0600099248894669</v>
      </c>
      <c r="L138" s="111" t="n">
        <v>0.0617749226803336</v>
      </c>
      <c r="M138" s="111" t="n">
        <v>0.0673798545455651</v>
      </c>
      <c r="N138" s="111"/>
      <c r="O138" s="112"/>
      <c r="P138" s="112"/>
      <c r="Q138" s="93"/>
      <c r="R138" s="93"/>
      <c r="S138" s="93"/>
      <c r="U138" s="103"/>
      <c r="AD138" s="104"/>
    </row>
    <row r="139" customFormat="false" ht="15" hidden="true" customHeight="false" outlineLevel="0" collapsed="false">
      <c r="A139" s="0" t="s">
        <v>732</v>
      </c>
      <c r="B139" s="104" t="n">
        <v>14</v>
      </c>
      <c r="C139" s="108"/>
      <c r="D139" s="108"/>
      <c r="E139" s="108"/>
      <c r="F139" s="108"/>
      <c r="G139" s="109"/>
      <c r="H139" s="109"/>
      <c r="I139" s="109" t="n">
        <v>0.0564799293077336</v>
      </c>
      <c r="J139" s="109" t="n">
        <v>0.0582449270986003</v>
      </c>
      <c r="K139" s="111" t="n">
        <v>0.0600099248894669</v>
      </c>
      <c r="L139" s="111" t="n">
        <v>0.0617749226803336</v>
      </c>
      <c r="M139" s="111" t="n">
        <v>0.0673798545455651</v>
      </c>
      <c r="N139" s="111"/>
      <c r="O139" s="112"/>
      <c r="P139" s="112"/>
      <c r="Q139" s="93"/>
      <c r="R139" s="93"/>
      <c r="S139" s="93"/>
      <c r="U139" s="103"/>
      <c r="AD139" s="104"/>
    </row>
    <row r="140" customFormat="false" ht="15" hidden="true" customHeight="false" outlineLevel="0" collapsed="false">
      <c r="A140" s="0" t="s">
        <v>732</v>
      </c>
      <c r="B140" s="104" t="n">
        <v>15</v>
      </c>
      <c r="C140" s="108"/>
      <c r="D140" s="108"/>
      <c r="E140" s="108"/>
      <c r="F140" s="108"/>
      <c r="G140" s="109"/>
      <c r="H140" s="109"/>
      <c r="I140" s="109" t="n">
        <v>0.0564799293077336</v>
      </c>
      <c r="J140" s="109" t="n">
        <v>0.0582449270986003</v>
      </c>
      <c r="K140" s="111" t="n">
        <v>0.0600099248894669</v>
      </c>
      <c r="L140" s="111" t="n">
        <v>0.0617749226803336</v>
      </c>
      <c r="M140" s="111" t="n">
        <v>0.0673798545455651</v>
      </c>
      <c r="N140" s="111"/>
      <c r="O140" s="112"/>
      <c r="P140" s="112"/>
      <c r="Q140" s="93"/>
      <c r="R140" s="93"/>
      <c r="S140" s="93"/>
      <c r="U140" s="103"/>
      <c r="AD140" s="104"/>
    </row>
    <row r="141" customFormat="false" ht="15" hidden="true" customHeight="false" outlineLevel="0" collapsed="false">
      <c r="A141" s="114" t="s">
        <v>736</v>
      </c>
      <c r="B141" s="104" t="n">
        <v>22</v>
      </c>
      <c r="C141" s="108"/>
      <c r="D141" s="108"/>
      <c r="E141" s="108"/>
      <c r="F141" s="108"/>
      <c r="G141" s="109"/>
      <c r="H141" s="109"/>
      <c r="I141" s="109" t="n">
        <v>0.028752119229801</v>
      </c>
      <c r="J141" s="109" t="n">
        <v>0.0296506229557323</v>
      </c>
      <c r="K141" s="111" t="n">
        <v>0.0305491266816635</v>
      </c>
      <c r="L141" s="111" t="n">
        <v>0.0314476304075948</v>
      </c>
      <c r="M141" s="111" t="n">
        <v>0.0336067797180697</v>
      </c>
      <c r="N141" s="111" t="n">
        <v>0.034540301376905</v>
      </c>
      <c r="O141" s="112" t="n">
        <v>0.0354738230357402</v>
      </c>
      <c r="P141" s="112" t="n">
        <v>0.0364073446945755</v>
      </c>
      <c r="Q141" s="93" t="n">
        <v>0.0387415836695703</v>
      </c>
      <c r="R141" s="93" t="n">
        <v>0.0397101232613095</v>
      </c>
      <c r="S141" s="93" t="n">
        <v>0.0406786628530488</v>
      </c>
      <c r="T141" s="0" t="n">
        <v>0.0416472024447881</v>
      </c>
      <c r="U141" s="103" t="n">
        <v>0.0398735008123006</v>
      </c>
      <c r="V141" s="0" t="n">
        <v>0.0407797167398529</v>
      </c>
      <c r="W141" s="0" t="n">
        <v>0.0416859326674052</v>
      </c>
      <c r="X141" s="0" t="n">
        <v>0.0425921485949574</v>
      </c>
      <c r="Y141" s="0" t="n">
        <v>0.0434983645225097</v>
      </c>
      <c r="Z141" s="0" t="n">
        <v>0.044404580450062</v>
      </c>
      <c r="AA141" s="0" t="n">
        <v>0.0453107963776143</v>
      </c>
      <c r="AB141" s="0" t="n">
        <v>0.0462170123051666</v>
      </c>
      <c r="AC141" s="0" t="n">
        <v>0.0471232282327189</v>
      </c>
      <c r="AD141" s="104"/>
    </row>
    <row r="142" customFormat="false" ht="15" hidden="true" customHeight="false" outlineLevel="0" collapsed="false">
      <c r="A142" s="114" t="s">
        <v>739</v>
      </c>
      <c r="B142" s="104" t="n">
        <v>16</v>
      </c>
      <c r="C142" s="108"/>
      <c r="D142" s="108"/>
      <c r="E142" s="108"/>
      <c r="F142" s="108"/>
      <c r="G142" s="109"/>
      <c r="H142" s="109"/>
      <c r="I142" s="109" t="n">
        <v>0.028752119229801</v>
      </c>
      <c r="J142" s="109" t="n">
        <v>0.0296506229557323</v>
      </c>
      <c r="K142" s="111" t="n">
        <v>0.0305491266816635</v>
      </c>
      <c r="L142" s="111" t="n">
        <v>0.0314476304075948</v>
      </c>
      <c r="M142" s="111" t="n">
        <v>0.0336067797180697</v>
      </c>
      <c r="N142" s="111" t="n">
        <v>0.034540301376905</v>
      </c>
      <c r="O142" s="112" t="n">
        <v>0.0354738230357402</v>
      </c>
      <c r="P142" s="112" t="n">
        <v>0.0364073446945755</v>
      </c>
      <c r="Q142" s="93" t="n">
        <v>0.0387415836695703</v>
      </c>
      <c r="R142" s="93" t="n">
        <v>0.0397101232613095</v>
      </c>
      <c r="S142" s="93" t="n">
        <v>0.0406786628530488</v>
      </c>
      <c r="T142" s="0" t="n">
        <v>0.0416472024447881</v>
      </c>
      <c r="U142" s="103" t="n">
        <v>0.0398735008123006</v>
      </c>
      <c r="V142" s="0" t="n">
        <v>0.0407797167398529</v>
      </c>
      <c r="W142" s="0" t="n">
        <v>0.0416859326674052</v>
      </c>
      <c r="X142" s="0" t="n">
        <v>0.0425921485949574</v>
      </c>
      <c r="Y142" s="0" t="n">
        <v>0.0434983645225097</v>
      </c>
      <c r="Z142" s="0" t="n">
        <v>0.044404580450062</v>
      </c>
      <c r="AA142" s="0" t="n">
        <v>0.0453107963776143</v>
      </c>
      <c r="AB142" s="0" t="n">
        <v>0.0462170123051666</v>
      </c>
      <c r="AC142" s="0" t="n">
        <v>0.0471232282327189</v>
      </c>
      <c r="AD142" s="104"/>
    </row>
    <row r="143" customFormat="false" ht="15" hidden="true" customHeight="false" outlineLevel="0" collapsed="false">
      <c r="A143" s="114" t="s">
        <v>739</v>
      </c>
      <c r="B143" s="104" t="n">
        <v>17</v>
      </c>
      <c r="C143" s="108"/>
      <c r="D143" s="108"/>
      <c r="E143" s="108"/>
      <c r="F143" s="108"/>
      <c r="G143" s="109"/>
      <c r="H143" s="109"/>
      <c r="I143" s="109" t="n">
        <v>0.028752119229801</v>
      </c>
      <c r="J143" s="109" t="n">
        <v>0.0296506229557323</v>
      </c>
      <c r="K143" s="111" t="n">
        <v>0.0305491266816635</v>
      </c>
      <c r="L143" s="111" t="n">
        <v>0.0314476304075948</v>
      </c>
      <c r="M143" s="111" t="n">
        <v>0.0336067797180697</v>
      </c>
      <c r="N143" s="111" t="n">
        <v>0.034540301376905</v>
      </c>
      <c r="O143" s="112" t="n">
        <v>0.0354738230357402</v>
      </c>
      <c r="P143" s="112" t="n">
        <v>0.0364073446945755</v>
      </c>
      <c r="Q143" s="93" t="n">
        <v>0.0387415836695703</v>
      </c>
      <c r="R143" s="93" t="n">
        <v>0.0397101232613095</v>
      </c>
      <c r="S143" s="93" t="n">
        <v>0.0406786628530488</v>
      </c>
      <c r="T143" s="0" t="n">
        <v>0.0416472024447881</v>
      </c>
      <c r="U143" s="103" t="n">
        <v>0.0398735008123006</v>
      </c>
      <c r="V143" s="0" t="n">
        <v>0.0407797167398529</v>
      </c>
      <c r="W143" s="0" t="n">
        <v>0.0416859326674052</v>
      </c>
      <c r="X143" s="0" t="n">
        <v>0.0425921485949574</v>
      </c>
      <c r="Y143" s="0" t="n">
        <v>0.0434983645225097</v>
      </c>
      <c r="Z143" s="0" t="n">
        <v>0.044404580450062</v>
      </c>
      <c r="AA143" s="0" t="n">
        <v>0.0453107963776143</v>
      </c>
      <c r="AB143" s="0" t="n">
        <v>0.0462170123051666</v>
      </c>
      <c r="AC143" s="0" t="n">
        <v>0.0471232282327189</v>
      </c>
      <c r="AD143" s="104"/>
    </row>
    <row r="144" customFormat="false" ht="15" hidden="true" customHeight="false" outlineLevel="0" collapsed="false">
      <c r="A144" s="114" t="s">
        <v>739</v>
      </c>
      <c r="B144" s="104" t="n">
        <v>18</v>
      </c>
      <c r="C144" s="108"/>
      <c r="D144" s="108"/>
      <c r="E144" s="108"/>
      <c r="F144" s="108"/>
      <c r="G144" s="109"/>
      <c r="H144" s="109"/>
      <c r="I144" s="109" t="n">
        <v>0.028752119229801</v>
      </c>
      <c r="J144" s="109" t="n">
        <v>0.0296506229557323</v>
      </c>
      <c r="K144" s="111" t="n">
        <v>0.0305491266816635</v>
      </c>
      <c r="L144" s="111" t="n">
        <v>0.0314476304075948</v>
      </c>
      <c r="M144" s="111" t="n">
        <v>0.0336067797180697</v>
      </c>
      <c r="N144" s="111" t="n">
        <v>0.034540301376905</v>
      </c>
      <c r="O144" s="112" t="n">
        <v>0.0354738230357402</v>
      </c>
      <c r="P144" s="112" t="n">
        <v>0.0364073446945755</v>
      </c>
      <c r="Q144" s="93" t="n">
        <v>0.0387415836695703</v>
      </c>
      <c r="R144" s="93" t="n">
        <v>0.0397101232613095</v>
      </c>
      <c r="S144" s="93" t="n">
        <v>0.0406786628530488</v>
      </c>
      <c r="T144" s="0" t="n">
        <v>0.0416472024447881</v>
      </c>
      <c r="U144" s="103" t="n">
        <v>0.0398735008123006</v>
      </c>
      <c r="V144" s="0" t="n">
        <v>0.0407797167398529</v>
      </c>
      <c r="W144" s="0" t="n">
        <v>0.0416859326674052</v>
      </c>
      <c r="X144" s="0" t="n">
        <v>0.0425921485949574</v>
      </c>
      <c r="Y144" s="0" t="n">
        <v>0.0434983645225097</v>
      </c>
      <c r="Z144" s="0" t="n">
        <v>0.044404580450062</v>
      </c>
      <c r="AA144" s="0" t="n">
        <v>0.0453107963776143</v>
      </c>
      <c r="AB144" s="0" t="n">
        <v>0.0462170123051666</v>
      </c>
      <c r="AC144" s="0" t="n">
        <v>0.0471232282327189</v>
      </c>
      <c r="AD144" s="104"/>
    </row>
    <row r="145" customFormat="false" ht="15" hidden="true" customHeight="false" outlineLevel="0" collapsed="false">
      <c r="A145" s="114" t="s">
        <v>739</v>
      </c>
      <c r="B145" s="104" t="n">
        <v>19</v>
      </c>
      <c r="C145" s="108"/>
      <c r="D145" s="108"/>
      <c r="E145" s="108"/>
      <c r="F145" s="108"/>
      <c r="G145" s="109"/>
      <c r="H145" s="109"/>
      <c r="I145" s="109" t="n">
        <v>0.028752119229801</v>
      </c>
      <c r="J145" s="109" t="n">
        <v>0.0296506229557323</v>
      </c>
      <c r="K145" s="111" t="n">
        <v>0.0305491266816635</v>
      </c>
      <c r="L145" s="111" t="n">
        <v>0.0314476304075948</v>
      </c>
      <c r="M145" s="111" t="n">
        <v>0.0336067797180697</v>
      </c>
      <c r="N145" s="111" t="n">
        <v>0.034540301376905</v>
      </c>
      <c r="O145" s="112" t="n">
        <v>0.0354738230357402</v>
      </c>
      <c r="P145" s="112" t="n">
        <v>0.0364073446945755</v>
      </c>
      <c r="Q145" s="93" t="n">
        <v>0.0387415836695703</v>
      </c>
      <c r="R145" s="93" t="n">
        <v>0.0397101232613095</v>
      </c>
      <c r="S145" s="93" t="n">
        <v>0.0406786628530488</v>
      </c>
      <c r="T145" s="0" t="n">
        <v>0.0416472024447881</v>
      </c>
      <c r="U145" s="103" t="n">
        <v>0.0398735008123006</v>
      </c>
      <c r="V145" s="0" t="n">
        <v>0.0407797167398529</v>
      </c>
      <c r="W145" s="0" t="n">
        <v>0.0416859326674052</v>
      </c>
      <c r="X145" s="0" t="n">
        <v>0.0425921485949574</v>
      </c>
      <c r="Y145" s="0" t="n">
        <v>0.0434983645225097</v>
      </c>
      <c r="Z145" s="0" t="n">
        <v>0.044404580450062</v>
      </c>
      <c r="AA145" s="0" t="n">
        <v>0.0453107963776143</v>
      </c>
      <c r="AB145" s="0" t="n">
        <v>0.0462170123051666</v>
      </c>
      <c r="AC145" s="0" t="n">
        <v>0.0471232282327189</v>
      </c>
      <c r="AD145" s="104"/>
    </row>
    <row r="146" customFormat="false" ht="15" hidden="true" customHeight="false" outlineLevel="0" collapsed="false">
      <c r="A146" s="114" t="s">
        <v>739</v>
      </c>
      <c r="B146" s="104" t="n">
        <v>20</v>
      </c>
      <c r="C146" s="108"/>
      <c r="D146" s="108"/>
      <c r="E146" s="108"/>
      <c r="F146" s="108"/>
      <c r="G146" s="109"/>
      <c r="H146" s="109"/>
      <c r="I146" s="109" t="n">
        <v>0.028752119229801</v>
      </c>
      <c r="J146" s="109" t="n">
        <v>0.0296506229557323</v>
      </c>
      <c r="K146" s="111" t="n">
        <v>0.0305491266816635</v>
      </c>
      <c r="L146" s="111" t="n">
        <v>0.0314476304075948</v>
      </c>
      <c r="M146" s="111" t="n">
        <v>0.0336067797180697</v>
      </c>
      <c r="N146" s="111" t="n">
        <v>0.034540301376905</v>
      </c>
      <c r="O146" s="112" t="n">
        <v>0.0354738230357402</v>
      </c>
      <c r="P146" s="112" t="n">
        <v>0.0364073446945755</v>
      </c>
      <c r="Q146" s="93" t="n">
        <v>0.0387415836695703</v>
      </c>
      <c r="R146" s="93" t="n">
        <v>0.0397101232613095</v>
      </c>
      <c r="S146" s="93" t="n">
        <v>0.0406786628530488</v>
      </c>
      <c r="T146" s="0" t="n">
        <v>0.0416472024447881</v>
      </c>
      <c r="U146" s="0" t="n">
        <v>0.0398735008123006</v>
      </c>
      <c r="V146" s="0" t="n">
        <v>0.0407797167398529</v>
      </c>
      <c r="W146" s="0" t="n">
        <v>0.0416859326674052</v>
      </c>
      <c r="X146" s="0" t="n">
        <v>0.0425921485949574</v>
      </c>
      <c r="Y146" s="0" t="n">
        <v>0.0434983645225097</v>
      </c>
      <c r="Z146" s="0" t="n">
        <v>0.044404580450062</v>
      </c>
      <c r="AA146" s="0" t="n">
        <v>0.0453107963776143</v>
      </c>
      <c r="AB146" s="0" t="n">
        <v>0.0462170123051666</v>
      </c>
      <c r="AC146" s="0" t="n">
        <v>0.0471232282327189</v>
      </c>
      <c r="AD146" s="104"/>
    </row>
    <row r="147" customFormat="false" ht="15" hidden="true" customHeight="false" outlineLevel="0" collapsed="false">
      <c r="A147" s="114" t="s">
        <v>739</v>
      </c>
      <c r="B147" s="104" t="n">
        <v>21</v>
      </c>
      <c r="C147" s="108"/>
      <c r="D147" s="108"/>
      <c r="E147" s="108"/>
      <c r="F147" s="108"/>
      <c r="G147" s="109"/>
      <c r="H147" s="109"/>
      <c r="I147" s="109" t="n">
        <v>0.028752119229801</v>
      </c>
      <c r="J147" s="109" t="n">
        <v>0.0296506229557323</v>
      </c>
      <c r="K147" s="111" t="n">
        <v>0.0305491266816635</v>
      </c>
      <c r="L147" s="111" t="n">
        <v>0.0314476304075948</v>
      </c>
      <c r="M147" s="111" t="n">
        <v>0.0336067797180697</v>
      </c>
      <c r="N147" s="111" t="n">
        <v>0.034540301376905</v>
      </c>
      <c r="O147" s="112" t="n">
        <v>0.0354738230357402</v>
      </c>
      <c r="P147" s="112" t="n">
        <v>0.0364073446945755</v>
      </c>
      <c r="Q147" s="93" t="n">
        <v>0.0387415836695703</v>
      </c>
      <c r="R147" s="93" t="n">
        <v>0.0397101232613095</v>
      </c>
      <c r="S147" s="93" t="n">
        <v>0.0406786628530488</v>
      </c>
      <c r="T147" s="0" t="n">
        <v>0.0416472024447881</v>
      </c>
      <c r="U147" s="0" t="n">
        <v>0.0398735008123006</v>
      </c>
      <c r="V147" s="0" t="n">
        <v>0.0407797167398529</v>
      </c>
      <c r="W147" s="0" t="n">
        <v>0.0416859326674052</v>
      </c>
      <c r="X147" s="0" t="n">
        <v>0.0425921485949574</v>
      </c>
      <c r="Y147" s="0" t="n">
        <v>0.0434983645225097</v>
      </c>
      <c r="Z147" s="0" t="n">
        <v>0.044404580450062</v>
      </c>
      <c r="AA147" s="0" t="n">
        <v>0.0453107963776143</v>
      </c>
      <c r="AB147" s="0" t="n">
        <v>0.0462170123051666</v>
      </c>
      <c r="AC147" s="0" t="n">
        <v>0.0471232282327189</v>
      </c>
      <c r="AD147" s="104"/>
    </row>
    <row r="148" customFormat="false" ht="15" hidden="true" customHeight="false" outlineLevel="0" collapsed="false">
      <c r="A148" s="114" t="s">
        <v>742</v>
      </c>
      <c r="B148" s="104" t="n">
        <v>16</v>
      </c>
      <c r="C148" s="108"/>
      <c r="D148" s="108"/>
      <c r="E148" s="108"/>
      <c r="F148" s="108"/>
      <c r="G148" s="109"/>
      <c r="H148" s="109"/>
      <c r="I148" s="109" t="n">
        <v>0.028752119229801</v>
      </c>
      <c r="J148" s="109" t="n">
        <v>0.0296506229557323</v>
      </c>
      <c r="K148" s="111" t="n">
        <v>0.0305491266816635</v>
      </c>
      <c r="L148" s="111" t="n">
        <v>0.0314476304075948</v>
      </c>
      <c r="M148" s="111" t="n">
        <v>0.0336067797180697</v>
      </c>
      <c r="N148" s="111" t="n">
        <v>0.034540301376905</v>
      </c>
      <c r="O148" s="112" t="n">
        <v>0.0354738230357402</v>
      </c>
      <c r="P148" s="112" t="n">
        <v>0.0364073446945755</v>
      </c>
      <c r="Q148" s="93" t="n">
        <v>0.0387415836695703</v>
      </c>
      <c r="R148" s="93" t="n">
        <v>0.0397101232613095</v>
      </c>
      <c r="S148" s="93" t="n">
        <v>0.0406786628530488</v>
      </c>
      <c r="T148" s="0" t="n">
        <v>0.0416472024447881</v>
      </c>
      <c r="U148" s="103" t="n">
        <v>0.0398735008123006</v>
      </c>
      <c r="V148" s="0" t="n">
        <v>0.0407797167398529</v>
      </c>
      <c r="W148" s="0" t="n">
        <v>0.0416859326674052</v>
      </c>
      <c r="X148" s="0" t="n">
        <v>0.0425921485949574</v>
      </c>
      <c r="Y148" s="0" t="n">
        <v>0.0434983645225097</v>
      </c>
      <c r="Z148" s="0" t="n">
        <v>0.044404580450062</v>
      </c>
      <c r="AA148" s="0" t="n">
        <v>0.0453107963776143</v>
      </c>
      <c r="AB148" s="0" t="n">
        <v>0.0462170123051666</v>
      </c>
      <c r="AC148" s="0" t="n">
        <v>0.0471232282327189</v>
      </c>
      <c r="AD148" s="104"/>
    </row>
    <row r="149" customFormat="false" ht="15" hidden="true" customHeight="false" outlineLevel="0" collapsed="false">
      <c r="A149" s="114" t="s">
        <v>742</v>
      </c>
      <c r="B149" s="104" t="n">
        <v>17</v>
      </c>
      <c r="C149" s="108"/>
      <c r="D149" s="108"/>
      <c r="E149" s="108"/>
      <c r="F149" s="108"/>
      <c r="G149" s="109"/>
      <c r="H149" s="109"/>
      <c r="I149" s="109" t="n">
        <v>0.028752119229801</v>
      </c>
      <c r="J149" s="109" t="n">
        <v>0.0296506229557323</v>
      </c>
      <c r="K149" s="111" t="n">
        <v>0.0305491266816635</v>
      </c>
      <c r="L149" s="111" t="n">
        <v>0.0314476304075948</v>
      </c>
      <c r="M149" s="111" t="n">
        <v>0.0336067797180697</v>
      </c>
      <c r="N149" s="111" t="n">
        <v>0.034540301376905</v>
      </c>
      <c r="O149" s="112" t="n">
        <v>0.0354738230357402</v>
      </c>
      <c r="P149" s="112" t="n">
        <v>0.0364073446945755</v>
      </c>
      <c r="Q149" s="93" t="n">
        <v>0.0387415836695703</v>
      </c>
      <c r="R149" s="93" t="n">
        <v>0.0397101232613095</v>
      </c>
      <c r="S149" s="93" t="n">
        <v>0.0406786628530488</v>
      </c>
      <c r="T149" s="0" t="n">
        <v>0.0416472024447881</v>
      </c>
      <c r="U149" s="103" t="n">
        <v>0.0398735008123006</v>
      </c>
      <c r="V149" s="0" t="n">
        <v>0.0407797167398529</v>
      </c>
      <c r="W149" s="0" t="n">
        <v>0.0416859326674052</v>
      </c>
      <c r="X149" s="0" t="n">
        <v>0.0425921485949574</v>
      </c>
      <c r="Y149" s="0" t="n">
        <v>0.0434983645225097</v>
      </c>
      <c r="Z149" s="0" t="n">
        <v>0.044404580450062</v>
      </c>
      <c r="AA149" s="0" t="n">
        <v>0.0453107963776143</v>
      </c>
      <c r="AB149" s="0" t="n">
        <v>0.0462170123051666</v>
      </c>
      <c r="AC149" s="0" t="n">
        <v>0.0471232282327189</v>
      </c>
      <c r="AD149" s="104"/>
    </row>
    <row r="150" customFormat="false" ht="15" hidden="true" customHeight="false" outlineLevel="0" collapsed="false">
      <c r="A150" s="114" t="s">
        <v>742</v>
      </c>
      <c r="B150" s="104" t="n">
        <v>18</v>
      </c>
      <c r="C150" s="108"/>
      <c r="D150" s="108"/>
      <c r="E150" s="108"/>
      <c r="F150" s="108"/>
      <c r="G150" s="109"/>
      <c r="H150" s="109"/>
      <c r="I150" s="109" t="n">
        <v>0.028752119229801</v>
      </c>
      <c r="J150" s="109" t="n">
        <v>0.0296506229557323</v>
      </c>
      <c r="K150" s="111" t="n">
        <v>0.0305491266816635</v>
      </c>
      <c r="L150" s="111" t="n">
        <v>0.0314476304075948</v>
      </c>
      <c r="M150" s="111" t="n">
        <v>0.0336067797180697</v>
      </c>
      <c r="N150" s="111" t="n">
        <v>0.034540301376905</v>
      </c>
      <c r="O150" s="112" t="n">
        <v>0.0354738230357402</v>
      </c>
      <c r="P150" s="112" t="n">
        <v>0.0364073446945755</v>
      </c>
      <c r="Q150" s="93" t="n">
        <v>0.0387415836695703</v>
      </c>
      <c r="R150" s="93" t="n">
        <v>0.0397101232613095</v>
      </c>
      <c r="S150" s="93" t="n">
        <v>0.0406786628530488</v>
      </c>
      <c r="T150" s="0" t="n">
        <v>0.0416472024447881</v>
      </c>
      <c r="U150" s="103" t="n">
        <v>0.0398735008123006</v>
      </c>
      <c r="V150" s="0" t="n">
        <v>0.0407797167398529</v>
      </c>
      <c r="W150" s="0" t="n">
        <v>0.0416859326674052</v>
      </c>
      <c r="X150" s="0" t="n">
        <v>0.0425921485949574</v>
      </c>
      <c r="Y150" s="0" t="n">
        <v>0.0434983645225097</v>
      </c>
      <c r="Z150" s="0" t="n">
        <v>0.044404580450062</v>
      </c>
      <c r="AA150" s="0" t="n">
        <v>0.0453107963776143</v>
      </c>
      <c r="AB150" s="0" t="n">
        <v>0.0462170123051666</v>
      </c>
      <c r="AC150" s="0" t="n">
        <v>0.0471232282327189</v>
      </c>
      <c r="AD150" s="104"/>
    </row>
    <row r="151" customFormat="false" ht="15" hidden="true" customHeight="false" outlineLevel="0" collapsed="false">
      <c r="A151" s="114" t="s">
        <v>742</v>
      </c>
      <c r="B151" s="104" t="n">
        <v>19</v>
      </c>
      <c r="C151" s="108"/>
      <c r="D151" s="108"/>
      <c r="E151" s="108"/>
      <c r="F151" s="108"/>
      <c r="G151" s="109"/>
      <c r="H151" s="109"/>
      <c r="I151" s="109" t="n">
        <v>0.028752119229801</v>
      </c>
      <c r="J151" s="109" t="n">
        <v>0.0296506229557323</v>
      </c>
      <c r="K151" s="111" t="n">
        <v>0.0305491266816635</v>
      </c>
      <c r="L151" s="111" t="n">
        <v>0.0314476304075948</v>
      </c>
      <c r="M151" s="111" t="n">
        <v>0.0336067797180697</v>
      </c>
      <c r="N151" s="111" t="n">
        <v>0.034540301376905</v>
      </c>
      <c r="O151" s="112" t="n">
        <v>0.0354738230357402</v>
      </c>
      <c r="P151" s="112" t="n">
        <v>0.0364073446945755</v>
      </c>
      <c r="Q151" s="93" t="n">
        <v>0.0387415836695703</v>
      </c>
      <c r="R151" s="93" t="n">
        <v>0.0397101232613095</v>
      </c>
      <c r="S151" s="93" t="n">
        <v>0.0406786628530488</v>
      </c>
      <c r="T151" s="0" t="n">
        <v>0.0416472024447881</v>
      </c>
      <c r="U151" s="103" t="n">
        <v>0.0398735008123006</v>
      </c>
      <c r="V151" s="0" t="n">
        <v>0.0407797167398529</v>
      </c>
      <c r="W151" s="0" t="n">
        <v>0.0416859326674052</v>
      </c>
      <c r="X151" s="0" t="n">
        <v>0.0425921485949574</v>
      </c>
      <c r="Y151" s="0" t="n">
        <v>0.0434983645225097</v>
      </c>
      <c r="Z151" s="0" t="n">
        <v>0.044404580450062</v>
      </c>
      <c r="AA151" s="0" t="n">
        <v>0.0453107963776143</v>
      </c>
      <c r="AB151" s="0" t="n">
        <v>0.0462170123051666</v>
      </c>
      <c r="AC151" s="0" t="n">
        <v>0.0471232282327189</v>
      </c>
      <c r="AD151" s="104"/>
    </row>
    <row r="152" customFormat="false" ht="15" hidden="true" customHeight="false" outlineLevel="0" collapsed="false">
      <c r="A152" s="114" t="s">
        <v>742</v>
      </c>
      <c r="B152" s="104" t="n">
        <v>20</v>
      </c>
      <c r="C152" s="108"/>
      <c r="D152" s="108"/>
      <c r="E152" s="108"/>
      <c r="F152" s="108"/>
      <c r="G152" s="109"/>
      <c r="H152" s="109"/>
      <c r="I152" s="109" t="n">
        <v>0.028752119229801</v>
      </c>
      <c r="J152" s="109" t="n">
        <v>0.0296506229557323</v>
      </c>
      <c r="K152" s="111" t="n">
        <v>0.0305491266816635</v>
      </c>
      <c r="L152" s="111" t="n">
        <v>0.0314476304075948</v>
      </c>
      <c r="M152" s="111" t="n">
        <v>0.0336067797180697</v>
      </c>
      <c r="N152" s="111" t="n">
        <v>0.034540301376905</v>
      </c>
      <c r="O152" s="112" t="n">
        <v>0.0354738230357402</v>
      </c>
      <c r="P152" s="112" t="n">
        <v>0.0364073446945755</v>
      </c>
      <c r="Q152" s="93" t="n">
        <v>0.0387415836695703</v>
      </c>
      <c r="R152" s="93" t="n">
        <v>0.0397101232613095</v>
      </c>
      <c r="S152" s="93" t="n">
        <v>0.0406786628530488</v>
      </c>
      <c r="T152" s="0" t="n">
        <v>0.0416472024447881</v>
      </c>
      <c r="U152" s="103" t="n">
        <v>0.0398735008123006</v>
      </c>
      <c r="V152" s="0" t="n">
        <v>0.0407797167398529</v>
      </c>
      <c r="W152" s="0" t="n">
        <v>0.0416859326674052</v>
      </c>
      <c r="X152" s="0" t="n">
        <v>0.0425921485949574</v>
      </c>
      <c r="Y152" s="0" t="n">
        <v>0.0434983645225097</v>
      </c>
      <c r="Z152" s="0" t="n">
        <v>0.044404580450062</v>
      </c>
      <c r="AA152" s="0" t="n">
        <v>0.0453107963776143</v>
      </c>
      <c r="AB152" s="0" t="n">
        <v>0.0462170123051666</v>
      </c>
      <c r="AC152" s="0" t="n">
        <v>0.0471232282327189</v>
      </c>
      <c r="AD152" s="104"/>
    </row>
    <row r="153" customFormat="false" ht="15" hidden="true" customHeight="false" outlineLevel="0" collapsed="false">
      <c r="A153" s="114" t="s">
        <v>742</v>
      </c>
      <c r="B153" s="104" t="n">
        <v>21</v>
      </c>
      <c r="C153" s="108"/>
      <c r="D153" s="108"/>
      <c r="E153" s="108"/>
      <c r="F153" s="108"/>
      <c r="G153" s="109"/>
      <c r="H153" s="109"/>
      <c r="I153" s="109" t="n">
        <v>0.028752119229801</v>
      </c>
      <c r="J153" s="109" t="n">
        <v>0.0296506229557323</v>
      </c>
      <c r="K153" s="111" t="n">
        <v>0.0305491266816635</v>
      </c>
      <c r="L153" s="111" t="n">
        <v>0.0314476304075948</v>
      </c>
      <c r="M153" s="111" t="n">
        <v>0.0336067797180697</v>
      </c>
      <c r="N153" s="111" t="n">
        <v>0.034540301376905</v>
      </c>
      <c r="O153" s="112" t="n">
        <v>0.0354738230357402</v>
      </c>
      <c r="P153" s="112" t="n">
        <v>0.0364073446945755</v>
      </c>
      <c r="Q153" s="93" t="n">
        <v>0.0387415836695703</v>
      </c>
      <c r="R153" s="93" t="n">
        <v>0.0397101232613095</v>
      </c>
      <c r="S153" s="93" t="n">
        <v>0.0406786628530488</v>
      </c>
      <c r="T153" s="0" t="n">
        <v>0.0416472024447881</v>
      </c>
      <c r="U153" s="103" t="n">
        <v>0.0398735008123006</v>
      </c>
      <c r="V153" s="0" t="n">
        <v>0.0407797167398529</v>
      </c>
      <c r="W153" s="0" t="n">
        <v>0.0416859326674052</v>
      </c>
      <c r="X153" s="0" t="n">
        <v>0.0425921485949574</v>
      </c>
      <c r="Y153" s="0" t="n">
        <v>0.0434983645225097</v>
      </c>
      <c r="Z153" s="0" t="n">
        <v>0.044404580450062</v>
      </c>
      <c r="AA153" s="0" t="n">
        <v>0.0453107963776143</v>
      </c>
      <c r="AB153" s="0" t="n">
        <v>0.0462170123051666</v>
      </c>
      <c r="AC153" s="0" t="n">
        <v>0.0471232282327189</v>
      </c>
      <c r="AD153" s="104"/>
    </row>
    <row r="154" customFormat="false" ht="15" hidden="true" customHeight="false" outlineLevel="0" collapsed="false">
      <c r="A154" s="114" t="s">
        <v>228</v>
      </c>
      <c r="B154" s="104" t="n">
        <v>27</v>
      </c>
      <c r="C154" s="108"/>
      <c r="D154" s="108"/>
      <c r="E154" s="108"/>
      <c r="F154" s="108"/>
      <c r="G154" s="109"/>
      <c r="H154" s="109"/>
      <c r="I154" s="109"/>
      <c r="J154" s="109"/>
      <c r="K154" s="111"/>
      <c r="L154" s="111"/>
      <c r="M154" s="111"/>
      <c r="N154" s="111"/>
      <c r="O154" s="112"/>
      <c r="P154" s="112" t="n">
        <v>0.361565540955286</v>
      </c>
      <c r="Q154" s="112" t="n">
        <v>0.386976169290559</v>
      </c>
      <c r="R154" s="112" t="n">
        <v>0.396650573522823</v>
      </c>
      <c r="S154" s="112" t="n">
        <v>0.406324977755087</v>
      </c>
      <c r="T154" s="0" t="n">
        <v>0.415999381987351</v>
      </c>
      <c r="U154" s="103" t="n">
        <v>0.425673786219615</v>
      </c>
      <c r="V154" s="0" t="n">
        <v>0.435348190451879</v>
      </c>
      <c r="W154" s="0" t="n">
        <v>0.445022594684143</v>
      </c>
      <c r="X154" s="0" t="n">
        <v>0.454696998916407</v>
      </c>
      <c r="Y154" s="0" t="n">
        <v>0.464371403148671</v>
      </c>
      <c r="Z154" s="0" t="n">
        <v>0.474045807380934</v>
      </c>
      <c r="AA154" s="0" t="n">
        <v>0.483720211613198</v>
      </c>
      <c r="AB154" s="0" t="n">
        <v>0.493394615845462</v>
      </c>
      <c r="AC154" s="0" t="n">
        <v>0.503069020077726</v>
      </c>
      <c r="AD154" s="104"/>
    </row>
    <row r="155" customFormat="false" ht="15" hidden="true" customHeight="false" outlineLevel="0" collapsed="false">
      <c r="A155" s="114" t="s">
        <v>124</v>
      </c>
      <c r="B155" s="104" t="n">
        <v>27</v>
      </c>
      <c r="C155" s="108"/>
      <c r="D155" s="108"/>
      <c r="E155" s="108"/>
      <c r="F155" s="108"/>
      <c r="G155" s="109"/>
      <c r="H155" s="109"/>
      <c r="I155" s="109" t="n">
        <v>0.118529727616372</v>
      </c>
      <c r="J155" s="109" t="n">
        <v>0.122233781604384</v>
      </c>
      <c r="K155" s="111" t="n">
        <v>0.125937835592396</v>
      </c>
      <c r="L155" s="111" t="n">
        <v>0.129641889580407</v>
      </c>
      <c r="M155" s="111" t="n">
        <v>0.166876403517824</v>
      </c>
      <c r="N155" s="111" t="n">
        <v>0.171511859171097</v>
      </c>
      <c r="O155" s="112" t="n">
        <v>0.17614731482437</v>
      </c>
      <c r="P155" s="112" t="n">
        <v>0.180782770477643</v>
      </c>
      <c r="Q155" s="112" t="n">
        <v>0.19348808464528</v>
      </c>
      <c r="R155" s="112" t="n">
        <v>0.198325286761411</v>
      </c>
      <c r="S155" s="112" t="n">
        <v>0.203162488877543</v>
      </c>
      <c r="T155" s="0" t="n">
        <v>0.207999690993675</v>
      </c>
      <c r="U155" s="103" t="n">
        <v>0.212836893109807</v>
      </c>
      <c r="V155" s="0" t="n">
        <v>0.217674095225939</v>
      </c>
      <c r="W155" s="0" t="n">
        <v>0.222511297342071</v>
      </c>
      <c r="X155" s="0" t="n">
        <v>0.227348499458203</v>
      </c>
      <c r="Y155" s="0" t="n">
        <v>0.232185701574335</v>
      </c>
      <c r="Z155" s="0" t="n">
        <v>0.237022903690467</v>
      </c>
      <c r="AA155" s="0" t="n">
        <v>0.241860105806599</v>
      </c>
      <c r="AB155" s="0" t="n">
        <v>0.246697307922731</v>
      </c>
      <c r="AC155" s="0" t="n">
        <v>0.251534510038863</v>
      </c>
      <c r="AD155" s="104"/>
    </row>
    <row r="156" customFormat="false" ht="15" hidden="true" customHeight="false" outlineLevel="0" collapsed="false">
      <c r="A156" s="114" t="s">
        <v>229</v>
      </c>
      <c r="B156" s="104" t="n">
        <v>27</v>
      </c>
      <c r="C156" s="108"/>
      <c r="D156" s="108"/>
      <c r="E156" s="108"/>
      <c r="F156" s="108"/>
      <c r="G156" s="109"/>
      <c r="H156" s="109"/>
      <c r="I156" s="109" t="n">
        <v>0.118529727616372</v>
      </c>
      <c r="J156" s="109" t="n">
        <v>0.122233781604384</v>
      </c>
      <c r="K156" s="111" t="n">
        <v>0.125937835592396</v>
      </c>
      <c r="L156" s="111" t="n">
        <v>0.129641889580407</v>
      </c>
      <c r="M156" s="111" t="n">
        <v>0.166876403517824</v>
      </c>
      <c r="N156" s="111" t="n">
        <v>0.171511859171097</v>
      </c>
      <c r="O156" s="112" t="n">
        <v>0.17614731482437</v>
      </c>
      <c r="P156" s="112" t="n">
        <v>0.180782770477643</v>
      </c>
      <c r="Q156" s="112" t="n">
        <v>0.19348808464528</v>
      </c>
      <c r="R156" s="112" t="n">
        <v>0.198325286761411</v>
      </c>
      <c r="S156" s="112" t="n">
        <v>0.203162488877543</v>
      </c>
      <c r="T156" s="0" t="n">
        <v>0.207999690993675</v>
      </c>
      <c r="U156" s="103" t="n">
        <v>0.212836893109807</v>
      </c>
      <c r="V156" s="0" t="n">
        <v>0.217674095225939</v>
      </c>
      <c r="W156" s="0" t="n">
        <v>0.222511297342071</v>
      </c>
      <c r="X156" s="0" t="n">
        <v>0.227348499458203</v>
      </c>
      <c r="Y156" s="0" t="n">
        <v>0.232185701574335</v>
      </c>
      <c r="Z156" s="0" t="n">
        <v>0.237022903690467</v>
      </c>
      <c r="AA156" s="0" t="n">
        <v>0.241860105806599</v>
      </c>
      <c r="AB156" s="0" t="n">
        <v>0.246697307922731</v>
      </c>
      <c r="AC156" s="0" t="n">
        <v>0.251534510038863</v>
      </c>
      <c r="AD156" s="104"/>
    </row>
    <row r="157" customFormat="false" ht="15" hidden="true" customHeight="false" outlineLevel="0" collapsed="false">
      <c r="A157" s="114" t="s">
        <v>752</v>
      </c>
      <c r="B157" s="104" t="n">
        <v>27</v>
      </c>
      <c r="C157" s="108"/>
      <c r="D157" s="108"/>
      <c r="E157" s="108"/>
      <c r="F157" s="108"/>
      <c r="G157" s="109"/>
      <c r="H157" s="109"/>
      <c r="I157" s="109" t="n">
        <v>0.118529727616372</v>
      </c>
      <c r="J157" s="109" t="n">
        <v>0.122233781604384</v>
      </c>
      <c r="K157" s="111" t="n">
        <v>0.125937835592396</v>
      </c>
      <c r="L157" s="111" t="n">
        <v>0.129641889580407</v>
      </c>
      <c r="M157" s="111" t="n">
        <v>0.166876403517824</v>
      </c>
      <c r="N157" s="111" t="n">
        <v>0.171511859171097</v>
      </c>
      <c r="O157" s="112" t="n">
        <v>0.17614731482437</v>
      </c>
      <c r="P157" s="112" t="n">
        <v>0.180782770477643</v>
      </c>
      <c r="Q157" s="112" t="n">
        <v>0.19348808464528</v>
      </c>
      <c r="R157" s="112" t="n">
        <v>0.198325286761411</v>
      </c>
      <c r="S157" s="112" t="n">
        <v>0.203162488877543</v>
      </c>
      <c r="T157" s="0" t="n">
        <v>0.207999690993675</v>
      </c>
      <c r="U157" s="103" t="n">
        <v>0.212836893109807</v>
      </c>
      <c r="V157" s="0" t="n">
        <v>0.217674095225939</v>
      </c>
      <c r="W157" s="0" t="n">
        <v>0.222511297342071</v>
      </c>
      <c r="X157" s="0" t="n">
        <v>0.227348499458203</v>
      </c>
      <c r="Y157" s="0" t="n">
        <v>0.232185701574335</v>
      </c>
      <c r="Z157" s="0" t="n">
        <v>0.237022903690467</v>
      </c>
      <c r="AA157" s="0" t="n">
        <v>0.241860105806599</v>
      </c>
      <c r="AB157" s="0" t="n">
        <v>0.246697307922731</v>
      </c>
      <c r="AC157" s="0" t="n">
        <v>0.251534510038863</v>
      </c>
      <c r="AD157" s="104"/>
    </row>
    <row r="158" customFormat="false" ht="15" hidden="true" customHeight="false" outlineLevel="0" collapsed="false">
      <c r="A158" s="114" t="s">
        <v>230</v>
      </c>
      <c r="B158" s="104" t="n">
        <v>28</v>
      </c>
      <c r="C158" s="108"/>
      <c r="D158" s="108"/>
      <c r="E158" s="108"/>
      <c r="F158" s="108"/>
      <c r="G158" s="109"/>
      <c r="H158" s="109"/>
      <c r="I158" s="109" t="n">
        <v>0.253536967142377</v>
      </c>
      <c r="J158" s="109" t="n">
        <v>0.261459997365577</v>
      </c>
      <c r="K158" s="111"/>
      <c r="L158" s="111"/>
      <c r="M158" s="111"/>
      <c r="N158" s="111"/>
      <c r="O158" s="112"/>
      <c r="P158" s="112"/>
      <c r="Q158" s="112"/>
      <c r="R158" s="112"/>
      <c r="S158" s="112"/>
      <c r="U158" s="103"/>
      <c r="AD158" s="104"/>
    </row>
    <row r="159" customFormat="false" ht="15" hidden="true" customHeight="false" outlineLevel="0" collapsed="false">
      <c r="A159" s="114" t="s">
        <v>125</v>
      </c>
      <c r="B159" s="104" t="n">
        <v>28</v>
      </c>
      <c r="C159" s="108"/>
      <c r="D159" s="108"/>
      <c r="E159" s="108"/>
      <c r="F159" s="108"/>
      <c r="G159" s="109"/>
      <c r="H159" s="109"/>
      <c r="I159" s="109" t="n">
        <v>0.126768483571189</v>
      </c>
      <c r="J159" s="109" t="n">
        <v>0.130729998682788</v>
      </c>
      <c r="K159" s="111" t="n">
        <v>0.134691513794388</v>
      </c>
      <c r="L159" s="111" t="n">
        <v>0.138653028905988</v>
      </c>
      <c r="M159" s="111" t="n">
        <v>0.143092498713693</v>
      </c>
      <c r="N159" s="111" t="n">
        <v>0.147067290344629</v>
      </c>
      <c r="O159" s="112" t="n">
        <v>0.151042081975565</v>
      </c>
      <c r="P159" s="112" t="n">
        <v>0.155016873606501</v>
      </c>
      <c r="Q159" s="112" t="n">
        <v>0.159522726010887</v>
      </c>
      <c r="R159" s="112" t="n">
        <v>0.163510794161159</v>
      </c>
      <c r="S159" s="112" t="n">
        <v>0.167498862311432</v>
      </c>
      <c r="T159" s="0" t="n">
        <v>0.171486930461704</v>
      </c>
      <c r="U159" s="103" t="n">
        <v>0.184538133481863</v>
      </c>
      <c r="V159" s="0" t="n">
        <v>0.188732181970087</v>
      </c>
      <c r="W159" s="0" t="n">
        <v>0.192926230458312</v>
      </c>
      <c r="X159" s="0" t="n">
        <v>0.197120278946536</v>
      </c>
      <c r="Y159" s="0" t="n">
        <v>0.20131432743476</v>
      </c>
      <c r="Z159" s="0" t="n">
        <v>0.205508375922984</v>
      </c>
      <c r="AA159" s="0" t="n">
        <v>0.209702424411208</v>
      </c>
      <c r="AB159" s="0" t="n">
        <v>0.213896472899432</v>
      </c>
      <c r="AC159" s="0" t="n">
        <v>0.218090521387656</v>
      </c>
      <c r="AD159" s="104"/>
    </row>
    <row r="160" customFormat="false" ht="15" hidden="true" customHeight="false" outlineLevel="0" collapsed="false">
      <c r="A160" s="114" t="s">
        <v>231</v>
      </c>
      <c r="B160" s="104" t="n">
        <v>28</v>
      </c>
      <c r="C160" s="108"/>
      <c r="D160" s="108"/>
      <c r="E160" s="108"/>
      <c r="F160" s="108"/>
      <c r="G160" s="109"/>
      <c r="H160" s="109"/>
      <c r="I160" s="109" t="n">
        <v>0.126768483571189</v>
      </c>
      <c r="J160" s="109" t="n">
        <v>0.130729998682788</v>
      </c>
      <c r="K160" s="111" t="n">
        <v>0.134691513794388</v>
      </c>
      <c r="L160" s="111" t="n">
        <v>0.138653028905988</v>
      </c>
      <c r="M160" s="111" t="n">
        <v>0.143092498713693</v>
      </c>
      <c r="N160" s="111" t="n">
        <v>0.147067290344629</v>
      </c>
      <c r="O160" s="112" t="n">
        <v>0.151042081975565</v>
      </c>
      <c r="P160" s="112" t="n">
        <v>0.155016873606501</v>
      </c>
      <c r="Q160" s="112" t="n">
        <v>0.159522726010887</v>
      </c>
      <c r="R160" s="112" t="n">
        <v>0.163510794161159</v>
      </c>
      <c r="S160" s="112" t="n">
        <v>0.167498862311432</v>
      </c>
      <c r="T160" s="0" t="n">
        <v>0.171486930461704</v>
      </c>
      <c r="U160" s="103" t="n">
        <v>0.184538133481863</v>
      </c>
      <c r="V160" s="0" t="n">
        <v>0.188732181970087</v>
      </c>
      <c r="W160" s="0" t="n">
        <v>0.192926230458312</v>
      </c>
      <c r="X160" s="0" t="n">
        <v>0.197120278946536</v>
      </c>
      <c r="Y160" s="0" t="n">
        <v>0.20131432743476</v>
      </c>
      <c r="Z160" s="0" t="n">
        <v>0.205508375922984</v>
      </c>
      <c r="AA160" s="0" t="n">
        <v>0.209702424411208</v>
      </c>
      <c r="AB160" s="0" t="n">
        <v>0.213896472899432</v>
      </c>
      <c r="AC160" s="0" t="n">
        <v>0.218090521387656</v>
      </c>
      <c r="AD160" s="104"/>
    </row>
    <row r="161" customFormat="false" ht="15" hidden="true" customHeight="false" outlineLevel="0" collapsed="false">
      <c r="A161" s="114" t="s">
        <v>761</v>
      </c>
      <c r="B161" s="104" t="n">
        <v>28</v>
      </c>
      <c r="C161" s="108"/>
      <c r="D161" s="108"/>
      <c r="E161" s="108"/>
      <c r="F161" s="108"/>
      <c r="G161" s="109"/>
      <c r="H161" s="109"/>
      <c r="I161" s="109" t="n">
        <v>0.126768483571189</v>
      </c>
      <c r="J161" s="109" t="n">
        <v>0.130729998682788</v>
      </c>
      <c r="K161" s="111" t="n">
        <v>0.134691513794388</v>
      </c>
      <c r="L161" s="111" t="n">
        <v>0.138653028905988</v>
      </c>
      <c r="M161" s="111" t="n">
        <v>0.143092498713693</v>
      </c>
      <c r="N161" s="111" t="n">
        <v>0.147067290344629</v>
      </c>
      <c r="O161" s="112" t="n">
        <v>0.151042081975565</v>
      </c>
      <c r="P161" s="112" t="n">
        <v>0.155016873606501</v>
      </c>
      <c r="Q161" s="112" t="n">
        <v>0.159522726010887</v>
      </c>
      <c r="R161" s="112" t="n">
        <v>0.163510794161159</v>
      </c>
      <c r="S161" s="112" t="n">
        <v>0.167498862311432</v>
      </c>
      <c r="T161" s="0" t="n">
        <v>0.171486930461704</v>
      </c>
      <c r="U161" s="103" t="n">
        <v>0.184538133481863</v>
      </c>
      <c r="V161" s="0" t="n">
        <v>0.188732181970087</v>
      </c>
      <c r="W161" s="0" t="n">
        <v>0.192926230458312</v>
      </c>
      <c r="X161" s="0" t="n">
        <v>0.197120278946536</v>
      </c>
      <c r="Y161" s="0" t="n">
        <v>0.20131432743476</v>
      </c>
      <c r="Z161" s="0" t="n">
        <v>0.205508375922984</v>
      </c>
      <c r="AA161" s="0" t="n">
        <v>0.209702424411208</v>
      </c>
      <c r="AB161" s="0" t="n">
        <v>0.213896472899432</v>
      </c>
      <c r="AC161" s="0" t="n">
        <v>0.218090521387656</v>
      </c>
      <c r="AD161" s="104"/>
    </row>
    <row r="162" customFormat="false" ht="15" hidden="true" customHeight="false" outlineLevel="0" collapsed="false">
      <c r="A162" s="114" t="s">
        <v>764</v>
      </c>
      <c r="B162" s="104" t="n">
        <v>28</v>
      </c>
      <c r="C162" s="108"/>
      <c r="D162" s="108"/>
      <c r="E162" s="108"/>
      <c r="F162" s="108"/>
      <c r="G162" s="109"/>
      <c r="H162" s="109"/>
      <c r="I162" s="109" t="n">
        <v>0.126768483571189</v>
      </c>
      <c r="J162" s="109" t="n">
        <v>0.130729998682788</v>
      </c>
      <c r="K162" s="111" t="n">
        <v>0.134691513794388</v>
      </c>
      <c r="L162" s="111" t="n">
        <v>0.138653028905988</v>
      </c>
      <c r="M162" s="111" t="n">
        <v>0.143092498713693</v>
      </c>
      <c r="N162" s="111" t="n">
        <v>0.147067290344629</v>
      </c>
      <c r="O162" s="112" t="n">
        <v>0.151042081975565</v>
      </c>
      <c r="P162" s="112" t="n">
        <v>0.155016873606501</v>
      </c>
      <c r="Q162" s="112" t="n">
        <v>0.159522726010887</v>
      </c>
      <c r="R162" s="112" t="n">
        <v>0.163510794161159</v>
      </c>
      <c r="S162" s="112" t="n">
        <v>0.167498862311432</v>
      </c>
      <c r="T162" s="0" t="n">
        <v>0.171486930461704</v>
      </c>
      <c r="U162" s="103" t="n">
        <v>0.184538133481863</v>
      </c>
      <c r="V162" s="0" t="n">
        <v>0.188732181970087</v>
      </c>
      <c r="W162" s="0" t="n">
        <v>0.192926230458312</v>
      </c>
      <c r="X162" s="0" t="n">
        <v>0.197120278946536</v>
      </c>
      <c r="Y162" s="0" t="n">
        <v>0.20131432743476</v>
      </c>
      <c r="Z162" s="0" t="n">
        <v>0.205508375922984</v>
      </c>
      <c r="AA162" s="0" t="n">
        <v>0.209702424411208</v>
      </c>
      <c r="AB162" s="0" t="n">
        <v>0.213896472899432</v>
      </c>
      <c r="AC162" s="0" t="n">
        <v>0.218090521387656</v>
      </c>
      <c r="AD162" s="104"/>
    </row>
    <row r="163" customFormat="false" ht="15" hidden="true" customHeight="false" outlineLevel="0" collapsed="false">
      <c r="A163" s="114" t="s">
        <v>767</v>
      </c>
      <c r="B163" s="104" t="n">
        <v>32</v>
      </c>
      <c r="I163" s="0" t="n">
        <v>0.0453987321500579</v>
      </c>
      <c r="J163" s="0" t="n">
        <v>0.0468174425297472</v>
      </c>
      <c r="K163" s="0" t="n">
        <v>0.0482361529094365</v>
      </c>
      <c r="L163" s="0" t="n">
        <v>0.0496548632891259</v>
      </c>
      <c r="M163" s="0" t="n">
        <v>0.0502032209552243</v>
      </c>
      <c r="N163" s="0" t="n">
        <v>0.0515977548706472</v>
      </c>
      <c r="O163" s="0" t="n">
        <v>0.0529922887860701</v>
      </c>
      <c r="P163" s="0" t="n">
        <v>0.054386822701493</v>
      </c>
      <c r="Q163" s="0" t="n">
        <v>0.0548142980462593</v>
      </c>
      <c r="R163" s="0" t="n">
        <v>0.0561846554974158</v>
      </c>
      <c r="S163" s="0" t="n">
        <v>0.0575550129485723</v>
      </c>
      <c r="T163" s="0" t="n">
        <v>0.0589253703997287</v>
      </c>
      <c r="U163" s="0" t="n">
        <v>0.0649553546022071</v>
      </c>
      <c r="V163" s="0" t="n">
        <v>0.0664316126613481</v>
      </c>
      <c r="W163" s="0" t="n">
        <v>0.0679078707204892</v>
      </c>
      <c r="X163" s="0" t="n">
        <v>0.0693841287796302</v>
      </c>
      <c r="Y163" s="0" t="n">
        <v>0.0708603868387713</v>
      </c>
      <c r="Z163" s="0" t="n">
        <v>0.0723366448979124</v>
      </c>
      <c r="AA163" s="0" t="n">
        <v>0.0738129029570534</v>
      </c>
      <c r="AB163" s="0" t="n">
        <v>0.0752891610161945</v>
      </c>
      <c r="AC163" s="0" t="n">
        <v>0.0767654190753356</v>
      </c>
      <c r="AD163" s="104"/>
    </row>
    <row r="164" customFormat="false" ht="15" hidden="true" customHeight="false" outlineLevel="0" collapsed="false">
      <c r="A164" s="114" t="s">
        <v>770</v>
      </c>
      <c r="B164" s="104" t="n">
        <v>32</v>
      </c>
      <c r="I164" s="0" t="n">
        <v>0.0453987321500579</v>
      </c>
      <c r="J164" s="0" t="n">
        <v>0.0468174425297472</v>
      </c>
      <c r="K164" s="0" t="n">
        <v>0.0482361529094365</v>
      </c>
      <c r="L164" s="0" t="n">
        <v>0.0496548632891259</v>
      </c>
      <c r="M164" s="0" t="n">
        <v>0.0502032209552243</v>
      </c>
      <c r="N164" s="0" t="n">
        <v>0.0515977548706472</v>
      </c>
      <c r="O164" s="0" t="n">
        <v>0.0529922887860701</v>
      </c>
      <c r="P164" s="0" t="n">
        <v>0.054386822701493</v>
      </c>
      <c r="Q164" s="0" t="n">
        <v>0.0548142980462593</v>
      </c>
      <c r="R164" s="0" t="n">
        <v>0.0561846554974158</v>
      </c>
      <c r="S164" s="0" t="n">
        <v>0.0575550129485723</v>
      </c>
      <c r="T164" s="0" t="n">
        <v>0.0589253703997287</v>
      </c>
      <c r="U164" s="0" t="n">
        <v>0.0649553546022071</v>
      </c>
      <c r="V164" s="0" t="n">
        <v>0.0664316126613481</v>
      </c>
      <c r="W164" s="0" t="n">
        <v>0.0679078707204892</v>
      </c>
      <c r="X164" s="0" t="n">
        <v>0.0693841287796302</v>
      </c>
      <c r="Y164" s="0" t="n">
        <v>0.0708603868387713</v>
      </c>
      <c r="Z164" s="0" t="n">
        <v>0.0723366448979124</v>
      </c>
      <c r="AA164" s="0" t="n">
        <v>0.0738129029570534</v>
      </c>
      <c r="AB164" s="0" t="n">
        <v>0.0752891610161945</v>
      </c>
      <c r="AC164" s="0" t="n">
        <v>0.0767654190753356</v>
      </c>
      <c r="AD164" s="104"/>
    </row>
    <row r="165" customFormat="false" ht="15" hidden="true" customHeight="false" outlineLevel="0" collapsed="false">
      <c r="A165" s="114" t="s">
        <v>774</v>
      </c>
      <c r="B165" s="104" t="n">
        <v>34</v>
      </c>
      <c r="I165" s="0" t="n">
        <v>0.126768483571189</v>
      </c>
      <c r="J165" s="0" t="n">
        <v>0.130729998682788</v>
      </c>
      <c r="K165" s="0" t="n">
        <v>0.134691513794388</v>
      </c>
      <c r="L165" s="0" t="n">
        <v>0.138653028905988</v>
      </c>
      <c r="M165" s="0" t="n">
        <v>0.143092498713693</v>
      </c>
      <c r="N165" s="0" t="n">
        <v>0.147067290344629</v>
      </c>
      <c r="O165" s="0" t="n">
        <v>0.151042081975565</v>
      </c>
      <c r="P165" s="0" t="n">
        <v>0.155016873606501</v>
      </c>
      <c r="Q165" s="0" t="n">
        <v>0.159522726010887</v>
      </c>
      <c r="R165" s="0" t="n">
        <v>0.163510794161159</v>
      </c>
      <c r="S165" s="0" t="n">
        <v>0.167498862311432</v>
      </c>
      <c r="T165" s="0" t="n">
        <v>0.171486930461704</v>
      </c>
      <c r="U165" s="0" t="n">
        <v>0.184538133481863</v>
      </c>
      <c r="V165" s="0" t="n">
        <v>0.188732181970087</v>
      </c>
      <c r="W165" s="0" t="n">
        <v>0.192926230458312</v>
      </c>
      <c r="X165" s="0" t="n">
        <v>0.197120278946536</v>
      </c>
      <c r="Y165" s="0" t="n">
        <v>0.20131432743476</v>
      </c>
      <c r="Z165" s="0" t="n">
        <v>0.205508375922984</v>
      </c>
      <c r="AA165" s="0" t="n">
        <v>0.209702424411208</v>
      </c>
      <c r="AB165" s="0" t="n">
        <v>0.213896472899432</v>
      </c>
      <c r="AC165" s="0" t="n">
        <v>0.218090521387656</v>
      </c>
      <c r="AD165" s="104"/>
    </row>
    <row r="166" customFormat="false" ht="15" hidden="true" customHeight="false" outlineLevel="0" collapsed="false">
      <c r="A166" s="114" t="s">
        <v>777</v>
      </c>
      <c r="B166" s="104" t="n">
        <v>28</v>
      </c>
      <c r="C166" s="108"/>
      <c r="D166" s="108"/>
      <c r="E166" s="108"/>
      <c r="F166" s="108"/>
      <c r="G166" s="109"/>
      <c r="H166" s="109"/>
      <c r="I166" s="109" t="n">
        <v>0.126768483571189</v>
      </c>
      <c r="J166" s="109" t="n">
        <v>0.130729998682788</v>
      </c>
      <c r="K166" s="111" t="n">
        <v>0.134691513794388</v>
      </c>
      <c r="L166" s="111" t="n">
        <v>0.138653028905988</v>
      </c>
      <c r="M166" s="111" t="n">
        <v>0.143092498713693</v>
      </c>
      <c r="N166" s="111" t="n">
        <v>0.147067290344629</v>
      </c>
      <c r="O166" s="112" t="n">
        <v>0.151042081975565</v>
      </c>
      <c r="P166" s="112" t="n">
        <v>0.155016873606501</v>
      </c>
      <c r="Q166" s="112" t="n">
        <v>0.159522726010887</v>
      </c>
      <c r="R166" s="112" t="n">
        <v>0.163510794161159</v>
      </c>
      <c r="S166" s="112" t="n">
        <v>0.167498862311432</v>
      </c>
      <c r="T166" s="0" t="n">
        <v>0.171486930461704</v>
      </c>
      <c r="U166" s="103" t="n">
        <v>0.184538133481863</v>
      </c>
      <c r="V166" s="0" t="n">
        <v>0.188732181970087</v>
      </c>
      <c r="W166" s="0" t="n">
        <v>0.192926230458312</v>
      </c>
      <c r="X166" s="0" t="n">
        <v>0.197120278946536</v>
      </c>
      <c r="Y166" s="0" t="n">
        <v>0.20131432743476</v>
      </c>
      <c r="Z166" s="0" t="n">
        <v>0.205508375922984</v>
      </c>
      <c r="AA166" s="0" t="n">
        <v>0.209702424411208</v>
      </c>
      <c r="AB166" s="0" t="n">
        <v>0.213896472899432</v>
      </c>
      <c r="AC166" s="0" t="n">
        <v>0.218090521387656</v>
      </c>
      <c r="AD166" s="104"/>
    </row>
    <row r="167" customFormat="false" ht="15" hidden="true" customHeight="false" outlineLevel="0" collapsed="false">
      <c r="A167" s="114" t="s">
        <v>232</v>
      </c>
      <c r="B167" s="104" t="n">
        <v>30</v>
      </c>
      <c r="C167" s="108"/>
      <c r="D167" s="108"/>
      <c r="E167" s="108"/>
      <c r="F167" s="108"/>
      <c r="G167" s="109"/>
      <c r="H167" s="109"/>
      <c r="I167" s="109" t="n">
        <v>0.178806327436523</v>
      </c>
      <c r="J167" s="109" t="n">
        <v>0.184394025168915</v>
      </c>
      <c r="K167" s="111" t="n">
        <v>0.189981722901306</v>
      </c>
      <c r="L167" s="111" t="n">
        <v>0.195569420633698</v>
      </c>
      <c r="M167" s="111"/>
      <c r="N167" s="111"/>
      <c r="O167" s="112"/>
      <c r="P167" s="112"/>
      <c r="Q167" s="112"/>
      <c r="R167" s="112"/>
      <c r="S167" s="112"/>
      <c r="U167" s="103"/>
      <c r="AD167" s="104"/>
    </row>
    <row r="168" customFormat="false" ht="15" hidden="true" customHeight="false" outlineLevel="0" collapsed="false">
      <c r="A168" s="114" t="s">
        <v>126</v>
      </c>
      <c r="B168" s="104" t="n">
        <v>30</v>
      </c>
      <c r="C168" s="108"/>
      <c r="D168" s="108"/>
      <c r="E168" s="108"/>
      <c r="F168" s="108"/>
      <c r="G168" s="109"/>
      <c r="H168" s="109"/>
      <c r="I168" s="109"/>
      <c r="J168" s="109"/>
      <c r="K168" s="111"/>
      <c r="L168" s="111"/>
      <c r="M168" s="111" t="n">
        <v>0.207559896493888</v>
      </c>
      <c r="N168" s="111" t="n">
        <v>0.213325449174273</v>
      </c>
      <c r="O168" s="112" t="n">
        <v>0.219091001854659</v>
      </c>
      <c r="P168" s="112" t="n">
        <v>0.224856554535045</v>
      </c>
      <c r="Q168" s="112" t="n">
        <v>0.237736305135207</v>
      </c>
      <c r="R168" s="112" t="n">
        <v>0.243679712763587</v>
      </c>
      <c r="S168" s="112" t="n">
        <v>0.249623120391967</v>
      </c>
      <c r="T168" s="0" t="n">
        <v>0.255566528020347</v>
      </c>
      <c r="U168" s="103"/>
      <c r="AD168" s="104"/>
    </row>
    <row r="169" customFormat="false" ht="15" hidden="true" customHeight="false" outlineLevel="0" collapsed="false">
      <c r="A169" s="114" t="s">
        <v>784</v>
      </c>
      <c r="B169" s="104" t="n">
        <v>30</v>
      </c>
      <c r="C169" s="108"/>
      <c r="D169" s="108"/>
      <c r="E169" s="108"/>
      <c r="F169" s="108"/>
      <c r="G169" s="109"/>
      <c r="H169" s="109"/>
      <c r="I169" s="109"/>
      <c r="J169" s="109"/>
      <c r="K169" s="111"/>
      <c r="L169" s="111"/>
      <c r="M169" s="111" t="n">
        <v>0.207559896493888</v>
      </c>
      <c r="N169" s="111" t="n">
        <v>0.213325449174273</v>
      </c>
      <c r="O169" s="112" t="n">
        <v>0.219091001854659</v>
      </c>
      <c r="P169" s="112" t="n">
        <v>0.224856554535045</v>
      </c>
      <c r="Q169" s="112" t="n">
        <v>0.237736305135207</v>
      </c>
      <c r="R169" s="112" t="n">
        <v>0.243679712763587</v>
      </c>
      <c r="S169" s="112" t="n">
        <v>0.249623120391967</v>
      </c>
      <c r="T169" s="0" t="n">
        <v>0.255566528020347</v>
      </c>
      <c r="U169" s="103"/>
      <c r="AD169" s="104"/>
    </row>
    <row r="170" customFormat="false" ht="15" hidden="true" customHeight="false" outlineLevel="0" collapsed="false">
      <c r="A170" s="114" t="s">
        <v>233</v>
      </c>
      <c r="B170" s="104" t="n">
        <v>30</v>
      </c>
      <c r="C170" s="108"/>
      <c r="D170" s="108"/>
      <c r="E170" s="108"/>
      <c r="F170" s="108"/>
      <c r="G170" s="109"/>
      <c r="H170" s="109"/>
      <c r="I170" s="109"/>
      <c r="J170" s="109"/>
      <c r="K170" s="111"/>
      <c r="L170" s="111"/>
      <c r="M170" s="111"/>
      <c r="N170" s="111"/>
      <c r="O170" s="112" t="n">
        <v>0.219091001854659</v>
      </c>
      <c r="P170" s="112" t="n">
        <v>0.224856554535045</v>
      </c>
      <c r="Q170" s="112" t="n">
        <v>0.237736305135207</v>
      </c>
      <c r="R170" s="112" t="n">
        <v>0.243679712763587</v>
      </c>
      <c r="S170" s="112" t="n">
        <v>0.249623120391967</v>
      </c>
      <c r="T170" s="0" t="n">
        <v>0.255566528020347</v>
      </c>
      <c r="U170" s="103"/>
      <c r="AD170" s="104"/>
    </row>
    <row r="171" customFormat="false" ht="15" hidden="true" customHeight="false" outlineLevel="0" collapsed="false">
      <c r="A171" s="114" t="s">
        <v>789</v>
      </c>
      <c r="B171" s="104" t="n">
        <v>30</v>
      </c>
      <c r="C171" s="108"/>
      <c r="D171" s="108"/>
      <c r="E171" s="108"/>
      <c r="F171" s="108"/>
      <c r="G171" s="109"/>
      <c r="H171" s="109"/>
      <c r="I171" s="109"/>
      <c r="J171" s="109"/>
      <c r="K171" s="111"/>
      <c r="L171" s="111"/>
      <c r="M171" s="111"/>
      <c r="N171" s="111"/>
      <c r="O171" s="112" t="n">
        <v>0.219091001854659</v>
      </c>
      <c r="P171" s="112" t="n">
        <v>0.224856554535045</v>
      </c>
      <c r="Q171" s="112" t="n">
        <v>0.237736305135207</v>
      </c>
      <c r="R171" s="112" t="n">
        <v>0.243679712763587</v>
      </c>
      <c r="S171" s="112" t="n">
        <v>0.249623120391967</v>
      </c>
      <c r="T171" s="0" t="n">
        <v>0.255566528020347</v>
      </c>
      <c r="U171" s="103"/>
      <c r="AD171" s="104"/>
    </row>
    <row r="172" customFormat="false" ht="15" hidden="true" customHeight="false" outlineLevel="0" collapsed="false">
      <c r="A172" s="114" t="s">
        <v>234</v>
      </c>
      <c r="B172" s="104" t="n">
        <v>30</v>
      </c>
      <c r="C172" s="108"/>
      <c r="D172" s="108"/>
      <c r="E172" s="108"/>
      <c r="F172" s="108"/>
      <c r="G172" s="109"/>
      <c r="H172" s="109"/>
      <c r="I172" s="109" t="n">
        <v>0.0894031637182617</v>
      </c>
      <c r="J172" s="109" t="n">
        <v>0.0921970125844574</v>
      </c>
      <c r="K172" s="111" t="n">
        <v>0.0949908614506531</v>
      </c>
      <c r="L172" s="111" t="n">
        <v>0.0977847103168488</v>
      </c>
      <c r="M172" s="111" t="n">
        <v>0.103779948246944</v>
      </c>
      <c r="N172" s="111" t="n">
        <v>0.106662724587137</v>
      </c>
      <c r="O172" s="112" t="n">
        <v>0.10954550092733</v>
      </c>
      <c r="P172" s="112" t="n">
        <v>0.112428277267522</v>
      </c>
      <c r="Q172" s="112" t="n">
        <v>0.118868152567604</v>
      </c>
      <c r="R172" s="112" t="n">
        <v>0.121839856381794</v>
      </c>
      <c r="S172" s="112" t="n">
        <v>0.124811560195984</v>
      </c>
      <c r="T172" s="0" t="n">
        <v>0.127783264010174</v>
      </c>
      <c r="U172" s="103" t="n">
        <v>0.139657474875472</v>
      </c>
      <c r="V172" s="0" t="n">
        <v>0.142831508395369</v>
      </c>
      <c r="W172" s="0" t="n">
        <v>0.146005541915267</v>
      </c>
      <c r="X172" s="0" t="n">
        <v>0.149179575435164</v>
      </c>
      <c r="Y172" s="0" t="n">
        <v>0.152353608955061</v>
      </c>
      <c r="Z172" s="0" t="n">
        <v>0.155527642474958</v>
      </c>
      <c r="AA172" s="0" t="n">
        <v>0.158701675994855</v>
      </c>
      <c r="AB172" s="0" t="n">
        <v>0.161875709514752</v>
      </c>
      <c r="AC172" s="0" t="n">
        <v>0.165049743034649</v>
      </c>
      <c r="AD172" s="104"/>
    </row>
    <row r="173" customFormat="false" ht="15" hidden="true" customHeight="false" outlineLevel="0" collapsed="false">
      <c r="A173" s="114" t="s">
        <v>794</v>
      </c>
      <c r="B173" s="104" t="n">
        <v>30</v>
      </c>
      <c r="C173" s="108"/>
      <c r="D173" s="108"/>
      <c r="E173" s="108"/>
      <c r="F173" s="108"/>
      <c r="G173" s="109"/>
      <c r="H173" s="109"/>
      <c r="I173" s="109" t="n">
        <v>0.0894031637182617</v>
      </c>
      <c r="J173" s="109" t="n">
        <v>0.0921970125844574</v>
      </c>
      <c r="K173" s="111" t="n">
        <v>0.0949908614506531</v>
      </c>
      <c r="L173" s="111" t="n">
        <v>0.0977847103168488</v>
      </c>
      <c r="M173" s="111" t="n">
        <v>0.103779948246944</v>
      </c>
      <c r="N173" s="111" t="n">
        <v>0.106662724587137</v>
      </c>
      <c r="O173" s="112" t="n">
        <v>0.10954550092733</v>
      </c>
      <c r="P173" s="112" t="n">
        <v>0.112428277267522</v>
      </c>
      <c r="Q173" s="112" t="n">
        <v>0.118868152567604</v>
      </c>
      <c r="R173" s="112" t="n">
        <v>0.121839856381794</v>
      </c>
      <c r="S173" s="112" t="n">
        <v>0.124811560195984</v>
      </c>
      <c r="T173" s="0" t="n">
        <v>0.127783264010174</v>
      </c>
      <c r="U173" s="103" t="n">
        <v>0.139657474875472</v>
      </c>
      <c r="V173" s="0" t="n">
        <v>0.142831508395369</v>
      </c>
      <c r="W173" s="0" t="n">
        <v>0.146005541915267</v>
      </c>
      <c r="X173" s="0" t="n">
        <v>0.149179575435164</v>
      </c>
      <c r="Y173" s="0" t="n">
        <v>0.152353608955061</v>
      </c>
      <c r="Z173" s="0" t="n">
        <v>0.155527642474958</v>
      </c>
      <c r="AA173" s="0" t="n">
        <v>0.158701675994855</v>
      </c>
      <c r="AB173" s="0" t="n">
        <v>0.161875709514752</v>
      </c>
      <c r="AC173" s="0" t="n">
        <v>0.165049743034649</v>
      </c>
      <c r="AD173" s="104"/>
    </row>
    <row r="174" customFormat="false" ht="15" hidden="true" customHeight="false" outlineLevel="0" collapsed="false">
      <c r="A174" s="114" t="s">
        <v>235</v>
      </c>
      <c r="B174" s="104" t="n">
        <v>30</v>
      </c>
      <c r="C174" s="108"/>
      <c r="D174" s="108"/>
      <c r="E174" s="108"/>
      <c r="F174" s="108"/>
      <c r="G174" s="109"/>
      <c r="H174" s="109"/>
      <c r="I174" s="109" t="n">
        <v>0.0894031637182617</v>
      </c>
      <c r="J174" s="109" t="n">
        <v>0.0921970125844574</v>
      </c>
      <c r="K174" s="111" t="n">
        <v>0.0949908614506531</v>
      </c>
      <c r="L174" s="111" t="n">
        <v>0.0977847103168488</v>
      </c>
      <c r="M174" s="111" t="n">
        <v>0.103779948246944</v>
      </c>
      <c r="N174" s="111" t="n">
        <v>0.106662724587137</v>
      </c>
      <c r="O174" s="112" t="n">
        <v>0.10954550092733</v>
      </c>
      <c r="P174" s="112" t="n">
        <v>0.112428277267522</v>
      </c>
      <c r="Q174" s="112" t="n">
        <v>0.118868152567604</v>
      </c>
      <c r="R174" s="112" t="n">
        <v>0.121839856381794</v>
      </c>
      <c r="S174" s="112" t="n">
        <v>0.124811560195984</v>
      </c>
      <c r="T174" s="0" t="n">
        <v>0.127783264010174</v>
      </c>
      <c r="U174" s="103" t="n">
        <v>0.139657474875472</v>
      </c>
      <c r="V174" s="0" t="n">
        <v>0.142831508395369</v>
      </c>
      <c r="W174" s="0" t="n">
        <v>0.146005541915267</v>
      </c>
      <c r="X174" s="0" t="n">
        <v>0.149179575435164</v>
      </c>
      <c r="Y174" s="0" t="n">
        <v>0.152353608955061</v>
      </c>
      <c r="Z174" s="0" t="n">
        <v>0.155527642474958</v>
      </c>
      <c r="AA174" s="0" t="n">
        <v>0.158701675994855</v>
      </c>
      <c r="AB174" s="0" t="n">
        <v>0.161875709514752</v>
      </c>
      <c r="AC174" s="0" t="n">
        <v>0.165049743034649</v>
      </c>
      <c r="AD174" s="104"/>
    </row>
    <row r="175" customFormat="false" ht="15" hidden="true" customHeight="false" outlineLevel="0" collapsed="false">
      <c r="A175" s="114" t="s">
        <v>800</v>
      </c>
      <c r="B175" s="104" t="n">
        <v>30</v>
      </c>
      <c r="C175" s="108"/>
      <c r="D175" s="108"/>
      <c r="E175" s="108"/>
      <c r="F175" s="108"/>
      <c r="G175" s="109"/>
      <c r="H175" s="109"/>
      <c r="I175" s="109" t="n">
        <v>0.0894031637182617</v>
      </c>
      <c r="J175" s="109" t="n">
        <v>0.0921970125844574</v>
      </c>
      <c r="K175" s="111" t="n">
        <v>0.0949908614506531</v>
      </c>
      <c r="L175" s="111" t="n">
        <v>0.0977847103168488</v>
      </c>
      <c r="M175" s="111" t="n">
        <v>0.103779948246944</v>
      </c>
      <c r="N175" s="111" t="n">
        <v>0.106662724587137</v>
      </c>
      <c r="O175" s="112" t="n">
        <v>0.10954550092733</v>
      </c>
      <c r="P175" s="112" t="n">
        <v>0.112428277267522</v>
      </c>
      <c r="Q175" s="112" t="n">
        <v>0.118868152567604</v>
      </c>
      <c r="R175" s="112" t="n">
        <v>0.121839856381794</v>
      </c>
      <c r="S175" s="112" t="n">
        <v>0.124811560195984</v>
      </c>
      <c r="T175" s="0" t="n">
        <v>0.127783264010174</v>
      </c>
      <c r="U175" s="103" t="n">
        <v>0.139657474875472</v>
      </c>
      <c r="V175" s="0" t="n">
        <v>0.142831508395369</v>
      </c>
      <c r="W175" s="0" t="n">
        <v>0.146005541915267</v>
      </c>
      <c r="X175" s="0" t="n">
        <v>0.149179575435164</v>
      </c>
      <c r="Y175" s="0" t="n">
        <v>0.152353608955061</v>
      </c>
      <c r="Z175" s="0" t="n">
        <v>0.155527642474958</v>
      </c>
      <c r="AA175" s="0" t="n">
        <v>0.158701675994855</v>
      </c>
      <c r="AB175" s="0" t="n">
        <v>0.161875709514752</v>
      </c>
      <c r="AC175" s="0" t="n">
        <v>0.165049743034649</v>
      </c>
      <c r="AD175" s="104"/>
    </row>
    <row r="176" customFormat="false" ht="15" hidden="true" customHeight="false" outlineLevel="0" collapsed="false">
      <c r="A176" s="114" t="s">
        <v>803</v>
      </c>
      <c r="B176" s="104" t="n">
        <v>30</v>
      </c>
      <c r="C176" s="108"/>
      <c r="D176" s="108"/>
      <c r="E176" s="108"/>
      <c r="F176" s="108"/>
      <c r="G176" s="109"/>
      <c r="H176" s="109"/>
      <c r="I176" s="109"/>
      <c r="J176" s="109"/>
      <c r="K176" s="111"/>
      <c r="L176" s="111"/>
      <c r="M176" s="111"/>
      <c r="N176" s="111"/>
      <c r="O176" s="112" t="n">
        <v>0.219091001854659</v>
      </c>
      <c r="P176" s="112" t="n">
        <v>0.224856554535045</v>
      </c>
      <c r="Q176" s="112" t="n">
        <v>0.237736305135207</v>
      </c>
      <c r="R176" s="112" t="n">
        <v>0.243679712763587</v>
      </c>
      <c r="S176" s="112" t="n">
        <v>0.249623120391967</v>
      </c>
      <c r="T176" s="0" t="n">
        <v>0.255566528020347</v>
      </c>
      <c r="U176" s="103" t="n">
        <v>0.279314949750945</v>
      </c>
      <c r="AD176" s="104"/>
    </row>
    <row r="177" customFormat="false" ht="15" hidden="true" customHeight="false" outlineLevel="0" collapsed="false">
      <c r="A177" s="114" t="s">
        <v>236</v>
      </c>
      <c r="B177" s="104" t="n">
        <v>31</v>
      </c>
      <c r="C177" s="108"/>
      <c r="D177" s="108"/>
      <c r="E177" s="108"/>
      <c r="F177" s="108"/>
      <c r="G177" s="109"/>
      <c r="H177" s="109"/>
      <c r="I177" s="109"/>
      <c r="J177" s="109"/>
      <c r="K177" s="111"/>
      <c r="L177" s="111"/>
      <c r="M177" s="111"/>
      <c r="N177" s="111"/>
      <c r="O177" s="112" t="n">
        <v>0.182921695430147</v>
      </c>
      <c r="P177" s="112" t="n">
        <v>0.187735424257256</v>
      </c>
      <c r="Q177" s="112" t="n">
        <v>0.195761946137921</v>
      </c>
      <c r="R177" s="112" t="n">
        <v>0.200655994791369</v>
      </c>
      <c r="S177" s="112" t="n">
        <v>0.205550043444817</v>
      </c>
      <c r="T177" s="0" t="n">
        <v>0.210444092098265</v>
      </c>
      <c r="U177" s="103" t="n">
        <v>0.234123513233676</v>
      </c>
      <c r="AD177" s="104"/>
    </row>
    <row r="178" customFormat="false" ht="15" hidden="true" customHeight="false" outlineLevel="0" collapsed="false">
      <c r="A178" s="114" t="s">
        <v>236</v>
      </c>
      <c r="B178" s="104" t="n">
        <v>32</v>
      </c>
      <c r="C178" s="108"/>
      <c r="D178" s="108"/>
      <c r="E178" s="108"/>
      <c r="F178" s="108"/>
      <c r="G178" s="109"/>
      <c r="H178" s="109"/>
      <c r="I178" s="109"/>
      <c r="J178" s="109"/>
      <c r="K178" s="111"/>
      <c r="L178" s="111"/>
      <c r="M178" s="111"/>
      <c r="N178" s="111"/>
      <c r="O178" s="112" t="n">
        <v>0.182921695430147</v>
      </c>
      <c r="P178" s="112" t="n">
        <v>0.187735424257256</v>
      </c>
      <c r="Q178" s="112" t="n">
        <v>0.195761946137921</v>
      </c>
      <c r="R178" s="112" t="n">
        <v>0.200655994791369</v>
      </c>
      <c r="S178" s="112" t="n">
        <v>0.205550043444817</v>
      </c>
      <c r="T178" s="0" t="n">
        <v>0.210444092098265</v>
      </c>
      <c r="U178" s="103" t="n">
        <v>0.234123513233676</v>
      </c>
      <c r="AD178" s="104"/>
    </row>
    <row r="179" customFormat="false" ht="15" hidden="true" customHeight="false" outlineLevel="0" collapsed="false">
      <c r="A179" s="114" t="s">
        <v>808</v>
      </c>
      <c r="B179" s="104" t="n">
        <v>31</v>
      </c>
      <c r="C179" s="108"/>
      <c r="D179" s="108"/>
      <c r="E179" s="108"/>
      <c r="F179" s="108"/>
      <c r="G179" s="109"/>
      <c r="H179" s="109"/>
      <c r="I179" s="109" t="n">
        <v>0.151469088024648</v>
      </c>
      <c r="J179" s="109" t="n">
        <v>0.156202497025419</v>
      </c>
      <c r="K179" s="111" t="n">
        <v>0.160935906026189</v>
      </c>
      <c r="L179" s="111" t="n">
        <v>0.165669315026959</v>
      </c>
      <c r="M179" s="111"/>
      <c r="N179" s="111"/>
      <c r="O179" s="112"/>
      <c r="P179" s="112"/>
      <c r="Q179" s="112"/>
      <c r="R179" s="112"/>
      <c r="S179" s="112"/>
      <c r="U179" s="103"/>
      <c r="AD179" s="104"/>
    </row>
    <row r="180" customFormat="false" ht="15" hidden="true" customHeight="false" outlineLevel="0" collapsed="false">
      <c r="A180" s="114" t="s">
        <v>808</v>
      </c>
      <c r="B180" s="104" t="n">
        <v>32</v>
      </c>
      <c r="I180" s="0" t="n">
        <v>0.0757345440123242</v>
      </c>
      <c r="J180" s="0" t="n">
        <v>0.0781012485127093</v>
      </c>
      <c r="K180" s="0" t="n">
        <v>0.0804679530130944</v>
      </c>
      <c r="L180" s="0" t="n">
        <v>0.0828346575134796</v>
      </c>
      <c r="M180" s="0" t="n">
        <v>0.0866471188879645</v>
      </c>
      <c r="N180" s="0" t="n">
        <v>0.0890539833015191</v>
      </c>
      <c r="O180" s="0" t="n">
        <v>0.0914608477150736</v>
      </c>
      <c r="P180" s="0" t="n">
        <v>0.0938677121286282</v>
      </c>
      <c r="Q180" s="0" t="n">
        <v>0.0978809730689603</v>
      </c>
      <c r="R180" s="0" t="n">
        <v>0.100327997395684</v>
      </c>
      <c r="S180" s="0" t="n">
        <v>0.102775021722408</v>
      </c>
      <c r="T180" s="0" t="n">
        <v>0.105222046049132</v>
      </c>
      <c r="U180" s="0" t="n">
        <v>0.117061756616838</v>
      </c>
      <c r="V180" s="0" t="n">
        <v>0.119722251085402</v>
      </c>
      <c r="W180" s="0" t="n">
        <v>0.122382745553967</v>
      </c>
      <c r="X180" s="0" t="n">
        <v>0.125043240022531</v>
      </c>
      <c r="Y180" s="0" t="n">
        <v>0.127703734491096</v>
      </c>
      <c r="Z180" s="0" t="n">
        <v>0.13036422895966</v>
      </c>
      <c r="AA180" s="0" t="n">
        <v>0.133024723428225</v>
      </c>
      <c r="AB180" s="0" t="n">
        <v>0.135685217896789</v>
      </c>
      <c r="AC180" s="0" t="n">
        <v>0.138345712365354</v>
      </c>
      <c r="AD180" s="104"/>
    </row>
    <row r="181" customFormat="false" ht="15" hidden="true" customHeight="false" outlineLevel="0" collapsed="false">
      <c r="A181" s="114" t="s">
        <v>811</v>
      </c>
      <c r="B181" s="104" t="n">
        <v>31</v>
      </c>
      <c r="C181" s="108"/>
      <c r="D181" s="108"/>
      <c r="E181" s="108"/>
      <c r="F181" s="108"/>
      <c r="G181" s="109"/>
      <c r="H181" s="109"/>
      <c r="I181" s="109" t="n">
        <v>0.151469088024648</v>
      </c>
      <c r="J181" s="109" t="n">
        <v>0.156202497025419</v>
      </c>
      <c r="K181" s="111" t="n">
        <v>0.160935906026189</v>
      </c>
      <c r="L181" s="111" t="n">
        <v>0.165669315026959</v>
      </c>
      <c r="M181" s="111"/>
      <c r="N181" s="111"/>
      <c r="O181" s="112"/>
      <c r="P181" s="112"/>
      <c r="Q181" s="112"/>
      <c r="R181" s="112"/>
      <c r="S181" s="112"/>
      <c r="U181" s="103"/>
      <c r="AD181" s="104"/>
    </row>
    <row r="182" customFormat="false" ht="15" hidden="true" customHeight="false" outlineLevel="0" collapsed="false">
      <c r="A182" s="114" t="s">
        <v>811</v>
      </c>
      <c r="B182" s="104" t="n">
        <v>32</v>
      </c>
      <c r="I182" s="0" t="n">
        <v>0.0757345440123242</v>
      </c>
      <c r="J182" s="0" t="n">
        <v>0.0781012485127093</v>
      </c>
      <c r="K182" s="0" t="n">
        <v>0.0804679530130944</v>
      </c>
      <c r="L182" s="0" t="n">
        <v>0.0828346575134796</v>
      </c>
      <c r="M182" s="0" t="n">
        <v>0.0866471188879645</v>
      </c>
      <c r="N182" s="0" t="n">
        <v>0.0890539833015191</v>
      </c>
      <c r="O182" s="0" t="n">
        <v>0.0914608477150736</v>
      </c>
      <c r="P182" s="0" t="n">
        <v>0.0938677121286282</v>
      </c>
      <c r="Q182" s="0" t="n">
        <v>0.0978809730689603</v>
      </c>
      <c r="R182" s="0" t="n">
        <v>0.100327997395684</v>
      </c>
      <c r="S182" s="0" t="n">
        <v>0.102775021722408</v>
      </c>
      <c r="T182" s="0" t="n">
        <v>0.105222046049132</v>
      </c>
      <c r="U182" s="0" t="n">
        <v>0.117061756616838</v>
      </c>
      <c r="V182" s="0" t="n">
        <v>0.119722251085402</v>
      </c>
      <c r="W182" s="0" t="n">
        <v>0.122382745553967</v>
      </c>
      <c r="X182" s="0" t="n">
        <v>0.125043240022531</v>
      </c>
      <c r="Y182" s="0" t="n">
        <v>0.127703734491096</v>
      </c>
      <c r="Z182" s="0" t="n">
        <v>0.13036422895966</v>
      </c>
      <c r="AA182" s="0" t="n">
        <v>0.133024723428225</v>
      </c>
      <c r="AB182" s="0" t="n">
        <v>0.135685217896789</v>
      </c>
      <c r="AC182" s="0" t="n">
        <v>0.138345712365354</v>
      </c>
      <c r="AD182" s="104"/>
    </row>
    <row r="183" customFormat="false" ht="15" hidden="true" customHeight="false" outlineLevel="0" collapsed="false">
      <c r="A183" s="114" t="s">
        <v>815</v>
      </c>
      <c r="B183" s="104" t="n">
        <v>31</v>
      </c>
      <c r="C183" s="108"/>
      <c r="D183" s="108"/>
      <c r="E183" s="108"/>
      <c r="F183" s="108"/>
      <c r="G183" s="109"/>
      <c r="H183" s="109"/>
      <c r="I183" s="109"/>
      <c r="J183" s="109"/>
      <c r="K183" s="111" t="n">
        <v>0.160935906026189</v>
      </c>
      <c r="L183" s="111" t="n">
        <v>0.165669315026959</v>
      </c>
      <c r="M183" s="111" t="n">
        <v>0.173294237775929</v>
      </c>
      <c r="N183" s="111" t="n">
        <v>0.178107966603038</v>
      </c>
      <c r="O183" s="112" t="n">
        <v>0.182921695430147</v>
      </c>
      <c r="P183" s="112" t="n">
        <v>0.187735424257256</v>
      </c>
      <c r="Q183" s="112"/>
      <c r="R183" s="112"/>
      <c r="S183" s="112"/>
      <c r="U183" s="103"/>
      <c r="AD183" s="104"/>
    </row>
    <row r="184" customFormat="false" ht="15" hidden="true" customHeight="false" outlineLevel="0" collapsed="false">
      <c r="A184" s="114" t="s">
        <v>815</v>
      </c>
      <c r="B184" s="104" t="n">
        <v>32</v>
      </c>
      <c r="K184" s="0" t="n">
        <v>0.160935906026189</v>
      </c>
      <c r="L184" s="0" t="n">
        <v>0.165669315026959</v>
      </c>
      <c r="M184" s="0" t="n">
        <v>0.173294237775929</v>
      </c>
      <c r="N184" s="0" t="n">
        <v>0.178107966603038</v>
      </c>
      <c r="O184" s="0" t="n">
        <v>0.182921695430147</v>
      </c>
      <c r="P184" s="0" t="n">
        <v>0.187735424257256</v>
      </c>
      <c r="AD184" s="104"/>
    </row>
    <row r="185" customFormat="false" ht="15" hidden="true" customHeight="false" outlineLevel="0" collapsed="false">
      <c r="A185" s="114" t="s">
        <v>818</v>
      </c>
      <c r="B185" s="104" t="n">
        <v>31</v>
      </c>
      <c r="C185" s="108"/>
      <c r="D185" s="108"/>
      <c r="E185" s="108"/>
      <c r="F185" s="108"/>
      <c r="G185" s="109"/>
      <c r="H185" s="109"/>
      <c r="I185" s="109"/>
      <c r="J185" s="109"/>
      <c r="K185" s="111"/>
      <c r="L185" s="111"/>
      <c r="M185" s="111" t="n">
        <v>0.173294237775929</v>
      </c>
      <c r="N185" s="111" t="n">
        <v>0.178107966603038</v>
      </c>
      <c r="O185" s="112" t="n">
        <v>0.182921695430147</v>
      </c>
      <c r="P185" s="112" t="n">
        <v>0.187735424257256</v>
      </c>
      <c r="Q185" s="112" t="n">
        <v>0.195761946137921</v>
      </c>
      <c r="R185" s="112" t="n">
        <v>0.200655994791369</v>
      </c>
      <c r="S185" s="112" t="n">
        <v>0.205550043444817</v>
      </c>
      <c r="T185" s="0" t="n">
        <v>0.210444092098265</v>
      </c>
      <c r="U185" s="103"/>
      <c r="AD185" s="104"/>
    </row>
    <row r="186" customFormat="false" ht="15" hidden="true" customHeight="false" outlineLevel="0" collapsed="false">
      <c r="A186" s="114" t="s">
        <v>818</v>
      </c>
      <c r="B186" s="104" t="n">
        <v>32</v>
      </c>
      <c r="M186" s="0" t="n">
        <v>0.173294237775929</v>
      </c>
      <c r="N186" s="0" t="n">
        <v>0.178107966603038</v>
      </c>
      <c r="O186" s="0" t="n">
        <v>0.182921695430147</v>
      </c>
      <c r="P186" s="0" t="n">
        <v>0.187735424257256</v>
      </c>
      <c r="Q186" s="0" t="n">
        <v>0.195761946137921</v>
      </c>
      <c r="R186" s="0" t="n">
        <v>0.200655994791369</v>
      </c>
      <c r="S186" s="0" t="n">
        <v>0.205550043444817</v>
      </c>
      <c r="T186" s="0" t="n">
        <v>0.210444092098265</v>
      </c>
      <c r="AD186" s="104"/>
    </row>
    <row r="187" customFormat="false" ht="15" hidden="true" customHeight="false" outlineLevel="0" collapsed="false">
      <c r="A187" s="114" t="s">
        <v>127</v>
      </c>
      <c r="B187" s="104" t="n">
        <v>31</v>
      </c>
      <c r="C187" s="108"/>
      <c r="D187" s="108"/>
      <c r="E187" s="108"/>
      <c r="F187" s="108"/>
      <c r="G187" s="109"/>
      <c r="H187" s="109"/>
      <c r="I187" s="109" t="n">
        <v>0.0757345440123242</v>
      </c>
      <c r="J187" s="109" t="n">
        <v>0.0781012485127093</v>
      </c>
      <c r="K187" s="111" t="n">
        <v>0.0804679530130944</v>
      </c>
      <c r="L187" s="111" t="n">
        <v>0.0828346575134796</v>
      </c>
      <c r="M187" s="111" t="n">
        <v>0.0866471188879645</v>
      </c>
      <c r="N187" s="111" t="n">
        <v>0.0890539833015191</v>
      </c>
      <c r="O187" s="112" t="n">
        <v>0.0914608477150736</v>
      </c>
      <c r="P187" s="112" t="n">
        <v>0.0938677121286282</v>
      </c>
      <c r="Q187" s="112" t="n">
        <v>0.0978809730689603</v>
      </c>
      <c r="R187" s="112" t="n">
        <v>0.100327997395684</v>
      </c>
      <c r="S187" s="112" t="n">
        <v>0.102775021722408</v>
      </c>
      <c r="T187" s="0" t="n">
        <v>0.105222046049132</v>
      </c>
      <c r="U187" s="103" t="n">
        <v>0.117061756616838</v>
      </c>
      <c r="V187" s="0" t="n">
        <v>0.119722251085402</v>
      </c>
      <c r="W187" s="0" t="n">
        <v>0.122382745553967</v>
      </c>
      <c r="X187" s="0" t="n">
        <v>0.125043240022531</v>
      </c>
      <c r="Y187" s="0" t="n">
        <v>0.127703734491096</v>
      </c>
      <c r="Z187" s="0" t="n">
        <v>0.13036422895966</v>
      </c>
      <c r="AA187" s="0" t="n">
        <v>0.133024723428225</v>
      </c>
      <c r="AB187" s="0" t="n">
        <v>0.135685217896789</v>
      </c>
      <c r="AC187" s="0" t="n">
        <v>0.138345712365354</v>
      </c>
      <c r="AD187" s="104"/>
    </row>
    <row r="188" customFormat="false" ht="15" hidden="true" customHeight="false" outlineLevel="0" collapsed="false">
      <c r="A188" s="114" t="s">
        <v>127</v>
      </c>
      <c r="B188" s="104" t="n">
        <v>32</v>
      </c>
      <c r="C188" s="108"/>
      <c r="D188" s="108"/>
      <c r="E188" s="108"/>
      <c r="F188" s="108"/>
      <c r="G188" s="109"/>
      <c r="H188" s="109"/>
      <c r="I188" s="109" t="n">
        <v>0.0757345440123242</v>
      </c>
      <c r="J188" s="109" t="n">
        <v>0.0781012485127093</v>
      </c>
      <c r="K188" s="111" t="n">
        <v>0.0804679530130944</v>
      </c>
      <c r="L188" s="111" t="n">
        <v>0.0828346575134796</v>
      </c>
      <c r="M188" s="111" t="n">
        <v>0.0866471188879645</v>
      </c>
      <c r="N188" s="111" t="n">
        <v>0.0890539833015191</v>
      </c>
      <c r="O188" s="112" t="n">
        <v>0.0914608477150736</v>
      </c>
      <c r="P188" s="112" t="n">
        <v>0.0938677121286282</v>
      </c>
      <c r="Q188" s="112" t="n">
        <v>0.0978809730689603</v>
      </c>
      <c r="R188" s="112" t="n">
        <v>0.100327997395684</v>
      </c>
      <c r="S188" s="112" t="n">
        <v>0.102775021722408</v>
      </c>
      <c r="T188" s="0" t="n">
        <v>0.105222046049132</v>
      </c>
      <c r="U188" s="103" t="n">
        <v>0.117061756616838</v>
      </c>
      <c r="V188" s="0" t="n">
        <v>0.119722251085402</v>
      </c>
      <c r="W188" s="0" t="n">
        <v>0.122382745553967</v>
      </c>
      <c r="X188" s="0" t="n">
        <v>0.125043240022531</v>
      </c>
      <c r="Y188" s="0" t="n">
        <v>0.127703734491096</v>
      </c>
      <c r="Z188" s="0" t="n">
        <v>0.13036422895966</v>
      </c>
      <c r="AA188" s="0" t="n">
        <v>0.133024723428225</v>
      </c>
      <c r="AB188" s="0" t="n">
        <v>0.135685217896789</v>
      </c>
      <c r="AC188" s="0" t="n">
        <v>0.138345712365354</v>
      </c>
      <c r="AD188" s="104"/>
    </row>
    <row r="189" customFormat="false" ht="15" hidden="true" customHeight="false" outlineLevel="0" collapsed="false">
      <c r="A189" s="114" t="s">
        <v>237</v>
      </c>
      <c r="B189" s="104" t="n">
        <v>31</v>
      </c>
      <c r="C189" s="108"/>
      <c r="D189" s="108"/>
      <c r="E189" s="108"/>
      <c r="F189" s="108"/>
      <c r="G189" s="109"/>
      <c r="H189" s="109"/>
      <c r="I189" s="109" t="n">
        <v>0.0757345440123242</v>
      </c>
      <c r="J189" s="109" t="n">
        <v>0.0781012485127093</v>
      </c>
      <c r="K189" s="111" t="n">
        <v>0.0804679530130944</v>
      </c>
      <c r="L189" s="111" t="n">
        <v>0.0828346575134796</v>
      </c>
      <c r="M189" s="111" t="n">
        <v>0.0866471188879645</v>
      </c>
      <c r="N189" s="111" t="n">
        <v>0.0890539833015191</v>
      </c>
      <c r="O189" s="112" t="n">
        <v>0.0914608477150736</v>
      </c>
      <c r="P189" s="112" t="n">
        <v>0.0938677121286282</v>
      </c>
      <c r="Q189" s="112" t="n">
        <v>0.0978809730689603</v>
      </c>
      <c r="R189" s="112" t="n">
        <v>0.100327997395684</v>
      </c>
      <c r="S189" s="112" t="n">
        <v>0.102775021722408</v>
      </c>
      <c r="T189" s="0" t="n">
        <v>0.105222046049132</v>
      </c>
      <c r="U189" s="103" t="n">
        <v>0.117061756616838</v>
      </c>
      <c r="V189" s="0" t="n">
        <v>0.119722251085402</v>
      </c>
      <c r="W189" s="0" t="n">
        <v>0.122382745553967</v>
      </c>
      <c r="X189" s="0" t="n">
        <v>0.125043240022531</v>
      </c>
      <c r="Y189" s="0" t="n">
        <v>0.127703734491096</v>
      </c>
      <c r="Z189" s="0" t="n">
        <v>0.13036422895966</v>
      </c>
      <c r="AA189" s="0" t="n">
        <v>0.133024723428225</v>
      </c>
      <c r="AB189" s="0" t="n">
        <v>0.135685217896789</v>
      </c>
      <c r="AC189" s="0" t="n">
        <v>0.138345712365354</v>
      </c>
      <c r="AD189" s="104"/>
    </row>
    <row r="190" customFormat="false" ht="15" hidden="true" customHeight="false" outlineLevel="0" collapsed="false">
      <c r="A190" s="114" t="s">
        <v>237</v>
      </c>
      <c r="B190" s="104" t="n">
        <v>32</v>
      </c>
      <c r="C190" s="108"/>
      <c r="D190" s="108"/>
      <c r="E190" s="108"/>
      <c r="F190" s="108"/>
      <c r="G190" s="109"/>
      <c r="H190" s="109"/>
      <c r="I190" s="109" t="n">
        <v>0.0757345440123242</v>
      </c>
      <c r="J190" s="109" t="n">
        <v>0.0781012485127093</v>
      </c>
      <c r="K190" s="111" t="n">
        <v>0.0804679530130944</v>
      </c>
      <c r="L190" s="111" t="n">
        <v>0.0828346575134796</v>
      </c>
      <c r="M190" s="111" t="n">
        <v>0.0866471188879645</v>
      </c>
      <c r="N190" s="111" t="n">
        <v>0.0890539833015191</v>
      </c>
      <c r="O190" s="112" t="n">
        <v>0.0914608477150736</v>
      </c>
      <c r="P190" s="112" t="n">
        <v>0.0938677121286282</v>
      </c>
      <c r="Q190" s="112" t="n">
        <v>0.0978809730689603</v>
      </c>
      <c r="R190" s="112" t="n">
        <v>0.100327997395684</v>
      </c>
      <c r="S190" s="112" t="n">
        <v>0.102775021722408</v>
      </c>
      <c r="T190" s="0" t="n">
        <v>0.105222046049132</v>
      </c>
      <c r="U190" s="103" t="n">
        <v>0.117061756616838</v>
      </c>
      <c r="V190" s="0" t="n">
        <v>0.119722251085402</v>
      </c>
      <c r="W190" s="0" t="n">
        <v>0.122382745553967</v>
      </c>
      <c r="X190" s="0" t="n">
        <v>0.125043240022531</v>
      </c>
      <c r="Y190" s="0" t="n">
        <v>0.127703734491096</v>
      </c>
      <c r="Z190" s="0" t="n">
        <v>0.13036422895966</v>
      </c>
      <c r="AA190" s="0" t="n">
        <v>0.133024723428225</v>
      </c>
      <c r="AB190" s="0" t="n">
        <v>0.135685217896789</v>
      </c>
      <c r="AC190" s="0" t="n">
        <v>0.138345712365354</v>
      </c>
      <c r="AD190" s="104"/>
    </row>
    <row r="191" customFormat="false" ht="15" hidden="true" customHeight="false" outlineLevel="0" collapsed="false">
      <c r="A191" s="114" t="s">
        <v>825</v>
      </c>
      <c r="B191" s="104" t="n">
        <v>31</v>
      </c>
      <c r="C191" s="108"/>
      <c r="D191" s="108"/>
      <c r="E191" s="108"/>
      <c r="F191" s="108"/>
      <c r="G191" s="109"/>
      <c r="H191" s="109"/>
      <c r="I191" s="109" t="n">
        <v>0.0757345440123242</v>
      </c>
      <c r="J191" s="109" t="n">
        <v>0.0781012485127093</v>
      </c>
      <c r="K191" s="111" t="n">
        <v>0.0804679530130944</v>
      </c>
      <c r="L191" s="111" t="n">
        <v>0.0828346575134796</v>
      </c>
      <c r="M191" s="111" t="n">
        <v>0.0866471188879645</v>
      </c>
      <c r="N191" s="111" t="n">
        <v>0.0890539833015191</v>
      </c>
      <c r="O191" s="112" t="n">
        <v>0.0914608477150736</v>
      </c>
      <c r="P191" s="112" t="n">
        <v>0.0938677121286282</v>
      </c>
      <c r="Q191" s="112" t="n">
        <v>0.0978809730689603</v>
      </c>
      <c r="R191" s="112" t="n">
        <v>0.100327997395684</v>
      </c>
      <c r="S191" s="112" t="n">
        <v>0.102775021722408</v>
      </c>
      <c r="T191" s="0" t="n">
        <v>0.105222046049132</v>
      </c>
      <c r="U191" s="103" t="n">
        <v>0.117061756616838</v>
      </c>
      <c r="V191" s="0" t="n">
        <v>0.119722251085402</v>
      </c>
      <c r="W191" s="0" t="n">
        <v>0.122382745553967</v>
      </c>
      <c r="X191" s="0" t="n">
        <v>0.125043240022531</v>
      </c>
      <c r="Y191" s="0" t="n">
        <v>0.127703734491096</v>
      </c>
      <c r="Z191" s="0" t="n">
        <v>0.13036422895966</v>
      </c>
      <c r="AA191" s="0" t="n">
        <v>0.133024723428225</v>
      </c>
      <c r="AB191" s="0" t="n">
        <v>0.135685217896789</v>
      </c>
      <c r="AC191" s="0" t="n">
        <v>0.138345712365354</v>
      </c>
      <c r="AD191" s="104"/>
    </row>
    <row r="192" customFormat="false" ht="15" hidden="true" customHeight="false" outlineLevel="0" collapsed="false">
      <c r="A192" s="114" t="s">
        <v>825</v>
      </c>
      <c r="B192" s="104" t="n">
        <v>32</v>
      </c>
      <c r="C192" s="108"/>
      <c r="D192" s="108"/>
      <c r="E192" s="108"/>
      <c r="F192" s="108"/>
      <c r="G192" s="109"/>
      <c r="H192" s="109"/>
      <c r="I192" s="109" t="n">
        <v>0.0757345440123242</v>
      </c>
      <c r="J192" s="109" t="n">
        <v>0.0781012485127093</v>
      </c>
      <c r="K192" s="111" t="n">
        <v>0.0804679530130944</v>
      </c>
      <c r="L192" s="111" t="n">
        <v>0.0828346575134796</v>
      </c>
      <c r="M192" s="111" t="n">
        <v>0.0866471188879645</v>
      </c>
      <c r="N192" s="111" t="n">
        <v>0.0890539833015191</v>
      </c>
      <c r="O192" s="112" t="n">
        <v>0.0914608477150736</v>
      </c>
      <c r="P192" s="112" t="n">
        <v>0.0938677121286282</v>
      </c>
      <c r="Q192" s="112" t="n">
        <v>0.0978809730689603</v>
      </c>
      <c r="R192" s="112" t="n">
        <v>0.100327997395684</v>
      </c>
      <c r="S192" s="112" t="n">
        <v>0.102775021722408</v>
      </c>
      <c r="T192" s="0" t="n">
        <v>0.105222046049132</v>
      </c>
      <c r="U192" s="103" t="n">
        <v>0.117061756616838</v>
      </c>
      <c r="V192" s="0" t="n">
        <v>0.119722251085402</v>
      </c>
      <c r="W192" s="0" t="n">
        <v>0.122382745553967</v>
      </c>
      <c r="X192" s="0" t="n">
        <v>0.125043240022531</v>
      </c>
      <c r="Y192" s="0" t="n">
        <v>0.127703734491096</v>
      </c>
      <c r="Z192" s="0" t="n">
        <v>0.13036422895966</v>
      </c>
      <c r="AA192" s="0" t="n">
        <v>0.133024723428225</v>
      </c>
      <c r="AB192" s="0" t="n">
        <v>0.135685217896789</v>
      </c>
      <c r="AC192" s="0" t="n">
        <v>0.138345712365354</v>
      </c>
      <c r="AD192" s="104"/>
    </row>
    <row r="193" customFormat="false" ht="15" hidden="true" customHeight="false" outlineLevel="0" collapsed="false">
      <c r="A193" s="114" t="s">
        <v>828</v>
      </c>
      <c r="B193" s="104" t="n">
        <v>31</v>
      </c>
      <c r="C193" s="108"/>
      <c r="D193" s="108"/>
      <c r="E193" s="108"/>
      <c r="F193" s="108"/>
      <c r="G193" s="109"/>
      <c r="H193" s="109"/>
      <c r="I193" s="109" t="n">
        <v>0.0757345440123242</v>
      </c>
      <c r="J193" s="109" t="n">
        <v>0.0781012485127093</v>
      </c>
      <c r="K193" s="111" t="n">
        <v>0.0804679530130944</v>
      </c>
      <c r="L193" s="111" t="n">
        <v>0.0828346575134796</v>
      </c>
      <c r="M193" s="111" t="n">
        <v>0.0866471188879645</v>
      </c>
      <c r="N193" s="111" t="n">
        <v>0.0890539833015191</v>
      </c>
      <c r="O193" s="112" t="n">
        <v>0.0914608477150736</v>
      </c>
      <c r="P193" s="112" t="n">
        <v>0.0938677121286282</v>
      </c>
      <c r="Q193" s="112" t="n">
        <v>0.0978809730689603</v>
      </c>
      <c r="R193" s="112" t="n">
        <v>0.100327997395684</v>
      </c>
      <c r="S193" s="112" t="n">
        <v>0.102775021722408</v>
      </c>
      <c r="T193" s="0" t="n">
        <v>0.105222046049132</v>
      </c>
      <c r="U193" s="103" t="n">
        <v>0.117061756616838</v>
      </c>
      <c r="V193" s="0" t="n">
        <v>0.119722251085402</v>
      </c>
      <c r="W193" s="0" t="n">
        <v>0.122382745553967</v>
      </c>
      <c r="X193" s="0" t="n">
        <v>0.125043240022531</v>
      </c>
      <c r="Y193" s="0" t="n">
        <v>0.127703734491096</v>
      </c>
      <c r="Z193" s="0" t="n">
        <v>0.13036422895966</v>
      </c>
      <c r="AA193" s="0" t="n">
        <v>0.133024723428225</v>
      </c>
      <c r="AB193" s="0" t="n">
        <v>0.135685217896789</v>
      </c>
      <c r="AC193" s="0" t="n">
        <v>0.138345712365354</v>
      </c>
      <c r="AD193" s="104"/>
    </row>
    <row r="194" customFormat="false" ht="15" hidden="true" customHeight="false" outlineLevel="0" collapsed="false">
      <c r="A194" s="114" t="s">
        <v>828</v>
      </c>
      <c r="B194" s="104" t="n">
        <v>32</v>
      </c>
      <c r="C194" s="108"/>
      <c r="D194" s="108"/>
      <c r="E194" s="108"/>
      <c r="F194" s="108"/>
      <c r="G194" s="109"/>
      <c r="H194" s="109"/>
      <c r="I194" s="109" t="n">
        <v>0.0757345440123242</v>
      </c>
      <c r="J194" s="109" t="n">
        <v>0.0781012485127093</v>
      </c>
      <c r="K194" s="111" t="n">
        <v>0.0804679530130944</v>
      </c>
      <c r="L194" s="111" t="n">
        <v>0.0828346575134796</v>
      </c>
      <c r="M194" s="111" t="n">
        <v>0.0866471188879645</v>
      </c>
      <c r="N194" s="111" t="n">
        <v>0.0890539833015191</v>
      </c>
      <c r="O194" s="112" t="n">
        <v>0.0914608477150736</v>
      </c>
      <c r="P194" s="112" t="n">
        <v>0.0938677121286282</v>
      </c>
      <c r="Q194" s="112" t="n">
        <v>0.0978809730689603</v>
      </c>
      <c r="R194" s="112" t="n">
        <v>0.100327997395684</v>
      </c>
      <c r="S194" s="112" t="n">
        <v>0.102775021722408</v>
      </c>
      <c r="T194" s="0" t="n">
        <v>0.105222046049132</v>
      </c>
      <c r="U194" s="103" t="n">
        <v>0.117061756616838</v>
      </c>
      <c r="V194" s="0" t="n">
        <v>0.119722251085402</v>
      </c>
      <c r="W194" s="0" t="n">
        <v>0.122382745553967</v>
      </c>
      <c r="X194" s="0" t="n">
        <v>0.125043240022531</v>
      </c>
      <c r="Y194" s="0" t="n">
        <v>0.127703734491096</v>
      </c>
      <c r="Z194" s="0" t="n">
        <v>0.13036422895966</v>
      </c>
      <c r="AA194" s="0" t="n">
        <v>0.133024723428225</v>
      </c>
      <c r="AB194" s="0" t="n">
        <v>0.135685217896789</v>
      </c>
      <c r="AC194" s="0" t="n">
        <v>0.138345712365354</v>
      </c>
      <c r="AD194" s="104"/>
    </row>
    <row r="195" customFormat="false" ht="15" hidden="true" customHeight="false" outlineLevel="0" collapsed="false">
      <c r="A195" s="114" t="s">
        <v>128</v>
      </c>
      <c r="B195" s="104" t="n">
        <v>31</v>
      </c>
      <c r="C195" s="108"/>
      <c r="D195" s="108"/>
      <c r="E195" s="108"/>
      <c r="F195" s="108"/>
      <c r="G195" s="109"/>
      <c r="H195" s="109"/>
      <c r="I195" s="109" t="n">
        <v>0.0757345440123242</v>
      </c>
      <c r="J195" s="109" t="n">
        <v>0.0781012485127093</v>
      </c>
      <c r="K195" s="111" t="n">
        <v>0.0804679530130944</v>
      </c>
      <c r="L195" s="111" t="n">
        <v>0.0828346575134796</v>
      </c>
      <c r="M195" s="111" t="n">
        <v>0.0866471188879645</v>
      </c>
      <c r="N195" s="111" t="n">
        <v>0.0890539833015191</v>
      </c>
      <c r="O195" s="112" t="n">
        <v>0.0914608477150736</v>
      </c>
      <c r="P195" s="112" t="n">
        <v>0.0938677121286282</v>
      </c>
      <c r="Q195" s="112" t="n">
        <v>0.0978809730689603</v>
      </c>
      <c r="R195" s="112" t="n">
        <v>0.100327997395684</v>
      </c>
      <c r="S195" s="112" t="n">
        <v>0.102775021722408</v>
      </c>
      <c r="T195" s="0" t="n">
        <v>0.105222046049132</v>
      </c>
      <c r="U195" s="103" t="n">
        <v>0.117061756616838</v>
      </c>
      <c r="V195" s="0" t="n">
        <v>0.119722251085402</v>
      </c>
      <c r="W195" s="0" t="n">
        <v>0.122382745553967</v>
      </c>
      <c r="X195" s="0" t="n">
        <v>0.125043240022531</v>
      </c>
      <c r="Y195" s="0" t="n">
        <v>0.127703734491096</v>
      </c>
      <c r="Z195" s="0" t="n">
        <v>0.13036422895966</v>
      </c>
      <c r="AA195" s="0" t="n">
        <v>0.133024723428225</v>
      </c>
      <c r="AB195" s="0" t="n">
        <v>0.135685217896789</v>
      </c>
      <c r="AC195" s="0" t="n">
        <v>0.138345712365354</v>
      </c>
      <c r="AD195" s="104"/>
    </row>
    <row r="196" customFormat="false" ht="15" hidden="true" customHeight="false" outlineLevel="0" collapsed="false">
      <c r="A196" s="114" t="s">
        <v>128</v>
      </c>
      <c r="B196" s="104" t="n">
        <v>32</v>
      </c>
      <c r="C196" s="108"/>
      <c r="D196" s="108"/>
      <c r="E196" s="108"/>
      <c r="F196" s="108"/>
      <c r="G196" s="109"/>
      <c r="H196" s="109"/>
      <c r="I196" s="109" t="n">
        <v>0.0757345440123242</v>
      </c>
      <c r="J196" s="109" t="n">
        <v>0.0781012485127093</v>
      </c>
      <c r="K196" s="111" t="n">
        <v>0.0804679530130944</v>
      </c>
      <c r="L196" s="111" t="n">
        <v>0.0828346575134796</v>
      </c>
      <c r="M196" s="111" t="n">
        <v>0.0866471188879645</v>
      </c>
      <c r="N196" s="111" t="n">
        <v>0.0890539833015191</v>
      </c>
      <c r="O196" s="112" t="n">
        <v>0.0914608477150736</v>
      </c>
      <c r="P196" s="112" t="n">
        <v>0.0938677121286282</v>
      </c>
      <c r="Q196" s="112" t="n">
        <v>0.0978809730689603</v>
      </c>
      <c r="R196" s="112" t="n">
        <v>0.100327997395684</v>
      </c>
      <c r="S196" s="112" t="n">
        <v>0.102775021722408</v>
      </c>
      <c r="T196" s="0" t="n">
        <v>0.105222046049132</v>
      </c>
      <c r="U196" s="103" t="n">
        <v>0.117061756616838</v>
      </c>
      <c r="V196" s="0" t="n">
        <v>0.119722251085402</v>
      </c>
      <c r="W196" s="0" t="n">
        <v>0.122382745553967</v>
      </c>
      <c r="X196" s="0" t="n">
        <v>0.125043240022531</v>
      </c>
      <c r="Y196" s="0" t="n">
        <v>0.127703734491096</v>
      </c>
      <c r="Z196" s="0" t="n">
        <v>0.13036422895966</v>
      </c>
      <c r="AA196" s="0" t="n">
        <v>0.133024723428225</v>
      </c>
      <c r="AB196" s="0" t="n">
        <v>0.135685217896789</v>
      </c>
      <c r="AC196" s="0" t="n">
        <v>0.138345712365354</v>
      </c>
      <c r="AD196" s="104"/>
    </row>
    <row r="197" customFormat="false" ht="15" hidden="true" customHeight="false" outlineLevel="0" collapsed="false">
      <c r="A197" s="114" t="s">
        <v>238</v>
      </c>
      <c r="B197" s="104" t="n">
        <v>31</v>
      </c>
      <c r="C197" s="108"/>
      <c r="D197" s="108"/>
      <c r="E197" s="108"/>
      <c r="F197" s="108"/>
      <c r="G197" s="109"/>
      <c r="H197" s="109"/>
      <c r="I197" s="109" t="n">
        <v>0.0757345440123242</v>
      </c>
      <c r="J197" s="109" t="n">
        <v>0.0781012485127093</v>
      </c>
      <c r="K197" s="111" t="n">
        <v>0.0804679530130944</v>
      </c>
      <c r="L197" s="111" t="n">
        <v>0.0828346575134796</v>
      </c>
      <c r="M197" s="111" t="n">
        <v>0.0866471188879645</v>
      </c>
      <c r="N197" s="111" t="n">
        <v>0.0890539833015191</v>
      </c>
      <c r="O197" s="112" t="n">
        <v>0.0914608477150736</v>
      </c>
      <c r="P197" s="112" t="n">
        <v>0.0938677121286282</v>
      </c>
      <c r="Q197" s="112" t="n">
        <v>0.0978809730689603</v>
      </c>
      <c r="R197" s="112" t="n">
        <v>0.100327997395684</v>
      </c>
      <c r="S197" s="112" t="n">
        <v>0.102775021722408</v>
      </c>
      <c r="T197" s="0" t="n">
        <v>0.105222046049132</v>
      </c>
      <c r="U197" s="103" t="n">
        <v>0.117061756616838</v>
      </c>
      <c r="V197" s="0" t="n">
        <v>0.119722251085402</v>
      </c>
      <c r="W197" s="0" t="n">
        <v>0.122382745553967</v>
      </c>
      <c r="X197" s="0" t="n">
        <v>0.125043240022531</v>
      </c>
      <c r="Y197" s="0" t="n">
        <v>0.127703734491096</v>
      </c>
      <c r="Z197" s="0" t="n">
        <v>0.13036422895966</v>
      </c>
      <c r="AA197" s="0" t="n">
        <v>0.133024723428225</v>
      </c>
      <c r="AB197" s="0" t="n">
        <v>0.135685217896789</v>
      </c>
      <c r="AC197" s="0" t="n">
        <v>0.138345712365354</v>
      </c>
      <c r="AD197" s="104"/>
    </row>
    <row r="198" customFormat="false" ht="15" hidden="true" customHeight="false" outlineLevel="0" collapsed="false">
      <c r="A198" s="114" t="s">
        <v>238</v>
      </c>
      <c r="B198" s="104" t="n">
        <v>32</v>
      </c>
      <c r="C198" s="108"/>
      <c r="D198" s="108"/>
      <c r="E198" s="108"/>
      <c r="F198" s="108"/>
      <c r="G198" s="109"/>
      <c r="H198" s="109"/>
      <c r="I198" s="109" t="n">
        <v>0.0757345440123242</v>
      </c>
      <c r="J198" s="109" t="n">
        <v>0.0781012485127093</v>
      </c>
      <c r="K198" s="111" t="n">
        <v>0.0804679530130944</v>
      </c>
      <c r="L198" s="111" t="n">
        <v>0.0828346575134796</v>
      </c>
      <c r="M198" s="111" t="n">
        <v>0.0866471188879645</v>
      </c>
      <c r="N198" s="111" t="n">
        <v>0.0890539833015191</v>
      </c>
      <c r="O198" s="112" t="n">
        <v>0.0914608477150736</v>
      </c>
      <c r="P198" s="112" t="n">
        <v>0.0938677121286282</v>
      </c>
      <c r="Q198" s="112" t="n">
        <v>0.0978809730689603</v>
      </c>
      <c r="R198" s="112" t="n">
        <v>0.100327997395684</v>
      </c>
      <c r="S198" s="112" t="n">
        <v>0.102775021722408</v>
      </c>
      <c r="T198" s="0" t="n">
        <v>0.105222046049132</v>
      </c>
      <c r="U198" s="103" t="n">
        <v>0.117061756616838</v>
      </c>
      <c r="V198" s="0" t="n">
        <v>0.119722251085402</v>
      </c>
      <c r="W198" s="0" t="n">
        <v>0.122382745553967</v>
      </c>
      <c r="X198" s="0" t="n">
        <v>0.125043240022531</v>
      </c>
      <c r="Y198" s="0" t="n">
        <v>0.127703734491096</v>
      </c>
      <c r="Z198" s="0" t="n">
        <v>0.13036422895966</v>
      </c>
      <c r="AA198" s="0" t="n">
        <v>0.133024723428225</v>
      </c>
      <c r="AB198" s="0" t="n">
        <v>0.135685217896789</v>
      </c>
      <c r="AC198" s="0" t="n">
        <v>0.138345712365354</v>
      </c>
      <c r="AD198" s="104"/>
    </row>
    <row r="199" customFormat="false" ht="15" hidden="true" customHeight="false" outlineLevel="0" collapsed="false">
      <c r="A199" s="114" t="s">
        <v>239</v>
      </c>
      <c r="B199" s="104" t="n">
        <v>33</v>
      </c>
      <c r="I199" s="0" t="n">
        <v>0.126768483571189</v>
      </c>
      <c r="J199" s="0" t="n">
        <v>0.130729998682788</v>
      </c>
      <c r="K199" s="0" t="n">
        <v>0.134691513794388</v>
      </c>
      <c r="L199" s="0" t="n">
        <v>0.138653028905988</v>
      </c>
      <c r="M199" s="0" t="n">
        <v>0.143092498713693</v>
      </c>
      <c r="N199" s="0" t="n">
        <v>0.147067290344629</v>
      </c>
      <c r="O199" s="0" t="n">
        <v>0.151042081975565</v>
      </c>
      <c r="P199" s="0" t="n">
        <v>0.155016873606501</v>
      </c>
      <c r="Q199" s="0" t="n">
        <v>0.159522726010887</v>
      </c>
      <c r="R199" s="0" t="n">
        <v>0.163510794161159</v>
      </c>
      <c r="S199" s="0" t="n">
        <v>0.167498862311432</v>
      </c>
      <c r="T199" s="0" t="n">
        <v>0.171486930461704</v>
      </c>
      <c r="U199" s="0" t="n">
        <v>0.184538133481863</v>
      </c>
      <c r="V199" s="0" t="n">
        <v>0.188732181970087</v>
      </c>
      <c r="W199" s="0" t="n">
        <v>0.192926230458312</v>
      </c>
      <c r="X199" s="0" t="n">
        <v>0.197120278946536</v>
      </c>
      <c r="Y199" s="0" t="n">
        <v>0.20131432743476</v>
      </c>
      <c r="Z199" s="0" t="n">
        <v>0.205508375922984</v>
      </c>
      <c r="AA199" s="0" t="n">
        <v>0.209702424411208</v>
      </c>
      <c r="AB199" s="0" t="n">
        <v>0.213896472899432</v>
      </c>
      <c r="AC199" s="0" t="n">
        <v>0.218090521387656</v>
      </c>
      <c r="AD199" s="104"/>
    </row>
    <row r="200" customFormat="false" ht="15" hidden="true" customHeight="false" outlineLevel="0" collapsed="false">
      <c r="A200" s="114" t="s">
        <v>129</v>
      </c>
      <c r="B200" s="104" t="n">
        <v>31</v>
      </c>
      <c r="C200" s="108"/>
      <c r="D200" s="108"/>
      <c r="E200" s="108"/>
      <c r="F200" s="108"/>
      <c r="G200" s="109"/>
      <c r="H200" s="109"/>
      <c r="I200" s="109" t="n">
        <v>0.0757345440123242</v>
      </c>
      <c r="J200" s="109" t="n">
        <v>0.0781012485127093</v>
      </c>
      <c r="K200" s="111" t="n">
        <v>0.0804679530130944</v>
      </c>
      <c r="L200" s="111" t="n">
        <v>0.0828346575134796</v>
      </c>
      <c r="M200" s="111" t="n">
        <v>0.0866471188879645</v>
      </c>
      <c r="N200" s="111" t="n">
        <v>0.0890539833015191</v>
      </c>
      <c r="O200" s="112" t="n">
        <v>0.0914608477150736</v>
      </c>
      <c r="P200" s="112" t="n">
        <v>0.0938677121286282</v>
      </c>
      <c r="Q200" s="112" t="n">
        <v>0.0978809730689603</v>
      </c>
      <c r="R200" s="112" t="n">
        <v>0.100327997395684</v>
      </c>
      <c r="S200" s="112" t="n">
        <v>0.102775021722408</v>
      </c>
      <c r="T200" s="0" t="n">
        <v>0.105222046049132</v>
      </c>
      <c r="U200" s="103" t="n">
        <v>0.117061756616838</v>
      </c>
      <c r="V200" s="0" t="n">
        <v>0.119722251085402</v>
      </c>
      <c r="W200" s="0" t="n">
        <v>0.122382745553967</v>
      </c>
      <c r="X200" s="0" t="n">
        <v>0.125043240022531</v>
      </c>
      <c r="Y200" s="0" t="n">
        <v>0.127703734491096</v>
      </c>
      <c r="Z200" s="0" t="n">
        <v>0.13036422895966</v>
      </c>
      <c r="AA200" s="0" t="n">
        <v>0.133024723428225</v>
      </c>
      <c r="AB200" s="0" t="n">
        <v>0.135685217896789</v>
      </c>
      <c r="AC200" s="0" t="n">
        <v>0.138345712365354</v>
      </c>
      <c r="AD200" s="104"/>
    </row>
    <row r="201" customFormat="false" ht="15" hidden="true" customHeight="false" outlineLevel="0" collapsed="false">
      <c r="A201" s="114" t="s">
        <v>129</v>
      </c>
      <c r="B201" s="104" t="n">
        <v>32</v>
      </c>
      <c r="C201" s="108"/>
      <c r="D201" s="108"/>
      <c r="E201" s="108"/>
      <c r="F201" s="108"/>
      <c r="G201" s="109"/>
      <c r="H201" s="109"/>
      <c r="I201" s="109" t="n">
        <v>0.0757345440123242</v>
      </c>
      <c r="J201" s="109" t="n">
        <v>0.0781012485127093</v>
      </c>
      <c r="K201" s="111" t="n">
        <v>0.0804679530130944</v>
      </c>
      <c r="L201" s="111" t="n">
        <v>0.0828346575134796</v>
      </c>
      <c r="M201" s="111" t="n">
        <v>0.0866471188879645</v>
      </c>
      <c r="N201" s="111" t="n">
        <v>0.0890539833015191</v>
      </c>
      <c r="O201" s="112" t="n">
        <v>0.0914608477150736</v>
      </c>
      <c r="P201" s="112" t="n">
        <v>0.0938677121286282</v>
      </c>
      <c r="Q201" s="112" t="n">
        <v>0.0978809730689603</v>
      </c>
      <c r="R201" s="112" t="n">
        <v>0.100327997395684</v>
      </c>
      <c r="S201" s="112" t="n">
        <v>0.102775021722408</v>
      </c>
      <c r="T201" s="0" t="n">
        <v>0.105222046049132</v>
      </c>
      <c r="U201" s="103" t="n">
        <v>0.117061756616838</v>
      </c>
      <c r="V201" s="0" t="n">
        <v>0.119722251085402</v>
      </c>
      <c r="W201" s="0" t="n">
        <v>0.122382745553967</v>
      </c>
      <c r="X201" s="0" t="n">
        <v>0.125043240022531</v>
      </c>
      <c r="Y201" s="0" t="n">
        <v>0.127703734491096</v>
      </c>
      <c r="Z201" s="0" t="n">
        <v>0.13036422895966</v>
      </c>
      <c r="AA201" s="0" t="n">
        <v>0.133024723428225</v>
      </c>
      <c r="AB201" s="0" t="n">
        <v>0.135685217896789</v>
      </c>
      <c r="AC201" s="0" t="n">
        <v>0.138345712365354</v>
      </c>
      <c r="AD201" s="104"/>
    </row>
    <row r="202" customFormat="false" ht="15" hidden="true" customHeight="false" outlineLevel="0" collapsed="false">
      <c r="A202" s="0" t="s">
        <v>841</v>
      </c>
      <c r="B202" s="68" t="n">
        <v>4</v>
      </c>
      <c r="C202" s="108"/>
      <c r="D202" s="108"/>
      <c r="E202" s="108"/>
      <c r="F202" s="108"/>
      <c r="G202" s="109"/>
      <c r="H202" s="109"/>
      <c r="I202" s="109"/>
      <c r="J202" s="109"/>
      <c r="K202" s="111"/>
      <c r="L202" s="111"/>
      <c r="M202" s="111"/>
      <c r="N202" s="111" t="n">
        <v>1.24875</v>
      </c>
      <c r="O202" s="112" t="n">
        <v>1.2825</v>
      </c>
      <c r="P202" s="112" t="n">
        <v>1.31625</v>
      </c>
      <c r="Q202" s="112" t="n">
        <v>1.35</v>
      </c>
      <c r="R202" s="112"/>
      <c r="S202" s="112"/>
      <c r="U202" s="38"/>
    </row>
    <row r="203" customFormat="false" ht="15" hidden="false" customHeight="false" outlineLevel="0" collapsed="false">
      <c r="A203" s="0" t="s">
        <v>240</v>
      </c>
      <c r="B203" s="68" t="n">
        <v>1</v>
      </c>
      <c r="C203" s="108"/>
      <c r="D203" s="108"/>
      <c r="E203" s="108"/>
      <c r="F203" s="108"/>
      <c r="G203" s="109"/>
      <c r="H203" s="109"/>
      <c r="I203" s="109" t="n">
        <v>0.1835057583822</v>
      </c>
      <c r="J203" s="109" t="n">
        <v>0.189240313331644</v>
      </c>
      <c r="K203" s="111" t="n">
        <v>0.194974868281087</v>
      </c>
      <c r="L203" s="111" t="n">
        <v>0.200709423230531</v>
      </c>
      <c r="M203" s="111" t="n">
        <v>0.206443978179975</v>
      </c>
      <c r="N203" s="111" t="n">
        <v>0.212178533129419</v>
      </c>
      <c r="O203" s="112" t="n">
        <v>0.217913088078862</v>
      </c>
      <c r="P203" s="112" t="n">
        <v>0.223647643028306</v>
      </c>
      <c r="Q203" s="112" t="n">
        <v>0.234691098988875</v>
      </c>
      <c r="R203" s="112" t="n">
        <v>0.240558376463597</v>
      </c>
      <c r="S203" s="112" t="n">
        <v>0.246425653938319</v>
      </c>
      <c r="T203" s="0" t="n">
        <v>0.252292931413041</v>
      </c>
      <c r="U203" s="103" t="n">
        <v>0.258160208887762</v>
      </c>
    </row>
    <row r="204" customFormat="false" ht="15" hidden="true" customHeight="false" outlineLevel="0" collapsed="false">
      <c r="A204" s="103" t="s">
        <v>240</v>
      </c>
      <c r="B204" s="104" t="n">
        <v>2</v>
      </c>
      <c r="C204" s="108"/>
      <c r="D204" s="108"/>
      <c r="E204" s="108"/>
      <c r="F204" s="108"/>
      <c r="G204" s="109"/>
      <c r="H204" s="109"/>
      <c r="I204" s="109" t="n">
        <v>0.1835057583822</v>
      </c>
      <c r="J204" s="109" t="n">
        <v>0.189240313331644</v>
      </c>
      <c r="K204" s="111" t="n">
        <v>0.194974868281087</v>
      </c>
      <c r="L204" s="111" t="n">
        <v>0.200709423230531</v>
      </c>
      <c r="M204" s="111" t="n">
        <v>0.206443978179975</v>
      </c>
      <c r="N204" s="111" t="n">
        <v>0.212178533129419</v>
      </c>
      <c r="O204" s="112" t="n">
        <v>0.217913088078862</v>
      </c>
      <c r="P204" s="112" t="n">
        <v>0.223647643028306</v>
      </c>
      <c r="Q204" s="112" t="n">
        <v>0.234691098988875</v>
      </c>
      <c r="R204" s="112" t="n">
        <v>0.240558376463597</v>
      </c>
      <c r="S204" s="112" t="n">
        <v>0.246425653938319</v>
      </c>
      <c r="T204" s="0" t="n">
        <v>0.252292931413041</v>
      </c>
      <c r="U204" s="38" t="n">
        <v>0.258160208887762</v>
      </c>
      <c r="AD204" s="104"/>
    </row>
    <row r="205" customFormat="false" ht="15" hidden="true" customHeight="false" outlineLevel="0" collapsed="false">
      <c r="A205" s="103" t="s">
        <v>240</v>
      </c>
      <c r="B205" s="104" t="n">
        <v>4</v>
      </c>
      <c r="C205" s="108"/>
      <c r="D205" s="108"/>
      <c r="E205" s="108"/>
      <c r="F205" s="108"/>
      <c r="G205" s="109"/>
      <c r="H205" s="109"/>
      <c r="I205" s="109" t="n">
        <v>0.1835057583822</v>
      </c>
      <c r="J205" s="109" t="n">
        <v>0.189240313331644</v>
      </c>
      <c r="K205" s="111" t="n">
        <v>0.194974868281087</v>
      </c>
      <c r="L205" s="111" t="n">
        <v>0.200709423230531</v>
      </c>
      <c r="M205" s="111" t="n">
        <v>0.206443978179975</v>
      </c>
      <c r="N205" s="111" t="n">
        <v>0.212178533129419</v>
      </c>
      <c r="O205" s="112" t="n">
        <v>0.217913088078862</v>
      </c>
      <c r="P205" s="112" t="n">
        <v>0.223647643028306</v>
      </c>
      <c r="Q205" s="112" t="n">
        <v>0.234691098988875</v>
      </c>
      <c r="R205" s="112" t="n">
        <v>0.240558376463597</v>
      </c>
      <c r="S205" s="112" t="n">
        <v>0.246425653938319</v>
      </c>
      <c r="T205" s="0" t="n">
        <v>0.252292931413041</v>
      </c>
      <c r="U205" s="38" t="n">
        <v>0.258160208887762</v>
      </c>
      <c r="AD205" s="104"/>
    </row>
    <row r="206" customFormat="false" ht="15" hidden="false" customHeight="false" outlineLevel="0" collapsed="false">
      <c r="A206" s="0" t="s">
        <v>130</v>
      </c>
      <c r="B206" s="68" t="n">
        <v>1</v>
      </c>
      <c r="C206" s="108"/>
      <c r="D206" s="108"/>
      <c r="E206" s="108" t="n">
        <v>0.160567538584425</v>
      </c>
      <c r="F206" s="108" t="n">
        <v>0.166302093533869</v>
      </c>
      <c r="G206" s="109" t="n">
        <v>0.172036648483312</v>
      </c>
      <c r="H206" s="109" t="n">
        <v>0.177771203432756</v>
      </c>
      <c r="I206" s="109" t="n">
        <v>0.1835057583822</v>
      </c>
      <c r="J206" s="109" t="n">
        <v>0.189240313331644</v>
      </c>
      <c r="K206" s="111" t="n">
        <v>0.194974868281087</v>
      </c>
      <c r="L206" s="111" t="n">
        <v>0.200709423230531</v>
      </c>
      <c r="M206" s="111"/>
      <c r="N206" s="111"/>
      <c r="O206" s="112"/>
      <c r="P206" s="112"/>
      <c r="Q206" s="112"/>
      <c r="R206" s="112"/>
      <c r="S206" s="112"/>
      <c r="U206" s="38"/>
    </row>
    <row r="207" customFormat="false" ht="15" hidden="true" customHeight="false" outlineLevel="0" collapsed="false">
      <c r="A207" s="0" t="s">
        <v>130</v>
      </c>
      <c r="B207" s="104" t="n">
        <v>2</v>
      </c>
      <c r="C207" s="108"/>
      <c r="D207" s="108"/>
      <c r="E207" s="108" t="n">
        <v>0.160567538584425</v>
      </c>
      <c r="F207" s="108" t="n">
        <v>0.166302093533869</v>
      </c>
      <c r="G207" s="109" t="n">
        <v>0.172036648483312</v>
      </c>
      <c r="H207" s="109" t="n">
        <v>0.177771203432756</v>
      </c>
      <c r="I207" s="109" t="n">
        <v>0.1835057583822</v>
      </c>
      <c r="J207" s="109" t="n">
        <v>0.189240313331644</v>
      </c>
      <c r="K207" s="111" t="n">
        <v>0.194974868281087</v>
      </c>
      <c r="L207" s="111" t="n">
        <v>0.200709423230531</v>
      </c>
      <c r="M207" s="111" t="n">
        <v>0.206443978179975</v>
      </c>
      <c r="N207" s="111" t="n">
        <v>0.212178533129419</v>
      </c>
      <c r="O207" s="112" t="n">
        <v>0.217913088078862</v>
      </c>
      <c r="P207" s="112" t="n">
        <v>0.223647643028306</v>
      </c>
      <c r="Q207" s="112"/>
      <c r="R207" s="112"/>
      <c r="S207" s="112"/>
      <c r="U207" s="103"/>
      <c r="AD207" s="104"/>
    </row>
    <row r="208" customFormat="false" ht="15" hidden="true" customHeight="false" outlineLevel="0" collapsed="false">
      <c r="A208" s="103" t="s">
        <v>130</v>
      </c>
      <c r="B208" s="104" t="n">
        <v>4</v>
      </c>
      <c r="C208" s="108"/>
      <c r="D208" s="108"/>
      <c r="E208" s="108" t="n">
        <v>0.160567538584425</v>
      </c>
      <c r="F208" s="108" t="n">
        <v>0.166302093533869</v>
      </c>
      <c r="G208" s="109" t="n">
        <v>0.172036648483312</v>
      </c>
      <c r="H208" s="109" t="n">
        <v>0.177771203432756</v>
      </c>
      <c r="I208" s="109" t="n">
        <v>0.1835057583822</v>
      </c>
      <c r="J208" s="109" t="n">
        <v>0.189240313331644</v>
      </c>
      <c r="K208" s="111" t="n">
        <v>0.194974868281087</v>
      </c>
      <c r="L208" s="111" t="n">
        <v>0.200709423230531</v>
      </c>
      <c r="M208" s="111" t="n">
        <v>0.206443978179975</v>
      </c>
      <c r="N208" s="111" t="n">
        <v>0.212178533129419</v>
      </c>
      <c r="O208" s="112" t="n">
        <v>0.217913088078862</v>
      </c>
      <c r="P208" s="112" t="n">
        <v>0.223647643028306</v>
      </c>
      <c r="Q208" s="112"/>
      <c r="R208" s="112"/>
      <c r="S208" s="112"/>
      <c r="U208" s="103"/>
      <c r="AD208" s="104"/>
    </row>
    <row r="209" customFormat="false" ht="15" hidden="false" customHeight="false" outlineLevel="0" collapsed="false">
      <c r="A209" s="0" t="s">
        <v>241</v>
      </c>
      <c r="B209" s="68" t="n">
        <v>1</v>
      </c>
      <c r="C209" s="108"/>
      <c r="D209" s="108"/>
      <c r="E209" s="108" t="n">
        <v>0.160567538584425</v>
      </c>
      <c r="F209" s="108" t="n">
        <v>0.166302093533869</v>
      </c>
      <c r="G209" s="109" t="n">
        <v>0.172036648483312</v>
      </c>
      <c r="H209" s="109" t="n">
        <v>0.177771203432756</v>
      </c>
      <c r="I209" s="109" t="n">
        <v>0.1835057583822</v>
      </c>
      <c r="J209" s="109" t="n">
        <v>0.189240313331644</v>
      </c>
      <c r="K209" s="111" t="n">
        <v>0.194974868281087</v>
      </c>
      <c r="L209" s="111" t="n">
        <v>0.200709423230531</v>
      </c>
      <c r="M209" s="111"/>
      <c r="N209" s="111"/>
      <c r="O209" s="112"/>
      <c r="P209" s="112"/>
      <c r="Q209" s="112"/>
      <c r="R209" s="112"/>
      <c r="S209" s="112"/>
      <c r="U209" s="38"/>
    </row>
    <row r="210" customFormat="false" ht="15" hidden="true" customHeight="false" outlineLevel="0" collapsed="false">
      <c r="A210" s="0" t="s">
        <v>241</v>
      </c>
      <c r="B210" s="104" t="n">
        <v>2</v>
      </c>
      <c r="C210" s="108"/>
      <c r="D210" s="108"/>
      <c r="E210" s="108" t="n">
        <v>0.160567538584425</v>
      </c>
      <c r="F210" s="108" t="n">
        <v>0.166302093533869</v>
      </c>
      <c r="G210" s="109" t="n">
        <v>0.172036648483312</v>
      </c>
      <c r="H210" s="109" t="n">
        <v>0.177771203432756</v>
      </c>
      <c r="I210" s="109" t="n">
        <v>0.1835057583822</v>
      </c>
      <c r="J210" s="109" t="n">
        <v>0.189240313331644</v>
      </c>
      <c r="K210" s="111" t="n">
        <v>0.194974868281087</v>
      </c>
      <c r="L210" s="111" t="n">
        <v>0.200709423230531</v>
      </c>
      <c r="M210" s="111" t="n">
        <v>0.206443978179975</v>
      </c>
      <c r="N210" s="111" t="n">
        <v>0.212178533129419</v>
      </c>
      <c r="O210" s="112" t="n">
        <v>0.217913088078862</v>
      </c>
      <c r="P210" s="112" t="n">
        <v>0.223647643028306</v>
      </c>
      <c r="Q210" s="112"/>
      <c r="R210" s="112"/>
      <c r="S210" s="112"/>
      <c r="U210" s="103"/>
      <c r="AD210" s="104"/>
    </row>
    <row r="211" customFormat="false" ht="15" hidden="true" customHeight="false" outlineLevel="0" collapsed="false">
      <c r="A211" s="103" t="s">
        <v>241</v>
      </c>
      <c r="B211" s="104" t="n">
        <v>4</v>
      </c>
      <c r="C211" s="108"/>
      <c r="D211" s="108"/>
      <c r="E211" s="108" t="n">
        <v>0.160567538584425</v>
      </c>
      <c r="F211" s="108" t="n">
        <v>0.166302093533869</v>
      </c>
      <c r="G211" s="109" t="n">
        <v>0.172036648483312</v>
      </c>
      <c r="H211" s="109" t="n">
        <v>0.177771203432756</v>
      </c>
      <c r="I211" s="109" t="n">
        <v>0.1835057583822</v>
      </c>
      <c r="J211" s="109" t="n">
        <v>0.189240313331644</v>
      </c>
      <c r="K211" s="111" t="n">
        <v>0.194974868281087</v>
      </c>
      <c r="L211" s="111" t="n">
        <v>0.200709423230531</v>
      </c>
      <c r="M211" s="111" t="n">
        <v>0.206443978179975</v>
      </c>
      <c r="N211" s="111" t="n">
        <v>0.212178533129419</v>
      </c>
      <c r="O211" s="112" t="n">
        <v>0.217913088078862</v>
      </c>
      <c r="P211" s="112" t="n">
        <v>0.223647643028306</v>
      </c>
      <c r="Q211" s="112"/>
      <c r="R211" s="112"/>
      <c r="S211" s="112"/>
      <c r="U211" s="38"/>
      <c r="AD211" s="104"/>
    </row>
    <row r="212" customFormat="false" ht="15" hidden="false" customHeight="false" outlineLevel="0" collapsed="false">
      <c r="A212" s="0" t="s">
        <v>851</v>
      </c>
      <c r="B212" s="68" t="n">
        <v>1</v>
      </c>
      <c r="C212" s="108"/>
      <c r="D212" s="108"/>
      <c r="E212" s="108" t="n">
        <v>0.160567538584425</v>
      </c>
      <c r="F212" s="108" t="n">
        <v>0.166302093533869</v>
      </c>
      <c r="G212" s="109" t="n">
        <v>0.172036648483312</v>
      </c>
      <c r="H212" s="109" t="n">
        <v>0.177771203432756</v>
      </c>
      <c r="I212" s="109" t="n">
        <v>0.1835057583822</v>
      </c>
      <c r="J212" s="109" t="n">
        <v>0.189240313331644</v>
      </c>
      <c r="K212" s="111" t="n">
        <v>0.194974868281087</v>
      </c>
      <c r="L212" s="111" t="n">
        <v>0.200709423230531</v>
      </c>
      <c r="M212" s="111" t="n">
        <v>0.206443978179975</v>
      </c>
      <c r="N212" s="111" t="n">
        <v>0.212178533129419</v>
      </c>
      <c r="O212" s="112" t="n">
        <v>0.217913088078862</v>
      </c>
      <c r="P212" s="112" t="n">
        <v>0.223647643028306</v>
      </c>
      <c r="Q212" s="112"/>
      <c r="R212" s="112"/>
      <c r="S212" s="112"/>
      <c r="U212" s="103"/>
    </row>
    <row r="213" customFormat="false" ht="15" hidden="true" customHeight="false" outlineLevel="0" collapsed="false">
      <c r="A213" s="0" t="s">
        <v>851</v>
      </c>
      <c r="B213" s="104" t="n">
        <v>2</v>
      </c>
      <c r="C213" s="108"/>
      <c r="D213" s="108"/>
      <c r="E213" s="108" t="n">
        <v>0.160567538584425</v>
      </c>
      <c r="F213" s="108" t="n">
        <v>0.166302093533869</v>
      </c>
      <c r="G213" s="109" t="n">
        <v>0.172036648483312</v>
      </c>
      <c r="H213" s="109" t="n">
        <v>0.177771203432756</v>
      </c>
      <c r="I213" s="109" t="n">
        <v>0.1835057583822</v>
      </c>
      <c r="J213" s="109" t="n">
        <v>0.189240313331644</v>
      </c>
      <c r="K213" s="111" t="n">
        <v>0.194974868281087</v>
      </c>
      <c r="L213" s="111" t="n">
        <v>0.200709423230531</v>
      </c>
      <c r="M213" s="111" t="n">
        <v>0.206443978179975</v>
      </c>
      <c r="N213" s="111" t="n">
        <v>0.212178533129419</v>
      </c>
      <c r="O213" s="112" t="n">
        <v>0.217913088078862</v>
      </c>
      <c r="P213" s="112" t="n">
        <v>0.223647643028306</v>
      </c>
      <c r="Q213" s="112"/>
      <c r="R213" s="112"/>
      <c r="S213" s="112"/>
      <c r="U213" s="103"/>
      <c r="AD213" s="104"/>
    </row>
    <row r="214" customFormat="false" ht="15" hidden="true" customHeight="false" outlineLevel="0" collapsed="false">
      <c r="A214" s="103" t="s">
        <v>851</v>
      </c>
      <c r="B214" s="104" t="n">
        <v>4</v>
      </c>
      <c r="C214" s="108"/>
      <c r="D214" s="108"/>
      <c r="E214" s="108" t="n">
        <v>0.160567538584425</v>
      </c>
      <c r="F214" s="108" t="n">
        <v>0.166302093533869</v>
      </c>
      <c r="G214" s="109" t="n">
        <v>0.172036648483312</v>
      </c>
      <c r="H214" s="109" t="n">
        <v>0.177771203432756</v>
      </c>
      <c r="I214" s="109" t="n">
        <v>0.1835057583822</v>
      </c>
      <c r="J214" s="109" t="n">
        <v>0.189240313331644</v>
      </c>
      <c r="K214" s="111" t="n">
        <v>0.194974868281087</v>
      </c>
      <c r="L214" s="111" t="n">
        <v>0.200709423230531</v>
      </c>
      <c r="M214" s="111" t="n">
        <v>0.206443978179975</v>
      </c>
      <c r="N214" s="111" t="n">
        <v>0.212178533129419</v>
      </c>
      <c r="O214" s="112" t="n">
        <v>0.217913088078862</v>
      </c>
      <c r="P214" s="112" t="n">
        <v>0.223647643028306</v>
      </c>
      <c r="Q214" s="112"/>
      <c r="R214" s="112"/>
      <c r="S214" s="112"/>
      <c r="U214" s="38"/>
      <c r="AD214" s="104"/>
    </row>
    <row r="215" customFormat="false" ht="15" hidden="false" customHeight="false" outlineLevel="0" collapsed="false">
      <c r="A215" s="0" t="s">
        <v>242</v>
      </c>
      <c r="B215" s="68" t="n">
        <v>1</v>
      </c>
      <c r="C215" s="108"/>
      <c r="D215" s="108"/>
      <c r="E215" s="108"/>
      <c r="F215" s="108"/>
      <c r="G215" s="109"/>
      <c r="H215" s="109"/>
      <c r="I215" s="109"/>
      <c r="J215" s="109"/>
      <c r="K215" s="111"/>
      <c r="L215" s="111"/>
      <c r="M215" s="111" t="n">
        <v>0.206443978179975</v>
      </c>
      <c r="N215" s="111" t="n">
        <v>0.212178533129419</v>
      </c>
      <c r="O215" s="112" t="n">
        <v>0.217913088078862</v>
      </c>
      <c r="P215" s="112" t="n">
        <v>0.223647643028306</v>
      </c>
      <c r="Q215" s="112" t="n">
        <v>0.234691098988875</v>
      </c>
      <c r="R215" s="112" t="n">
        <v>0.240558376463597</v>
      </c>
      <c r="S215" s="112" t="n">
        <v>0.246425653938319</v>
      </c>
      <c r="U215" s="103"/>
    </row>
    <row r="216" customFormat="false" ht="15" hidden="true" customHeight="false" outlineLevel="0" collapsed="false">
      <c r="A216" s="0" t="s">
        <v>242</v>
      </c>
      <c r="B216" s="104" t="n">
        <v>2</v>
      </c>
      <c r="C216" s="108"/>
      <c r="D216" s="108"/>
      <c r="E216" s="108"/>
      <c r="F216" s="108"/>
      <c r="G216" s="109"/>
      <c r="H216" s="109"/>
      <c r="I216" s="109"/>
      <c r="J216" s="109"/>
      <c r="K216" s="111"/>
      <c r="L216" s="111"/>
      <c r="M216" s="111" t="n">
        <v>0.206443978179975</v>
      </c>
      <c r="N216" s="111" t="n">
        <v>0.212178533129419</v>
      </c>
      <c r="O216" s="112" t="n">
        <v>0.217913088078862</v>
      </c>
      <c r="P216" s="112" t="n">
        <v>0.223647643028306</v>
      </c>
      <c r="Q216" s="112" t="n">
        <v>0.234691098988875</v>
      </c>
      <c r="R216" s="112" t="n">
        <v>0.240558376463597</v>
      </c>
      <c r="S216" s="112" t="n">
        <v>0.246425653938319</v>
      </c>
      <c r="T216" s="0" t="n">
        <v>0.252292931413041</v>
      </c>
      <c r="U216" s="103" t="n">
        <v>0.258160208887762</v>
      </c>
      <c r="AD216" s="104"/>
    </row>
    <row r="217" customFormat="false" ht="15" hidden="true" customHeight="false" outlineLevel="0" collapsed="false">
      <c r="A217" s="103" t="s">
        <v>242</v>
      </c>
      <c r="B217" s="104" t="n">
        <v>4</v>
      </c>
      <c r="C217" s="108"/>
      <c r="D217" s="108"/>
      <c r="E217" s="108"/>
      <c r="F217" s="108"/>
      <c r="G217" s="109"/>
      <c r="H217" s="109"/>
      <c r="I217" s="109"/>
      <c r="J217" s="109" t="n">
        <v>0.189240313331644</v>
      </c>
      <c r="K217" s="111" t="n">
        <v>0.194974868281087</v>
      </c>
      <c r="L217" s="111" t="n">
        <v>0.200709423230531</v>
      </c>
      <c r="M217" s="111" t="n">
        <v>0.206443978179975</v>
      </c>
      <c r="N217" s="111" t="n">
        <v>0.212178533129419</v>
      </c>
      <c r="O217" s="112" t="n">
        <v>0.217913088078862</v>
      </c>
      <c r="P217" s="112" t="n">
        <v>0.223647643028306</v>
      </c>
      <c r="Q217" s="112" t="n">
        <v>0.234691098988875</v>
      </c>
      <c r="R217" s="112" t="n">
        <v>0.240558376463597</v>
      </c>
      <c r="S217" s="112" t="n">
        <v>0.246425653938319</v>
      </c>
      <c r="T217" s="0" t="n">
        <v>0.252292931413041</v>
      </c>
      <c r="U217" s="38" t="n">
        <v>0.258160208887762</v>
      </c>
      <c r="AD217" s="104"/>
    </row>
    <row r="218" customFormat="false" ht="15" hidden="false" customHeight="false" outlineLevel="0" collapsed="false">
      <c r="A218" s="0" t="s">
        <v>131</v>
      </c>
      <c r="B218" s="68" t="n">
        <v>1</v>
      </c>
      <c r="C218" s="108"/>
      <c r="D218" s="108"/>
      <c r="E218" s="108"/>
      <c r="F218" s="108"/>
      <c r="G218" s="109"/>
      <c r="H218" s="109"/>
      <c r="I218" s="109"/>
      <c r="J218" s="109"/>
      <c r="K218" s="111"/>
      <c r="L218" s="111"/>
      <c r="M218" s="111" t="n">
        <v>0.206443978179975</v>
      </c>
      <c r="N218" s="111" t="n">
        <v>0.212178533129419</v>
      </c>
      <c r="O218" s="112" t="n">
        <v>0.217913088078862</v>
      </c>
      <c r="P218" s="112" t="n">
        <v>0.223647643028306</v>
      </c>
      <c r="Q218" s="112" t="n">
        <v>0.234691098988875</v>
      </c>
      <c r="R218" s="112" t="n">
        <v>0.240558376463597</v>
      </c>
      <c r="S218" s="112" t="n">
        <v>0.246425653938319</v>
      </c>
      <c r="T218" s="0" t="n">
        <v>0.252292931413041</v>
      </c>
      <c r="U218" s="103" t="n">
        <v>0.258160208887762</v>
      </c>
    </row>
    <row r="219" customFormat="false" ht="15" hidden="true" customHeight="false" outlineLevel="0" collapsed="false">
      <c r="A219" s="103" t="s">
        <v>131</v>
      </c>
      <c r="B219" s="104" t="n">
        <v>2</v>
      </c>
      <c r="C219" s="108"/>
      <c r="D219" s="108"/>
      <c r="E219" s="108"/>
      <c r="F219" s="108"/>
      <c r="G219" s="109"/>
      <c r="H219" s="109"/>
      <c r="I219" s="109"/>
      <c r="J219" s="109"/>
      <c r="K219" s="111"/>
      <c r="L219" s="111"/>
      <c r="M219" s="111" t="n">
        <v>0.206443978179975</v>
      </c>
      <c r="N219" s="111" t="n">
        <v>0.212178533129419</v>
      </c>
      <c r="O219" s="112" t="n">
        <v>0.217913088078862</v>
      </c>
      <c r="P219" s="112" t="n">
        <v>0.223647643028306</v>
      </c>
      <c r="Q219" s="112" t="n">
        <v>0.234691098988875</v>
      </c>
      <c r="R219" s="112" t="n">
        <v>0.240558376463597</v>
      </c>
      <c r="S219" s="112" t="n">
        <v>0.246425653938319</v>
      </c>
      <c r="T219" s="0" t="n">
        <v>0.252292931413041</v>
      </c>
      <c r="U219" s="38" t="n">
        <v>0.258160208887762</v>
      </c>
      <c r="AD219" s="104"/>
    </row>
    <row r="220" customFormat="false" ht="15" hidden="true" customHeight="false" outlineLevel="0" collapsed="false">
      <c r="A220" s="103" t="s">
        <v>131</v>
      </c>
      <c r="B220" s="104" t="n">
        <v>4</v>
      </c>
      <c r="C220" s="108"/>
      <c r="D220" s="108"/>
      <c r="E220" s="108"/>
      <c r="F220" s="108"/>
      <c r="G220" s="109"/>
      <c r="H220" s="109"/>
      <c r="I220" s="109"/>
      <c r="J220" s="109" t="n">
        <v>0.189240313331644</v>
      </c>
      <c r="K220" s="111" t="n">
        <v>0.194974868281087</v>
      </c>
      <c r="L220" s="111" t="n">
        <v>0.200709423230531</v>
      </c>
      <c r="M220" s="111" t="n">
        <v>0.206443978179975</v>
      </c>
      <c r="N220" s="111" t="n">
        <v>0.212178533129419</v>
      </c>
      <c r="O220" s="112" t="n">
        <v>0.217913088078862</v>
      </c>
      <c r="P220" s="112" t="n">
        <v>0.223647643028306</v>
      </c>
      <c r="Q220" s="112" t="n">
        <v>0.234691098988875</v>
      </c>
      <c r="R220" s="112" t="n">
        <v>0.240558376463597</v>
      </c>
      <c r="S220" s="112" t="n">
        <v>0.246425653938319</v>
      </c>
      <c r="T220" s="0" t="n">
        <v>0.252292931413041</v>
      </c>
      <c r="U220" s="103" t="n">
        <v>0.258160208887762</v>
      </c>
      <c r="AD220" s="104"/>
    </row>
    <row r="221" customFormat="false" ht="15" hidden="false" customHeight="false" outlineLevel="0" collapsed="false">
      <c r="A221" s="0" t="s">
        <v>243</v>
      </c>
      <c r="B221" s="68" t="n">
        <v>1</v>
      </c>
      <c r="C221" s="108"/>
      <c r="D221" s="108"/>
      <c r="E221" s="108"/>
      <c r="F221" s="108"/>
      <c r="G221" s="109"/>
      <c r="H221" s="109"/>
      <c r="I221" s="109"/>
      <c r="J221" s="109"/>
      <c r="K221" s="111"/>
      <c r="L221" s="111"/>
      <c r="M221" s="111" t="n">
        <v>0.206443978179975</v>
      </c>
      <c r="N221" s="111" t="n">
        <v>0.212178533129419</v>
      </c>
      <c r="O221" s="112" t="n">
        <v>0.217913088078862</v>
      </c>
      <c r="P221" s="112" t="n">
        <v>0.223647643028306</v>
      </c>
      <c r="Q221" s="112" t="n">
        <v>0.234691098988875</v>
      </c>
      <c r="R221" s="112" t="n">
        <v>0.240558376463597</v>
      </c>
      <c r="S221" s="112" t="n">
        <v>0.246425653938319</v>
      </c>
      <c r="T221" s="0" t="n">
        <v>0.252292931413041</v>
      </c>
      <c r="U221" s="103" t="n">
        <v>0.258160208887762</v>
      </c>
    </row>
    <row r="222" customFormat="false" ht="15" hidden="true" customHeight="false" outlineLevel="0" collapsed="false">
      <c r="A222" s="103" t="s">
        <v>243</v>
      </c>
      <c r="B222" s="104" t="n">
        <v>2</v>
      </c>
      <c r="C222" s="108"/>
      <c r="D222" s="108"/>
      <c r="E222" s="108"/>
      <c r="F222" s="108"/>
      <c r="G222" s="109"/>
      <c r="H222" s="109"/>
      <c r="I222" s="109"/>
      <c r="J222" s="109"/>
      <c r="K222" s="111"/>
      <c r="L222" s="111"/>
      <c r="M222" s="111" t="n">
        <v>0.206443978179975</v>
      </c>
      <c r="N222" s="111" t="n">
        <v>0.212178533129419</v>
      </c>
      <c r="O222" s="112" t="n">
        <v>0.217913088078862</v>
      </c>
      <c r="P222" s="112" t="n">
        <v>0.223647643028306</v>
      </c>
      <c r="Q222" s="112" t="n">
        <v>0.234691098988875</v>
      </c>
      <c r="R222" s="112" t="n">
        <v>0.240558376463597</v>
      </c>
      <c r="S222" s="112" t="n">
        <v>0.246425653938319</v>
      </c>
      <c r="T222" s="0" t="n">
        <v>0.252292931413041</v>
      </c>
      <c r="U222" s="38" t="n">
        <v>0.258160208887762</v>
      </c>
      <c r="AD222" s="104"/>
    </row>
    <row r="223" customFormat="false" ht="15" hidden="true" customHeight="false" outlineLevel="0" collapsed="false">
      <c r="A223" s="103" t="s">
        <v>243</v>
      </c>
      <c r="B223" s="104" t="n">
        <v>4</v>
      </c>
      <c r="C223" s="108"/>
      <c r="D223" s="108"/>
      <c r="E223" s="108"/>
      <c r="F223" s="108"/>
      <c r="G223" s="109"/>
      <c r="H223" s="109"/>
      <c r="I223" s="109"/>
      <c r="J223" s="109" t="n">
        <v>0.189240313331644</v>
      </c>
      <c r="K223" s="111" t="n">
        <v>0.194974868281087</v>
      </c>
      <c r="L223" s="111" t="n">
        <v>0.200709423230531</v>
      </c>
      <c r="M223" s="111" t="n">
        <v>0.206443978179975</v>
      </c>
      <c r="N223" s="111" t="n">
        <v>0.212178533129419</v>
      </c>
      <c r="O223" s="112" t="n">
        <v>0.217913088078862</v>
      </c>
      <c r="P223" s="112" t="n">
        <v>0.223647643028306</v>
      </c>
      <c r="Q223" s="112" t="n">
        <v>0.234691098988875</v>
      </c>
      <c r="R223" s="112" t="n">
        <v>0.240558376463597</v>
      </c>
      <c r="S223" s="112" t="n">
        <v>0.246425653938319</v>
      </c>
      <c r="T223" s="0" t="n">
        <v>0.252292931413041</v>
      </c>
      <c r="U223" s="103" t="n">
        <v>0.258160208887762</v>
      </c>
      <c r="AD223" s="104"/>
    </row>
    <row r="224" customFormat="false" ht="15" hidden="false" customHeight="false" outlineLevel="0" collapsed="false">
      <c r="A224" s="0" t="s">
        <v>861</v>
      </c>
      <c r="B224" s="68" t="n">
        <v>1</v>
      </c>
      <c r="C224" s="108"/>
      <c r="D224" s="108"/>
      <c r="E224" s="108"/>
      <c r="F224" s="108"/>
      <c r="G224" s="109"/>
      <c r="H224" s="109"/>
      <c r="I224" s="109"/>
      <c r="J224" s="109"/>
      <c r="K224" s="111"/>
      <c r="L224" s="111"/>
      <c r="M224" s="111" t="n">
        <v>0.206443978179975</v>
      </c>
      <c r="N224" s="111" t="n">
        <v>0.212178533129419</v>
      </c>
      <c r="O224" s="112" t="n">
        <v>0.217913088078862</v>
      </c>
      <c r="P224" s="112" t="n">
        <v>0.223647643028306</v>
      </c>
      <c r="Q224" s="112" t="n">
        <v>0.234691098988875</v>
      </c>
      <c r="R224" s="112" t="n">
        <v>0.240558376463597</v>
      </c>
      <c r="S224" s="112" t="n">
        <v>0.246425653938319</v>
      </c>
      <c r="T224" s="0" t="n">
        <v>0.252292931413041</v>
      </c>
      <c r="U224" s="103" t="n">
        <v>0.258160208887762</v>
      </c>
    </row>
    <row r="225" customFormat="false" ht="15" hidden="true" customHeight="false" outlineLevel="0" collapsed="false">
      <c r="A225" s="103" t="s">
        <v>861</v>
      </c>
      <c r="B225" s="104" t="n">
        <v>2</v>
      </c>
      <c r="C225" s="108"/>
      <c r="D225" s="108"/>
      <c r="E225" s="108"/>
      <c r="F225" s="108"/>
      <c r="G225" s="109"/>
      <c r="H225" s="109"/>
      <c r="I225" s="109"/>
      <c r="J225" s="109"/>
      <c r="K225" s="111"/>
      <c r="L225" s="111"/>
      <c r="M225" s="111" t="n">
        <v>0.206443978179975</v>
      </c>
      <c r="N225" s="111" t="n">
        <v>0.212178533129419</v>
      </c>
      <c r="O225" s="112" t="n">
        <v>0.217913088078862</v>
      </c>
      <c r="P225" s="112" t="n">
        <v>0.223647643028306</v>
      </c>
      <c r="Q225" s="112" t="n">
        <v>0.234691098988875</v>
      </c>
      <c r="R225" s="112" t="n">
        <v>0.240558376463597</v>
      </c>
      <c r="S225" s="112" t="n">
        <v>0.246425653938319</v>
      </c>
      <c r="T225" s="0" t="n">
        <v>0.252292931413041</v>
      </c>
      <c r="U225" s="38" t="n">
        <v>0.258160208887762</v>
      </c>
      <c r="AD225" s="104"/>
    </row>
    <row r="226" customFormat="false" ht="15" hidden="true" customHeight="false" outlineLevel="0" collapsed="false">
      <c r="A226" s="103" t="s">
        <v>861</v>
      </c>
      <c r="B226" s="104" t="n">
        <v>4</v>
      </c>
      <c r="C226" s="108"/>
      <c r="D226" s="108"/>
      <c r="E226" s="108"/>
      <c r="F226" s="108"/>
      <c r="G226" s="109"/>
      <c r="H226" s="109"/>
      <c r="I226" s="109"/>
      <c r="J226" s="109" t="n">
        <v>0.189240313331644</v>
      </c>
      <c r="K226" s="111" t="n">
        <v>0.194974868281087</v>
      </c>
      <c r="L226" s="111" t="n">
        <v>0.200709423230531</v>
      </c>
      <c r="M226" s="111" t="n">
        <v>0.206443978179975</v>
      </c>
      <c r="N226" s="111" t="n">
        <v>0.212178533129419</v>
      </c>
      <c r="O226" s="112" t="n">
        <v>0.217913088078862</v>
      </c>
      <c r="P226" s="112" t="n">
        <v>0.223647643028306</v>
      </c>
      <c r="Q226" s="112" t="n">
        <v>0.234691098988875</v>
      </c>
      <c r="R226" s="112" t="n">
        <v>0.240558376463597</v>
      </c>
      <c r="S226" s="112" t="n">
        <v>0.246425653938319</v>
      </c>
      <c r="T226" s="0" t="n">
        <v>0.252292931413041</v>
      </c>
      <c r="U226" s="103" t="n">
        <v>0.258160208887762</v>
      </c>
      <c r="AD226" s="104"/>
    </row>
    <row r="227" customFormat="false" ht="15" hidden="false" customHeight="false" outlineLevel="0" collapsed="false">
      <c r="A227" s="0" t="s">
        <v>244</v>
      </c>
      <c r="B227" s="68" t="n">
        <v>1</v>
      </c>
      <c r="C227" s="108"/>
      <c r="D227" s="108"/>
      <c r="E227" s="108"/>
      <c r="F227" s="108"/>
      <c r="G227" s="109"/>
      <c r="H227" s="109"/>
      <c r="I227" s="109"/>
      <c r="J227" s="109"/>
      <c r="K227" s="111"/>
      <c r="L227" s="111"/>
      <c r="M227" s="111" t="n">
        <v>0.206443978179975</v>
      </c>
      <c r="N227" s="111" t="n">
        <v>0.212178533129419</v>
      </c>
      <c r="O227" s="112" t="n">
        <v>0.217913088078862</v>
      </c>
      <c r="P227" s="112" t="n">
        <v>0.223647643028306</v>
      </c>
      <c r="Q227" s="112" t="n">
        <v>0.234691098988875</v>
      </c>
      <c r="R227" s="112" t="n">
        <v>0.240558376463597</v>
      </c>
      <c r="S227" s="112" t="n">
        <v>0.246425653938319</v>
      </c>
      <c r="T227" s="0" t="n">
        <v>0.252292931413041</v>
      </c>
      <c r="U227" s="103" t="n">
        <v>0.258160208887762</v>
      </c>
    </row>
    <row r="228" customFormat="false" ht="15" hidden="true" customHeight="false" outlineLevel="0" collapsed="false">
      <c r="A228" s="103" t="s">
        <v>244</v>
      </c>
      <c r="B228" s="104" t="n">
        <v>2</v>
      </c>
      <c r="C228" s="108"/>
      <c r="D228" s="108"/>
      <c r="E228" s="108"/>
      <c r="F228" s="108"/>
      <c r="G228" s="109"/>
      <c r="H228" s="109"/>
      <c r="I228" s="109"/>
      <c r="J228" s="109"/>
      <c r="K228" s="111"/>
      <c r="L228" s="111"/>
      <c r="M228" s="111" t="n">
        <v>0.206443978179975</v>
      </c>
      <c r="N228" s="111" t="n">
        <v>0.212178533129419</v>
      </c>
      <c r="O228" s="112" t="n">
        <v>0.217913088078862</v>
      </c>
      <c r="P228" s="112" t="n">
        <v>0.223647643028306</v>
      </c>
      <c r="Q228" s="112" t="n">
        <v>0.234691098988875</v>
      </c>
      <c r="R228" s="112" t="n">
        <v>0.240558376463597</v>
      </c>
      <c r="S228" s="112" t="n">
        <v>0.246425653938319</v>
      </c>
      <c r="T228" s="0" t="n">
        <v>0.252292931413041</v>
      </c>
      <c r="U228" s="38" t="n">
        <v>0.258160208887762</v>
      </c>
      <c r="AD228" s="104"/>
    </row>
    <row r="229" customFormat="false" ht="15" hidden="true" customHeight="false" outlineLevel="0" collapsed="false">
      <c r="A229" s="103" t="s">
        <v>244</v>
      </c>
      <c r="B229" s="104" t="n">
        <v>4</v>
      </c>
      <c r="C229" s="108"/>
      <c r="D229" s="108"/>
      <c r="E229" s="108"/>
      <c r="F229" s="108"/>
      <c r="G229" s="109"/>
      <c r="H229" s="109"/>
      <c r="I229" s="109"/>
      <c r="J229" s="109" t="n">
        <v>0.189240313331644</v>
      </c>
      <c r="K229" s="111" t="n">
        <v>0.194974868281087</v>
      </c>
      <c r="L229" s="111" t="n">
        <v>0.200709423230531</v>
      </c>
      <c r="M229" s="111" t="n">
        <v>0.206443978179975</v>
      </c>
      <c r="N229" s="111" t="n">
        <v>0.212178533129419</v>
      </c>
      <c r="O229" s="112" t="n">
        <v>0.217913088078862</v>
      </c>
      <c r="P229" s="112" t="n">
        <v>0.223647643028306</v>
      </c>
      <c r="Q229" s="112" t="n">
        <v>0.234691098988875</v>
      </c>
      <c r="R229" s="112" t="n">
        <v>0.240558376463597</v>
      </c>
      <c r="S229" s="112" t="n">
        <v>0.246425653938319</v>
      </c>
      <c r="T229" s="0" t="n">
        <v>0.252292931413041</v>
      </c>
      <c r="U229" s="103" t="n">
        <v>0.258160208887762</v>
      </c>
      <c r="AD229" s="104"/>
    </row>
    <row r="230" customFormat="false" ht="15" hidden="false" customHeight="false" outlineLevel="0" collapsed="false">
      <c r="A230" s="0" t="s">
        <v>866</v>
      </c>
      <c r="B230" s="68" t="n">
        <v>1</v>
      </c>
      <c r="C230" s="108"/>
      <c r="D230" s="108"/>
      <c r="E230" s="108"/>
      <c r="F230" s="108"/>
      <c r="G230" s="109"/>
      <c r="H230" s="109"/>
      <c r="I230" s="109" t="n">
        <v>0.1835057583822</v>
      </c>
      <c r="J230" s="109" t="n">
        <v>0.189240313331644</v>
      </c>
      <c r="K230" s="111" t="n">
        <v>0.194974868281087</v>
      </c>
      <c r="L230" s="111" t="n">
        <v>0.200709423230531</v>
      </c>
      <c r="M230" s="111" t="n">
        <v>0.206443978179975</v>
      </c>
      <c r="N230" s="111" t="n">
        <v>0.212178533129419</v>
      </c>
      <c r="O230" s="112" t="n">
        <v>0.217913088078862</v>
      </c>
      <c r="P230" s="112" t="n">
        <v>0.223647643028306</v>
      </c>
      <c r="Q230" s="112" t="n">
        <v>0.234691098988875</v>
      </c>
      <c r="R230" s="112" t="n">
        <v>0.240558376463597</v>
      </c>
      <c r="S230" s="112" t="n">
        <v>0.246425653938319</v>
      </c>
      <c r="T230" s="0" t="n">
        <v>0.252292931413041</v>
      </c>
      <c r="U230" s="103" t="n">
        <v>0.258160208887762</v>
      </c>
    </row>
    <row r="231" customFormat="false" ht="15" hidden="true" customHeight="false" outlineLevel="0" collapsed="false">
      <c r="A231" s="103" t="s">
        <v>866</v>
      </c>
      <c r="B231" s="104" t="n">
        <v>2</v>
      </c>
      <c r="C231" s="108"/>
      <c r="D231" s="108"/>
      <c r="E231" s="108"/>
      <c r="F231" s="108"/>
      <c r="G231" s="109"/>
      <c r="H231" s="109"/>
      <c r="I231" s="109" t="n">
        <v>0.1835057583822</v>
      </c>
      <c r="J231" s="109" t="n">
        <v>0.189240313331644</v>
      </c>
      <c r="K231" s="111" t="n">
        <v>0.194974868281087</v>
      </c>
      <c r="L231" s="111" t="n">
        <v>0.200709423230531</v>
      </c>
      <c r="M231" s="111" t="n">
        <v>0.206443978179975</v>
      </c>
      <c r="N231" s="111" t="n">
        <v>0.212178533129419</v>
      </c>
      <c r="O231" s="112" t="n">
        <v>0.217913088078862</v>
      </c>
      <c r="P231" s="112" t="n">
        <v>0.223647643028306</v>
      </c>
      <c r="Q231" s="112" t="n">
        <v>0.234691098988875</v>
      </c>
      <c r="R231" s="112" t="n">
        <v>0.240558376463597</v>
      </c>
      <c r="S231" s="112" t="n">
        <v>0.246425653938319</v>
      </c>
      <c r="T231" s="0" t="n">
        <v>0.252292931413041</v>
      </c>
      <c r="U231" s="38" t="n">
        <v>0.258160208887762</v>
      </c>
      <c r="AD231" s="104"/>
    </row>
    <row r="232" customFormat="false" ht="15" hidden="true" customHeight="false" outlineLevel="0" collapsed="false">
      <c r="A232" s="103" t="s">
        <v>866</v>
      </c>
      <c r="B232" s="104" t="n">
        <v>4</v>
      </c>
      <c r="C232" s="108"/>
      <c r="D232" s="108"/>
      <c r="E232" s="108"/>
      <c r="F232" s="108"/>
      <c r="G232" s="109"/>
      <c r="H232" s="109"/>
      <c r="I232" s="109" t="n">
        <v>0.1835057583822</v>
      </c>
      <c r="J232" s="109" t="n">
        <v>0.189240313331644</v>
      </c>
      <c r="K232" s="111" t="n">
        <v>0.194974868281087</v>
      </c>
      <c r="L232" s="111" t="n">
        <v>0.200709423230531</v>
      </c>
      <c r="M232" s="111" t="n">
        <v>0.206443978179975</v>
      </c>
      <c r="N232" s="111" t="n">
        <v>0.212178533129419</v>
      </c>
      <c r="O232" s="112" t="n">
        <v>0.217913088078862</v>
      </c>
      <c r="P232" s="112" t="n">
        <v>0.223647643028306</v>
      </c>
      <c r="Q232" s="112" t="n">
        <v>0.234691098988875</v>
      </c>
      <c r="R232" s="112" t="n">
        <v>0.240558376463597</v>
      </c>
      <c r="S232" s="112" t="n">
        <v>0.246425653938319</v>
      </c>
      <c r="T232" s="0" t="n">
        <v>0.252292931413041</v>
      </c>
      <c r="U232" s="103" t="n">
        <v>0.258160208887762</v>
      </c>
      <c r="AD232" s="104"/>
    </row>
    <row r="233" customFormat="false" ht="15" hidden="false" customHeight="false" outlineLevel="0" collapsed="false">
      <c r="A233" s="0" t="s">
        <v>245</v>
      </c>
      <c r="B233" s="68" t="n">
        <v>1</v>
      </c>
      <c r="C233" s="108"/>
      <c r="D233" s="108"/>
      <c r="E233" s="108"/>
      <c r="F233" s="108"/>
      <c r="G233" s="109"/>
      <c r="H233" s="109"/>
      <c r="I233" s="109" t="n">
        <v>0.1835057583822</v>
      </c>
      <c r="J233" s="109" t="n">
        <v>0.189240313331644</v>
      </c>
      <c r="K233" s="111" t="n">
        <v>0.194974868281087</v>
      </c>
      <c r="L233" s="111" t="n">
        <v>0.200709423230531</v>
      </c>
      <c r="M233" s="111" t="n">
        <v>0.206443978179975</v>
      </c>
      <c r="N233" s="111" t="n">
        <v>0.212178533129419</v>
      </c>
      <c r="O233" s="112" t="n">
        <v>0.217913088078862</v>
      </c>
      <c r="P233" s="112" t="n">
        <v>0.223647643028306</v>
      </c>
      <c r="Q233" s="112" t="n">
        <v>0.234691098988875</v>
      </c>
      <c r="R233" s="112" t="n">
        <v>0.240558376463597</v>
      </c>
      <c r="S233" s="112" t="n">
        <v>0.246425653938319</v>
      </c>
      <c r="T233" s="0" t="n">
        <v>0.252292931413041</v>
      </c>
      <c r="U233" s="103" t="n">
        <v>0.258160208887762</v>
      </c>
    </row>
    <row r="234" customFormat="false" ht="15" hidden="true" customHeight="false" outlineLevel="0" collapsed="false">
      <c r="A234" s="103" t="s">
        <v>245</v>
      </c>
      <c r="B234" s="104" t="n">
        <v>2</v>
      </c>
      <c r="C234" s="108"/>
      <c r="D234" s="108"/>
      <c r="E234" s="108"/>
      <c r="F234" s="108"/>
      <c r="G234" s="109"/>
      <c r="H234" s="109"/>
      <c r="I234" s="109" t="n">
        <v>0.1835057583822</v>
      </c>
      <c r="J234" s="109" t="n">
        <v>0.189240313331644</v>
      </c>
      <c r="K234" s="111" t="n">
        <v>0.194974868281087</v>
      </c>
      <c r="L234" s="111" t="n">
        <v>0.200709423230531</v>
      </c>
      <c r="M234" s="111" t="n">
        <v>0.206443978179975</v>
      </c>
      <c r="N234" s="111" t="n">
        <v>0.212178533129419</v>
      </c>
      <c r="O234" s="112" t="n">
        <v>0.217913088078862</v>
      </c>
      <c r="P234" s="112" t="n">
        <v>0.223647643028306</v>
      </c>
      <c r="Q234" s="112" t="n">
        <v>0.234691098988875</v>
      </c>
      <c r="R234" s="112" t="n">
        <v>0.240558376463597</v>
      </c>
      <c r="S234" s="112" t="n">
        <v>0.246425653938319</v>
      </c>
      <c r="T234" s="0" t="n">
        <v>0.252292931413041</v>
      </c>
      <c r="U234" s="38" t="n">
        <v>0.258160208887762</v>
      </c>
      <c r="AD234" s="104"/>
    </row>
    <row r="235" customFormat="false" ht="15" hidden="true" customHeight="false" outlineLevel="0" collapsed="false">
      <c r="A235" s="103" t="s">
        <v>245</v>
      </c>
      <c r="B235" s="104" t="n">
        <v>4</v>
      </c>
      <c r="C235" s="108"/>
      <c r="D235" s="108"/>
      <c r="E235" s="108"/>
      <c r="F235" s="108"/>
      <c r="G235" s="109"/>
      <c r="H235" s="109"/>
      <c r="I235" s="109" t="n">
        <v>0.1835057583822</v>
      </c>
      <c r="J235" s="109" t="n">
        <v>0.189240313331644</v>
      </c>
      <c r="K235" s="111" t="n">
        <v>0.194974868281087</v>
      </c>
      <c r="L235" s="111" t="n">
        <v>0.200709423230531</v>
      </c>
      <c r="M235" s="111" t="n">
        <v>0.206443978179975</v>
      </c>
      <c r="N235" s="111" t="n">
        <v>0.212178533129419</v>
      </c>
      <c r="O235" s="112" t="n">
        <v>0.217913088078862</v>
      </c>
      <c r="P235" s="112" t="n">
        <v>0.223647643028306</v>
      </c>
      <c r="Q235" s="112" t="n">
        <v>0.234691098988875</v>
      </c>
      <c r="R235" s="112" t="n">
        <v>0.240558376463597</v>
      </c>
      <c r="S235" s="112" t="n">
        <v>0.246425653938319</v>
      </c>
      <c r="T235" s="0" t="n">
        <v>0.252292931413041</v>
      </c>
      <c r="U235" s="103" t="n">
        <v>0.258160208887762</v>
      </c>
      <c r="AD235" s="104"/>
    </row>
    <row r="236" customFormat="false" ht="15" hidden="false" customHeight="false" outlineLevel="0" collapsed="false">
      <c r="A236" s="0" t="s">
        <v>873</v>
      </c>
      <c r="B236" s="68" t="n">
        <v>1</v>
      </c>
      <c r="C236" s="108"/>
      <c r="D236" s="108"/>
      <c r="E236" s="108" t="n">
        <v>0.160567538584425</v>
      </c>
      <c r="F236" s="108" t="n">
        <v>0.166302093533869</v>
      </c>
      <c r="G236" s="109" t="n">
        <v>0.172036648483312</v>
      </c>
      <c r="H236" s="109" t="n">
        <v>0.177771203432756</v>
      </c>
      <c r="I236" s="109" t="n">
        <v>0.1835057583822</v>
      </c>
      <c r="J236" s="109" t="n">
        <v>0.189240313331644</v>
      </c>
      <c r="K236" s="111" t="n">
        <v>0.194974868281087</v>
      </c>
      <c r="L236" s="111" t="n">
        <v>0.200709423230531</v>
      </c>
      <c r="M236" s="111"/>
      <c r="N236" s="111"/>
      <c r="O236" s="112"/>
      <c r="P236" s="112"/>
      <c r="Q236" s="112"/>
      <c r="R236" s="112"/>
      <c r="S236" s="112"/>
      <c r="U236" s="103"/>
    </row>
    <row r="237" customFormat="false" ht="15" hidden="true" customHeight="false" outlineLevel="0" collapsed="false">
      <c r="A237" s="103" t="s">
        <v>873</v>
      </c>
      <c r="B237" s="104" t="n">
        <v>2</v>
      </c>
      <c r="C237" s="108"/>
      <c r="D237" s="108"/>
      <c r="E237" s="108"/>
      <c r="F237" s="108"/>
      <c r="G237" s="109"/>
      <c r="H237" s="109"/>
      <c r="I237" s="109" t="n">
        <v>0.1835057583822</v>
      </c>
      <c r="J237" s="109" t="n">
        <v>0.189240313331644</v>
      </c>
      <c r="K237" s="111" t="n">
        <v>0.194974868281087</v>
      </c>
      <c r="L237" s="111" t="n">
        <v>0.200709423230531</v>
      </c>
      <c r="M237" s="111"/>
      <c r="N237" s="111"/>
      <c r="O237" s="112"/>
      <c r="P237" s="112"/>
      <c r="Q237" s="112"/>
      <c r="R237" s="112"/>
      <c r="S237" s="112"/>
      <c r="U237" s="38"/>
      <c r="AD237" s="104"/>
    </row>
    <row r="238" customFormat="false" ht="15" hidden="true" customHeight="false" outlineLevel="0" collapsed="false">
      <c r="A238" s="103" t="s">
        <v>873</v>
      </c>
      <c r="B238" s="104" t="n">
        <v>4</v>
      </c>
      <c r="C238" s="108"/>
      <c r="D238" s="108"/>
      <c r="E238" s="108"/>
      <c r="F238" s="108"/>
      <c r="G238" s="109"/>
      <c r="H238" s="109"/>
      <c r="I238" s="109" t="n">
        <v>0.1835057583822</v>
      </c>
      <c r="J238" s="109" t="n">
        <v>0.189240313331644</v>
      </c>
      <c r="K238" s="111" t="n">
        <v>0.194974868281087</v>
      </c>
      <c r="L238" s="111" t="n">
        <v>0.200709423230531</v>
      </c>
      <c r="M238" s="111"/>
      <c r="N238" s="111"/>
      <c r="O238" s="112"/>
      <c r="P238" s="112"/>
      <c r="Q238" s="112"/>
      <c r="R238" s="112"/>
      <c r="S238" s="112"/>
      <c r="U238" s="38"/>
      <c r="AD238" s="104"/>
    </row>
    <row r="239" customFormat="false" ht="15" hidden="true" customHeight="false" outlineLevel="0" collapsed="false">
      <c r="A239" s="0" t="s">
        <v>132</v>
      </c>
      <c r="B239" s="68" t="n">
        <v>5</v>
      </c>
      <c r="C239" s="108"/>
      <c r="D239" s="108"/>
      <c r="E239" s="108"/>
      <c r="F239" s="108"/>
      <c r="G239" s="109"/>
      <c r="H239" s="109"/>
      <c r="I239" s="109" t="n">
        <v>1.08</v>
      </c>
      <c r="J239" s="109" t="n">
        <v>1.11375</v>
      </c>
      <c r="K239" s="111"/>
      <c r="L239" s="111"/>
      <c r="M239" s="111"/>
      <c r="N239" s="111"/>
      <c r="O239" s="112"/>
      <c r="P239" s="112"/>
      <c r="Q239" s="112"/>
      <c r="R239" s="112"/>
      <c r="S239" s="112"/>
      <c r="U239" s="38"/>
    </row>
    <row r="240" customFormat="false" ht="15" hidden="true" customHeight="false" outlineLevel="0" collapsed="false">
      <c r="A240" s="38" t="s">
        <v>878</v>
      </c>
      <c r="B240" s="64" t="n">
        <v>5</v>
      </c>
      <c r="C240" s="108"/>
      <c r="D240" s="108"/>
      <c r="E240" s="108"/>
      <c r="F240" s="108"/>
      <c r="G240" s="109"/>
      <c r="H240" s="109"/>
      <c r="I240" s="109"/>
      <c r="J240" s="109"/>
      <c r="K240" s="111"/>
      <c r="L240" s="111" t="n">
        <v>1.18125</v>
      </c>
      <c r="M240" s="111" t="n">
        <v>1.215</v>
      </c>
      <c r="N240" s="111" t="n">
        <v>1.24875</v>
      </c>
      <c r="O240" s="112" t="n">
        <v>1.2825</v>
      </c>
      <c r="P240" s="112"/>
      <c r="Q240" s="112"/>
      <c r="R240" s="112"/>
      <c r="S240" s="112"/>
      <c r="U240" s="38"/>
      <c r="AD240" s="64"/>
    </row>
    <row r="241" customFormat="false" ht="15" hidden="true" customHeight="false" outlineLevel="0" collapsed="false">
      <c r="A241" s="0" t="s">
        <v>881</v>
      </c>
      <c r="B241" s="68" t="n">
        <v>2</v>
      </c>
      <c r="C241" s="108"/>
      <c r="D241" s="108"/>
      <c r="E241" s="108"/>
      <c r="F241" s="108"/>
      <c r="G241" s="109"/>
      <c r="H241" s="109"/>
      <c r="I241" s="109"/>
      <c r="J241" s="109"/>
      <c r="K241" s="111"/>
      <c r="L241" s="111" t="n">
        <v>1.18125</v>
      </c>
      <c r="M241" s="111" t="n">
        <v>1.215</v>
      </c>
      <c r="N241" s="111" t="n">
        <v>1.24875</v>
      </c>
      <c r="O241" s="112" t="n">
        <v>1.2825</v>
      </c>
      <c r="P241" s="112"/>
      <c r="Q241" s="112"/>
      <c r="R241" s="112"/>
      <c r="S241" s="112"/>
      <c r="U241" s="38"/>
    </row>
    <row r="242" customFormat="false" ht="15" hidden="false" customHeight="false" outlineLevel="0" collapsed="false">
      <c r="A242" s="0" t="s">
        <v>133</v>
      </c>
      <c r="B242" s="68" t="n">
        <v>1</v>
      </c>
      <c r="C242" s="108"/>
      <c r="D242" s="108"/>
      <c r="E242" s="108"/>
      <c r="F242" s="108" t="n">
        <v>0.97875</v>
      </c>
      <c r="G242" s="109" t="n">
        <v>1.0125</v>
      </c>
      <c r="H242" s="109" t="n">
        <v>1.04625</v>
      </c>
      <c r="I242" s="109" t="n">
        <v>1.08</v>
      </c>
      <c r="J242" s="109" t="n">
        <v>1.11375</v>
      </c>
      <c r="K242" s="111" t="n">
        <v>1.1475</v>
      </c>
      <c r="L242" s="111" t="n">
        <v>1.18125</v>
      </c>
      <c r="M242" s="111" t="n">
        <v>1.215</v>
      </c>
      <c r="N242" s="111" t="n">
        <v>1.24875</v>
      </c>
      <c r="O242" s="112"/>
      <c r="P242" s="112"/>
      <c r="Q242" s="112"/>
      <c r="R242" s="112"/>
      <c r="S242" s="112"/>
      <c r="U242" s="103"/>
    </row>
    <row r="243" customFormat="false" ht="15" hidden="false" customHeight="false" outlineLevel="0" collapsed="false">
      <c r="A243" s="0" t="s">
        <v>246</v>
      </c>
      <c r="B243" s="68" t="n">
        <v>1</v>
      </c>
      <c r="C243" s="108"/>
      <c r="D243" s="108"/>
      <c r="E243" s="108"/>
      <c r="F243" s="108" t="n">
        <v>0.97875</v>
      </c>
      <c r="G243" s="109" t="n">
        <v>1.0125</v>
      </c>
      <c r="H243" s="109" t="n">
        <v>1.04625</v>
      </c>
      <c r="I243" s="109" t="n">
        <v>1.08</v>
      </c>
      <c r="J243" s="109" t="n">
        <v>1.11375</v>
      </c>
      <c r="K243" s="111" t="n">
        <v>1.1475</v>
      </c>
      <c r="L243" s="111" t="n">
        <v>1.18125</v>
      </c>
      <c r="M243" s="111" t="n">
        <v>1.215</v>
      </c>
      <c r="N243" s="111" t="n">
        <v>1.24875</v>
      </c>
      <c r="O243" s="112"/>
      <c r="P243" s="112"/>
      <c r="Q243" s="112"/>
      <c r="R243" s="112"/>
      <c r="S243" s="112"/>
      <c r="U243" s="103"/>
    </row>
    <row r="244" customFormat="false" ht="15" hidden="false" customHeight="false" outlineLevel="0" collapsed="false">
      <c r="A244" s="0" t="s">
        <v>888</v>
      </c>
      <c r="B244" s="68" t="n">
        <v>1</v>
      </c>
      <c r="C244" s="108"/>
      <c r="D244" s="108"/>
      <c r="E244" s="108"/>
      <c r="F244" s="108"/>
      <c r="G244" s="109"/>
      <c r="H244" s="109"/>
      <c r="I244" s="109" t="n">
        <v>1.08</v>
      </c>
      <c r="J244" s="109" t="n">
        <v>1.11375</v>
      </c>
      <c r="K244" s="111" t="n">
        <v>1.1475</v>
      </c>
      <c r="L244" s="111" t="n">
        <v>1.18125</v>
      </c>
      <c r="M244" s="111" t="n">
        <v>1.215</v>
      </c>
      <c r="N244" s="111" t="n">
        <v>1.24875</v>
      </c>
      <c r="O244" s="112"/>
      <c r="P244" s="112"/>
      <c r="Q244" s="112"/>
      <c r="R244" s="112"/>
      <c r="S244" s="112"/>
      <c r="U244" s="103"/>
    </row>
    <row r="245" customFormat="false" ht="15" hidden="false" customHeight="false" outlineLevel="0" collapsed="false">
      <c r="A245" s="0" t="s">
        <v>891</v>
      </c>
      <c r="B245" s="68" t="n">
        <v>1</v>
      </c>
      <c r="C245" s="108"/>
      <c r="D245" s="108"/>
      <c r="E245" s="108"/>
      <c r="F245" s="108"/>
      <c r="G245" s="109"/>
      <c r="H245" s="109"/>
      <c r="I245" s="109" t="n">
        <v>1.08</v>
      </c>
      <c r="J245" s="109" t="n">
        <v>1.11375</v>
      </c>
      <c r="K245" s="96" t="n">
        <v>1.1475</v>
      </c>
      <c r="L245" s="96" t="n">
        <v>1.18125</v>
      </c>
      <c r="M245" s="96" t="n">
        <v>1.215</v>
      </c>
      <c r="N245" s="96" t="n">
        <v>1.24875</v>
      </c>
      <c r="O245" s="93"/>
      <c r="P245" s="93"/>
      <c r="Q245" s="93"/>
      <c r="R245" s="93"/>
      <c r="S245" s="93"/>
      <c r="U245" s="103"/>
    </row>
    <row r="246" customFormat="false" ht="15" hidden="false" customHeight="false" outlineLevel="0" collapsed="false">
      <c r="A246" s="0" t="s">
        <v>894</v>
      </c>
      <c r="B246" s="68" t="n">
        <v>1</v>
      </c>
      <c r="C246" s="108"/>
      <c r="D246" s="108"/>
      <c r="E246" s="108"/>
      <c r="F246" s="108"/>
      <c r="G246" s="109"/>
      <c r="H246" s="109"/>
      <c r="I246" s="109" t="n">
        <v>1.08</v>
      </c>
      <c r="J246" s="109" t="n">
        <v>1.11375</v>
      </c>
      <c r="K246" s="111" t="n">
        <v>1.1475</v>
      </c>
      <c r="L246" s="111" t="n">
        <v>1.18125</v>
      </c>
      <c r="M246" s="111" t="n">
        <v>1.215</v>
      </c>
      <c r="N246" s="111" t="n">
        <v>1.24875</v>
      </c>
      <c r="O246" s="112"/>
      <c r="P246" s="112"/>
      <c r="Q246" s="112"/>
      <c r="R246" s="112"/>
      <c r="S246" s="112"/>
      <c r="U246" s="38"/>
    </row>
    <row r="247" customFormat="false" ht="15" hidden="false" customHeight="false" outlineLevel="0" collapsed="false">
      <c r="A247" s="0" t="s">
        <v>897</v>
      </c>
      <c r="B247" s="68" t="n">
        <v>1</v>
      </c>
      <c r="C247" s="108"/>
      <c r="D247" s="108"/>
      <c r="E247" s="108"/>
      <c r="F247" s="108"/>
      <c r="G247" s="109"/>
      <c r="H247" s="109"/>
      <c r="I247" s="109" t="n">
        <v>1.08</v>
      </c>
      <c r="J247" s="109" t="n">
        <v>1.11375</v>
      </c>
      <c r="K247" s="111" t="n">
        <v>1.1475</v>
      </c>
      <c r="L247" s="111" t="n">
        <v>1.18125</v>
      </c>
      <c r="M247" s="111" t="n">
        <v>1.215</v>
      </c>
      <c r="N247" s="111" t="n">
        <v>1.24875</v>
      </c>
      <c r="O247" s="112"/>
      <c r="P247" s="112"/>
      <c r="Q247" s="112"/>
      <c r="R247" s="112"/>
      <c r="S247" s="112"/>
      <c r="U247" s="38"/>
    </row>
    <row r="248" customFormat="false" ht="15" hidden="false" customHeight="false" outlineLevel="0" collapsed="false">
      <c r="A248" s="0" t="s">
        <v>901</v>
      </c>
      <c r="B248" s="68" t="n">
        <v>1</v>
      </c>
      <c r="C248" s="108"/>
      <c r="D248" s="108"/>
      <c r="E248" s="108"/>
      <c r="F248" s="108"/>
      <c r="G248" s="109"/>
      <c r="H248" s="109"/>
      <c r="I248" s="109"/>
      <c r="J248" s="109"/>
      <c r="K248" s="111"/>
      <c r="L248" s="111" t="n">
        <v>1.18125</v>
      </c>
      <c r="M248" s="111" t="n">
        <v>1.215</v>
      </c>
      <c r="N248" s="111" t="n">
        <v>1.24875</v>
      </c>
      <c r="O248" s="112" t="n">
        <v>1.2825</v>
      </c>
      <c r="P248" s="112"/>
      <c r="Q248" s="112"/>
      <c r="R248" s="112"/>
      <c r="S248" s="112"/>
      <c r="U248" s="38"/>
    </row>
    <row r="249" customFormat="false" ht="15" hidden="false" customHeight="false" outlineLevel="0" collapsed="false">
      <c r="A249" s="0" t="s">
        <v>248</v>
      </c>
      <c r="B249" s="68" t="n">
        <v>1</v>
      </c>
      <c r="C249" s="108"/>
      <c r="D249" s="108"/>
      <c r="E249" s="108"/>
      <c r="F249" s="108"/>
      <c r="G249" s="109"/>
      <c r="H249" s="109"/>
      <c r="I249" s="109"/>
      <c r="J249" s="109" t="n">
        <v>1.11375</v>
      </c>
      <c r="K249" s="96" t="n">
        <v>1.1475</v>
      </c>
      <c r="L249" s="96" t="n">
        <v>1.18125</v>
      </c>
      <c r="M249" s="96" t="n">
        <v>1.215</v>
      </c>
      <c r="N249" s="96" t="n">
        <v>1.24875</v>
      </c>
      <c r="O249" s="93"/>
      <c r="P249" s="93"/>
      <c r="Q249" s="93"/>
      <c r="R249" s="93"/>
      <c r="S249" s="93"/>
      <c r="U249" s="103"/>
    </row>
    <row r="250" customFormat="false" ht="15" hidden="false" customHeight="false" outlineLevel="0" collapsed="false">
      <c r="A250" s="0" t="s">
        <v>906</v>
      </c>
      <c r="B250" s="68" t="n">
        <v>1</v>
      </c>
      <c r="C250" s="108"/>
      <c r="D250" s="108"/>
      <c r="E250" s="108"/>
      <c r="F250" s="108"/>
      <c r="G250" s="109"/>
      <c r="H250" s="109"/>
      <c r="I250" s="109" t="n">
        <v>1.08</v>
      </c>
      <c r="J250" s="109" t="n">
        <v>1.11375</v>
      </c>
      <c r="K250" s="111" t="n">
        <v>1.1475</v>
      </c>
      <c r="L250" s="111" t="n">
        <v>1.18125</v>
      </c>
      <c r="M250" s="111" t="n">
        <v>1.215</v>
      </c>
      <c r="N250" s="111" t="n">
        <v>1.24875</v>
      </c>
      <c r="O250" s="112"/>
      <c r="P250" s="112"/>
      <c r="Q250" s="112"/>
      <c r="R250" s="112"/>
      <c r="S250" s="112"/>
      <c r="U250" s="103"/>
    </row>
    <row r="251" customFormat="false" ht="15" hidden="false" customHeight="false" outlineLevel="0" collapsed="false">
      <c r="A251" s="0" t="s">
        <v>909</v>
      </c>
      <c r="B251" s="68" t="n">
        <v>1</v>
      </c>
      <c r="C251" s="108"/>
      <c r="D251" s="108"/>
      <c r="E251" s="108"/>
      <c r="F251" s="108"/>
      <c r="G251" s="109"/>
      <c r="H251" s="109"/>
      <c r="I251" s="109" t="n">
        <v>1.08</v>
      </c>
      <c r="J251" s="109" t="n">
        <v>1.11375</v>
      </c>
      <c r="K251" s="111" t="n">
        <v>1.1475</v>
      </c>
      <c r="L251" s="111" t="n">
        <v>1.18125</v>
      </c>
      <c r="M251" s="111" t="n">
        <v>1.215</v>
      </c>
      <c r="N251" s="111" t="n">
        <v>1.24875</v>
      </c>
      <c r="O251" s="112"/>
      <c r="P251" s="112"/>
      <c r="Q251" s="112"/>
      <c r="R251" s="112"/>
      <c r="S251" s="112"/>
      <c r="U251" s="103"/>
    </row>
    <row r="252" customFormat="false" ht="15" hidden="false" customHeight="false" outlineLevel="0" collapsed="false">
      <c r="A252" s="0" t="s">
        <v>912</v>
      </c>
      <c r="B252" s="68" t="n">
        <v>1</v>
      </c>
      <c r="C252" s="108"/>
      <c r="D252" s="108"/>
      <c r="E252" s="108"/>
      <c r="F252" s="108"/>
      <c r="G252" s="109"/>
      <c r="H252" s="109"/>
      <c r="I252" s="109" t="n">
        <v>1.08</v>
      </c>
      <c r="J252" s="109" t="n">
        <v>1.11375</v>
      </c>
      <c r="K252" s="111" t="n">
        <v>1.1475</v>
      </c>
      <c r="L252" s="111" t="n">
        <v>1.18125</v>
      </c>
      <c r="M252" s="111" t="n">
        <v>1.215</v>
      </c>
      <c r="N252" s="111" t="n">
        <v>1.24875</v>
      </c>
      <c r="O252" s="112"/>
      <c r="P252" s="112"/>
      <c r="Q252" s="112"/>
      <c r="R252" s="112"/>
      <c r="S252" s="112"/>
      <c r="U252" s="103"/>
    </row>
    <row r="253" customFormat="false" ht="15" hidden="false" customHeight="false" outlineLevel="0" collapsed="false">
      <c r="A253" s="0" t="s">
        <v>915</v>
      </c>
      <c r="B253" s="68" t="n">
        <v>1</v>
      </c>
      <c r="C253" s="108"/>
      <c r="D253" s="108"/>
      <c r="E253" s="108"/>
      <c r="F253" s="108"/>
      <c r="G253" s="109"/>
      <c r="H253" s="109"/>
      <c r="I253" s="109" t="n">
        <v>1.08</v>
      </c>
      <c r="J253" s="109" t="n">
        <v>1.11375</v>
      </c>
      <c r="K253" s="111" t="n">
        <v>1.1475</v>
      </c>
      <c r="L253" s="111" t="n">
        <v>1.18125</v>
      </c>
      <c r="M253" s="111" t="n">
        <v>1.215</v>
      </c>
      <c r="N253" s="111" t="n">
        <v>1.24875</v>
      </c>
      <c r="O253" s="112"/>
      <c r="P253" s="112"/>
      <c r="Q253" s="112"/>
      <c r="R253" s="112"/>
      <c r="S253" s="112"/>
      <c r="U253" s="38"/>
    </row>
    <row r="254" customFormat="false" ht="15" hidden="false" customHeight="false" outlineLevel="0" collapsed="false">
      <c r="A254" s="0" t="s">
        <v>136</v>
      </c>
      <c r="B254" s="68" t="n">
        <v>1</v>
      </c>
      <c r="C254" s="108"/>
      <c r="D254" s="108"/>
      <c r="E254" s="108"/>
      <c r="F254" s="108"/>
      <c r="G254" s="109"/>
      <c r="H254" s="109"/>
      <c r="I254" s="109"/>
      <c r="J254" s="109"/>
      <c r="K254" s="111"/>
      <c r="L254" s="111"/>
      <c r="M254" s="111" t="n">
        <v>1.215</v>
      </c>
      <c r="N254" s="111" t="n">
        <v>1.24875</v>
      </c>
      <c r="O254" s="112" t="n">
        <v>1.2825</v>
      </c>
      <c r="P254" s="112" t="n">
        <v>1.31625</v>
      </c>
      <c r="Q254" s="112" t="n">
        <v>1.35</v>
      </c>
      <c r="R254" s="112" t="n">
        <v>1.38375</v>
      </c>
      <c r="S254" s="112" t="n">
        <v>1.4175</v>
      </c>
      <c r="T254" s="0" t="n">
        <v>1.45125</v>
      </c>
      <c r="U254" s="38"/>
    </row>
    <row r="255" customFormat="false" ht="15" hidden="false" customHeight="false" outlineLevel="0" collapsed="false">
      <c r="A255" s="0" t="s">
        <v>250</v>
      </c>
      <c r="B255" s="68" t="n">
        <v>1</v>
      </c>
      <c r="C255" s="108"/>
      <c r="D255" s="108"/>
      <c r="E255" s="108"/>
      <c r="F255" s="108"/>
      <c r="G255" s="109"/>
      <c r="H255" s="109"/>
      <c r="I255" s="109"/>
      <c r="J255" s="109"/>
      <c r="K255" s="111"/>
      <c r="L255" s="111"/>
      <c r="M255" s="111" t="n">
        <v>1.215</v>
      </c>
      <c r="N255" s="111" t="n">
        <v>1.24875</v>
      </c>
      <c r="O255" s="112" t="n">
        <v>1.2825</v>
      </c>
      <c r="P255" s="112" t="n">
        <v>1.31625</v>
      </c>
      <c r="Q255" s="112" t="n">
        <v>1.35</v>
      </c>
      <c r="R255" s="112" t="n">
        <v>1.38375</v>
      </c>
      <c r="S255" s="112" t="n">
        <v>1.4175</v>
      </c>
      <c r="T255" s="0" t="n">
        <v>1.45125</v>
      </c>
      <c r="U255" s="38"/>
    </row>
    <row r="256" customFormat="false" ht="15" hidden="true" customHeight="false" outlineLevel="0" collapsed="false">
      <c r="A256" s="103" t="s">
        <v>922</v>
      </c>
      <c r="B256" s="104" t="n">
        <v>23</v>
      </c>
      <c r="C256" s="108"/>
      <c r="D256" s="108"/>
      <c r="E256" s="108"/>
      <c r="F256" s="108"/>
      <c r="G256" s="109"/>
      <c r="H256" s="109"/>
      <c r="I256" s="109"/>
      <c r="J256" s="109"/>
      <c r="K256" s="111"/>
      <c r="L256" s="111"/>
      <c r="M256" s="111" t="n">
        <v>0.5535</v>
      </c>
      <c r="N256" s="111" t="n">
        <v>0.568875</v>
      </c>
      <c r="O256" s="112" t="n">
        <v>0.58425</v>
      </c>
      <c r="P256" s="112" t="n">
        <v>0.599625</v>
      </c>
      <c r="Q256" s="112" t="n">
        <v>0.615</v>
      </c>
      <c r="R256" s="112" t="n">
        <v>0.630375</v>
      </c>
      <c r="S256" s="112" t="n">
        <v>0.64575</v>
      </c>
      <c r="T256" s="0" t="n">
        <v>0.661125</v>
      </c>
      <c r="U256" s="114" t="n">
        <v>0.6765</v>
      </c>
      <c r="V256" s="0" t="n">
        <v>0.691875</v>
      </c>
      <c r="AD256" s="104"/>
    </row>
    <row r="257" customFormat="false" ht="15" hidden="true" customHeight="false" outlineLevel="0" collapsed="false">
      <c r="A257" s="103" t="s">
        <v>925</v>
      </c>
      <c r="B257" s="104" t="n">
        <v>23</v>
      </c>
      <c r="C257" s="108"/>
      <c r="D257" s="108"/>
      <c r="E257" s="108"/>
      <c r="F257" s="108"/>
      <c r="G257" s="109"/>
      <c r="H257" s="109"/>
      <c r="I257" s="109"/>
      <c r="J257" s="109"/>
      <c r="K257" s="111"/>
      <c r="L257" s="111"/>
      <c r="M257" s="111" t="n">
        <v>0.5535</v>
      </c>
      <c r="N257" s="111" t="n">
        <v>0.568875</v>
      </c>
      <c r="O257" s="112" t="n">
        <v>0.58425</v>
      </c>
      <c r="P257" s="112" t="n">
        <v>0.599625</v>
      </c>
      <c r="Q257" s="112" t="n">
        <v>0.615</v>
      </c>
      <c r="R257" s="112" t="n">
        <v>0.630375</v>
      </c>
      <c r="S257" s="112" t="n">
        <v>0.64575</v>
      </c>
      <c r="T257" s="0" t="n">
        <v>0.661125</v>
      </c>
      <c r="U257" s="114" t="n">
        <v>0.6765</v>
      </c>
      <c r="V257" s="0" t="n">
        <v>0.691875</v>
      </c>
      <c r="AD257" s="104"/>
    </row>
    <row r="258" customFormat="false" ht="15" hidden="true" customHeight="false" outlineLevel="0" collapsed="false">
      <c r="A258" s="103" t="s">
        <v>137</v>
      </c>
      <c r="B258" s="104" t="n">
        <v>23</v>
      </c>
      <c r="C258" s="108"/>
      <c r="D258" s="108"/>
      <c r="E258" s="108"/>
      <c r="F258" s="108"/>
      <c r="G258" s="109"/>
      <c r="H258" s="109"/>
      <c r="I258" s="109"/>
      <c r="J258" s="109"/>
      <c r="K258" s="111"/>
      <c r="L258" s="111"/>
      <c r="M258" s="111" t="n">
        <v>0.5535</v>
      </c>
      <c r="N258" s="111" t="n">
        <v>0.568875</v>
      </c>
      <c r="O258" s="112" t="n">
        <v>0.58425</v>
      </c>
      <c r="P258" s="112" t="n">
        <v>0.599625</v>
      </c>
      <c r="Q258" s="112" t="n">
        <v>0.615</v>
      </c>
      <c r="R258" s="112" t="n">
        <v>0.630375</v>
      </c>
      <c r="S258" s="112" t="n">
        <v>0.64575</v>
      </c>
      <c r="T258" s="0" t="n">
        <v>0.661125</v>
      </c>
      <c r="U258" s="114" t="n">
        <v>0.6765</v>
      </c>
      <c r="V258" s="0" t="n">
        <v>0.691875</v>
      </c>
      <c r="AD258" s="104"/>
    </row>
    <row r="259" customFormat="false" ht="15" hidden="true" customHeight="false" outlineLevel="0" collapsed="false">
      <c r="A259" s="103" t="s">
        <v>251</v>
      </c>
      <c r="B259" s="104" t="n">
        <v>23</v>
      </c>
      <c r="C259" s="108"/>
      <c r="D259" s="108"/>
      <c r="E259" s="108"/>
      <c r="F259" s="108"/>
      <c r="G259" s="109"/>
      <c r="H259" s="109"/>
      <c r="I259" s="109"/>
      <c r="J259" s="109"/>
      <c r="K259" s="111"/>
      <c r="L259" s="111"/>
      <c r="M259" s="111" t="n">
        <v>0.5535</v>
      </c>
      <c r="N259" s="111" t="n">
        <v>0.568875</v>
      </c>
      <c r="O259" s="112" t="n">
        <v>0.58425</v>
      </c>
      <c r="P259" s="112" t="n">
        <v>0.599625</v>
      </c>
      <c r="Q259" s="112" t="n">
        <v>0.615</v>
      </c>
      <c r="R259" s="112" t="n">
        <v>0.630375</v>
      </c>
      <c r="S259" s="112" t="n">
        <v>0.64575</v>
      </c>
      <c r="T259" s="0" t="n">
        <v>0.661125</v>
      </c>
      <c r="U259" s="114" t="n">
        <v>0.6765</v>
      </c>
      <c r="V259" s="0" t="n">
        <v>0.691875</v>
      </c>
      <c r="AD259" s="104"/>
    </row>
    <row r="260" customFormat="false" ht="15" hidden="true" customHeight="false" outlineLevel="0" collapsed="false">
      <c r="A260" s="103" t="s">
        <v>933</v>
      </c>
      <c r="B260" s="104" t="n">
        <v>23</v>
      </c>
      <c r="C260" s="108"/>
      <c r="D260" s="108"/>
      <c r="E260" s="108"/>
      <c r="F260" s="108"/>
      <c r="G260" s="109"/>
      <c r="H260" s="109"/>
      <c r="I260" s="109"/>
      <c r="J260" s="109"/>
      <c r="K260" s="111"/>
      <c r="L260" s="111"/>
      <c r="M260" s="111" t="n">
        <v>0.5535</v>
      </c>
      <c r="N260" s="111" t="n">
        <v>0.568875</v>
      </c>
      <c r="O260" s="112" t="n">
        <v>0.58425</v>
      </c>
      <c r="P260" s="112" t="n">
        <v>0.599625</v>
      </c>
      <c r="Q260" s="112" t="n">
        <v>0.615</v>
      </c>
      <c r="R260" s="112" t="n">
        <v>0.630375</v>
      </c>
      <c r="S260" s="112" t="n">
        <v>0.64575</v>
      </c>
      <c r="T260" s="0" t="n">
        <v>0.661125</v>
      </c>
      <c r="U260" s="114" t="n">
        <v>0.6765</v>
      </c>
      <c r="V260" s="0" t="n">
        <v>0.691875</v>
      </c>
      <c r="AD260" s="104"/>
    </row>
    <row r="261" customFormat="false" ht="15" hidden="true" customHeight="false" outlineLevel="0" collapsed="false">
      <c r="A261" s="0" t="s">
        <v>935</v>
      </c>
      <c r="B261" s="68" t="n">
        <v>3</v>
      </c>
      <c r="C261" s="108"/>
      <c r="D261" s="108"/>
      <c r="E261" s="108" t="n">
        <v>0.945</v>
      </c>
      <c r="F261" s="108" t="n">
        <v>0.97875</v>
      </c>
      <c r="G261" s="109" t="n">
        <v>1.0125</v>
      </c>
      <c r="H261" s="109" t="n">
        <v>1.04625</v>
      </c>
      <c r="I261" s="109" t="n">
        <v>1.08</v>
      </c>
      <c r="J261" s="109" t="n">
        <v>1.11375</v>
      </c>
      <c r="K261" s="111" t="n">
        <v>1.1475</v>
      </c>
      <c r="L261" s="111" t="n">
        <v>1.18125</v>
      </c>
      <c r="M261" s="111" t="n">
        <v>1.215</v>
      </c>
      <c r="N261" s="111" t="n">
        <v>1.24875</v>
      </c>
      <c r="O261" s="112" t="n">
        <v>1.2825</v>
      </c>
      <c r="P261" s="112" t="n">
        <v>1.31625</v>
      </c>
      <c r="Q261" s="112" t="n">
        <v>1.35</v>
      </c>
      <c r="R261" s="112" t="n">
        <v>1.38375</v>
      </c>
      <c r="S261" s="112" t="n">
        <v>1.4175</v>
      </c>
      <c r="T261" s="0" t="n">
        <v>1.45125</v>
      </c>
      <c r="U261" s="38"/>
    </row>
    <row r="262" customFormat="false" ht="15" hidden="true" customHeight="false" outlineLevel="0" collapsed="false">
      <c r="A262" s="0" t="s">
        <v>138</v>
      </c>
      <c r="B262" s="68" t="n">
        <v>3</v>
      </c>
      <c r="C262" s="108"/>
      <c r="D262" s="108"/>
      <c r="E262" s="108" t="n">
        <v>0.945</v>
      </c>
      <c r="F262" s="108" t="n">
        <v>0.97875</v>
      </c>
      <c r="G262" s="109" t="n">
        <v>1.0125</v>
      </c>
      <c r="H262" s="109" t="n">
        <v>1.04625</v>
      </c>
      <c r="I262" s="109" t="n">
        <v>1.08</v>
      </c>
      <c r="J262" s="109" t="n">
        <v>1.11375</v>
      </c>
      <c r="K262" s="111" t="n">
        <v>1.1475</v>
      </c>
      <c r="L262" s="111" t="n">
        <v>1.18125</v>
      </c>
      <c r="M262" s="111" t="n">
        <v>1.215</v>
      </c>
      <c r="N262" s="111" t="n">
        <v>1.24875</v>
      </c>
      <c r="O262" s="112" t="n">
        <v>1.2825</v>
      </c>
      <c r="P262" s="112" t="n">
        <v>1.31625</v>
      </c>
      <c r="Q262" s="112" t="n">
        <v>1.35</v>
      </c>
      <c r="R262" s="112" t="n">
        <v>1.38375</v>
      </c>
      <c r="S262" s="112" t="n">
        <v>1.4175</v>
      </c>
      <c r="T262" s="0" t="n">
        <v>1.45125</v>
      </c>
      <c r="U262" s="38"/>
    </row>
    <row r="263" customFormat="false" ht="15" hidden="true" customHeight="false" outlineLevel="0" collapsed="false">
      <c r="A263" s="0" t="s">
        <v>139</v>
      </c>
      <c r="B263" s="68" t="n">
        <v>3</v>
      </c>
      <c r="C263" s="108"/>
      <c r="D263" s="108"/>
      <c r="E263" s="108" t="n">
        <v>0.945</v>
      </c>
      <c r="F263" s="108" t="n">
        <v>0.97875</v>
      </c>
      <c r="G263" s="109" t="n">
        <v>1.0125</v>
      </c>
      <c r="H263" s="109" t="n">
        <v>1.04625</v>
      </c>
      <c r="I263" s="109" t="n">
        <v>1.08</v>
      </c>
      <c r="J263" s="109" t="n">
        <v>1.11375</v>
      </c>
      <c r="K263" s="111" t="n">
        <v>1.1475</v>
      </c>
      <c r="L263" s="111" t="n">
        <v>1.18125</v>
      </c>
      <c r="M263" s="111" t="n">
        <v>1.215</v>
      </c>
      <c r="N263" s="111" t="n">
        <v>1.24875</v>
      </c>
      <c r="O263" s="112" t="n">
        <v>1.2825</v>
      </c>
      <c r="P263" s="112" t="n">
        <v>1.31625</v>
      </c>
      <c r="Q263" s="112" t="n">
        <v>1.35</v>
      </c>
      <c r="R263" s="112" t="n">
        <v>1.38375</v>
      </c>
      <c r="S263" s="112" t="n">
        <v>1.4175</v>
      </c>
      <c r="T263" s="0" t="n">
        <v>1.45125</v>
      </c>
      <c r="U263" s="38"/>
    </row>
    <row r="264" customFormat="false" ht="15" hidden="true" customHeight="false" outlineLevel="0" collapsed="false">
      <c r="A264" s="0" t="s">
        <v>252</v>
      </c>
      <c r="B264" s="68" t="n">
        <v>3</v>
      </c>
      <c r="C264" s="108"/>
      <c r="D264" s="108"/>
      <c r="E264" s="108" t="n">
        <v>0.945</v>
      </c>
      <c r="F264" s="108" t="n">
        <v>0.97875</v>
      </c>
      <c r="G264" s="109" t="n">
        <v>1.0125</v>
      </c>
      <c r="H264" s="109" t="n">
        <v>1.04625</v>
      </c>
      <c r="I264" s="109" t="n">
        <v>1.08</v>
      </c>
      <c r="J264" s="109" t="n">
        <v>1.11375</v>
      </c>
      <c r="K264" s="111" t="n">
        <v>1.1475</v>
      </c>
      <c r="L264" s="111" t="n">
        <v>1.18125</v>
      </c>
      <c r="M264" s="111" t="n">
        <v>1.215</v>
      </c>
      <c r="N264" s="111" t="n">
        <v>1.24875</v>
      </c>
      <c r="O264" s="112" t="n">
        <v>1.2825</v>
      </c>
      <c r="P264" s="112" t="n">
        <v>1.31625</v>
      </c>
      <c r="Q264" s="112" t="n">
        <v>1.35</v>
      </c>
      <c r="R264" s="112" t="n">
        <v>1.38375</v>
      </c>
      <c r="S264" s="112" t="n">
        <v>1.4175</v>
      </c>
      <c r="T264" s="0" t="n">
        <v>1.45125</v>
      </c>
      <c r="U264" s="38"/>
    </row>
    <row r="265" customFormat="false" ht="15" hidden="true" customHeight="false" outlineLevel="0" collapsed="false">
      <c r="A265" s="0" t="s">
        <v>946</v>
      </c>
      <c r="B265" s="68" t="n">
        <v>3</v>
      </c>
      <c r="C265" s="108"/>
      <c r="D265" s="108"/>
      <c r="E265" s="108" t="n">
        <v>0.945</v>
      </c>
      <c r="F265" s="108" t="n">
        <v>0.97875</v>
      </c>
      <c r="G265" s="109" t="n">
        <v>1.0125</v>
      </c>
      <c r="H265" s="109" t="n">
        <v>1.04625</v>
      </c>
      <c r="I265" s="109" t="n">
        <v>1.08</v>
      </c>
      <c r="J265" s="109" t="n">
        <v>1.11375</v>
      </c>
      <c r="K265" s="111" t="n">
        <v>1.1475</v>
      </c>
      <c r="L265" s="111" t="n">
        <v>1.18125</v>
      </c>
      <c r="M265" s="111" t="n">
        <v>1.215</v>
      </c>
      <c r="N265" s="111" t="n">
        <v>1.24875</v>
      </c>
      <c r="O265" s="112" t="n">
        <v>1.2825</v>
      </c>
      <c r="P265" s="112" t="n">
        <v>1.31625</v>
      </c>
      <c r="Q265" s="112" t="n">
        <v>1.35</v>
      </c>
      <c r="R265" s="112" t="n">
        <v>1.38375</v>
      </c>
      <c r="S265" s="112" t="n">
        <v>1.4175</v>
      </c>
      <c r="T265" s="0" t="n">
        <v>1.45125</v>
      </c>
      <c r="U265" s="38"/>
    </row>
    <row r="266" customFormat="false" ht="15" hidden="true" customHeight="false" outlineLevel="0" collapsed="false">
      <c r="A266" s="0" t="s">
        <v>949</v>
      </c>
      <c r="B266" s="68" t="n">
        <v>3</v>
      </c>
      <c r="C266" s="108"/>
      <c r="D266" s="108"/>
      <c r="E266" s="108" t="n">
        <v>0.945</v>
      </c>
      <c r="F266" s="108" t="n">
        <v>0.97875</v>
      </c>
      <c r="G266" s="109" t="n">
        <v>1.0125</v>
      </c>
      <c r="H266" s="109" t="n">
        <v>1.04625</v>
      </c>
      <c r="I266" s="109" t="n">
        <v>1.08</v>
      </c>
      <c r="J266" s="109" t="n">
        <v>1.11375</v>
      </c>
      <c r="K266" s="111" t="n">
        <v>1.1475</v>
      </c>
      <c r="L266" s="111" t="n">
        <v>1.18125</v>
      </c>
      <c r="M266" s="111" t="n">
        <v>1.215</v>
      </c>
      <c r="N266" s="111" t="n">
        <v>1.24875</v>
      </c>
      <c r="O266" s="112" t="n">
        <v>1.2825</v>
      </c>
      <c r="P266" s="112" t="n">
        <v>1.31625</v>
      </c>
      <c r="Q266" s="112" t="n">
        <v>1.35</v>
      </c>
      <c r="R266" s="112" t="n">
        <v>1.38375</v>
      </c>
      <c r="S266" s="112" t="n">
        <v>1.4175</v>
      </c>
      <c r="T266" s="0" t="n">
        <v>1.45125</v>
      </c>
      <c r="U266" s="38"/>
    </row>
    <row r="267" customFormat="false" ht="15" hidden="true" customHeight="false" outlineLevel="0" collapsed="false">
      <c r="A267" s="103" t="s">
        <v>140</v>
      </c>
      <c r="B267" s="104" t="n">
        <v>26</v>
      </c>
      <c r="C267" s="108"/>
      <c r="D267" s="108"/>
      <c r="E267" s="108"/>
      <c r="F267" s="108"/>
      <c r="G267" s="109"/>
      <c r="H267" s="109"/>
      <c r="I267" s="109" t="n">
        <v>0.177735586763593</v>
      </c>
      <c r="J267" s="109" t="n">
        <v>0.183289823849956</v>
      </c>
      <c r="K267" s="111" t="n">
        <v>0.188844060936318</v>
      </c>
      <c r="L267" s="111" t="n">
        <v>0.19439829802268</v>
      </c>
      <c r="M267" s="111" t="n">
        <v>0.199952535109043</v>
      </c>
      <c r="N267" s="111" t="n">
        <v>0.205506772195405</v>
      </c>
      <c r="O267" s="112" t="n">
        <v>0.211061009281767</v>
      </c>
      <c r="P267" s="112" t="n">
        <v>0.216615246368129</v>
      </c>
      <c r="Q267" s="112"/>
      <c r="R267" s="112"/>
      <c r="S267" s="112"/>
      <c r="U267" s="103"/>
      <c r="AD267" s="104"/>
    </row>
    <row r="268" customFormat="false" ht="15" hidden="true" customHeight="false" outlineLevel="0" collapsed="false">
      <c r="A268" s="103" t="s">
        <v>140</v>
      </c>
      <c r="B268" s="104" t="n">
        <v>30</v>
      </c>
      <c r="C268" s="108"/>
      <c r="D268" s="108"/>
      <c r="E268" s="108"/>
      <c r="F268" s="108"/>
      <c r="G268" s="109"/>
      <c r="H268" s="109"/>
      <c r="I268" s="109" t="n">
        <v>0.177735586763593</v>
      </c>
      <c r="J268" s="109" t="n">
        <v>0.183289823849956</v>
      </c>
      <c r="K268" s="111" t="n">
        <v>0.188844060936318</v>
      </c>
      <c r="L268" s="111" t="n">
        <v>0.19439829802268</v>
      </c>
      <c r="M268" s="111" t="n">
        <v>0.199952535109043</v>
      </c>
      <c r="N268" s="111" t="n">
        <v>0.205506772195405</v>
      </c>
      <c r="O268" s="112" t="n">
        <v>0.211061009281767</v>
      </c>
      <c r="P268" s="112" t="n">
        <v>0.216615246368129</v>
      </c>
      <c r="Q268" s="112"/>
      <c r="R268" s="112"/>
      <c r="S268" s="112"/>
      <c r="U268" s="103"/>
      <c r="AD268" s="104"/>
    </row>
    <row r="269" customFormat="false" ht="15" hidden="true" customHeight="false" outlineLevel="0" collapsed="false">
      <c r="A269" s="103" t="s">
        <v>140</v>
      </c>
      <c r="B269" s="104" t="n">
        <v>31</v>
      </c>
      <c r="C269" s="108"/>
      <c r="D269" s="108"/>
      <c r="E269" s="108"/>
      <c r="F269" s="108"/>
      <c r="G269" s="109"/>
      <c r="H269" s="109"/>
      <c r="I269" s="109" t="n">
        <v>0.177735586763593</v>
      </c>
      <c r="J269" s="109" t="n">
        <v>0.183289823849956</v>
      </c>
      <c r="K269" s="111" t="n">
        <v>0.188844060936318</v>
      </c>
      <c r="L269" s="111" t="n">
        <v>0.19439829802268</v>
      </c>
      <c r="M269" s="111" t="n">
        <v>0.199952535109043</v>
      </c>
      <c r="N269" s="111" t="n">
        <v>0.205506772195405</v>
      </c>
      <c r="O269" s="112" t="n">
        <v>0.211061009281767</v>
      </c>
      <c r="P269" s="112" t="n">
        <v>0.216615246368129</v>
      </c>
      <c r="Q269" s="112"/>
      <c r="R269" s="112"/>
      <c r="S269" s="112"/>
      <c r="U269" s="103"/>
      <c r="AD269" s="104"/>
    </row>
    <row r="270" customFormat="false" ht="15" hidden="true" customHeight="false" outlineLevel="0" collapsed="false">
      <c r="A270" s="103" t="s">
        <v>253</v>
      </c>
      <c r="B270" s="104" t="n">
        <v>26</v>
      </c>
      <c r="C270" s="108"/>
      <c r="D270" s="108"/>
      <c r="E270" s="108"/>
      <c r="F270" s="108"/>
      <c r="G270" s="109"/>
      <c r="H270" s="109"/>
      <c r="I270" s="109" t="n">
        <v>0.177735586763593</v>
      </c>
      <c r="J270" s="109" t="n">
        <v>0.183289823849956</v>
      </c>
      <c r="K270" s="111" t="n">
        <v>0.188844060936318</v>
      </c>
      <c r="L270" s="111" t="n">
        <v>0.19439829802268</v>
      </c>
      <c r="M270" s="111" t="n">
        <v>0.199952535109043</v>
      </c>
      <c r="N270" s="111" t="n">
        <v>0.205506772195405</v>
      </c>
      <c r="O270" s="112" t="n">
        <v>0.211061009281767</v>
      </c>
      <c r="P270" s="112" t="n">
        <v>0.216615246368129</v>
      </c>
      <c r="Q270" s="112"/>
      <c r="R270" s="112"/>
      <c r="S270" s="112"/>
      <c r="U270" s="103"/>
      <c r="AD270" s="104"/>
    </row>
    <row r="271" customFormat="false" ht="15" hidden="true" customHeight="false" outlineLevel="0" collapsed="false">
      <c r="A271" s="103" t="s">
        <v>253</v>
      </c>
      <c r="B271" s="104" t="n">
        <v>30</v>
      </c>
      <c r="C271" s="108"/>
      <c r="D271" s="108"/>
      <c r="E271" s="108"/>
      <c r="F271" s="108"/>
      <c r="G271" s="109"/>
      <c r="H271" s="109"/>
      <c r="I271" s="109" t="n">
        <v>0.177735586763593</v>
      </c>
      <c r="J271" s="109" t="n">
        <v>0.183289823849956</v>
      </c>
      <c r="K271" s="111" t="n">
        <v>0.188844060936318</v>
      </c>
      <c r="L271" s="111" t="n">
        <v>0.19439829802268</v>
      </c>
      <c r="M271" s="111" t="n">
        <v>0.199952535109043</v>
      </c>
      <c r="N271" s="111" t="n">
        <v>0.205506772195405</v>
      </c>
      <c r="O271" s="112" t="n">
        <v>0.211061009281767</v>
      </c>
      <c r="P271" s="112" t="n">
        <v>0.216615246368129</v>
      </c>
      <c r="Q271" s="112"/>
      <c r="R271" s="112"/>
      <c r="S271" s="112"/>
      <c r="U271" s="103"/>
      <c r="AD271" s="104"/>
    </row>
    <row r="272" customFormat="false" ht="15" hidden="true" customHeight="false" outlineLevel="0" collapsed="false">
      <c r="A272" s="103" t="s">
        <v>253</v>
      </c>
      <c r="B272" s="104" t="n">
        <v>31</v>
      </c>
      <c r="C272" s="108"/>
      <c r="D272" s="108"/>
      <c r="E272" s="108"/>
      <c r="F272" s="108"/>
      <c r="G272" s="109"/>
      <c r="H272" s="109"/>
      <c r="I272" s="109" t="n">
        <v>0.177735586763593</v>
      </c>
      <c r="J272" s="109" t="n">
        <v>0.183289823849956</v>
      </c>
      <c r="K272" s="111" t="n">
        <v>0.188844060936318</v>
      </c>
      <c r="L272" s="111" t="n">
        <v>0.19439829802268</v>
      </c>
      <c r="M272" s="111" t="n">
        <v>0.199952535109043</v>
      </c>
      <c r="N272" s="111" t="n">
        <v>0.205506772195405</v>
      </c>
      <c r="O272" s="112" t="n">
        <v>0.211061009281767</v>
      </c>
      <c r="P272" s="112" t="n">
        <v>0.216615246368129</v>
      </c>
      <c r="Q272" s="112"/>
      <c r="R272" s="112"/>
      <c r="S272" s="112"/>
      <c r="U272" s="103"/>
      <c r="AD272" s="104"/>
    </row>
    <row r="273" customFormat="false" ht="15" hidden="true" customHeight="false" outlineLevel="0" collapsed="false">
      <c r="A273" s="114" t="s">
        <v>955</v>
      </c>
      <c r="B273" s="104" t="n">
        <v>26</v>
      </c>
      <c r="C273" s="108"/>
      <c r="D273" s="108"/>
      <c r="E273" s="108"/>
      <c r="F273" s="108"/>
      <c r="G273" s="109"/>
      <c r="H273" s="109"/>
      <c r="I273" s="109" t="n">
        <v>0.085201850183807</v>
      </c>
      <c r="J273" s="109" t="n">
        <v>0.087864408002051</v>
      </c>
      <c r="K273" s="111" t="n">
        <v>0.090526965820295</v>
      </c>
      <c r="L273" s="111" t="n">
        <v>0.0931895236385389</v>
      </c>
      <c r="M273" s="111" t="n">
        <v>0.0931092037783494</v>
      </c>
      <c r="N273" s="111" t="n">
        <v>0.0956955705499703</v>
      </c>
      <c r="O273" s="112" t="n">
        <v>0.0982819373215911</v>
      </c>
      <c r="P273" s="112" t="n">
        <v>0.100868304093212</v>
      </c>
      <c r="Q273" s="112" t="n">
        <v>0.100407028999907</v>
      </c>
      <c r="R273" s="112" t="n">
        <v>0.102917204724904</v>
      </c>
      <c r="S273" s="112" t="n">
        <v>0.105427380449902</v>
      </c>
      <c r="T273" s="0" t="n">
        <v>0.1079375561749</v>
      </c>
      <c r="U273" s="103" t="n">
        <v>0.112687138741764</v>
      </c>
      <c r="V273" s="0" t="n">
        <v>0.115248210076804</v>
      </c>
      <c r="W273" s="0" t="n">
        <v>0.117809281411844</v>
      </c>
      <c r="X273" s="0" t="n">
        <v>0.120370352746884</v>
      </c>
      <c r="Y273" s="0" t="n">
        <v>0.122931424081924</v>
      </c>
      <c r="Z273" s="0" t="n">
        <v>0.125492495416964</v>
      </c>
      <c r="AA273" s="0" t="n">
        <v>0.128053566752004</v>
      </c>
      <c r="AB273" s="0" t="n">
        <v>0.130614638087044</v>
      </c>
      <c r="AC273" s="0" t="n">
        <v>0.133175709422084</v>
      </c>
      <c r="AD273" s="104"/>
    </row>
    <row r="274" customFormat="false" ht="15" hidden="true" customHeight="false" outlineLevel="0" collapsed="false">
      <c r="A274" s="114" t="s">
        <v>955</v>
      </c>
      <c r="B274" s="104" t="n">
        <v>30</v>
      </c>
      <c r="C274" s="108"/>
      <c r="D274" s="108"/>
      <c r="E274" s="108"/>
      <c r="F274" s="108"/>
      <c r="G274" s="109"/>
      <c r="H274" s="109"/>
      <c r="I274" s="109" t="n">
        <v>0.085201850183807</v>
      </c>
      <c r="J274" s="109" t="n">
        <v>0.087864408002051</v>
      </c>
      <c r="K274" s="111" t="n">
        <v>0.090526965820295</v>
      </c>
      <c r="L274" s="111" t="n">
        <v>0.0931895236385389</v>
      </c>
      <c r="M274" s="111" t="n">
        <v>0.0931092037783494</v>
      </c>
      <c r="N274" s="111" t="n">
        <v>0.0956955705499703</v>
      </c>
      <c r="O274" s="112" t="n">
        <v>0.0982819373215911</v>
      </c>
      <c r="P274" s="112" t="n">
        <v>0.100868304093212</v>
      </c>
      <c r="Q274" s="112" t="n">
        <v>0.100407028999907</v>
      </c>
      <c r="R274" s="112" t="n">
        <v>0.102917204724904</v>
      </c>
      <c r="S274" s="112" t="n">
        <v>0.105427380449902</v>
      </c>
      <c r="T274" s="0" t="n">
        <v>0.1079375561749</v>
      </c>
      <c r="U274" s="103" t="n">
        <v>0.112687138741764</v>
      </c>
      <c r="V274" s="0" t="n">
        <v>0.115248210076804</v>
      </c>
      <c r="W274" s="0" t="n">
        <v>0.117809281411844</v>
      </c>
      <c r="X274" s="0" t="n">
        <v>0.120370352746884</v>
      </c>
      <c r="Y274" s="0" t="n">
        <v>0.122931424081924</v>
      </c>
      <c r="Z274" s="0" t="n">
        <v>0.125492495416964</v>
      </c>
      <c r="AA274" s="0" t="n">
        <v>0.128053566752004</v>
      </c>
      <c r="AB274" s="0" t="n">
        <v>0.130614638087044</v>
      </c>
      <c r="AC274" s="0" t="n">
        <v>0.133175709422084</v>
      </c>
      <c r="AD274" s="104"/>
    </row>
    <row r="275" customFormat="false" ht="15" hidden="true" customHeight="false" outlineLevel="0" collapsed="false">
      <c r="A275" s="114" t="s">
        <v>955</v>
      </c>
      <c r="B275" s="104" t="n">
        <v>31</v>
      </c>
      <c r="C275" s="108"/>
      <c r="D275" s="108"/>
      <c r="E275" s="108"/>
      <c r="F275" s="108"/>
      <c r="G275" s="109"/>
      <c r="H275" s="109"/>
      <c r="I275" s="109" t="n">
        <v>0.085201850183807</v>
      </c>
      <c r="J275" s="109" t="n">
        <v>0.087864408002051</v>
      </c>
      <c r="K275" s="111" t="n">
        <v>0.090526965820295</v>
      </c>
      <c r="L275" s="111" t="n">
        <v>0.0931895236385389</v>
      </c>
      <c r="M275" s="111" t="n">
        <v>0.0931092037783494</v>
      </c>
      <c r="N275" s="111" t="n">
        <v>0.0956955705499703</v>
      </c>
      <c r="O275" s="112" t="n">
        <v>0.0982819373215911</v>
      </c>
      <c r="P275" s="112" t="n">
        <v>0.100868304093212</v>
      </c>
      <c r="Q275" s="112" t="n">
        <v>0.100407028999907</v>
      </c>
      <c r="R275" s="112" t="n">
        <v>0.102917204724904</v>
      </c>
      <c r="S275" s="112" t="n">
        <v>0.105427380449902</v>
      </c>
      <c r="T275" s="0" t="n">
        <v>0.1079375561749</v>
      </c>
      <c r="U275" s="103" t="n">
        <v>0.112687138741764</v>
      </c>
      <c r="V275" s="0" t="n">
        <v>0.115248210076804</v>
      </c>
      <c r="W275" s="0" t="n">
        <v>0.117809281411844</v>
      </c>
      <c r="X275" s="0" t="n">
        <v>0.120370352746884</v>
      </c>
      <c r="Y275" s="0" t="n">
        <v>0.122931424081924</v>
      </c>
      <c r="Z275" s="0" t="n">
        <v>0.125492495416964</v>
      </c>
      <c r="AA275" s="0" t="n">
        <v>0.128053566752004</v>
      </c>
      <c r="AB275" s="0" t="n">
        <v>0.130614638087044</v>
      </c>
      <c r="AC275" s="0" t="n">
        <v>0.133175709422084</v>
      </c>
      <c r="AD275" s="104"/>
    </row>
    <row r="276" customFormat="false" ht="15" hidden="true" customHeight="false" outlineLevel="0" collapsed="false">
      <c r="A276" s="103" t="s">
        <v>958</v>
      </c>
      <c r="B276" s="104" t="n">
        <v>26</v>
      </c>
      <c r="C276" s="108"/>
      <c r="D276" s="108"/>
      <c r="E276" s="108"/>
      <c r="F276" s="108"/>
      <c r="G276" s="109"/>
      <c r="H276" s="109"/>
      <c r="I276" s="109" t="n">
        <v>0.177735586763593</v>
      </c>
      <c r="J276" s="109" t="n">
        <v>0.183289823849956</v>
      </c>
      <c r="K276" s="111" t="n">
        <v>0.188844060936318</v>
      </c>
      <c r="L276" s="111" t="n">
        <v>0.19439829802268</v>
      </c>
      <c r="M276" s="111" t="n">
        <v>0.199952535109043</v>
      </c>
      <c r="N276" s="111" t="n">
        <v>0.205506772195405</v>
      </c>
      <c r="O276" s="112" t="n">
        <v>0.211061009281767</v>
      </c>
      <c r="P276" s="112" t="n">
        <v>0.216615246368129</v>
      </c>
      <c r="Q276" s="112" t="n">
        <v>0.231084741727246</v>
      </c>
      <c r="R276" s="112" t="n">
        <v>0.236861860270427</v>
      </c>
      <c r="S276" s="112" t="n">
        <v>0.242638978813608</v>
      </c>
      <c r="T276" s="0" t="n">
        <v>0.248416097356789</v>
      </c>
      <c r="U276" s="103" t="n">
        <v>0.25419321589997</v>
      </c>
      <c r="V276" s="0" t="n">
        <v>0.259970334443151</v>
      </c>
      <c r="AD276" s="104"/>
    </row>
    <row r="277" customFormat="false" ht="15" hidden="true" customHeight="false" outlineLevel="0" collapsed="false">
      <c r="A277" s="103" t="s">
        <v>958</v>
      </c>
      <c r="B277" s="104" t="n">
        <v>30</v>
      </c>
      <c r="C277" s="108"/>
      <c r="D277" s="108"/>
      <c r="E277" s="108"/>
      <c r="F277" s="108"/>
      <c r="G277" s="109"/>
      <c r="H277" s="109"/>
      <c r="I277" s="109" t="n">
        <v>0.177735586763593</v>
      </c>
      <c r="J277" s="109" t="n">
        <v>0.183289823849956</v>
      </c>
      <c r="K277" s="111" t="n">
        <v>0.188844060936318</v>
      </c>
      <c r="L277" s="111" t="n">
        <v>0.19439829802268</v>
      </c>
      <c r="M277" s="111" t="n">
        <v>0.199952535109043</v>
      </c>
      <c r="N277" s="111" t="n">
        <v>0.205506772195405</v>
      </c>
      <c r="O277" s="112" t="n">
        <v>0.211061009281767</v>
      </c>
      <c r="P277" s="112" t="n">
        <v>0.216615246368129</v>
      </c>
      <c r="Q277" s="112" t="n">
        <v>0.231084741727246</v>
      </c>
      <c r="R277" s="112" t="n">
        <v>0.236861860270427</v>
      </c>
      <c r="S277" s="112" t="n">
        <v>0.242638978813608</v>
      </c>
      <c r="T277" s="0" t="n">
        <v>0.248416097356789</v>
      </c>
      <c r="U277" s="103" t="n">
        <v>0.25419321589997</v>
      </c>
      <c r="V277" s="0" t="n">
        <v>0.259970334443151</v>
      </c>
      <c r="AD277" s="104"/>
    </row>
    <row r="278" customFormat="false" ht="15" hidden="true" customHeight="false" outlineLevel="0" collapsed="false">
      <c r="A278" s="103" t="s">
        <v>958</v>
      </c>
      <c r="B278" s="104" t="n">
        <v>31</v>
      </c>
      <c r="C278" s="108"/>
      <c r="D278" s="108"/>
      <c r="E278" s="108"/>
      <c r="F278" s="108"/>
      <c r="G278" s="109"/>
      <c r="H278" s="109"/>
      <c r="I278" s="109" t="n">
        <v>0.0888677933817967</v>
      </c>
      <c r="J278" s="109" t="n">
        <v>0.0916449119249778</v>
      </c>
      <c r="K278" s="111" t="n">
        <v>0.094422030468159</v>
      </c>
      <c r="L278" s="111" t="n">
        <v>0.0971991490113401</v>
      </c>
      <c r="M278" s="111" t="n">
        <v>0.0999762675545213</v>
      </c>
      <c r="N278" s="111" t="n">
        <v>0.102753386097702</v>
      </c>
      <c r="O278" s="112" t="n">
        <v>0.105530504640884</v>
      </c>
      <c r="P278" s="112" t="n">
        <v>0.108307623184065</v>
      </c>
      <c r="Q278" s="112" t="n">
        <v>0.115542370863623</v>
      </c>
      <c r="R278" s="112" t="n">
        <v>0.118430930135213</v>
      </c>
      <c r="S278" s="112" t="n">
        <v>0.121319489406804</v>
      </c>
      <c r="T278" s="0" t="n">
        <v>0.124208048678395</v>
      </c>
      <c r="U278" s="114" t="n">
        <v>0.127096607949985</v>
      </c>
      <c r="V278" s="0" t="n">
        <v>0.129985167221576</v>
      </c>
      <c r="W278" s="0" t="n">
        <v>0.132873726493166</v>
      </c>
      <c r="X278" s="0" t="n">
        <v>0.135762285764757</v>
      </c>
      <c r="Y278" s="0" t="n">
        <v>0.138650845036347</v>
      </c>
      <c r="Z278" s="0" t="n">
        <v>0.141539404307938</v>
      </c>
      <c r="AA278" s="0" t="n">
        <v>0.144427963579529</v>
      </c>
      <c r="AB278" s="0" t="n">
        <v>0.147316522851119</v>
      </c>
      <c r="AC278" s="0" t="n">
        <v>0.15020508212271</v>
      </c>
      <c r="AD278" s="104"/>
    </row>
    <row r="279" customFormat="false" ht="15" hidden="true" customHeight="false" outlineLevel="0" collapsed="false">
      <c r="A279" s="103" t="s">
        <v>141</v>
      </c>
      <c r="B279" s="104" t="n">
        <v>26</v>
      </c>
      <c r="C279" s="108"/>
      <c r="D279" s="108"/>
      <c r="E279" s="108"/>
      <c r="F279" s="108"/>
      <c r="G279" s="109"/>
      <c r="H279" s="109"/>
      <c r="I279" s="109"/>
      <c r="J279" s="109"/>
      <c r="K279" s="111"/>
      <c r="L279" s="111"/>
      <c r="M279" s="111" t="n">
        <v>0.199952535109043</v>
      </c>
      <c r="N279" s="111" t="n">
        <v>0.205506772195405</v>
      </c>
      <c r="O279" s="112" t="n">
        <v>0.211061009281767</v>
      </c>
      <c r="P279" s="112" t="n">
        <v>0.216615246368129</v>
      </c>
      <c r="Q279" s="112" t="n">
        <v>0.231084741727246</v>
      </c>
      <c r="R279" s="112" t="n">
        <v>0.236861860270427</v>
      </c>
      <c r="S279" s="112" t="n">
        <v>0.242638978813608</v>
      </c>
      <c r="T279" s="0" t="n">
        <v>0.248416097356789</v>
      </c>
      <c r="U279" s="114" t="n">
        <v>0.25419321589997</v>
      </c>
      <c r="V279" s="0" t="n">
        <v>0.259970334443152</v>
      </c>
      <c r="AD279" s="104"/>
    </row>
    <row r="280" customFormat="false" ht="15" hidden="true" customHeight="false" outlineLevel="0" collapsed="false">
      <c r="A280" s="103" t="s">
        <v>141</v>
      </c>
      <c r="B280" s="104" t="n">
        <v>30</v>
      </c>
      <c r="C280" s="108"/>
      <c r="D280" s="108"/>
      <c r="E280" s="108"/>
      <c r="F280" s="108"/>
      <c r="G280" s="109"/>
      <c r="H280" s="109"/>
      <c r="I280" s="109"/>
      <c r="J280" s="109"/>
      <c r="K280" s="111"/>
      <c r="L280" s="111"/>
      <c r="M280" s="111" t="n">
        <v>0.199952535109043</v>
      </c>
      <c r="N280" s="111" t="n">
        <v>0.205506772195405</v>
      </c>
      <c r="O280" s="112" t="n">
        <v>0.211061009281767</v>
      </c>
      <c r="P280" s="112" t="n">
        <v>0.216615246368129</v>
      </c>
      <c r="Q280" s="112" t="n">
        <v>0.231084741727246</v>
      </c>
      <c r="R280" s="112" t="n">
        <v>0.236861860270427</v>
      </c>
      <c r="S280" s="112" t="n">
        <v>0.242638978813608</v>
      </c>
      <c r="T280" s="0" t="n">
        <v>0.248416097356789</v>
      </c>
      <c r="U280" s="103" t="n">
        <v>0.25419321589997</v>
      </c>
      <c r="V280" s="0" t="n">
        <v>0.259970334443151</v>
      </c>
      <c r="AD280" s="104"/>
    </row>
    <row r="281" customFormat="false" ht="15" hidden="true" customHeight="false" outlineLevel="0" collapsed="false">
      <c r="A281" s="103" t="s">
        <v>141</v>
      </c>
      <c r="B281" s="104" t="n">
        <v>31</v>
      </c>
      <c r="C281" s="108"/>
      <c r="D281" s="108"/>
      <c r="E281" s="108"/>
      <c r="F281" s="108"/>
      <c r="G281" s="109"/>
      <c r="H281" s="109"/>
      <c r="I281" s="109"/>
      <c r="J281" s="109"/>
      <c r="K281" s="111"/>
      <c r="L281" s="111"/>
      <c r="M281" s="111" t="n">
        <v>0.199952535109043</v>
      </c>
      <c r="N281" s="111" t="n">
        <v>0.205506772195405</v>
      </c>
      <c r="O281" s="112" t="n">
        <v>0.211061009281767</v>
      </c>
      <c r="P281" s="112" t="n">
        <v>0.216615246368129</v>
      </c>
      <c r="Q281" s="112" t="n">
        <v>0.231084741727246</v>
      </c>
      <c r="R281" s="112" t="n">
        <v>0.236861860270427</v>
      </c>
      <c r="S281" s="112" t="n">
        <v>0.242638978813608</v>
      </c>
      <c r="T281" s="0" t="n">
        <v>0.248416097356789</v>
      </c>
      <c r="U281" s="103" t="n">
        <v>0.25419321589997</v>
      </c>
      <c r="V281" s="0" t="n">
        <v>0.259970334443151</v>
      </c>
      <c r="AD281" s="104"/>
    </row>
    <row r="282" customFormat="false" ht="15" hidden="true" customHeight="false" outlineLevel="0" collapsed="false">
      <c r="A282" s="103" t="s">
        <v>254</v>
      </c>
      <c r="B282" s="104" t="n">
        <v>26</v>
      </c>
      <c r="C282" s="108"/>
      <c r="D282" s="108"/>
      <c r="E282" s="108"/>
      <c r="F282" s="108"/>
      <c r="G282" s="109"/>
      <c r="H282" s="109"/>
      <c r="I282" s="109"/>
      <c r="J282" s="109"/>
      <c r="K282" s="111"/>
      <c r="L282" s="111"/>
      <c r="M282" s="111" t="n">
        <v>0.199952535109043</v>
      </c>
      <c r="N282" s="111" t="n">
        <v>0.205506772195405</v>
      </c>
      <c r="O282" s="112" t="n">
        <v>0.211061009281767</v>
      </c>
      <c r="P282" s="112" t="n">
        <v>0.216615246368129</v>
      </c>
      <c r="Q282" s="112" t="n">
        <v>0.231084741727246</v>
      </c>
      <c r="R282" s="112" t="n">
        <v>0.236861860270427</v>
      </c>
      <c r="S282" s="112" t="n">
        <v>0.242638978813608</v>
      </c>
      <c r="T282" s="0" t="n">
        <v>0.248416097356789</v>
      </c>
      <c r="U282" s="114" t="n">
        <v>0.25419321589997</v>
      </c>
      <c r="V282" s="0" t="n">
        <v>0.259970334443151</v>
      </c>
      <c r="AD282" s="104"/>
    </row>
    <row r="283" customFormat="false" ht="15" hidden="true" customHeight="false" outlineLevel="0" collapsed="false">
      <c r="A283" s="103" t="s">
        <v>254</v>
      </c>
      <c r="B283" s="104" t="n">
        <v>30</v>
      </c>
      <c r="C283" s="108"/>
      <c r="D283" s="108"/>
      <c r="E283" s="108"/>
      <c r="F283" s="108"/>
      <c r="G283" s="109"/>
      <c r="H283" s="109"/>
      <c r="I283" s="109"/>
      <c r="J283" s="109"/>
      <c r="K283" s="111"/>
      <c r="L283" s="111"/>
      <c r="M283" s="111" t="n">
        <v>0.199952535109043</v>
      </c>
      <c r="N283" s="111" t="n">
        <v>0.205506772195405</v>
      </c>
      <c r="O283" s="112" t="n">
        <v>0.211061009281767</v>
      </c>
      <c r="P283" s="112" t="n">
        <v>0.216615246368129</v>
      </c>
      <c r="Q283" s="112" t="n">
        <v>0.231084741727246</v>
      </c>
      <c r="R283" s="112" t="n">
        <v>0.236861860270427</v>
      </c>
      <c r="S283" s="112" t="n">
        <v>0.242638978813608</v>
      </c>
      <c r="T283" s="0" t="n">
        <v>0.248416097356789</v>
      </c>
      <c r="U283" s="103" t="n">
        <v>0.25419321589997</v>
      </c>
      <c r="V283" s="0" t="n">
        <v>0.259970334443151</v>
      </c>
      <c r="AD283" s="104"/>
    </row>
    <row r="284" customFormat="false" ht="15" hidden="true" customHeight="false" outlineLevel="0" collapsed="false">
      <c r="A284" s="103" t="s">
        <v>254</v>
      </c>
      <c r="B284" s="104" t="n">
        <v>31</v>
      </c>
      <c r="C284" s="108"/>
      <c r="D284" s="108"/>
      <c r="E284" s="108"/>
      <c r="F284" s="108"/>
      <c r="G284" s="109"/>
      <c r="H284" s="109"/>
      <c r="I284" s="109"/>
      <c r="J284" s="109"/>
      <c r="K284" s="111"/>
      <c r="L284" s="111"/>
      <c r="M284" s="111" t="n">
        <v>0.199952535109043</v>
      </c>
      <c r="N284" s="111" t="n">
        <v>0.205506772195405</v>
      </c>
      <c r="O284" s="112" t="n">
        <v>0.211061009281767</v>
      </c>
      <c r="P284" s="112" t="n">
        <v>0.216615246368129</v>
      </c>
      <c r="Q284" s="112" t="n">
        <v>0.231084741727246</v>
      </c>
      <c r="R284" s="112" t="n">
        <v>0.236861860270427</v>
      </c>
      <c r="S284" s="112" t="n">
        <v>0.242638978813608</v>
      </c>
      <c r="T284" s="0" t="n">
        <v>0.248416097356789</v>
      </c>
      <c r="U284" s="103" t="n">
        <v>0.25419321589997</v>
      </c>
      <c r="V284" s="0" t="n">
        <v>0.259970334443151</v>
      </c>
      <c r="AD284" s="104"/>
    </row>
    <row r="285" customFormat="false" ht="15" hidden="true" customHeight="false" outlineLevel="0" collapsed="false">
      <c r="A285" s="103" t="s">
        <v>142</v>
      </c>
      <c r="B285" s="104" t="n">
        <v>26</v>
      </c>
      <c r="C285" s="108"/>
      <c r="D285" s="108"/>
      <c r="E285" s="108"/>
      <c r="F285" s="108"/>
      <c r="G285" s="109"/>
      <c r="H285" s="109"/>
      <c r="I285" s="109"/>
      <c r="J285" s="109"/>
      <c r="K285" s="111"/>
      <c r="L285" s="111"/>
      <c r="M285" s="111" t="n">
        <v>0.199952535109043</v>
      </c>
      <c r="N285" s="111" t="n">
        <v>0.205506772195405</v>
      </c>
      <c r="O285" s="112" t="n">
        <v>0.211061009281767</v>
      </c>
      <c r="P285" s="112" t="n">
        <v>0.216615246368129</v>
      </c>
      <c r="Q285" s="112" t="n">
        <v>0.231084741727246</v>
      </c>
      <c r="R285" s="112" t="n">
        <v>0.236861860270427</v>
      </c>
      <c r="S285" s="112" t="n">
        <v>0.242638978813608</v>
      </c>
      <c r="T285" s="0" t="n">
        <v>0.248416097356789</v>
      </c>
      <c r="U285" s="114" t="n">
        <v>0.25419321589997</v>
      </c>
      <c r="V285" s="0" t="n">
        <v>0.259970334443151</v>
      </c>
      <c r="AD285" s="104"/>
    </row>
    <row r="286" customFormat="false" ht="15" hidden="true" customHeight="false" outlineLevel="0" collapsed="false">
      <c r="A286" s="103" t="s">
        <v>142</v>
      </c>
      <c r="B286" s="104" t="n">
        <v>30</v>
      </c>
      <c r="C286" s="108"/>
      <c r="D286" s="108"/>
      <c r="E286" s="108"/>
      <c r="F286" s="108"/>
      <c r="G286" s="109"/>
      <c r="H286" s="109"/>
      <c r="I286" s="109"/>
      <c r="J286" s="109"/>
      <c r="K286" s="111"/>
      <c r="L286" s="111"/>
      <c r="M286" s="111" t="n">
        <v>0.199952535109043</v>
      </c>
      <c r="N286" s="111" t="n">
        <v>0.205506772195405</v>
      </c>
      <c r="O286" s="112" t="n">
        <v>0.211061009281767</v>
      </c>
      <c r="P286" s="112" t="n">
        <v>0.216615246368129</v>
      </c>
      <c r="Q286" s="112" t="n">
        <v>0.231084741727246</v>
      </c>
      <c r="R286" s="112" t="n">
        <v>0.236861860270427</v>
      </c>
      <c r="S286" s="112" t="n">
        <v>0.242638978813608</v>
      </c>
      <c r="T286" s="0" t="n">
        <v>0.248416097356789</v>
      </c>
      <c r="U286" s="103" t="n">
        <v>0.25419321589997</v>
      </c>
      <c r="V286" s="0" t="n">
        <v>0.259970334443151</v>
      </c>
      <c r="AD286" s="104"/>
    </row>
    <row r="287" customFormat="false" ht="15" hidden="true" customHeight="false" outlineLevel="0" collapsed="false">
      <c r="A287" s="103" t="s">
        <v>142</v>
      </c>
      <c r="B287" s="104" t="n">
        <v>31</v>
      </c>
      <c r="C287" s="108"/>
      <c r="D287" s="108"/>
      <c r="E287" s="108"/>
      <c r="F287" s="108"/>
      <c r="G287" s="109"/>
      <c r="H287" s="109"/>
      <c r="I287" s="109"/>
      <c r="J287" s="109"/>
      <c r="K287" s="111"/>
      <c r="L287" s="111"/>
      <c r="M287" s="111" t="n">
        <v>0.199952535109043</v>
      </c>
      <c r="N287" s="111" t="n">
        <v>0.205506772195405</v>
      </c>
      <c r="O287" s="112" t="n">
        <v>0.211061009281767</v>
      </c>
      <c r="P287" s="112" t="n">
        <v>0.216615246368129</v>
      </c>
      <c r="Q287" s="112" t="n">
        <v>0.231084741727246</v>
      </c>
      <c r="R287" s="112" t="n">
        <v>0.236861860270427</v>
      </c>
      <c r="S287" s="112" t="n">
        <v>0.242638978813608</v>
      </c>
      <c r="T287" s="0" t="n">
        <v>0.248416097356789</v>
      </c>
      <c r="U287" s="103" t="n">
        <v>0.25419321589997</v>
      </c>
      <c r="V287" s="0" t="n">
        <v>0.259970334443151</v>
      </c>
      <c r="AD287" s="104"/>
    </row>
    <row r="288" customFormat="false" ht="15" hidden="true" customHeight="false" outlineLevel="0" collapsed="false">
      <c r="A288" s="103" t="s">
        <v>255</v>
      </c>
      <c r="B288" s="104" t="n">
        <v>26</v>
      </c>
      <c r="C288" s="108"/>
      <c r="D288" s="108"/>
      <c r="E288" s="108"/>
      <c r="F288" s="108"/>
      <c r="G288" s="109"/>
      <c r="H288" s="109"/>
      <c r="I288" s="109"/>
      <c r="J288" s="109"/>
      <c r="K288" s="111"/>
      <c r="L288" s="111"/>
      <c r="M288" s="111" t="n">
        <v>0.199952535109043</v>
      </c>
      <c r="N288" s="111" t="n">
        <v>0.205506772195405</v>
      </c>
      <c r="O288" s="112" t="n">
        <v>0.211061009281767</v>
      </c>
      <c r="P288" s="112" t="n">
        <v>0.216615246368129</v>
      </c>
      <c r="Q288" s="112" t="n">
        <v>0.231084741727246</v>
      </c>
      <c r="R288" s="112" t="n">
        <v>0.236861860270427</v>
      </c>
      <c r="S288" s="112" t="n">
        <v>0.242638978813608</v>
      </c>
      <c r="T288" s="0" t="n">
        <v>0.248416097356789</v>
      </c>
      <c r="U288" s="103" t="n">
        <v>0.25419321589997</v>
      </c>
      <c r="V288" s="0" t="n">
        <v>0.259970334443151</v>
      </c>
      <c r="AD288" s="104"/>
    </row>
    <row r="289" customFormat="false" ht="15" hidden="true" customHeight="false" outlineLevel="0" collapsed="false">
      <c r="A289" s="103" t="s">
        <v>255</v>
      </c>
      <c r="B289" s="104" t="n">
        <v>30</v>
      </c>
      <c r="C289" s="108"/>
      <c r="D289" s="108"/>
      <c r="E289" s="108"/>
      <c r="F289" s="108"/>
      <c r="G289" s="109"/>
      <c r="H289" s="109"/>
      <c r="I289" s="109"/>
      <c r="J289" s="109"/>
      <c r="K289" s="111"/>
      <c r="L289" s="111"/>
      <c r="M289" s="111" t="n">
        <v>0.199952535109043</v>
      </c>
      <c r="N289" s="111" t="n">
        <v>0.205506772195405</v>
      </c>
      <c r="O289" s="112" t="n">
        <v>0.211061009281767</v>
      </c>
      <c r="P289" s="112" t="n">
        <v>0.216615246368129</v>
      </c>
      <c r="Q289" s="112" t="n">
        <v>0.231084741727246</v>
      </c>
      <c r="R289" s="112" t="n">
        <v>0.236861860270427</v>
      </c>
      <c r="S289" s="112" t="n">
        <v>0.242638978813608</v>
      </c>
      <c r="T289" s="0" t="n">
        <v>0.248416097356789</v>
      </c>
      <c r="U289" s="103" t="n">
        <v>0.25419321589997</v>
      </c>
      <c r="V289" s="0" t="n">
        <v>0.259970334443151</v>
      </c>
      <c r="AD289" s="104"/>
    </row>
    <row r="290" customFormat="false" ht="15" hidden="true" customHeight="false" outlineLevel="0" collapsed="false">
      <c r="A290" s="103" t="s">
        <v>255</v>
      </c>
      <c r="B290" s="104" t="n">
        <v>31</v>
      </c>
      <c r="C290" s="108"/>
      <c r="D290" s="108"/>
      <c r="E290" s="108"/>
      <c r="F290" s="108"/>
      <c r="G290" s="109"/>
      <c r="H290" s="109"/>
      <c r="I290" s="109"/>
      <c r="J290" s="109"/>
      <c r="K290" s="111"/>
      <c r="L290" s="111"/>
      <c r="M290" s="111" t="n">
        <v>0.199952535109043</v>
      </c>
      <c r="N290" s="111" t="n">
        <v>0.205506772195405</v>
      </c>
      <c r="O290" s="112" t="n">
        <v>0.211061009281767</v>
      </c>
      <c r="P290" s="112" t="n">
        <v>0.216615246368129</v>
      </c>
      <c r="Q290" s="112" t="n">
        <v>0.231084741727246</v>
      </c>
      <c r="R290" s="112" t="n">
        <v>0.236861860270427</v>
      </c>
      <c r="S290" s="112" t="n">
        <v>0.242638978813608</v>
      </c>
      <c r="T290" s="0" t="n">
        <v>0.248416097356789</v>
      </c>
      <c r="U290" s="103" t="n">
        <v>0.25419321589997</v>
      </c>
      <c r="V290" s="0" t="n">
        <v>0.259970334443151</v>
      </c>
      <c r="AD290" s="104"/>
    </row>
    <row r="291" customFormat="false" ht="15" hidden="true" customHeight="false" outlineLevel="0" collapsed="false">
      <c r="A291" s="103" t="s">
        <v>968</v>
      </c>
      <c r="B291" s="104" t="n">
        <v>26</v>
      </c>
      <c r="C291" s="108"/>
      <c r="D291" s="108"/>
      <c r="E291" s="108"/>
      <c r="F291" s="108"/>
      <c r="G291" s="109"/>
      <c r="H291" s="109"/>
      <c r="I291" s="109"/>
      <c r="J291" s="109"/>
      <c r="K291" s="111"/>
      <c r="L291" s="111"/>
      <c r="M291" s="111" t="n">
        <v>0.199952535109043</v>
      </c>
      <c r="N291" s="111" t="n">
        <v>0.205506772195405</v>
      </c>
      <c r="O291" s="112" t="n">
        <v>0.211061009281767</v>
      </c>
      <c r="P291" s="112" t="n">
        <v>0.216615246368129</v>
      </c>
      <c r="Q291" s="112" t="n">
        <v>0.231084741727246</v>
      </c>
      <c r="R291" s="112" t="n">
        <v>0.236861860270427</v>
      </c>
      <c r="S291" s="112" t="n">
        <v>0.242638978813608</v>
      </c>
      <c r="T291" s="0" t="n">
        <v>0.248416097356789</v>
      </c>
      <c r="U291" s="103" t="n">
        <v>0.25419321589997</v>
      </c>
      <c r="V291" s="0" t="n">
        <v>0.259970334443151</v>
      </c>
      <c r="AD291" s="104"/>
    </row>
    <row r="292" customFormat="false" ht="15" hidden="true" customHeight="false" outlineLevel="0" collapsed="false">
      <c r="A292" s="103" t="s">
        <v>968</v>
      </c>
      <c r="B292" s="104" t="n">
        <v>30</v>
      </c>
      <c r="C292" s="108"/>
      <c r="D292" s="108"/>
      <c r="E292" s="108"/>
      <c r="F292" s="108"/>
      <c r="G292" s="109"/>
      <c r="H292" s="109"/>
      <c r="I292" s="109"/>
      <c r="J292" s="109"/>
      <c r="K292" s="111"/>
      <c r="L292" s="111"/>
      <c r="M292" s="111" t="n">
        <v>0.199952535109043</v>
      </c>
      <c r="N292" s="111" t="n">
        <v>0.205506772195405</v>
      </c>
      <c r="O292" s="112" t="n">
        <v>0.211061009281767</v>
      </c>
      <c r="P292" s="112" t="n">
        <v>0.216615246368129</v>
      </c>
      <c r="Q292" s="112" t="n">
        <v>0.231084741727246</v>
      </c>
      <c r="R292" s="112" t="n">
        <v>0.236861860270427</v>
      </c>
      <c r="S292" s="112" t="n">
        <v>0.242638978813608</v>
      </c>
      <c r="T292" s="0" t="n">
        <v>0.248416097356789</v>
      </c>
      <c r="U292" s="103" t="n">
        <v>0.25419321589997</v>
      </c>
      <c r="V292" s="0" t="n">
        <v>0.259970334443151</v>
      </c>
      <c r="AD292" s="104"/>
    </row>
    <row r="293" customFormat="false" ht="15" hidden="true" customHeight="false" outlineLevel="0" collapsed="false">
      <c r="A293" s="103" t="s">
        <v>968</v>
      </c>
      <c r="B293" s="104" t="n">
        <v>31</v>
      </c>
      <c r="C293" s="108"/>
      <c r="D293" s="108"/>
      <c r="E293" s="108"/>
      <c r="F293" s="108"/>
      <c r="G293" s="109"/>
      <c r="H293" s="109"/>
      <c r="I293" s="109"/>
      <c r="J293" s="109"/>
      <c r="K293" s="111"/>
      <c r="L293" s="111"/>
      <c r="M293" s="111" t="n">
        <v>0.199952535109043</v>
      </c>
      <c r="N293" s="111" t="n">
        <v>0.205506772195405</v>
      </c>
      <c r="O293" s="112" t="n">
        <v>0.211061009281767</v>
      </c>
      <c r="P293" s="112" t="n">
        <v>0.216615246368129</v>
      </c>
      <c r="Q293" s="112" t="n">
        <v>0.231084741727246</v>
      </c>
      <c r="R293" s="112" t="n">
        <v>0.236861860270427</v>
      </c>
      <c r="S293" s="112" t="n">
        <v>0.242638978813608</v>
      </c>
      <c r="T293" s="0" t="n">
        <v>0.248416097356789</v>
      </c>
      <c r="U293" s="103" t="n">
        <v>0.25419321589997</v>
      </c>
      <c r="V293" s="0" t="n">
        <v>0.259970334443151</v>
      </c>
      <c r="AD293" s="104"/>
    </row>
    <row r="294" customFormat="false" ht="15" hidden="true" customHeight="false" outlineLevel="0" collapsed="false">
      <c r="A294" s="103" t="s">
        <v>256</v>
      </c>
      <c r="B294" s="104" t="n">
        <v>26</v>
      </c>
      <c r="C294" s="108"/>
      <c r="D294" s="108"/>
      <c r="E294" s="108"/>
      <c r="F294" s="108"/>
      <c r="G294" s="109"/>
      <c r="H294" s="109"/>
      <c r="I294" s="109"/>
      <c r="J294" s="109"/>
      <c r="K294" s="111"/>
      <c r="L294" s="111"/>
      <c r="M294" s="111" t="n">
        <v>0.199952535109043</v>
      </c>
      <c r="N294" s="111" t="n">
        <v>0.205506772195405</v>
      </c>
      <c r="O294" s="112" t="n">
        <v>0.211061009281767</v>
      </c>
      <c r="P294" s="112" t="n">
        <v>0.216615246368129</v>
      </c>
      <c r="Q294" s="112" t="n">
        <v>0.231084741727246</v>
      </c>
      <c r="R294" s="112" t="n">
        <v>0.236861860270427</v>
      </c>
      <c r="S294" s="112" t="n">
        <v>0.242638978813608</v>
      </c>
      <c r="T294" s="0" t="n">
        <v>0.248416097356789</v>
      </c>
      <c r="U294" s="103" t="n">
        <v>0.25419321589997</v>
      </c>
      <c r="V294" s="0" t="n">
        <v>0.259970334443151</v>
      </c>
      <c r="AD294" s="104"/>
    </row>
    <row r="295" customFormat="false" ht="15" hidden="true" customHeight="false" outlineLevel="0" collapsed="false">
      <c r="A295" s="103" t="s">
        <v>256</v>
      </c>
      <c r="B295" s="104" t="n">
        <v>30</v>
      </c>
      <c r="C295" s="108"/>
      <c r="D295" s="108"/>
      <c r="E295" s="108"/>
      <c r="F295" s="108"/>
      <c r="G295" s="109"/>
      <c r="H295" s="109"/>
      <c r="I295" s="109"/>
      <c r="J295" s="109"/>
      <c r="K295" s="111"/>
      <c r="L295" s="111"/>
      <c r="M295" s="111" t="n">
        <v>0.199952535109043</v>
      </c>
      <c r="N295" s="111" t="n">
        <v>0.205506772195405</v>
      </c>
      <c r="O295" s="112" t="n">
        <v>0.211061009281767</v>
      </c>
      <c r="P295" s="112" t="n">
        <v>0.216615246368129</v>
      </c>
      <c r="Q295" s="112" t="n">
        <v>0.231084741727246</v>
      </c>
      <c r="R295" s="112" t="n">
        <v>0.236861860270427</v>
      </c>
      <c r="S295" s="112" t="n">
        <v>0.242638978813608</v>
      </c>
      <c r="T295" s="0" t="n">
        <v>0.248416097356789</v>
      </c>
      <c r="U295" s="103" t="n">
        <v>0.25419321589997</v>
      </c>
      <c r="V295" s="0" t="n">
        <v>0.259970334443151</v>
      </c>
      <c r="AD295" s="104"/>
    </row>
    <row r="296" customFormat="false" ht="15" hidden="true" customHeight="false" outlineLevel="0" collapsed="false">
      <c r="A296" s="103" t="s">
        <v>256</v>
      </c>
      <c r="B296" s="104" t="n">
        <v>31</v>
      </c>
      <c r="C296" s="108"/>
      <c r="D296" s="108"/>
      <c r="E296" s="108"/>
      <c r="F296" s="108"/>
      <c r="G296" s="109"/>
      <c r="H296" s="109"/>
      <c r="I296" s="109"/>
      <c r="J296" s="109"/>
      <c r="K296" s="111"/>
      <c r="L296" s="111"/>
      <c r="M296" s="111" t="n">
        <v>0.199952535109043</v>
      </c>
      <c r="N296" s="111" t="n">
        <v>0.205506772195405</v>
      </c>
      <c r="O296" s="112" t="n">
        <v>0.211061009281767</v>
      </c>
      <c r="P296" s="112" t="n">
        <v>0.216615246368129</v>
      </c>
      <c r="Q296" s="112" t="n">
        <v>0.231084741727246</v>
      </c>
      <c r="R296" s="112" t="n">
        <v>0.236861860270427</v>
      </c>
      <c r="S296" s="112" t="n">
        <v>0.242638978813608</v>
      </c>
      <c r="T296" s="0" t="n">
        <v>0.248416097356789</v>
      </c>
      <c r="U296" s="103" t="n">
        <v>0.25419321589997</v>
      </c>
      <c r="V296" s="0" t="n">
        <v>0.259970334443151</v>
      </c>
      <c r="AD296" s="104"/>
    </row>
    <row r="297" customFormat="false" ht="15" hidden="true" customHeight="false" outlineLevel="0" collapsed="false">
      <c r="A297" s="0" t="s">
        <v>143</v>
      </c>
      <c r="B297" s="68" t="n">
        <v>3</v>
      </c>
      <c r="C297" s="108"/>
      <c r="D297" s="108"/>
      <c r="E297" s="108" t="n">
        <v>0.1365</v>
      </c>
      <c r="F297" s="108" t="n">
        <v>0.141375</v>
      </c>
      <c r="G297" s="109" t="n">
        <v>0.14625</v>
      </c>
      <c r="H297" s="109" t="n">
        <v>0.151125</v>
      </c>
      <c r="I297" s="109" t="n">
        <v>0.156</v>
      </c>
      <c r="J297" s="109" t="n">
        <v>0.160875</v>
      </c>
      <c r="K297" s="111" t="n">
        <v>0.16575</v>
      </c>
      <c r="L297" s="111" t="n">
        <v>0.170625</v>
      </c>
      <c r="M297" s="111" t="n">
        <v>0.1755</v>
      </c>
      <c r="N297" s="111" t="n">
        <v>0.180375</v>
      </c>
      <c r="O297" s="112" t="n">
        <v>0.18525</v>
      </c>
      <c r="P297" s="112" t="n">
        <v>0.190125</v>
      </c>
      <c r="Q297" s="112" t="n">
        <v>0.195</v>
      </c>
      <c r="R297" s="112" t="n">
        <v>0.199875</v>
      </c>
      <c r="S297" s="112" t="n">
        <v>0.20475</v>
      </c>
      <c r="T297" s="0" t="n">
        <v>0.209625</v>
      </c>
      <c r="U297" s="38"/>
    </row>
    <row r="298" customFormat="false" ht="15" hidden="true" customHeight="false" outlineLevel="0" collapsed="false">
      <c r="A298" s="0" t="s">
        <v>257</v>
      </c>
      <c r="B298" s="68" t="n">
        <v>3</v>
      </c>
      <c r="C298" s="108"/>
      <c r="D298" s="108"/>
      <c r="E298" s="108" t="n">
        <v>0.1365</v>
      </c>
      <c r="F298" s="108" t="n">
        <v>0.141375</v>
      </c>
      <c r="G298" s="109" t="n">
        <v>0.14625</v>
      </c>
      <c r="H298" s="109" t="n">
        <v>0.151125</v>
      </c>
      <c r="I298" s="109" t="n">
        <v>0.156</v>
      </c>
      <c r="J298" s="109" t="n">
        <v>0.160875</v>
      </c>
      <c r="K298" s="111" t="n">
        <v>0.16575</v>
      </c>
      <c r="L298" s="111" t="n">
        <v>0.170625</v>
      </c>
      <c r="M298" s="111" t="n">
        <v>0.1755</v>
      </c>
      <c r="N298" s="111" t="n">
        <v>0.180375</v>
      </c>
      <c r="O298" s="112" t="n">
        <v>0.18525</v>
      </c>
      <c r="P298" s="112" t="n">
        <v>0.190125</v>
      </c>
      <c r="Q298" s="112" t="n">
        <v>0.195</v>
      </c>
      <c r="R298" s="112" t="n">
        <v>0.199875</v>
      </c>
      <c r="S298" s="112" t="n">
        <v>0.20475</v>
      </c>
      <c r="T298" s="0" t="n">
        <v>0.209625</v>
      </c>
      <c r="U298" s="38"/>
    </row>
    <row r="299" customFormat="false" ht="15" hidden="true" customHeight="false" outlineLevel="0" collapsed="false">
      <c r="A299" s="103" t="s">
        <v>258</v>
      </c>
      <c r="B299" s="104" t="n">
        <v>26</v>
      </c>
      <c r="C299" s="108"/>
      <c r="D299" s="108"/>
      <c r="E299" s="108"/>
      <c r="F299" s="108"/>
      <c r="G299" s="109"/>
      <c r="H299" s="109"/>
      <c r="I299" s="109"/>
      <c r="J299" s="109"/>
      <c r="K299" s="111"/>
      <c r="L299" s="111"/>
      <c r="M299" s="111" t="n">
        <v>0.199952535109043</v>
      </c>
      <c r="N299" s="111" t="n">
        <v>0.205506772195405</v>
      </c>
      <c r="O299" s="112" t="n">
        <v>0.211061009281767</v>
      </c>
      <c r="P299" s="112" t="n">
        <v>0.216615246368129</v>
      </c>
      <c r="Q299" s="112" t="n">
        <v>0.231084741727246</v>
      </c>
      <c r="R299" s="112" t="n">
        <v>0.236861860270427</v>
      </c>
      <c r="S299" s="112" t="n">
        <v>0.242638978813608</v>
      </c>
      <c r="T299" s="0" t="n">
        <v>0.248416097356789</v>
      </c>
      <c r="U299" s="103" t="n">
        <v>0.25419321589997</v>
      </c>
      <c r="V299" s="0" t="n">
        <v>0.259970334443151</v>
      </c>
      <c r="AD299" s="104"/>
    </row>
    <row r="300" customFormat="false" ht="15" hidden="true" customHeight="false" outlineLevel="0" collapsed="false">
      <c r="A300" s="103" t="s">
        <v>258</v>
      </c>
      <c r="B300" s="104" t="n">
        <v>30</v>
      </c>
      <c r="C300" s="108"/>
      <c r="D300" s="108" t="n">
        <v>0.149964401331782</v>
      </c>
      <c r="E300" s="108" t="n">
        <v>0.155518638418144</v>
      </c>
      <c r="F300" s="108" t="n">
        <v>0.161072875504506</v>
      </c>
      <c r="G300" s="109" t="n">
        <v>0.166627112590869</v>
      </c>
      <c r="H300" s="109" t="n">
        <v>0.172181349677231</v>
      </c>
      <c r="I300" s="109"/>
      <c r="J300" s="109"/>
      <c r="K300" s="111"/>
      <c r="L300" s="111"/>
      <c r="M300" s="111"/>
      <c r="N300" s="111"/>
      <c r="O300" s="112"/>
      <c r="P300" s="112"/>
      <c r="Q300" s="112"/>
      <c r="R300" s="112"/>
      <c r="S300" s="112"/>
      <c r="U300" s="103"/>
      <c r="AD300" s="104"/>
    </row>
    <row r="301" customFormat="false" ht="15" hidden="true" customHeight="false" outlineLevel="0" collapsed="false">
      <c r="A301" s="103" t="s">
        <v>258</v>
      </c>
      <c r="B301" s="104" t="n">
        <v>31</v>
      </c>
      <c r="C301" s="108"/>
      <c r="D301" s="108"/>
      <c r="E301" s="108"/>
      <c r="F301" s="108"/>
      <c r="G301" s="109"/>
      <c r="H301" s="109"/>
      <c r="I301" s="109"/>
      <c r="J301" s="109"/>
      <c r="K301" s="111"/>
      <c r="L301" s="111"/>
      <c r="M301" s="111"/>
      <c r="N301" s="111"/>
      <c r="O301" s="112"/>
      <c r="P301" s="112"/>
      <c r="Q301" s="112"/>
      <c r="R301" s="112"/>
      <c r="S301" s="112"/>
      <c r="U301" s="114"/>
      <c r="X301" s="0" t="n">
        <v>0.271524571529514</v>
      </c>
      <c r="Y301" s="0" t="n">
        <v>0.277301690072695</v>
      </c>
      <c r="Z301" s="0" t="n">
        <v>0.283078808615876</v>
      </c>
      <c r="AA301" s="0" t="n">
        <v>0.288855927159057</v>
      </c>
      <c r="AB301" s="0" t="n">
        <v>0.294633045702238</v>
      </c>
      <c r="AC301" s="0" t="n">
        <v>0.300410164245419</v>
      </c>
      <c r="AD301" s="104"/>
    </row>
    <row r="302" customFormat="false" ht="15" hidden="true" customHeight="false" outlineLevel="0" collapsed="false">
      <c r="A302" s="103" t="s">
        <v>977</v>
      </c>
      <c r="B302" s="104" t="n">
        <v>26</v>
      </c>
      <c r="C302" s="108"/>
      <c r="D302" s="108"/>
      <c r="E302" s="108"/>
      <c r="F302" s="108"/>
      <c r="G302" s="109"/>
      <c r="H302" s="109"/>
      <c r="I302" s="109"/>
      <c r="J302" s="109"/>
      <c r="K302" s="111"/>
      <c r="L302" s="111"/>
      <c r="M302" s="111" t="n">
        <v>0.199952535109043</v>
      </c>
      <c r="N302" s="111" t="n">
        <v>0.205506772195405</v>
      </c>
      <c r="O302" s="112" t="n">
        <v>0.211061009281767</v>
      </c>
      <c r="P302" s="112" t="n">
        <v>0.216615246368129</v>
      </c>
      <c r="Q302" s="112" t="n">
        <v>0.231084741727246</v>
      </c>
      <c r="R302" s="112" t="n">
        <v>0.236861860270427</v>
      </c>
      <c r="S302" s="112" t="n">
        <v>0.242638978813608</v>
      </c>
      <c r="T302" s="0" t="n">
        <v>0.248416097356789</v>
      </c>
      <c r="U302" s="103" t="n">
        <v>0.25419321589997</v>
      </c>
      <c r="V302" s="0" t="n">
        <v>0.259970334443151</v>
      </c>
      <c r="AD302" s="104"/>
    </row>
    <row r="303" customFormat="false" ht="15" hidden="true" customHeight="false" outlineLevel="0" collapsed="false">
      <c r="A303" s="103" t="s">
        <v>977</v>
      </c>
      <c r="B303" s="104" t="n">
        <v>30</v>
      </c>
      <c r="C303" s="108"/>
      <c r="D303" s="108"/>
      <c r="E303" s="108"/>
      <c r="F303" s="108"/>
      <c r="G303" s="109"/>
      <c r="H303" s="109"/>
      <c r="I303" s="109"/>
      <c r="J303" s="109"/>
      <c r="K303" s="111"/>
      <c r="L303" s="111"/>
      <c r="M303" s="111"/>
      <c r="N303" s="111"/>
      <c r="O303" s="112"/>
      <c r="P303" s="112"/>
      <c r="Q303" s="112" t="n">
        <v>0.231084741727246</v>
      </c>
      <c r="R303" s="112" t="n">
        <v>0.236861860270427</v>
      </c>
      <c r="S303" s="112" t="n">
        <v>0.242638978813608</v>
      </c>
      <c r="T303" s="0" t="n">
        <v>0.248416097356789</v>
      </c>
      <c r="U303" s="103" t="n">
        <v>0.25419321589997</v>
      </c>
      <c r="V303" s="0" t="n">
        <v>0.259970334443151</v>
      </c>
      <c r="AD303" s="104"/>
    </row>
    <row r="304" customFormat="false" ht="15" hidden="true" customHeight="false" outlineLevel="0" collapsed="false">
      <c r="A304" s="103" t="s">
        <v>977</v>
      </c>
      <c r="B304" s="104" t="n">
        <v>31</v>
      </c>
      <c r="C304" s="108"/>
      <c r="D304" s="108"/>
      <c r="E304" s="108"/>
      <c r="F304" s="108"/>
      <c r="G304" s="109"/>
      <c r="H304" s="109"/>
      <c r="I304" s="109"/>
      <c r="J304" s="109"/>
      <c r="K304" s="111"/>
      <c r="L304" s="111"/>
      <c r="M304" s="111" t="n">
        <v>0.199952535109043</v>
      </c>
      <c r="N304" s="111" t="n">
        <v>0.205506772195405</v>
      </c>
      <c r="O304" s="112" t="n">
        <v>0.211061009281767</v>
      </c>
      <c r="P304" s="112" t="n">
        <v>0.216615246368129</v>
      </c>
      <c r="Q304" s="112" t="n">
        <v>0.231084741727246</v>
      </c>
      <c r="R304" s="112" t="n">
        <v>0.236861860270427</v>
      </c>
      <c r="S304" s="112" t="n">
        <v>0.242638978813608</v>
      </c>
      <c r="T304" s="0" t="n">
        <v>0.248416097356789</v>
      </c>
      <c r="U304" s="103" t="n">
        <v>0.25419321589997</v>
      </c>
      <c r="V304" s="0" t="n">
        <v>0.259970334443151</v>
      </c>
      <c r="AD304" s="104"/>
    </row>
    <row r="305" customFormat="false" ht="15" hidden="true" customHeight="false" outlineLevel="0" collapsed="false">
      <c r="A305" s="103" t="s">
        <v>979</v>
      </c>
      <c r="B305" s="104" t="n">
        <v>26</v>
      </c>
      <c r="C305" s="108"/>
      <c r="D305" s="108"/>
      <c r="E305" s="108"/>
      <c r="F305" s="108"/>
      <c r="G305" s="109"/>
      <c r="H305" s="109"/>
      <c r="I305" s="109" t="n">
        <v>0.177735586763593</v>
      </c>
      <c r="J305" s="109" t="n">
        <v>0.183289823849956</v>
      </c>
      <c r="K305" s="111" t="n">
        <v>0.188844060936318</v>
      </c>
      <c r="L305" s="111" t="n">
        <v>0.19439829802268</v>
      </c>
      <c r="M305" s="111" t="n">
        <v>0.199952535109043</v>
      </c>
      <c r="N305" s="111" t="n">
        <v>0.205506772195405</v>
      </c>
      <c r="O305" s="112" t="n">
        <v>0.211061009281767</v>
      </c>
      <c r="P305" s="112" t="n">
        <v>0.216615246368129</v>
      </c>
      <c r="Q305" s="112"/>
      <c r="R305" s="112"/>
      <c r="S305" s="112"/>
      <c r="U305" s="103"/>
      <c r="AD305" s="104"/>
    </row>
    <row r="306" customFormat="false" ht="15" hidden="true" customHeight="false" outlineLevel="0" collapsed="false">
      <c r="A306" s="103" t="s">
        <v>979</v>
      </c>
      <c r="B306" s="104" t="n">
        <v>30</v>
      </c>
      <c r="C306" s="108"/>
      <c r="D306" s="108"/>
      <c r="E306" s="108"/>
      <c r="F306" s="108"/>
      <c r="G306" s="109"/>
      <c r="H306" s="109"/>
      <c r="I306" s="109" t="n">
        <v>0.177735586763593</v>
      </c>
      <c r="J306" s="109" t="n">
        <v>0.183289823849956</v>
      </c>
      <c r="K306" s="111" t="n">
        <v>0.188844060936318</v>
      </c>
      <c r="L306" s="111" t="n">
        <v>0.19439829802268</v>
      </c>
      <c r="M306" s="111" t="n">
        <v>0.199952535109043</v>
      </c>
      <c r="N306" s="111" t="n">
        <v>0.205506772195405</v>
      </c>
      <c r="O306" s="112" t="n">
        <v>0.211061009281767</v>
      </c>
      <c r="P306" s="112" t="n">
        <v>0.216615246368129</v>
      </c>
      <c r="Q306" s="112"/>
      <c r="R306" s="112"/>
      <c r="S306" s="112"/>
      <c r="U306" s="103"/>
      <c r="AD306" s="104"/>
    </row>
    <row r="307" customFormat="false" ht="15" hidden="true" customHeight="false" outlineLevel="0" collapsed="false">
      <c r="A307" s="103" t="s">
        <v>979</v>
      </c>
      <c r="B307" s="104" t="n">
        <v>31</v>
      </c>
      <c r="C307" s="108"/>
      <c r="D307" s="108"/>
      <c r="E307" s="108"/>
      <c r="F307" s="108"/>
      <c r="G307" s="109"/>
      <c r="H307" s="109"/>
      <c r="I307" s="109" t="n">
        <v>0.177735586763593</v>
      </c>
      <c r="J307" s="109" t="n">
        <v>0.183289823849956</v>
      </c>
      <c r="K307" s="111" t="n">
        <v>0.188844060936318</v>
      </c>
      <c r="L307" s="111" t="n">
        <v>0.19439829802268</v>
      </c>
      <c r="M307" s="111" t="n">
        <v>0.199952535109043</v>
      </c>
      <c r="N307" s="111" t="n">
        <v>0.205506772195405</v>
      </c>
      <c r="O307" s="112" t="n">
        <v>0.211061009281767</v>
      </c>
      <c r="P307" s="112" t="n">
        <v>0.216615246368129</v>
      </c>
      <c r="Q307" s="112"/>
      <c r="R307" s="112"/>
      <c r="S307" s="112"/>
      <c r="U307" s="103"/>
      <c r="AD307" s="104"/>
    </row>
    <row r="308" customFormat="false" ht="15" hidden="true" customHeight="false" outlineLevel="0" collapsed="false">
      <c r="A308" s="103" t="s">
        <v>982</v>
      </c>
      <c r="B308" s="104" t="n">
        <v>26</v>
      </c>
      <c r="C308" s="108"/>
      <c r="D308" s="108" t="n">
        <v>0.149964401331782</v>
      </c>
      <c r="E308" s="108" t="n">
        <v>0.155518638418144</v>
      </c>
      <c r="F308" s="108" t="n">
        <v>0.161072875504506</v>
      </c>
      <c r="G308" s="109" t="n">
        <v>0.166627112590869</v>
      </c>
      <c r="H308" s="109" t="n">
        <v>0.172181349677231</v>
      </c>
      <c r="I308" s="109" t="n">
        <v>0.177735586763593</v>
      </c>
      <c r="J308" s="109" t="n">
        <v>0.183289823849956</v>
      </c>
      <c r="K308" s="111"/>
      <c r="L308" s="111"/>
      <c r="M308" s="111"/>
      <c r="N308" s="111"/>
      <c r="O308" s="112"/>
      <c r="P308" s="112"/>
      <c r="Q308" s="112"/>
      <c r="R308" s="112"/>
      <c r="S308" s="112"/>
      <c r="U308" s="103"/>
      <c r="AD308" s="104"/>
    </row>
    <row r="309" customFormat="false" ht="15" hidden="true" customHeight="false" outlineLevel="0" collapsed="false">
      <c r="A309" s="103" t="s">
        <v>982</v>
      </c>
      <c r="B309" s="104" t="n">
        <v>30</v>
      </c>
      <c r="C309" s="108"/>
      <c r="D309" s="108" t="n">
        <v>0.149964401331782</v>
      </c>
      <c r="E309" s="108" t="n">
        <v>0.155518638418144</v>
      </c>
      <c r="F309" s="108" t="n">
        <v>0.161072875504506</v>
      </c>
      <c r="G309" s="109" t="n">
        <v>0.166627112590869</v>
      </c>
      <c r="H309" s="109" t="n">
        <v>0.172181349677231</v>
      </c>
      <c r="I309" s="109" t="n">
        <v>0.177735586763593</v>
      </c>
      <c r="J309" s="109" t="n">
        <v>0.183289823849956</v>
      </c>
      <c r="K309" s="111"/>
      <c r="L309" s="111"/>
      <c r="M309" s="111"/>
      <c r="N309" s="111"/>
      <c r="O309" s="112"/>
      <c r="P309" s="112"/>
      <c r="Q309" s="112"/>
      <c r="R309" s="112"/>
      <c r="S309" s="112"/>
      <c r="U309" s="103"/>
      <c r="AD309" s="104"/>
    </row>
    <row r="310" customFormat="false" ht="15" hidden="true" customHeight="false" outlineLevel="0" collapsed="false">
      <c r="A310" s="103" t="s">
        <v>982</v>
      </c>
      <c r="B310" s="104" t="n">
        <v>31</v>
      </c>
      <c r="C310" s="108"/>
      <c r="D310" s="108" t="n">
        <v>0.149964401331782</v>
      </c>
      <c r="E310" s="108" t="n">
        <v>0.155518638418144</v>
      </c>
      <c r="F310" s="108" t="n">
        <v>0.161072875504506</v>
      </c>
      <c r="G310" s="109" t="n">
        <v>0.166627112590869</v>
      </c>
      <c r="H310" s="109" t="n">
        <v>0.172181349677231</v>
      </c>
      <c r="I310" s="109" t="n">
        <v>0.177735586763593</v>
      </c>
      <c r="J310" s="109" t="n">
        <v>0.183289823849956</v>
      </c>
      <c r="K310" s="111"/>
      <c r="L310" s="111"/>
      <c r="M310" s="111"/>
      <c r="N310" s="111"/>
      <c r="O310" s="112"/>
      <c r="P310" s="112"/>
      <c r="Q310" s="112"/>
      <c r="R310" s="112"/>
      <c r="S310" s="112"/>
      <c r="T310" s="0" t="n">
        <v>0.248416097356789</v>
      </c>
      <c r="U310" s="114" t="n">
        <v>0.25419321589997</v>
      </c>
      <c r="V310" s="0" t="n">
        <v>0.259970334443151</v>
      </c>
      <c r="AD310" s="104"/>
    </row>
    <row r="311" customFormat="false" ht="15" hidden="true" customHeight="false" outlineLevel="0" collapsed="false">
      <c r="A311" s="103" t="s">
        <v>259</v>
      </c>
      <c r="B311" s="104" t="n">
        <v>26</v>
      </c>
      <c r="C311" s="108"/>
      <c r="D311" s="108" t="n">
        <v>0.149964401331782</v>
      </c>
      <c r="E311" s="108" t="n">
        <v>0.155518638418144</v>
      </c>
      <c r="F311" s="108" t="n">
        <v>0.161072875504506</v>
      </c>
      <c r="G311" s="109" t="n">
        <v>0.166627112590869</v>
      </c>
      <c r="H311" s="109" t="n">
        <v>0.172181349677231</v>
      </c>
      <c r="I311" s="109" t="n">
        <v>0.177735586763593</v>
      </c>
      <c r="J311" s="109" t="n">
        <v>0.183289823849956</v>
      </c>
      <c r="K311" s="111"/>
      <c r="L311" s="111"/>
      <c r="M311" s="111"/>
      <c r="N311" s="111"/>
      <c r="O311" s="112"/>
      <c r="P311" s="112"/>
      <c r="Q311" s="112"/>
      <c r="R311" s="112"/>
      <c r="S311" s="112"/>
      <c r="U311" s="103"/>
      <c r="AD311" s="104"/>
    </row>
    <row r="312" customFormat="false" ht="15" hidden="true" customHeight="false" outlineLevel="0" collapsed="false">
      <c r="A312" s="103" t="s">
        <v>259</v>
      </c>
      <c r="B312" s="104" t="n">
        <v>30</v>
      </c>
      <c r="C312" s="108"/>
      <c r="D312" s="108" t="n">
        <v>0.149964401331782</v>
      </c>
      <c r="E312" s="108" t="n">
        <v>0.155518638418144</v>
      </c>
      <c r="F312" s="108" t="n">
        <v>0.161072875504506</v>
      </c>
      <c r="G312" s="109" t="n">
        <v>0.166627112590869</v>
      </c>
      <c r="H312" s="109" t="n">
        <v>0.172181349677231</v>
      </c>
      <c r="I312" s="109" t="n">
        <v>0.177735586763593</v>
      </c>
      <c r="J312" s="109" t="n">
        <v>0.183289823849956</v>
      </c>
      <c r="K312" s="111"/>
      <c r="L312" s="111"/>
      <c r="M312" s="111"/>
      <c r="N312" s="111"/>
      <c r="O312" s="112"/>
      <c r="P312" s="112"/>
      <c r="Q312" s="112"/>
      <c r="R312" s="112"/>
      <c r="S312" s="112"/>
      <c r="U312" s="103"/>
      <c r="AD312" s="104"/>
    </row>
    <row r="313" customFormat="false" ht="15" hidden="true" customHeight="false" outlineLevel="0" collapsed="false">
      <c r="A313" s="103" t="s">
        <v>259</v>
      </c>
      <c r="B313" s="104" t="n">
        <v>31</v>
      </c>
      <c r="C313" s="108"/>
      <c r="D313" s="108" t="n">
        <v>0.149964401331782</v>
      </c>
      <c r="E313" s="108" t="n">
        <v>0.155518638418144</v>
      </c>
      <c r="F313" s="108" t="n">
        <v>0.161072875504506</v>
      </c>
      <c r="G313" s="109" t="n">
        <v>0.166627112590869</v>
      </c>
      <c r="H313" s="109" t="n">
        <v>0.172181349677231</v>
      </c>
      <c r="I313" s="109" t="n">
        <v>0.177735586763593</v>
      </c>
      <c r="J313" s="109" t="n">
        <v>0.183289823849956</v>
      </c>
      <c r="K313" s="111"/>
      <c r="L313" s="111"/>
      <c r="M313" s="111"/>
      <c r="N313" s="111"/>
      <c r="O313" s="112"/>
      <c r="P313" s="112"/>
      <c r="Q313" s="112"/>
      <c r="R313" s="112"/>
      <c r="S313" s="112"/>
      <c r="T313" s="0" t="n">
        <v>0.248416097356789</v>
      </c>
      <c r="U313" s="114" t="n">
        <v>0.25419321589997</v>
      </c>
      <c r="V313" s="0" t="n">
        <v>0.259970334443151</v>
      </c>
      <c r="AD313" s="104"/>
    </row>
    <row r="314" customFormat="false" ht="15" hidden="false" customHeight="false" outlineLevel="0" collapsed="false">
      <c r="A314" s="103" t="s">
        <v>987</v>
      </c>
      <c r="B314" s="104" t="n">
        <v>1</v>
      </c>
      <c r="C314" s="108"/>
      <c r="D314" s="108" t="n">
        <v>0.121855375370099</v>
      </c>
      <c r="E314" s="108" t="n">
        <v>0.126368537420844</v>
      </c>
      <c r="F314" s="108" t="n">
        <v>0.130881699471588</v>
      </c>
      <c r="G314" s="109" t="n">
        <v>0.135394861522333</v>
      </c>
      <c r="H314" s="109" t="n">
        <v>0.139908023573077</v>
      </c>
      <c r="I314" s="109" t="n">
        <v>0.144421185623822</v>
      </c>
      <c r="J314" s="109" t="n">
        <v>0.148934347674566</v>
      </c>
      <c r="K314" s="111" t="n">
        <v>0.15344750972531</v>
      </c>
      <c r="L314" s="111" t="n">
        <v>0.157960671776055</v>
      </c>
      <c r="M314" s="111" t="n">
        <v>0.162473833826799</v>
      </c>
      <c r="N314" s="111" t="n">
        <v>0.166986995877544</v>
      </c>
      <c r="O314" s="112" t="n">
        <v>0.171500157928288</v>
      </c>
      <c r="P314" s="112" t="n">
        <v>0.176013319979033</v>
      </c>
      <c r="Q314" s="112" t="n">
        <v>0.180526482029777</v>
      </c>
      <c r="R314" s="112" t="n">
        <v>0.185039644080521</v>
      </c>
      <c r="S314" s="112" t="n">
        <v>0.189552806131266</v>
      </c>
      <c r="T314" s="0" t="n">
        <v>0.19406596818201</v>
      </c>
      <c r="U314" s="114" t="n">
        <v>0.198579130232755</v>
      </c>
      <c r="V314" s="0" t="n">
        <v>0.203092292283499</v>
      </c>
      <c r="AD314" s="104"/>
    </row>
    <row r="315" customFormat="false" ht="15" hidden="false" customHeight="false" outlineLevel="0" collapsed="false">
      <c r="A315" s="103" t="s">
        <v>989</v>
      </c>
      <c r="B315" s="104" t="n">
        <v>1</v>
      </c>
      <c r="C315" s="108"/>
      <c r="D315" s="108"/>
      <c r="E315" s="108"/>
      <c r="F315" s="108"/>
      <c r="G315" s="109"/>
      <c r="H315" s="109"/>
      <c r="I315" s="109" t="n">
        <v>0.144421185623822</v>
      </c>
      <c r="J315" s="109" t="n">
        <v>0.148934347674566</v>
      </c>
      <c r="K315" s="111" t="n">
        <v>0.15344750972531</v>
      </c>
      <c r="L315" s="111" t="n">
        <v>0.157960671776055</v>
      </c>
      <c r="M315" s="111" t="n">
        <v>0.162473833826799</v>
      </c>
      <c r="N315" s="111" t="n">
        <v>0.166986995877544</v>
      </c>
      <c r="O315" s="112" t="n">
        <v>0.171500157928288</v>
      </c>
      <c r="P315" s="112" t="n">
        <v>0.176013319979033</v>
      </c>
      <c r="Q315" s="112" t="n">
        <v>0.180526482029777</v>
      </c>
      <c r="R315" s="112"/>
      <c r="S315" s="112"/>
      <c r="U315" s="114"/>
      <c r="AD315" s="104"/>
    </row>
    <row r="316" customFormat="false" ht="15" hidden="false" customHeight="false" outlineLevel="0" collapsed="false">
      <c r="A316" s="103" t="s">
        <v>260</v>
      </c>
      <c r="B316" s="104" t="n">
        <v>1</v>
      </c>
      <c r="C316" s="108"/>
      <c r="D316" s="108"/>
      <c r="E316" s="108"/>
      <c r="F316" s="108"/>
      <c r="G316" s="109"/>
      <c r="H316" s="109"/>
      <c r="I316" s="109" t="n">
        <v>0.144421185623822</v>
      </c>
      <c r="J316" s="109" t="n">
        <v>0.148934347674566</v>
      </c>
      <c r="K316" s="111" t="n">
        <v>0.15344750972531</v>
      </c>
      <c r="L316" s="111" t="n">
        <v>0.157960671776055</v>
      </c>
      <c r="M316" s="111" t="n">
        <v>0.162473833826799</v>
      </c>
      <c r="N316" s="111" t="n">
        <v>0.166986995877544</v>
      </c>
      <c r="O316" s="112" t="n">
        <v>0.171500157928288</v>
      </c>
      <c r="P316" s="112" t="n">
        <v>0.176013319979033</v>
      </c>
      <c r="Q316" s="112" t="n">
        <v>0.180526482029777</v>
      </c>
      <c r="R316" s="112"/>
      <c r="S316" s="112"/>
      <c r="U316" s="114"/>
      <c r="AD316" s="104"/>
    </row>
    <row r="317" customFormat="false" ht="15" hidden="false" customHeight="false" outlineLevel="0" collapsed="false">
      <c r="A317" s="103" t="s">
        <v>144</v>
      </c>
      <c r="B317" s="104" t="n">
        <v>1</v>
      </c>
      <c r="C317" s="108"/>
      <c r="D317" s="108" t="n">
        <v>0.121855375370099</v>
      </c>
      <c r="E317" s="108" t="n">
        <v>0.126368537420844</v>
      </c>
      <c r="F317" s="108" t="n">
        <v>0.130881699471588</v>
      </c>
      <c r="G317" s="109" t="n">
        <v>0.135394861522333</v>
      </c>
      <c r="H317" s="109" t="n">
        <v>0.139908023573077</v>
      </c>
      <c r="I317" s="109" t="n">
        <v>0.144421185623822</v>
      </c>
      <c r="J317" s="109" t="n">
        <v>0.148934347674566</v>
      </c>
      <c r="K317" s="111" t="n">
        <v>0.15344750972531</v>
      </c>
      <c r="L317" s="111" t="n">
        <v>0.157960671776055</v>
      </c>
      <c r="M317" s="111" t="n">
        <v>0.162473833826799</v>
      </c>
      <c r="N317" s="111" t="n">
        <v>0.166986995877544</v>
      </c>
      <c r="O317" s="112" t="n">
        <v>0.171500157928288</v>
      </c>
      <c r="P317" s="112" t="n">
        <v>0.176013319979033</v>
      </c>
      <c r="Q317" s="112" t="n">
        <v>0.180526482029777</v>
      </c>
      <c r="R317" s="112" t="n">
        <v>0.185039644080521</v>
      </c>
      <c r="S317" s="112" t="n">
        <v>0.189552806131266</v>
      </c>
      <c r="T317" s="0" t="n">
        <v>0.19406596818201</v>
      </c>
      <c r="U317" s="114" t="n">
        <v>0.198579130232755</v>
      </c>
      <c r="V317" s="0" t="n">
        <v>0.203092292283499</v>
      </c>
      <c r="AD317" s="104"/>
    </row>
    <row r="318" customFormat="false" ht="15" hidden="false" customHeight="false" outlineLevel="0" collapsed="false">
      <c r="A318" s="103" t="s">
        <v>261</v>
      </c>
      <c r="B318" s="104" t="n">
        <v>1</v>
      </c>
      <c r="C318" s="108"/>
      <c r="D318" s="108" t="n">
        <v>0.121855375370099</v>
      </c>
      <c r="E318" s="108" t="n">
        <v>0.126368537420844</v>
      </c>
      <c r="F318" s="108" t="n">
        <v>0.130881699471588</v>
      </c>
      <c r="G318" s="109" t="n">
        <v>0.135394861522333</v>
      </c>
      <c r="H318" s="109" t="n">
        <v>0.139908023573077</v>
      </c>
      <c r="I318" s="109" t="n">
        <v>0.144421185623822</v>
      </c>
      <c r="J318" s="109" t="n">
        <v>0.148934347674566</v>
      </c>
      <c r="K318" s="111" t="n">
        <v>0.15344750972531</v>
      </c>
      <c r="L318" s="111" t="n">
        <v>0.157960671776055</v>
      </c>
      <c r="M318" s="111" t="n">
        <v>0.162473833826799</v>
      </c>
      <c r="N318" s="111" t="n">
        <v>0.166986995877544</v>
      </c>
      <c r="O318" s="112" t="n">
        <v>0.171500157928288</v>
      </c>
      <c r="P318" s="112" t="n">
        <v>0.176013319979033</v>
      </c>
      <c r="Q318" s="112" t="n">
        <v>0.180526482029777</v>
      </c>
      <c r="R318" s="112" t="n">
        <v>0.185039644080521</v>
      </c>
      <c r="S318" s="112" t="n">
        <v>0.189552806131266</v>
      </c>
      <c r="T318" s="0" t="n">
        <v>0.19406596818201</v>
      </c>
      <c r="U318" s="114" t="n">
        <v>0.198579130232755</v>
      </c>
      <c r="V318" s="0" t="n">
        <v>0.203092292283499</v>
      </c>
      <c r="AD318" s="104"/>
    </row>
    <row r="319" customFormat="false" ht="15" hidden="false" customHeight="false" outlineLevel="0" collapsed="false">
      <c r="A319" s="103" t="s">
        <v>998</v>
      </c>
      <c r="B319" s="104" t="n">
        <v>1</v>
      </c>
      <c r="C319" s="108"/>
      <c r="D319" s="108" t="n">
        <v>0.121855375370099</v>
      </c>
      <c r="E319" s="108" t="n">
        <v>0.126368537420844</v>
      </c>
      <c r="F319" s="108" t="n">
        <v>0.130881699471588</v>
      </c>
      <c r="G319" s="109" t="n">
        <v>0.135394861522333</v>
      </c>
      <c r="H319" s="109" t="n">
        <v>0.139908023573077</v>
      </c>
      <c r="I319" s="109" t="n">
        <v>0.144421185623822</v>
      </c>
      <c r="J319" s="109" t="n">
        <v>0.148934347674566</v>
      </c>
      <c r="K319" s="111" t="n">
        <v>0.15344750972531</v>
      </c>
      <c r="L319" s="111" t="n">
        <v>0.157960671776055</v>
      </c>
      <c r="M319" s="111" t="n">
        <v>0.162473833826799</v>
      </c>
      <c r="N319" s="111" t="n">
        <v>0.166986995877544</v>
      </c>
      <c r="O319" s="112" t="n">
        <v>0.171500157928288</v>
      </c>
      <c r="P319" s="112" t="n">
        <v>0.176013319979033</v>
      </c>
      <c r="Q319" s="112" t="n">
        <v>0.180526482029777</v>
      </c>
      <c r="R319" s="112" t="n">
        <v>0.185039644080521</v>
      </c>
      <c r="S319" s="112" t="n">
        <v>0.189552806131266</v>
      </c>
      <c r="T319" s="0" t="n">
        <v>0.19406596818201</v>
      </c>
      <c r="U319" s="114" t="n">
        <v>0.198579130232755</v>
      </c>
      <c r="V319" s="0" t="n">
        <v>0.203092292283499</v>
      </c>
      <c r="AD319" s="104"/>
    </row>
    <row r="320" customFormat="false" ht="15" hidden="true" customHeight="false" outlineLevel="0" collapsed="false">
      <c r="A320" s="103" t="s">
        <v>1000</v>
      </c>
      <c r="B320" s="104" t="n">
        <v>25</v>
      </c>
      <c r="C320" s="108"/>
      <c r="D320" s="108"/>
      <c r="E320" s="108"/>
      <c r="F320" s="108"/>
      <c r="G320" s="109"/>
      <c r="H320" s="109"/>
      <c r="I320" s="109"/>
      <c r="J320" s="109"/>
      <c r="K320" s="111"/>
      <c r="L320" s="111"/>
      <c r="M320" s="111"/>
      <c r="N320" s="111"/>
      <c r="O320" s="112"/>
      <c r="P320" s="112"/>
      <c r="Q320" s="112"/>
      <c r="R320" s="112" t="n">
        <v>0.5950125</v>
      </c>
      <c r="S320" s="112" t="n">
        <v>0.609525</v>
      </c>
      <c r="T320" s="0" t="n">
        <v>0.6240375</v>
      </c>
      <c r="U320" s="38" t="n">
        <v>0.63855</v>
      </c>
      <c r="V320" s="0" t="n">
        <v>0.6530625</v>
      </c>
      <c r="AD320" s="104"/>
    </row>
    <row r="321" customFormat="false" ht="15" hidden="true" customHeight="false" outlineLevel="0" collapsed="false">
      <c r="A321" s="103" t="s">
        <v>1003</v>
      </c>
      <c r="B321" s="104" t="n">
        <v>25</v>
      </c>
      <c r="C321" s="108"/>
      <c r="D321" s="108"/>
      <c r="E321" s="108"/>
      <c r="F321" s="108"/>
      <c r="G321" s="109"/>
      <c r="H321" s="109"/>
      <c r="I321" s="109" t="n">
        <v>0.4368</v>
      </c>
      <c r="J321" s="109" t="n">
        <v>0.45045</v>
      </c>
      <c r="K321" s="111" t="n">
        <v>0.4641</v>
      </c>
      <c r="L321" s="111" t="n">
        <v>0.47775</v>
      </c>
      <c r="M321" s="111" t="n">
        <v>0.4914</v>
      </c>
      <c r="N321" s="111" t="n">
        <v>0.50505</v>
      </c>
      <c r="O321" s="112" t="n">
        <v>0.5187</v>
      </c>
      <c r="P321" s="112" t="n">
        <v>0.53235</v>
      </c>
      <c r="Q321" s="112" t="n">
        <v>0.5805</v>
      </c>
      <c r="R321" s="112" t="n">
        <v>0.5950125</v>
      </c>
      <c r="S321" s="112" t="n">
        <v>0.609525</v>
      </c>
      <c r="T321" s="0" t="n">
        <v>0.6240375</v>
      </c>
      <c r="U321" s="103" t="n">
        <v>0.63855</v>
      </c>
      <c r="V321" s="0" t="n">
        <v>0.6530625</v>
      </c>
      <c r="AD321" s="104"/>
    </row>
    <row r="322" customFormat="false" ht="15" hidden="true" customHeight="false" outlineLevel="0" collapsed="false">
      <c r="A322" s="103" t="s">
        <v>145</v>
      </c>
      <c r="B322" s="104" t="n">
        <v>25</v>
      </c>
      <c r="C322" s="108"/>
      <c r="D322" s="108"/>
      <c r="E322" s="108"/>
      <c r="F322" s="108"/>
      <c r="G322" s="109"/>
      <c r="H322" s="109"/>
      <c r="I322" s="109"/>
      <c r="J322" s="109" t="n">
        <v>0.45045</v>
      </c>
      <c r="K322" s="111" t="n">
        <v>0.4641</v>
      </c>
      <c r="L322" s="111" t="n">
        <v>0.47775</v>
      </c>
      <c r="M322" s="111" t="n">
        <v>0.4914</v>
      </c>
      <c r="N322" s="111" t="n">
        <v>0.50505</v>
      </c>
      <c r="O322" s="112" t="n">
        <v>0.5187</v>
      </c>
      <c r="P322" s="112" t="n">
        <v>0.53235</v>
      </c>
      <c r="Q322" s="112"/>
      <c r="R322" s="112"/>
      <c r="S322" s="112"/>
      <c r="U322" s="103"/>
      <c r="AD322" s="104"/>
    </row>
    <row r="323" customFormat="false" ht="15" hidden="true" customHeight="false" outlineLevel="0" collapsed="false">
      <c r="A323" s="103" t="s">
        <v>262</v>
      </c>
      <c r="B323" s="104" t="n">
        <v>25</v>
      </c>
      <c r="C323" s="108"/>
      <c r="D323" s="108"/>
      <c r="E323" s="108"/>
      <c r="F323" s="108"/>
      <c r="G323" s="109"/>
      <c r="H323" s="109"/>
      <c r="I323" s="109"/>
      <c r="J323" s="109" t="n">
        <v>0.45045</v>
      </c>
      <c r="K323" s="111" t="n">
        <v>0.4641</v>
      </c>
      <c r="L323" s="111" t="n">
        <v>0.47775</v>
      </c>
      <c r="M323" s="111" t="n">
        <v>0.4914</v>
      </c>
      <c r="N323" s="111" t="n">
        <v>0.50505</v>
      </c>
      <c r="O323" s="112" t="n">
        <v>0.5187</v>
      </c>
      <c r="P323" s="112" t="n">
        <v>0.53235</v>
      </c>
      <c r="Q323" s="112"/>
      <c r="R323" s="112"/>
      <c r="S323" s="112"/>
      <c r="U323" s="103"/>
      <c r="AD323" s="104"/>
    </row>
    <row r="324" customFormat="false" ht="15" hidden="true" customHeight="false" outlineLevel="0" collapsed="false">
      <c r="A324" s="103" t="s">
        <v>146</v>
      </c>
      <c r="B324" s="104" t="n">
        <v>25</v>
      </c>
      <c r="C324" s="108"/>
      <c r="D324" s="108"/>
      <c r="E324" s="108"/>
      <c r="F324" s="108"/>
      <c r="G324" s="109"/>
      <c r="H324" s="109"/>
      <c r="I324" s="109"/>
      <c r="J324" s="109" t="n">
        <v>0.45045</v>
      </c>
      <c r="K324" s="111" t="n">
        <v>0.4641</v>
      </c>
      <c r="L324" s="111" t="n">
        <v>0.47775</v>
      </c>
      <c r="M324" s="111" t="n">
        <v>0.4914</v>
      </c>
      <c r="N324" s="111" t="n">
        <v>0.50505</v>
      </c>
      <c r="O324" s="112" t="n">
        <v>0.5187</v>
      </c>
      <c r="P324" s="112" t="n">
        <v>0.53235</v>
      </c>
      <c r="Q324" s="112"/>
      <c r="R324" s="112"/>
      <c r="S324" s="112"/>
      <c r="U324" s="103"/>
      <c r="AD324" s="104"/>
    </row>
    <row r="325" customFormat="false" ht="15" hidden="true" customHeight="false" outlineLevel="0" collapsed="false">
      <c r="A325" s="103" t="s">
        <v>263</v>
      </c>
      <c r="B325" s="104" t="n">
        <v>25</v>
      </c>
      <c r="C325" s="108"/>
      <c r="D325" s="108"/>
      <c r="E325" s="108"/>
      <c r="F325" s="108"/>
      <c r="G325" s="109"/>
      <c r="H325" s="109"/>
      <c r="I325" s="109"/>
      <c r="J325" s="109" t="n">
        <v>0.45045</v>
      </c>
      <c r="K325" s="111" t="n">
        <v>0.4641</v>
      </c>
      <c r="L325" s="111" t="n">
        <v>0.47775</v>
      </c>
      <c r="M325" s="111" t="n">
        <v>0.4914</v>
      </c>
      <c r="N325" s="111" t="n">
        <v>0.50505</v>
      </c>
      <c r="O325" s="112" t="n">
        <v>0.5187</v>
      </c>
      <c r="P325" s="112" t="n">
        <v>0.53235</v>
      </c>
      <c r="Q325" s="112"/>
      <c r="R325" s="112"/>
      <c r="S325" s="112"/>
      <c r="U325" s="38"/>
      <c r="AD325" s="104"/>
    </row>
    <row r="326" customFormat="false" ht="15" hidden="true" customHeight="false" outlineLevel="0" collapsed="false">
      <c r="A326" s="103" t="s">
        <v>1012</v>
      </c>
      <c r="B326" s="104" t="n">
        <v>25</v>
      </c>
      <c r="C326" s="108"/>
      <c r="D326" s="108"/>
      <c r="E326" s="108"/>
      <c r="F326" s="108"/>
      <c r="G326" s="109"/>
      <c r="H326" s="109"/>
      <c r="I326" s="109"/>
      <c r="J326" s="109" t="n">
        <v>0.45045</v>
      </c>
      <c r="K326" s="111" t="n">
        <v>0.4641</v>
      </c>
      <c r="L326" s="111" t="n">
        <v>0.47775</v>
      </c>
      <c r="M326" s="111" t="n">
        <v>0.4914</v>
      </c>
      <c r="N326" s="111" t="n">
        <v>0.50505</v>
      </c>
      <c r="O326" s="112" t="n">
        <v>0.5187</v>
      </c>
      <c r="P326" s="112" t="n">
        <v>0.53235</v>
      </c>
      <c r="Q326" s="112"/>
      <c r="R326" s="112"/>
      <c r="S326" s="112"/>
      <c r="U326" s="38"/>
      <c r="AD326" s="104"/>
    </row>
    <row r="327" customFormat="false" ht="15" hidden="true" customHeight="false" outlineLevel="0" collapsed="false">
      <c r="A327" s="103" t="s">
        <v>1015</v>
      </c>
      <c r="B327" s="104" t="n">
        <v>25</v>
      </c>
      <c r="C327" s="108"/>
      <c r="D327" s="108"/>
      <c r="E327" s="108"/>
      <c r="F327" s="108"/>
      <c r="G327" s="109"/>
      <c r="H327" s="109"/>
      <c r="I327" s="109"/>
      <c r="J327" s="109"/>
      <c r="K327" s="111"/>
      <c r="L327" s="111"/>
      <c r="M327" s="111"/>
      <c r="N327" s="111" t="n">
        <v>0.50505</v>
      </c>
      <c r="O327" s="112" t="n">
        <v>0.5187</v>
      </c>
      <c r="P327" s="112" t="n">
        <v>0.53235</v>
      </c>
      <c r="Q327" s="112"/>
      <c r="R327" s="112"/>
      <c r="S327" s="112"/>
      <c r="U327" s="38"/>
      <c r="AD327" s="104"/>
    </row>
    <row r="328" customFormat="false" ht="15" hidden="true" customHeight="false" outlineLevel="0" collapsed="false">
      <c r="A328" s="103" t="s">
        <v>147</v>
      </c>
      <c r="B328" s="104" t="n">
        <v>25</v>
      </c>
      <c r="C328" s="108"/>
      <c r="D328" s="108"/>
      <c r="E328" s="108"/>
      <c r="F328" s="108"/>
      <c r="G328" s="109"/>
      <c r="H328" s="109"/>
      <c r="I328" s="109"/>
      <c r="J328" s="109"/>
      <c r="K328" s="111"/>
      <c r="L328" s="111"/>
      <c r="M328" s="111"/>
      <c r="N328" s="111"/>
      <c r="O328" s="112" t="n">
        <v>0.5187</v>
      </c>
      <c r="P328" s="112" t="n">
        <v>0.53235</v>
      </c>
      <c r="Q328" s="112" t="n">
        <v>0.5805</v>
      </c>
      <c r="R328" s="112" t="n">
        <v>0.5950125</v>
      </c>
      <c r="S328" s="112" t="n">
        <v>0.609525</v>
      </c>
      <c r="T328" s="0" t="n">
        <v>0.6240375</v>
      </c>
      <c r="U328" s="38" t="n">
        <v>0.63855</v>
      </c>
      <c r="V328" s="0" t="n">
        <v>0.6530625</v>
      </c>
      <c r="AD328" s="104"/>
    </row>
    <row r="329" customFormat="false" ht="15" hidden="true" customHeight="false" outlineLevel="0" collapsed="false">
      <c r="A329" s="103" t="s">
        <v>264</v>
      </c>
      <c r="B329" s="104" t="n">
        <v>25</v>
      </c>
      <c r="C329" s="108"/>
      <c r="D329" s="108"/>
      <c r="E329" s="108"/>
      <c r="F329" s="108"/>
      <c r="G329" s="109"/>
      <c r="H329" s="109"/>
      <c r="I329" s="109"/>
      <c r="J329" s="109"/>
      <c r="K329" s="111"/>
      <c r="L329" s="111"/>
      <c r="M329" s="111"/>
      <c r="N329" s="111"/>
      <c r="O329" s="112" t="n">
        <v>0.5187</v>
      </c>
      <c r="P329" s="112" t="n">
        <v>0.53235</v>
      </c>
      <c r="Q329" s="112" t="n">
        <v>0.5805</v>
      </c>
      <c r="R329" s="112" t="n">
        <v>0.5950125</v>
      </c>
      <c r="S329" s="112" t="n">
        <v>0.609525</v>
      </c>
      <c r="T329" s="0" t="n">
        <v>0.6240375</v>
      </c>
      <c r="U329" s="38" t="n">
        <v>0.63855</v>
      </c>
      <c r="V329" s="0" t="n">
        <v>0.6530625</v>
      </c>
      <c r="AD329" s="104"/>
    </row>
    <row r="330" customFormat="false" ht="15" hidden="true" customHeight="false" outlineLevel="0" collapsed="false">
      <c r="A330" s="103" t="s">
        <v>1021</v>
      </c>
      <c r="B330" s="104" t="n">
        <v>25</v>
      </c>
      <c r="C330" s="108"/>
      <c r="D330" s="108"/>
      <c r="E330" s="108"/>
      <c r="F330" s="108"/>
      <c r="G330" s="109"/>
      <c r="H330" s="109"/>
      <c r="I330" s="109"/>
      <c r="J330" s="109" t="n">
        <v>0.45045</v>
      </c>
      <c r="K330" s="111" t="n">
        <v>0.4641</v>
      </c>
      <c r="L330" s="111" t="n">
        <v>0.47775</v>
      </c>
      <c r="M330" s="111" t="n">
        <v>0.4914</v>
      </c>
      <c r="N330" s="111" t="n">
        <v>0.50505</v>
      </c>
      <c r="O330" s="112" t="n">
        <v>0.5187</v>
      </c>
      <c r="P330" s="112" t="n">
        <v>0.53235</v>
      </c>
      <c r="Q330" s="112"/>
      <c r="R330" s="112"/>
      <c r="S330" s="112"/>
      <c r="U330" s="38"/>
      <c r="AD330" s="104"/>
    </row>
    <row r="331" customFormat="false" ht="15" hidden="false" customHeight="false" outlineLevel="0" collapsed="false">
      <c r="A331" s="103" t="s">
        <v>1024</v>
      </c>
      <c r="B331" s="104" t="n">
        <v>1</v>
      </c>
      <c r="C331" s="108"/>
      <c r="D331" s="108"/>
      <c r="E331" s="108"/>
      <c r="F331" s="108" t="n">
        <v>0.301884266886326</v>
      </c>
      <c r="G331" s="109" t="n">
        <v>0.312294069192751</v>
      </c>
      <c r="H331" s="109" t="n">
        <v>0.322703871499176</v>
      </c>
      <c r="I331" s="109" t="n">
        <v>0.333113673805601</v>
      </c>
      <c r="J331" s="109" t="n">
        <v>0.343523476112026</v>
      </c>
      <c r="K331" s="111" t="n">
        <v>0.353933278418451</v>
      </c>
      <c r="L331" s="111" t="n">
        <v>0.364343080724876</v>
      </c>
      <c r="M331" s="111" t="n">
        <v>0.374752883031302</v>
      </c>
      <c r="N331" s="111" t="n">
        <v>0.385162685337727</v>
      </c>
      <c r="O331" s="112" t="n">
        <v>0.395572487644152</v>
      </c>
      <c r="P331" s="112" t="n">
        <v>0.405982289950577</v>
      </c>
      <c r="Q331" s="112" t="n">
        <v>0.425696046128501</v>
      </c>
      <c r="R331" s="112" t="n">
        <v>0.436338447281713</v>
      </c>
      <c r="S331" s="112" t="n">
        <v>0.446980848434926</v>
      </c>
      <c r="T331" s="0" t="n">
        <v>0.457623249588138</v>
      </c>
      <c r="U331" s="38" t="n">
        <v>0.468265650741351</v>
      </c>
      <c r="V331" s="0" t="n">
        <v>0.478908051894563</v>
      </c>
      <c r="AD331" s="104"/>
    </row>
    <row r="332" customFormat="false" ht="15" hidden="false" customHeight="false" outlineLevel="0" collapsed="false">
      <c r="A332" s="103" t="s">
        <v>148</v>
      </c>
      <c r="B332" s="104" t="n">
        <v>1</v>
      </c>
      <c r="C332" s="108"/>
      <c r="D332" s="108"/>
      <c r="E332" s="108"/>
      <c r="F332" s="108" t="n">
        <v>0.301884266886326</v>
      </c>
      <c r="G332" s="109" t="n">
        <v>0.312294069192751</v>
      </c>
      <c r="H332" s="109" t="n">
        <v>0.322703871499176</v>
      </c>
      <c r="I332" s="109" t="n">
        <v>0.333113673805601</v>
      </c>
      <c r="J332" s="109" t="n">
        <v>0.343523476112026</v>
      </c>
      <c r="K332" s="111" t="n">
        <v>0.353933278418451</v>
      </c>
      <c r="L332" s="111" t="n">
        <v>0.364343080724876</v>
      </c>
      <c r="M332" s="111" t="n">
        <v>0.374752883031302</v>
      </c>
      <c r="N332" s="111"/>
      <c r="O332" s="112"/>
      <c r="P332" s="112"/>
      <c r="Q332" s="112"/>
      <c r="R332" s="112"/>
      <c r="S332" s="112"/>
      <c r="U332" s="38"/>
      <c r="AD332" s="104"/>
    </row>
    <row r="333" customFormat="false" ht="15" hidden="false" customHeight="false" outlineLevel="0" collapsed="false">
      <c r="A333" s="103" t="s">
        <v>265</v>
      </c>
      <c r="B333" s="104" t="n">
        <v>1</v>
      </c>
      <c r="C333" s="108"/>
      <c r="D333" s="108"/>
      <c r="E333" s="108"/>
      <c r="F333" s="108" t="n">
        <v>0.301884266886326</v>
      </c>
      <c r="G333" s="109" t="n">
        <v>0.312294069192751</v>
      </c>
      <c r="H333" s="109" t="n">
        <v>0.322703871499176</v>
      </c>
      <c r="I333" s="109" t="n">
        <v>0.333113673805601</v>
      </c>
      <c r="J333" s="109" t="n">
        <v>0.343523476112026</v>
      </c>
      <c r="K333" s="111" t="n">
        <v>0.353933278418451</v>
      </c>
      <c r="L333" s="111" t="n">
        <v>0.364343080724876</v>
      </c>
      <c r="M333" s="111" t="n">
        <v>0.374752883031302</v>
      </c>
      <c r="N333" s="111"/>
      <c r="O333" s="112"/>
      <c r="P333" s="112"/>
      <c r="Q333" s="112"/>
      <c r="R333" s="112"/>
      <c r="S333" s="112"/>
      <c r="U333" s="114"/>
      <c r="AD333" s="104"/>
    </row>
    <row r="334" customFormat="false" ht="15" hidden="false" customHeight="false" outlineLevel="0" collapsed="false">
      <c r="A334" s="103" t="s">
        <v>149</v>
      </c>
      <c r="B334" s="104" t="n">
        <v>1</v>
      </c>
      <c r="C334" s="108"/>
      <c r="D334" s="108"/>
      <c r="E334" s="108"/>
      <c r="F334" s="108" t="n">
        <v>0.301884266886326</v>
      </c>
      <c r="G334" s="109" t="n">
        <v>0.312294069192751</v>
      </c>
      <c r="H334" s="109" t="n">
        <v>0.322703871499176</v>
      </c>
      <c r="I334" s="109" t="n">
        <v>0.333113673805601</v>
      </c>
      <c r="J334" s="109" t="n">
        <v>0.343523476112026</v>
      </c>
      <c r="K334" s="111" t="n">
        <v>0.353933278418451</v>
      </c>
      <c r="L334" s="111" t="n">
        <v>0.364343080724876</v>
      </c>
      <c r="M334" s="111" t="n">
        <v>0.374752883031302</v>
      </c>
      <c r="N334" s="111"/>
      <c r="O334" s="112"/>
      <c r="P334" s="112"/>
      <c r="Q334" s="112"/>
      <c r="R334" s="112"/>
      <c r="S334" s="112"/>
      <c r="U334" s="114"/>
      <c r="AD334" s="104"/>
    </row>
    <row r="335" customFormat="false" ht="15" hidden="false" customHeight="false" outlineLevel="0" collapsed="false">
      <c r="A335" s="103" t="s">
        <v>150</v>
      </c>
      <c r="B335" s="104" t="n">
        <v>1</v>
      </c>
      <c r="C335" s="108"/>
      <c r="D335" s="108"/>
      <c r="E335" s="108"/>
      <c r="F335" s="108"/>
      <c r="G335" s="109"/>
      <c r="H335" s="109"/>
      <c r="I335" s="109"/>
      <c r="J335" s="109"/>
      <c r="K335" s="111"/>
      <c r="L335" s="111"/>
      <c r="M335" s="111"/>
      <c r="N335" s="111" t="n">
        <v>0.385162685337727</v>
      </c>
      <c r="O335" s="112" t="n">
        <v>0.395572487644152</v>
      </c>
      <c r="P335" s="112" t="n">
        <v>0.405982289950577</v>
      </c>
      <c r="Q335" s="112" t="n">
        <v>0.425696046128501</v>
      </c>
      <c r="R335" s="112" t="n">
        <v>0.436338447281713</v>
      </c>
      <c r="S335" s="112" t="n">
        <v>0.446980848434926</v>
      </c>
      <c r="T335" s="0" t="n">
        <v>0.457623249588138</v>
      </c>
      <c r="U335" s="114" t="n">
        <v>0.468265650741351</v>
      </c>
      <c r="V335" s="0" t="n">
        <v>0.478908051894563</v>
      </c>
      <c r="AD335" s="104"/>
    </row>
    <row r="336" customFormat="false" ht="15" hidden="false" customHeight="false" outlineLevel="0" collapsed="false">
      <c r="A336" s="103" t="s">
        <v>266</v>
      </c>
      <c r="B336" s="104" t="n">
        <v>1</v>
      </c>
      <c r="C336" s="108"/>
      <c r="D336" s="108"/>
      <c r="E336" s="108"/>
      <c r="F336" s="108"/>
      <c r="G336" s="109"/>
      <c r="H336" s="109"/>
      <c r="I336" s="109"/>
      <c r="J336" s="109"/>
      <c r="K336" s="111"/>
      <c r="L336" s="111"/>
      <c r="M336" s="111"/>
      <c r="N336" s="111" t="n">
        <v>0.385162685337727</v>
      </c>
      <c r="O336" s="112" t="n">
        <v>0.395572487644152</v>
      </c>
      <c r="P336" s="112" t="n">
        <v>0.405982289950577</v>
      </c>
      <c r="Q336" s="112" t="n">
        <v>0.425696046128501</v>
      </c>
      <c r="R336" s="112" t="n">
        <v>0.436338447281713</v>
      </c>
      <c r="S336" s="112" t="n">
        <v>0.446980848434926</v>
      </c>
      <c r="T336" s="0" t="n">
        <v>0.457623249588138</v>
      </c>
      <c r="U336" s="114" t="n">
        <v>0.468265650741351</v>
      </c>
      <c r="V336" s="0" t="n">
        <v>0.478908051894563</v>
      </c>
      <c r="AD336" s="104"/>
    </row>
    <row r="337" customFormat="false" ht="15" hidden="false" customHeight="false" outlineLevel="0" collapsed="false">
      <c r="A337" s="103" t="s">
        <v>151</v>
      </c>
      <c r="B337" s="104" t="n">
        <v>1</v>
      </c>
      <c r="C337" s="108"/>
      <c r="D337" s="108"/>
      <c r="E337" s="108"/>
      <c r="F337" s="108" t="n">
        <v>0.301884266886326</v>
      </c>
      <c r="G337" s="109" t="n">
        <v>0.312294069192751</v>
      </c>
      <c r="H337" s="109" t="n">
        <v>0.322703871499176</v>
      </c>
      <c r="I337" s="109" t="n">
        <v>0.333113673805601</v>
      </c>
      <c r="J337" s="109" t="n">
        <v>0.343523476112026</v>
      </c>
      <c r="K337" s="111" t="n">
        <v>0.353933278418451</v>
      </c>
      <c r="L337" s="111" t="n">
        <v>0.364343080724876</v>
      </c>
      <c r="M337" s="111" t="n">
        <v>0.374752883031302</v>
      </c>
      <c r="N337" s="111"/>
      <c r="O337" s="112"/>
      <c r="P337" s="112"/>
      <c r="Q337" s="112"/>
      <c r="R337" s="112"/>
      <c r="S337" s="112"/>
      <c r="U337" s="114"/>
      <c r="AD337" s="104"/>
    </row>
    <row r="338" customFormat="false" ht="15" hidden="false" customHeight="false" outlineLevel="0" collapsed="false">
      <c r="A338" s="103" t="s">
        <v>1039</v>
      </c>
      <c r="B338" s="104" t="n">
        <v>1</v>
      </c>
      <c r="C338" s="108"/>
      <c r="D338" s="108"/>
      <c r="E338" s="108"/>
      <c r="F338" s="108"/>
      <c r="G338" s="109"/>
      <c r="H338" s="109"/>
      <c r="I338" s="109"/>
      <c r="J338" s="109"/>
      <c r="K338" s="111"/>
      <c r="L338" s="111"/>
      <c r="M338" s="111"/>
      <c r="N338" s="111" t="n">
        <v>0.385162685337727</v>
      </c>
      <c r="O338" s="112" t="n">
        <v>0.395572487644152</v>
      </c>
      <c r="P338" s="112" t="n">
        <v>0.405982289950577</v>
      </c>
      <c r="Q338" s="112" t="n">
        <v>0.425696046128501</v>
      </c>
      <c r="R338" s="112" t="n">
        <v>0.436338447281713</v>
      </c>
      <c r="S338" s="112" t="n">
        <v>0.446980848434926</v>
      </c>
      <c r="T338" s="0" t="n">
        <v>0.457623249588138</v>
      </c>
      <c r="U338" s="114" t="n">
        <v>0.468265650741351</v>
      </c>
      <c r="V338" s="0" t="n">
        <v>0.478908051894563</v>
      </c>
      <c r="AD338" s="104"/>
    </row>
    <row r="339" customFormat="false" ht="15" hidden="false" customHeight="false" outlineLevel="0" collapsed="false">
      <c r="A339" s="103" t="s">
        <v>267</v>
      </c>
      <c r="B339" s="104" t="n">
        <v>1</v>
      </c>
      <c r="C339" s="108"/>
      <c r="D339" s="108"/>
      <c r="E339" s="108"/>
      <c r="F339" s="108"/>
      <c r="G339" s="109"/>
      <c r="H339" s="109"/>
      <c r="I339" s="109"/>
      <c r="J339" s="109"/>
      <c r="K339" s="111"/>
      <c r="L339" s="111"/>
      <c r="M339" s="111"/>
      <c r="N339" s="111" t="n">
        <v>0.385162685337727</v>
      </c>
      <c r="O339" s="112" t="n">
        <v>0.395572487644152</v>
      </c>
      <c r="P339" s="112" t="n">
        <v>0.405982289950577</v>
      </c>
      <c r="Q339" s="112" t="n">
        <v>0.425696046128501</v>
      </c>
      <c r="R339" s="112" t="n">
        <v>0.436338447281713</v>
      </c>
      <c r="S339" s="112" t="n">
        <v>0.446980848434926</v>
      </c>
      <c r="T339" s="0" t="n">
        <v>0.457623249588138</v>
      </c>
      <c r="U339" s="114" t="n">
        <v>0.468265650741351</v>
      </c>
      <c r="V339" s="0" t="n">
        <v>0.478908051894563</v>
      </c>
      <c r="AD339" s="104"/>
    </row>
    <row r="340" customFormat="false" ht="15" hidden="true" customHeight="false" outlineLevel="0" collapsed="false">
      <c r="A340" s="103" t="s">
        <v>1043</v>
      </c>
      <c r="B340" s="104" t="n">
        <v>25</v>
      </c>
      <c r="C340" s="108"/>
      <c r="D340" s="108"/>
      <c r="E340" s="108"/>
      <c r="F340" s="108"/>
      <c r="G340" s="109"/>
      <c r="H340" s="109"/>
      <c r="I340" s="109"/>
      <c r="J340" s="109"/>
      <c r="K340" s="111"/>
      <c r="L340" s="111"/>
      <c r="M340" s="111"/>
      <c r="N340" s="111"/>
      <c r="O340" s="112" t="n">
        <v>0.5187</v>
      </c>
      <c r="P340" s="112" t="n">
        <v>0.53235</v>
      </c>
      <c r="Q340" s="112" t="n">
        <v>0.5805</v>
      </c>
      <c r="R340" s="112" t="n">
        <v>0.5950125</v>
      </c>
      <c r="S340" s="112" t="n">
        <v>0.609525</v>
      </c>
      <c r="T340" s="0" t="n">
        <v>0.6240375</v>
      </c>
      <c r="U340" s="38" t="n">
        <v>0.63855</v>
      </c>
      <c r="V340" s="0" t="n">
        <v>0.6530625</v>
      </c>
      <c r="AD340" s="104"/>
    </row>
    <row r="341" customFormat="false" ht="15" hidden="true" customHeight="false" outlineLevel="0" collapsed="false">
      <c r="A341" s="103" t="s">
        <v>1046</v>
      </c>
      <c r="B341" s="104" t="n">
        <v>26</v>
      </c>
      <c r="C341" s="108"/>
      <c r="D341" s="108"/>
      <c r="E341" s="108"/>
      <c r="F341" s="108"/>
      <c r="G341" s="109"/>
      <c r="H341" s="109" t="n">
        <v>0.24645</v>
      </c>
      <c r="I341" s="109" t="n">
        <v>0.2544</v>
      </c>
      <c r="J341" s="109" t="n">
        <v>0.26235</v>
      </c>
      <c r="K341" s="111" t="n">
        <v>0.2703</v>
      </c>
      <c r="L341" s="111" t="n">
        <v>0.27825</v>
      </c>
      <c r="M341" s="111" t="n">
        <v>0.2862</v>
      </c>
      <c r="N341" s="111" t="n">
        <v>0.29415</v>
      </c>
      <c r="O341" s="112" t="n">
        <v>0.3021</v>
      </c>
      <c r="P341" s="112" t="n">
        <v>0.31005</v>
      </c>
      <c r="Q341" s="112" t="n">
        <v>0.3465</v>
      </c>
      <c r="R341" s="112" t="n">
        <v>0.3551625</v>
      </c>
      <c r="S341" s="112" t="n">
        <v>0.363825</v>
      </c>
      <c r="T341" s="0" t="n">
        <v>0.3724875</v>
      </c>
      <c r="U341" s="114" t="n">
        <v>0.38115</v>
      </c>
      <c r="V341" s="0" t="n">
        <v>0.3898125</v>
      </c>
      <c r="AD341" s="104"/>
    </row>
    <row r="342" customFormat="false" ht="15" hidden="true" customHeight="false" outlineLevel="0" collapsed="false">
      <c r="A342" s="103" t="s">
        <v>152</v>
      </c>
      <c r="B342" s="104" t="n">
        <v>26</v>
      </c>
      <c r="C342" s="108"/>
      <c r="D342" s="108"/>
      <c r="E342" s="108"/>
      <c r="F342" s="108"/>
      <c r="G342" s="109"/>
      <c r="H342" s="109" t="n">
        <v>0.24645</v>
      </c>
      <c r="I342" s="109" t="n">
        <v>0.2544</v>
      </c>
      <c r="J342" s="109" t="n">
        <v>0.26235</v>
      </c>
      <c r="K342" s="111" t="n">
        <v>0.2703</v>
      </c>
      <c r="L342" s="111" t="n">
        <v>0.27825</v>
      </c>
      <c r="M342" s="111" t="n">
        <v>0.2862</v>
      </c>
      <c r="N342" s="111" t="n">
        <v>0.29415</v>
      </c>
      <c r="O342" s="112" t="n">
        <v>0.3021</v>
      </c>
      <c r="P342" s="112" t="n">
        <v>0.31005</v>
      </c>
      <c r="Q342" s="112"/>
      <c r="R342" s="112"/>
      <c r="S342" s="112"/>
      <c r="U342" s="114"/>
      <c r="AD342" s="104"/>
    </row>
    <row r="343" customFormat="false" ht="15" hidden="true" customHeight="false" outlineLevel="0" collapsed="false">
      <c r="A343" s="103" t="s">
        <v>268</v>
      </c>
      <c r="B343" s="104" t="n">
        <v>26</v>
      </c>
      <c r="C343" s="108"/>
      <c r="D343" s="108"/>
      <c r="E343" s="108"/>
      <c r="F343" s="108"/>
      <c r="G343" s="109"/>
      <c r="H343" s="109" t="n">
        <v>0.24645</v>
      </c>
      <c r="I343" s="109" t="n">
        <v>0.2544</v>
      </c>
      <c r="J343" s="109" t="n">
        <v>0.26235</v>
      </c>
      <c r="K343" s="111" t="n">
        <v>0.2703</v>
      </c>
      <c r="L343" s="111" t="n">
        <v>0.27825</v>
      </c>
      <c r="M343" s="111" t="n">
        <v>0.2862</v>
      </c>
      <c r="N343" s="111" t="n">
        <v>0.29415</v>
      </c>
      <c r="O343" s="112" t="n">
        <v>0.3021</v>
      </c>
      <c r="P343" s="112" t="n">
        <v>0.31005</v>
      </c>
      <c r="Q343" s="112"/>
      <c r="R343" s="112"/>
      <c r="S343" s="112"/>
      <c r="U343" s="114"/>
      <c r="AD343" s="104"/>
    </row>
    <row r="344" customFormat="false" ht="15" hidden="true" customHeight="false" outlineLevel="0" collapsed="false">
      <c r="A344" s="103" t="s">
        <v>1050</v>
      </c>
      <c r="B344" s="104" t="n">
        <v>26</v>
      </c>
      <c r="C344" s="108"/>
      <c r="D344" s="108"/>
      <c r="E344" s="108"/>
      <c r="F344" s="108"/>
      <c r="G344" s="109"/>
      <c r="H344" s="109" t="n">
        <v>0.24645</v>
      </c>
      <c r="I344" s="109" t="n">
        <v>0.2544</v>
      </c>
      <c r="J344" s="109" t="n">
        <v>0.26235</v>
      </c>
      <c r="K344" s="111" t="n">
        <v>0.2703</v>
      </c>
      <c r="L344" s="111" t="n">
        <v>0.27825</v>
      </c>
      <c r="M344" s="111" t="n">
        <v>0.2862</v>
      </c>
      <c r="N344" s="111" t="n">
        <v>0.29415</v>
      </c>
      <c r="O344" s="112" t="n">
        <v>0.3021</v>
      </c>
      <c r="P344" s="112" t="n">
        <v>0.31005</v>
      </c>
      <c r="Q344" s="112"/>
      <c r="R344" s="112"/>
      <c r="S344" s="112"/>
      <c r="U344" s="114"/>
      <c r="AD344" s="104"/>
    </row>
    <row r="345" customFormat="false" ht="15" hidden="true" customHeight="false" outlineLevel="0" collapsed="false">
      <c r="A345" s="103" t="s">
        <v>1053</v>
      </c>
      <c r="B345" s="104" t="n">
        <v>26</v>
      </c>
      <c r="C345" s="108"/>
      <c r="D345" s="108"/>
      <c r="E345" s="108"/>
      <c r="F345" s="108"/>
      <c r="G345" s="109"/>
      <c r="H345" s="109"/>
      <c r="I345" s="109"/>
      <c r="J345" s="109" t="n">
        <v>0.26235</v>
      </c>
      <c r="K345" s="111" t="n">
        <v>0.2703</v>
      </c>
      <c r="L345" s="111" t="n">
        <v>0.27825</v>
      </c>
      <c r="M345" s="111" t="n">
        <v>0.2862</v>
      </c>
      <c r="N345" s="111" t="n">
        <v>0.29415</v>
      </c>
      <c r="O345" s="112" t="n">
        <v>0.3021</v>
      </c>
      <c r="P345" s="112" t="n">
        <v>0.31005</v>
      </c>
      <c r="Q345" s="112"/>
      <c r="R345" s="112"/>
      <c r="S345" s="112"/>
      <c r="U345" s="114"/>
      <c r="AD345" s="104"/>
    </row>
    <row r="346" customFormat="false" ht="15" hidden="true" customHeight="false" outlineLevel="0" collapsed="false">
      <c r="A346" s="103" t="s">
        <v>1056</v>
      </c>
      <c r="B346" s="104" t="n">
        <v>26</v>
      </c>
      <c r="C346" s="108"/>
      <c r="D346" s="108"/>
      <c r="E346" s="108"/>
      <c r="F346" s="108"/>
      <c r="G346" s="109"/>
      <c r="H346" s="109"/>
      <c r="I346" s="109"/>
      <c r="J346" s="109" t="n">
        <v>0.26235</v>
      </c>
      <c r="K346" s="111" t="n">
        <v>0.2703</v>
      </c>
      <c r="L346" s="111" t="n">
        <v>0.27825</v>
      </c>
      <c r="M346" s="111" t="n">
        <v>0.2862</v>
      </c>
      <c r="N346" s="111" t="n">
        <v>0.29415</v>
      </c>
      <c r="O346" s="112" t="n">
        <v>0.3021</v>
      </c>
      <c r="P346" s="112" t="n">
        <v>0.31005</v>
      </c>
      <c r="Q346" s="112"/>
      <c r="R346" s="112"/>
      <c r="S346" s="112"/>
      <c r="U346" s="114"/>
      <c r="AD346" s="104"/>
    </row>
    <row r="347" customFormat="false" ht="15" hidden="true" customHeight="false" outlineLevel="0" collapsed="false">
      <c r="A347" s="103" t="s">
        <v>269</v>
      </c>
      <c r="B347" s="104" t="n">
        <v>26</v>
      </c>
      <c r="C347" s="108"/>
      <c r="D347" s="108"/>
      <c r="E347" s="108"/>
      <c r="F347" s="108"/>
      <c r="G347" s="109"/>
      <c r="H347" s="109"/>
      <c r="I347" s="109"/>
      <c r="J347" s="109"/>
      <c r="K347" s="111"/>
      <c r="L347" s="111"/>
      <c r="M347" s="111"/>
      <c r="N347" s="111"/>
      <c r="O347" s="112" t="n">
        <v>0.3021</v>
      </c>
      <c r="P347" s="112" t="n">
        <v>0.31005</v>
      </c>
      <c r="Q347" s="112" t="n">
        <v>0.3465</v>
      </c>
      <c r="R347" s="112" t="n">
        <v>0.3551625</v>
      </c>
      <c r="S347" s="112" t="n">
        <v>0.363825</v>
      </c>
      <c r="T347" s="0" t="n">
        <v>0.3724875</v>
      </c>
      <c r="U347" s="114" t="n">
        <v>0.38115</v>
      </c>
      <c r="V347" s="0" t="n">
        <v>0.3898125</v>
      </c>
      <c r="AD347" s="104"/>
    </row>
    <row r="348" customFormat="false" ht="15" hidden="true" customHeight="false" outlineLevel="0" collapsed="false">
      <c r="A348" s="103" t="s">
        <v>270</v>
      </c>
      <c r="B348" s="104" t="n">
        <v>26</v>
      </c>
      <c r="C348" s="108"/>
      <c r="D348" s="108"/>
      <c r="E348" s="108"/>
      <c r="F348" s="108"/>
      <c r="G348" s="109"/>
      <c r="H348" s="109"/>
      <c r="I348" s="109"/>
      <c r="J348" s="109"/>
      <c r="K348" s="111"/>
      <c r="L348" s="111"/>
      <c r="M348" s="111"/>
      <c r="N348" s="111"/>
      <c r="O348" s="112"/>
      <c r="P348" s="112"/>
      <c r="Q348" s="112" t="n">
        <v>0.3465</v>
      </c>
      <c r="R348" s="112" t="n">
        <v>0.3551625</v>
      </c>
      <c r="S348" s="112" t="n">
        <v>0.363825</v>
      </c>
      <c r="T348" s="0" t="n">
        <v>0.3724875</v>
      </c>
      <c r="U348" s="114" t="n">
        <v>0.38115</v>
      </c>
      <c r="V348" s="0" t="n">
        <v>0.3898125</v>
      </c>
      <c r="AD348" s="104"/>
    </row>
    <row r="349" customFormat="false" ht="15" hidden="true" customHeight="false" outlineLevel="0" collapsed="false">
      <c r="A349" s="103" t="s">
        <v>153</v>
      </c>
      <c r="B349" s="104" t="n">
        <v>26</v>
      </c>
      <c r="C349" s="108"/>
      <c r="D349" s="108"/>
      <c r="E349" s="108"/>
      <c r="F349" s="108"/>
      <c r="G349" s="109"/>
      <c r="H349" s="109"/>
      <c r="I349" s="109"/>
      <c r="J349" s="109"/>
      <c r="K349" s="111"/>
      <c r="L349" s="111"/>
      <c r="M349" s="111"/>
      <c r="N349" s="111"/>
      <c r="O349" s="112"/>
      <c r="P349" s="112"/>
      <c r="Q349" s="112" t="n">
        <v>0.3465</v>
      </c>
      <c r="R349" s="112" t="n">
        <v>0.3551625</v>
      </c>
      <c r="S349" s="112" t="n">
        <v>0.363825</v>
      </c>
      <c r="T349" s="0" t="n">
        <v>0.3724875</v>
      </c>
      <c r="U349" s="114" t="n">
        <v>0.38115</v>
      </c>
      <c r="V349" s="0" t="n">
        <v>0.3898125</v>
      </c>
      <c r="AD349" s="104"/>
    </row>
    <row r="350" customFormat="false" ht="15" hidden="true" customHeight="false" outlineLevel="0" collapsed="false">
      <c r="A350" s="103" t="s">
        <v>271</v>
      </c>
      <c r="B350" s="104" t="n">
        <v>26</v>
      </c>
      <c r="C350" s="108"/>
      <c r="D350" s="108"/>
      <c r="E350" s="108"/>
      <c r="F350" s="108"/>
      <c r="G350" s="109"/>
      <c r="H350" s="109"/>
      <c r="I350" s="109"/>
      <c r="J350" s="109"/>
      <c r="K350" s="111"/>
      <c r="L350" s="111"/>
      <c r="M350" s="111"/>
      <c r="N350" s="111"/>
      <c r="O350" s="112"/>
      <c r="P350" s="112"/>
      <c r="Q350" s="112" t="n">
        <v>0.3465</v>
      </c>
      <c r="R350" s="112" t="n">
        <v>0.3551625</v>
      </c>
      <c r="S350" s="112" t="n">
        <v>0.363825</v>
      </c>
      <c r="T350" s="0" t="n">
        <v>0.3724875</v>
      </c>
      <c r="U350" s="114" t="n">
        <v>0.38115</v>
      </c>
      <c r="V350" s="0" t="n">
        <v>0.3898125</v>
      </c>
      <c r="AD350" s="104"/>
    </row>
    <row r="351" customFormat="false" ht="15" hidden="true" customHeight="false" outlineLevel="0" collapsed="false">
      <c r="A351" s="103" t="s">
        <v>1068</v>
      </c>
      <c r="B351" s="104" t="n">
        <v>26</v>
      </c>
      <c r="C351" s="108"/>
      <c r="D351" s="108"/>
      <c r="E351" s="108"/>
      <c r="F351" s="108"/>
      <c r="G351" s="109"/>
      <c r="H351" s="109"/>
      <c r="I351" s="109"/>
      <c r="J351" s="109"/>
      <c r="K351" s="111"/>
      <c r="L351" s="111"/>
      <c r="M351" s="111"/>
      <c r="N351" s="111"/>
      <c r="O351" s="112"/>
      <c r="P351" s="112"/>
      <c r="Q351" s="112" t="n">
        <v>0.3465</v>
      </c>
      <c r="R351" s="112" t="n">
        <v>0.3551625</v>
      </c>
      <c r="S351" s="112" t="n">
        <v>0.363825</v>
      </c>
      <c r="T351" s="0" t="n">
        <v>0.3724875</v>
      </c>
      <c r="U351" s="114" t="n">
        <v>0.38115</v>
      </c>
      <c r="V351" s="0" t="n">
        <v>0.3898125</v>
      </c>
      <c r="AD351" s="104"/>
    </row>
    <row r="352" customFormat="false" ht="15" hidden="true" customHeight="false" outlineLevel="0" collapsed="false">
      <c r="A352" s="103" t="s">
        <v>1072</v>
      </c>
      <c r="B352" s="104" t="n">
        <v>26</v>
      </c>
      <c r="C352" s="108"/>
      <c r="D352" s="108"/>
      <c r="E352" s="108"/>
      <c r="F352" s="108"/>
      <c r="G352" s="109"/>
      <c r="H352" s="109"/>
      <c r="I352" s="109"/>
      <c r="J352" s="109"/>
      <c r="K352" s="111"/>
      <c r="L352" s="111"/>
      <c r="M352" s="111"/>
      <c r="N352" s="111"/>
      <c r="O352" s="112"/>
      <c r="P352" s="112"/>
      <c r="Q352" s="112" t="n">
        <v>0.3465</v>
      </c>
      <c r="R352" s="112" t="n">
        <v>0.3551625</v>
      </c>
      <c r="S352" s="112" t="n">
        <v>0.363825</v>
      </c>
      <c r="T352" s="0" t="n">
        <v>0.3724875</v>
      </c>
      <c r="U352" s="114" t="n">
        <v>0.38115</v>
      </c>
      <c r="V352" s="0" t="n">
        <v>0.3898125</v>
      </c>
      <c r="AD352" s="104"/>
    </row>
    <row r="353" customFormat="false" ht="15" hidden="true" customHeight="false" outlineLevel="0" collapsed="false">
      <c r="A353" s="103" t="s">
        <v>272</v>
      </c>
      <c r="B353" s="104" t="n">
        <v>26</v>
      </c>
      <c r="C353" s="108"/>
      <c r="D353" s="108"/>
      <c r="E353" s="108"/>
      <c r="F353" s="108"/>
      <c r="G353" s="109"/>
      <c r="H353" s="109"/>
      <c r="I353" s="109"/>
      <c r="J353" s="109"/>
      <c r="K353" s="111"/>
      <c r="L353" s="111"/>
      <c r="M353" s="111"/>
      <c r="N353" s="111"/>
      <c r="O353" s="112"/>
      <c r="P353" s="112"/>
      <c r="Q353" s="112" t="n">
        <v>0.3465</v>
      </c>
      <c r="R353" s="112" t="n">
        <v>0.3551625</v>
      </c>
      <c r="S353" s="112" t="n">
        <v>0.363825</v>
      </c>
      <c r="T353" s="0" t="n">
        <v>0.3724875</v>
      </c>
      <c r="U353" s="114" t="n">
        <v>0.38115</v>
      </c>
      <c r="V353" s="0" t="n">
        <v>0.3898125</v>
      </c>
      <c r="AD353" s="104"/>
    </row>
    <row r="354" customFormat="false" ht="15" hidden="true" customHeight="false" outlineLevel="0" collapsed="false">
      <c r="A354" s="130" t="s">
        <v>171</v>
      </c>
      <c r="B354" s="104" t="n">
        <v>2</v>
      </c>
      <c r="K354" s="0" t="n">
        <v>1.1475</v>
      </c>
      <c r="L354" s="0" t="n">
        <v>1.18125</v>
      </c>
      <c r="M354" s="0" t="n">
        <v>1.215</v>
      </c>
      <c r="N354" s="0" t="n">
        <v>1.24875</v>
      </c>
      <c r="AD354" s="131" t="n">
        <v>111</v>
      </c>
    </row>
    <row r="355" customFormat="false" ht="15" hidden="false" customHeight="false" outlineLevel="0" collapsed="false">
      <c r="A355" s="130" t="s">
        <v>172</v>
      </c>
      <c r="B355" s="104" t="n">
        <v>1</v>
      </c>
      <c r="I355" s="0" t="n">
        <v>1.08</v>
      </c>
      <c r="J355" s="0" t="n">
        <v>1.11375</v>
      </c>
      <c r="K355" s="0" t="n">
        <v>1.1475</v>
      </c>
      <c r="L355" s="0" t="n">
        <v>1.18125</v>
      </c>
      <c r="M355" s="0" t="n">
        <v>1.215</v>
      </c>
      <c r="N355" s="0" t="n">
        <v>1.24875</v>
      </c>
      <c r="AD355" s="131" t="n">
        <v>107</v>
      </c>
    </row>
    <row r="356" customFormat="false" ht="15" hidden="false" customHeight="false" outlineLevel="0" collapsed="false">
      <c r="A356" s="130" t="s">
        <v>173</v>
      </c>
      <c r="B356" s="104" t="n">
        <v>1</v>
      </c>
      <c r="I356" s="0" t="n">
        <v>1.08</v>
      </c>
      <c r="J356" s="0" t="n">
        <v>1.11375</v>
      </c>
      <c r="K356" s="0" t="n">
        <v>1.1475</v>
      </c>
      <c r="L356" s="0" t="n">
        <v>1.18125</v>
      </c>
      <c r="M356" s="0" t="n">
        <v>1.215</v>
      </c>
      <c r="N356" s="0" t="n">
        <v>1.24875</v>
      </c>
      <c r="AD356" s="131" t="n">
        <v>107</v>
      </c>
    </row>
    <row r="357" customFormat="false" ht="15" hidden="true" customHeight="false" outlineLevel="0" collapsed="false">
      <c r="A357" s="114" t="s">
        <v>312</v>
      </c>
      <c r="B357" s="104" t="n">
        <v>35</v>
      </c>
      <c r="G357" s="0" t="n">
        <v>1.1025</v>
      </c>
      <c r="H357" s="0" t="n">
        <v>1.13925</v>
      </c>
      <c r="I357" s="0" t="n">
        <v>1.176</v>
      </c>
      <c r="J357" s="0" t="n">
        <v>1.21275</v>
      </c>
      <c r="K357" s="0" t="n">
        <v>1.2495</v>
      </c>
      <c r="L357" s="0" t="n">
        <v>1.28625</v>
      </c>
      <c r="AD357" s="131" t="n">
        <v>103.5</v>
      </c>
    </row>
    <row r="358" customFormat="false" ht="15" hidden="true" customHeight="false" outlineLevel="0" collapsed="false">
      <c r="A358" s="130" t="s">
        <v>183</v>
      </c>
      <c r="B358" s="104" t="n">
        <v>35</v>
      </c>
      <c r="G358" s="0" t="n">
        <v>1.1025</v>
      </c>
      <c r="H358" s="0" t="n">
        <v>1.13925</v>
      </c>
      <c r="I358" s="0" t="n">
        <v>1.176</v>
      </c>
      <c r="J358" s="0" t="n">
        <v>1.21275</v>
      </c>
      <c r="K358" s="0" t="n">
        <v>1.2495</v>
      </c>
      <c r="L358" s="0" t="n">
        <v>1.28625</v>
      </c>
      <c r="AD358" s="131" t="n">
        <v>103.5</v>
      </c>
    </row>
    <row r="359" customFormat="false" ht="15" hidden="true" customHeight="false" outlineLevel="0" collapsed="false">
      <c r="A359" s="53" t="s">
        <v>313</v>
      </c>
      <c r="B359" s="104" t="n">
        <v>35</v>
      </c>
      <c r="G359" s="0" t="n">
        <v>1.1025</v>
      </c>
      <c r="H359" s="0" t="n">
        <v>1.13925</v>
      </c>
      <c r="I359" s="0" t="n">
        <v>1.176</v>
      </c>
      <c r="J359" s="0" t="n">
        <v>1.21275</v>
      </c>
      <c r="K359" s="0" t="n">
        <v>1.2495</v>
      </c>
      <c r="L359" s="0" t="n">
        <v>1.28625</v>
      </c>
      <c r="AD359" s="131" t="n">
        <v>104.5</v>
      </c>
    </row>
    <row r="360" customFormat="false" ht="15" hidden="true" customHeight="false" outlineLevel="0" collapsed="false">
      <c r="A360" s="114" t="s">
        <v>314</v>
      </c>
      <c r="B360" s="104" t="n">
        <v>35</v>
      </c>
      <c r="G360" s="0" t="n">
        <v>1.1025</v>
      </c>
      <c r="H360" s="0" t="n">
        <v>1.13925</v>
      </c>
      <c r="I360" s="0" t="n">
        <v>1.176</v>
      </c>
      <c r="J360" s="0" t="n">
        <v>1.21275</v>
      </c>
      <c r="K360" s="0" t="n">
        <v>1.2495</v>
      </c>
      <c r="L360" s="0" t="n">
        <v>1.28625</v>
      </c>
      <c r="AD360" s="131" t="n">
        <v>102.5</v>
      </c>
    </row>
    <row r="361" customFormat="false" ht="15" hidden="true" customHeight="false" outlineLevel="0" collapsed="false">
      <c r="A361" s="130" t="s">
        <v>184</v>
      </c>
      <c r="B361" s="104" t="n">
        <v>35</v>
      </c>
      <c r="G361" s="0" t="n">
        <v>1.1025</v>
      </c>
      <c r="H361" s="0" t="n">
        <v>1.13925</v>
      </c>
      <c r="I361" s="0" t="n">
        <v>1.176</v>
      </c>
      <c r="J361" s="0" t="n">
        <v>1.21275</v>
      </c>
      <c r="K361" s="0" t="n">
        <v>1.2495</v>
      </c>
      <c r="L361" s="0" t="n">
        <v>1.28625</v>
      </c>
      <c r="AD361" s="131" t="n">
        <v>102.5</v>
      </c>
    </row>
    <row r="362" customFormat="false" ht="15" hidden="true" customHeight="false" outlineLevel="0" collapsed="false">
      <c r="A362" s="114" t="s">
        <v>315</v>
      </c>
      <c r="B362" s="104" t="n">
        <v>35</v>
      </c>
      <c r="L362" s="0" t="n">
        <v>1.28625</v>
      </c>
      <c r="M362" s="0" t="n">
        <v>1.323</v>
      </c>
      <c r="N362" s="0" t="n">
        <v>1.35975</v>
      </c>
      <c r="AD362" s="131" t="n">
        <v>105</v>
      </c>
    </row>
    <row r="363" customFormat="false" ht="15" hidden="true" customHeight="false" outlineLevel="0" collapsed="false">
      <c r="A363" s="130" t="s">
        <v>185</v>
      </c>
      <c r="B363" s="104" t="n">
        <v>36</v>
      </c>
      <c r="L363" s="0" t="n">
        <v>1.28625</v>
      </c>
      <c r="M363" s="0" t="n">
        <v>1.323</v>
      </c>
      <c r="N363" s="0" t="n">
        <v>1.35975</v>
      </c>
      <c r="AD363" s="131" t="n">
        <v>105</v>
      </c>
    </row>
    <row r="364" customFormat="false" ht="15" hidden="true" customHeight="false" outlineLevel="0" collapsed="false">
      <c r="A364" s="114" t="s">
        <v>316</v>
      </c>
      <c r="B364" s="104" t="n">
        <v>35</v>
      </c>
      <c r="J364" s="0" t="n">
        <v>1.21275</v>
      </c>
      <c r="K364" s="0" t="n">
        <v>1.2495</v>
      </c>
      <c r="L364" s="0" t="n">
        <v>1.28625</v>
      </c>
      <c r="M364" s="0" t="n">
        <v>1.323</v>
      </c>
      <c r="AD364" s="131" t="n">
        <v>105</v>
      </c>
    </row>
    <row r="365" customFormat="false" ht="15" hidden="true" customHeight="false" outlineLevel="0" collapsed="false">
      <c r="A365" s="130" t="s">
        <v>186</v>
      </c>
      <c r="B365" s="104" t="n">
        <v>36</v>
      </c>
      <c r="J365" s="0" t="n">
        <v>1.21275</v>
      </c>
      <c r="K365" s="0" t="n">
        <v>1.2495</v>
      </c>
      <c r="L365" s="0" t="n">
        <v>1.28625</v>
      </c>
      <c r="M365" s="0" t="n">
        <v>1.323</v>
      </c>
      <c r="AD365" s="131" t="n">
        <v>105</v>
      </c>
    </row>
    <row r="366" customFormat="false" ht="15" hidden="true" customHeight="false" outlineLevel="0" collapsed="false">
      <c r="A366" s="130" t="s">
        <v>187</v>
      </c>
      <c r="B366" s="104" t="n">
        <v>35</v>
      </c>
      <c r="G366" s="0" t="n">
        <v>1.1025</v>
      </c>
      <c r="H366" s="0" t="n">
        <v>1.13925</v>
      </c>
      <c r="I366" s="0" t="n">
        <v>1.176</v>
      </c>
      <c r="J366" s="0" t="n">
        <v>1.21275</v>
      </c>
      <c r="K366" s="0" t="n">
        <v>1.2495</v>
      </c>
      <c r="L366" s="0" t="n">
        <v>1.28625</v>
      </c>
      <c r="AD366" s="131" t="n">
        <v>100</v>
      </c>
    </row>
    <row r="367" customFormat="false" ht="15" hidden="true" customHeight="false" outlineLevel="0" collapsed="false">
      <c r="A367" s="114" t="s">
        <v>317</v>
      </c>
      <c r="B367" s="104" t="n">
        <v>35</v>
      </c>
      <c r="J367" s="0" t="n">
        <v>1.21275</v>
      </c>
      <c r="K367" s="0" t="n">
        <v>1.2495</v>
      </c>
      <c r="L367" s="0" t="n">
        <v>1.28625</v>
      </c>
      <c r="M367" s="0" t="n">
        <v>1.323</v>
      </c>
      <c r="AD367" s="131" t="n">
        <v>100</v>
      </c>
    </row>
    <row r="368" customFormat="false" ht="15" hidden="true" customHeight="false" outlineLevel="0" collapsed="false">
      <c r="A368" s="130" t="s">
        <v>188</v>
      </c>
      <c r="B368" s="104" t="n">
        <v>35</v>
      </c>
      <c r="G368" s="0" t="n">
        <v>1.1025</v>
      </c>
      <c r="H368" s="0" t="n">
        <v>1.13925</v>
      </c>
      <c r="I368" s="0" t="n">
        <v>1.176</v>
      </c>
      <c r="J368" s="0" t="n">
        <v>1.21275</v>
      </c>
      <c r="K368" s="0" t="n">
        <v>1.2495</v>
      </c>
      <c r="L368" s="0" t="n">
        <v>1.28625</v>
      </c>
      <c r="AD368" s="131" t="n">
        <v>103.5</v>
      </c>
    </row>
    <row r="369" customFormat="false" ht="15" hidden="true" customHeight="false" outlineLevel="0" collapsed="false">
      <c r="A369" s="130" t="s">
        <v>189</v>
      </c>
      <c r="B369" s="104" t="n">
        <v>35</v>
      </c>
      <c r="G369" s="0" t="n">
        <v>1.1025</v>
      </c>
      <c r="H369" s="0" t="n">
        <v>1.13925</v>
      </c>
      <c r="I369" s="0" t="n">
        <v>1.176</v>
      </c>
      <c r="J369" s="0" t="n">
        <v>1.21275</v>
      </c>
      <c r="K369" s="0" t="n">
        <v>1.2495</v>
      </c>
      <c r="L369" s="0" t="n">
        <v>1.28625</v>
      </c>
      <c r="AD369" s="131" t="n">
        <v>104.5</v>
      </c>
    </row>
    <row r="370" customFormat="false" ht="15" hidden="true" customHeight="false" outlineLevel="0" collapsed="false">
      <c r="A370" s="130" t="s">
        <v>190</v>
      </c>
      <c r="B370" s="104" t="n">
        <v>35</v>
      </c>
      <c r="G370" s="0" t="n">
        <v>1.1025</v>
      </c>
      <c r="H370" s="0" t="n">
        <v>1.13925</v>
      </c>
      <c r="I370" s="0" t="n">
        <v>1.176</v>
      </c>
      <c r="J370" s="0" t="n">
        <v>1.21275</v>
      </c>
      <c r="K370" s="0" t="n">
        <v>1.2495</v>
      </c>
      <c r="L370" s="0" t="n">
        <v>1.28625</v>
      </c>
      <c r="AD370" s="131" t="n">
        <v>100</v>
      </c>
    </row>
    <row r="371" customFormat="false" ht="15" hidden="true" customHeight="false" outlineLevel="0" collapsed="false">
      <c r="A371" s="130" t="s">
        <v>191</v>
      </c>
      <c r="B371" s="104" t="n">
        <v>35</v>
      </c>
      <c r="G371" s="0" t="n">
        <v>1.1025</v>
      </c>
      <c r="H371" s="0" t="n">
        <v>1.13925</v>
      </c>
      <c r="I371" s="0" t="n">
        <v>1.176</v>
      </c>
      <c r="J371" s="0" t="n">
        <v>1.21275</v>
      </c>
      <c r="K371" s="0" t="n">
        <v>1.2495</v>
      </c>
      <c r="L371" s="0" t="n">
        <v>1.28625</v>
      </c>
      <c r="AD371" s="131" t="n">
        <v>102.5</v>
      </c>
    </row>
    <row r="372" customFormat="false" ht="15" hidden="true" customHeight="false" outlineLevel="0" collapsed="false">
      <c r="A372" s="130" t="s">
        <v>192</v>
      </c>
      <c r="B372" s="104" t="n">
        <v>35</v>
      </c>
      <c r="G372" s="0" t="n">
        <v>1.1025</v>
      </c>
      <c r="H372" s="0" t="n">
        <v>1.13925</v>
      </c>
      <c r="I372" s="0" t="n">
        <v>1.176</v>
      </c>
      <c r="J372" s="0" t="n">
        <v>1.21275</v>
      </c>
      <c r="K372" s="0" t="n">
        <v>1.2495</v>
      </c>
      <c r="L372" s="0" t="n">
        <v>1.28625</v>
      </c>
      <c r="AD372" s="131" t="n">
        <v>100</v>
      </c>
    </row>
    <row r="373" customFormat="false" ht="15" hidden="true" customHeight="false" outlineLevel="0" collapsed="false">
      <c r="A373" s="130" t="s">
        <v>193</v>
      </c>
      <c r="B373" s="104" t="n">
        <v>35</v>
      </c>
      <c r="G373" s="0" t="n">
        <v>1.1025</v>
      </c>
      <c r="H373" s="0" t="n">
        <v>1.13925</v>
      </c>
      <c r="I373" s="0" t="n">
        <v>1.176</v>
      </c>
      <c r="J373" s="0" t="n">
        <v>1.21275</v>
      </c>
      <c r="K373" s="0" t="n">
        <v>1.2495</v>
      </c>
      <c r="L373" s="0" t="n">
        <v>1.28625</v>
      </c>
      <c r="AD373" s="131" t="n">
        <v>103.5</v>
      </c>
    </row>
    <row r="374" customFormat="false" ht="15" hidden="true" customHeight="false" outlineLevel="0" collapsed="false">
      <c r="A374" s="130" t="s">
        <v>194</v>
      </c>
      <c r="B374" s="104" t="n">
        <v>35</v>
      </c>
      <c r="G374" s="0" t="n">
        <v>1.1025</v>
      </c>
      <c r="H374" s="0" t="n">
        <v>1.13925</v>
      </c>
      <c r="I374" s="0" t="n">
        <v>1.176</v>
      </c>
      <c r="J374" s="0" t="n">
        <v>1.21275</v>
      </c>
      <c r="K374" s="0" t="n">
        <v>1.2495</v>
      </c>
      <c r="L374" s="0" t="n">
        <v>1.28625</v>
      </c>
      <c r="AD374" s="131" t="n">
        <v>100</v>
      </c>
    </row>
    <row r="375" customFormat="false" ht="15" hidden="true" customHeight="false" outlineLevel="0" collapsed="false">
      <c r="A375" s="130" t="s">
        <v>195</v>
      </c>
      <c r="B375" s="104" t="n">
        <v>35</v>
      </c>
      <c r="G375" s="0" t="n">
        <v>1.1025</v>
      </c>
      <c r="H375" s="0" t="n">
        <v>1.13925</v>
      </c>
      <c r="I375" s="0" t="n">
        <v>1.176</v>
      </c>
      <c r="J375" s="0" t="n">
        <v>1.21275</v>
      </c>
      <c r="K375" s="0" t="n">
        <v>1.2495</v>
      </c>
      <c r="L375" s="0" t="n">
        <v>1.28625</v>
      </c>
      <c r="AD375" s="131" t="n">
        <v>100</v>
      </c>
    </row>
    <row r="376" customFormat="false" ht="15" hidden="true" customHeight="false" outlineLevel="0" collapsed="false">
      <c r="A376" s="114" t="s">
        <v>318</v>
      </c>
      <c r="B376" s="104" t="n">
        <v>35</v>
      </c>
      <c r="G376" s="0" t="n">
        <v>1.1025</v>
      </c>
      <c r="H376" s="0" t="n">
        <v>1.13925</v>
      </c>
      <c r="I376" s="0" t="n">
        <v>1.176</v>
      </c>
      <c r="J376" s="0" t="n">
        <v>1.21275</v>
      </c>
      <c r="K376" s="0" t="n">
        <v>1.2495</v>
      </c>
      <c r="L376" s="0" t="n">
        <v>1.28625</v>
      </c>
      <c r="AD376" s="131" t="n">
        <v>103.5</v>
      </c>
    </row>
    <row r="377" customFormat="false" ht="15" hidden="true" customHeight="false" outlineLevel="0" collapsed="false">
      <c r="A377" s="130" t="s">
        <v>196</v>
      </c>
      <c r="B377" s="104" t="n">
        <v>35</v>
      </c>
      <c r="G377" s="0" t="n">
        <v>1.1025</v>
      </c>
      <c r="H377" s="0" t="n">
        <v>1.13925</v>
      </c>
      <c r="I377" s="0" t="n">
        <v>1.176</v>
      </c>
      <c r="J377" s="0" t="n">
        <v>1.21275</v>
      </c>
      <c r="K377" s="0" t="n">
        <v>1.2495</v>
      </c>
      <c r="L377" s="0" t="n">
        <v>1.28625</v>
      </c>
      <c r="AD377" s="131" t="n">
        <v>103.5</v>
      </c>
    </row>
    <row r="378" customFormat="false" ht="15" hidden="true" customHeight="false" outlineLevel="0" collapsed="false">
      <c r="A378" s="53" t="s">
        <v>319</v>
      </c>
      <c r="B378" s="104" t="n">
        <v>35</v>
      </c>
      <c r="J378" s="0" t="n">
        <v>1.21275</v>
      </c>
      <c r="K378" s="0" t="n">
        <v>1.2495</v>
      </c>
      <c r="L378" s="0" t="n">
        <v>1.28625</v>
      </c>
      <c r="M378" s="0" t="n">
        <v>1.323</v>
      </c>
      <c r="AD378" s="131" t="n">
        <v>113.5</v>
      </c>
    </row>
    <row r="379" customFormat="false" ht="15" hidden="true" customHeight="false" outlineLevel="0" collapsed="false">
      <c r="A379" s="130" t="s">
        <v>197</v>
      </c>
      <c r="B379" s="104" t="n">
        <v>35</v>
      </c>
      <c r="J379" s="0" t="n">
        <v>1.21275</v>
      </c>
      <c r="K379" s="0" t="n">
        <v>1.2495</v>
      </c>
      <c r="L379" s="0" t="n">
        <v>1.28625</v>
      </c>
      <c r="M379" s="0" t="n">
        <v>1.323</v>
      </c>
      <c r="AD379" s="131" t="n">
        <v>113.5</v>
      </c>
    </row>
    <row r="380" customFormat="false" ht="15" hidden="true" customHeight="false" outlineLevel="0" collapsed="false">
      <c r="A380" s="130" t="s">
        <v>198</v>
      </c>
      <c r="B380" s="104" t="n">
        <v>36</v>
      </c>
      <c r="J380" s="0" t="n">
        <v>1.21275</v>
      </c>
      <c r="K380" s="0" t="n">
        <v>1.2495</v>
      </c>
      <c r="L380" s="0" t="n">
        <v>1.28625</v>
      </c>
      <c r="M380" s="0" t="n">
        <v>1.323</v>
      </c>
      <c r="AD380" s="131" t="n">
        <v>113.5</v>
      </c>
    </row>
    <row r="381" customFormat="false" ht="15" hidden="true" customHeight="false" outlineLevel="0" collapsed="false">
      <c r="A381" s="0" t="s">
        <v>1076</v>
      </c>
      <c r="B381" s="104" t="n">
        <v>7</v>
      </c>
      <c r="C381" s="108"/>
      <c r="D381" s="108"/>
      <c r="E381" s="108"/>
      <c r="F381" s="108"/>
      <c r="G381" s="109"/>
      <c r="H381" s="109"/>
      <c r="I381" s="109" t="n">
        <v>0.0576</v>
      </c>
      <c r="J381" s="109" t="n">
        <v>0.0594</v>
      </c>
      <c r="K381" s="111" t="n">
        <v>0.0612</v>
      </c>
      <c r="L381" s="111" t="n">
        <v>0.063</v>
      </c>
      <c r="M381" s="111" t="n">
        <v>0.064125</v>
      </c>
      <c r="N381" s="111" t="n">
        <v>0.06590625</v>
      </c>
      <c r="O381" s="93" t="n">
        <v>0.0676875</v>
      </c>
      <c r="P381" s="93" t="n">
        <v>0.06946875</v>
      </c>
      <c r="Q381" s="93"/>
      <c r="R381" s="93"/>
      <c r="S381" s="93"/>
      <c r="AD381" s="104"/>
    </row>
    <row r="382" customFormat="false" ht="15" hidden="true" customHeight="false" outlineLevel="0" collapsed="false">
      <c r="A382" s="0" t="s">
        <v>1079</v>
      </c>
      <c r="B382" s="104" t="n">
        <v>7</v>
      </c>
      <c r="C382" s="108"/>
      <c r="D382" s="108"/>
      <c r="E382" s="108"/>
      <c r="F382" s="108"/>
      <c r="G382" s="109"/>
      <c r="H382" s="109"/>
      <c r="I382" s="109" t="n">
        <v>0.0576</v>
      </c>
      <c r="J382" s="109" t="n">
        <v>0.0594</v>
      </c>
      <c r="K382" s="111" t="n">
        <v>0.0612</v>
      </c>
      <c r="L382" s="111" t="n">
        <v>0.063</v>
      </c>
      <c r="M382" s="111" t="n">
        <v>0.064125</v>
      </c>
      <c r="N382" s="111" t="n">
        <v>0.06590625</v>
      </c>
      <c r="O382" s="93" t="n">
        <v>0.0676875</v>
      </c>
      <c r="P382" s="93" t="n">
        <v>0.06946875</v>
      </c>
      <c r="Q382" s="93"/>
      <c r="R382" s="93"/>
      <c r="S382" s="93"/>
      <c r="AD382" s="104"/>
    </row>
    <row r="383" customFormat="false" ht="15" hidden="true" customHeight="false" outlineLevel="0" collapsed="false">
      <c r="A383" s="0" t="s">
        <v>1082</v>
      </c>
      <c r="B383" s="104" t="n">
        <v>7</v>
      </c>
      <c r="C383" s="108"/>
      <c r="D383" s="108"/>
      <c r="E383" s="108"/>
      <c r="F383" s="108"/>
      <c r="G383" s="109"/>
      <c r="H383" s="109"/>
      <c r="I383" s="109" t="n">
        <v>0.0576</v>
      </c>
      <c r="J383" s="109" t="n">
        <v>0.0594</v>
      </c>
      <c r="K383" s="111" t="n">
        <v>0.0612</v>
      </c>
      <c r="L383" s="111" t="n">
        <v>0.063</v>
      </c>
      <c r="M383" s="111" t="n">
        <v>0.064125</v>
      </c>
      <c r="N383" s="111" t="n">
        <v>0.06590625</v>
      </c>
      <c r="O383" s="93" t="n">
        <v>0.0676875</v>
      </c>
      <c r="P383" s="93" t="n">
        <v>0.06946875</v>
      </c>
      <c r="Q383" s="93"/>
      <c r="R383" s="93"/>
      <c r="S383" s="93"/>
      <c r="AD383" s="104"/>
    </row>
    <row r="384" customFormat="false" ht="15" hidden="true" customHeight="false" outlineLevel="0" collapsed="false">
      <c r="A384" s="0" t="s">
        <v>1085</v>
      </c>
      <c r="B384" s="104" t="n">
        <v>6</v>
      </c>
      <c r="C384" s="108"/>
      <c r="D384" s="108"/>
      <c r="E384" s="108"/>
      <c r="F384" s="108"/>
      <c r="G384" s="109"/>
      <c r="H384" s="109"/>
      <c r="I384" s="109" t="n">
        <v>0.128025144619629</v>
      </c>
      <c r="J384" s="109" t="n">
        <v>0.132025930388993</v>
      </c>
      <c r="K384" s="111" t="n">
        <v>0.136026716158356</v>
      </c>
      <c r="L384" s="111" t="n">
        <v>0.14002750192772</v>
      </c>
      <c r="M384" s="111" t="n">
        <v>0.14035470155211</v>
      </c>
      <c r="N384" s="111" t="n">
        <v>0.144253443261891</v>
      </c>
      <c r="O384" s="112" t="n">
        <v>0.148152184971672</v>
      </c>
      <c r="P384" s="112" t="n">
        <v>0.152050926681453</v>
      </c>
      <c r="Q384" s="112" t="n">
        <v>0.151867906007931</v>
      </c>
      <c r="R384" s="112" t="n">
        <v>0.155664603658129</v>
      </c>
      <c r="S384" s="112" t="n">
        <v>0.159461301308327</v>
      </c>
      <c r="T384" s="0" t="n">
        <v>0.163257998958525</v>
      </c>
      <c r="U384" s="0" t="n">
        <v>0.168727702187407</v>
      </c>
      <c r="V384" s="0" t="n">
        <v>0.172562422691667</v>
      </c>
      <c r="W384" s="0" t="n">
        <v>0.176397143195926</v>
      </c>
      <c r="X384" s="0" t="n">
        <v>0.180231863700185</v>
      </c>
      <c r="AD384" s="104"/>
    </row>
    <row r="385" customFormat="false" ht="15" hidden="true" customHeight="false" outlineLevel="0" collapsed="false">
      <c r="A385" s="0" t="s">
        <v>1087</v>
      </c>
      <c r="B385" s="104" t="n">
        <v>6</v>
      </c>
      <c r="C385" s="108"/>
      <c r="D385" s="108"/>
      <c r="E385" s="108"/>
      <c r="F385" s="108"/>
      <c r="G385" s="109"/>
      <c r="H385" s="109"/>
      <c r="I385" s="109" t="n">
        <v>0.0640125723098147</v>
      </c>
      <c r="J385" s="109" t="n">
        <v>0.0660129651944965</v>
      </c>
      <c r="K385" s="111" t="n">
        <v>0.0680133580791782</v>
      </c>
      <c r="L385" s="111" t="n">
        <v>0.0700137509638599</v>
      </c>
      <c r="M385" s="111" t="n">
        <v>0.0701773507760552</v>
      </c>
      <c r="N385" s="111" t="n">
        <v>0.0721267216309456</v>
      </c>
      <c r="O385" s="93" t="n">
        <v>0.074076092485836</v>
      </c>
      <c r="P385" s="93" t="n">
        <v>0.0760254633407264</v>
      </c>
      <c r="Q385" s="93" t="n">
        <v>0.0759339530039653</v>
      </c>
      <c r="R385" s="93" t="n">
        <v>0.0778323018290644</v>
      </c>
      <c r="S385" s="93" t="n">
        <v>0.0797306506541635</v>
      </c>
      <c r="T385" s="0" t="n">
        <v>0.0816289994792626</v>
      </c>
      <c r="U385" s="0" t="n">
        <v>0.0843638510937037</v>
      </c>
      <c r="V385" s="0" t="n">
        <v>0.0862812113458334</v>
      </c>
      <c r="W385" s="0" t="n">
        <v>0.088198571597963</v>
      </c>
      <c r="X385" s="0" t="n">
        <v>0.0901159318500926</v>
      </c>
      <c r="Y385" s="0" t="n">
        <v>0.0920332921022222</v>
      </c>
      <c r="Z385" s="0" t="n">
        <v>0.0939506523543519</v>
      </c>
      <c r="AA385" s="0" t="n">
        <v>0.0958680126064815</v>
      </c>
      <c r="AB385" s="0" t="n">
        <v>0.0977853728586111</v>
      </c>
      <c r="AC385" s="0" t="n">
        <v>0.0997027331107407</v>
      </c>
      <c r="AD385" s="104"/>
    </row>
    <row r="386" customFormat="false" ht="15" hidden="true" customHeight="false" outlineLevel="0" collapsed="false">
      <c r="A386" s="0" t="s">
        <v>320</v>
      </c>
      <c r="B386" s="104" t="n">
        <v>6</v>
      </c>
      <c r="C386" s="108"/>
      <c r="D386" s="108"/>
      <c r="E386" s="108"/>
      <c r="F386" s="108"/>
      <c r="G386" s="109"/>
      <c r="H386" s="109"/>
      <c r="I386" s="109" t="n">
        <v>0.0640125723098147</v>
      </c>
      <c r="J386" s="109" t="n">
        <v>0.0660129651944965</v>
      </c>
      <c r="K386" s="111" t="n">
        <v>0.0680133580791782</v>
      </c>
      <c r="L386" s="111" t="n">
        <v>0.0700137509638599</v>
      </c>
      <c r="M386" s="111" t="n">
        <v>0.0701773507760552</v>
      </c>
      <c r="N386" s="111" t="n">
        <v>0.0721267216309456</v>
      </c>
      <c r="O386" s="93" t="n">
        <v>0.074076092485836</v>
      </c>
      <c r="P386" s="93" t="n">
        <v>0.0760254633407264</v>
      </c>
      <c r="Q386" s="93" t="n">
        <v>0.0759339530039653</v>
      </c>
      <c r="R386" s="93" t="n">
        <v>0.0778323018290644</v>
      </c>
      <c r="S386" s="93" t="n">
        <v>0.0797306506541635</v>
      </c>
      <c r="T386" s="0" t="n">
        <v>0.0816289994792626</v>
      </c>
      <c r="U386" s="0" t="n">
        <v>0.0843638510937037</v>
      </c>
      <c r="V386" s="0" t="n">
        <v>0.0862812113458334</v>
      </c>
      <c r="W386" s="0" t="n">
        <v>0.088198571597963</v>
      </c>
      <c r="X386" s="0" t="n">
        <v>0.0901159318500926</v>
      </c>
      <c r="Y386" s="0" t="n">
        <v>0.0920332921022222</v>
      </c>
      <c r="Z386" s="0" t="n">
        <v>0.0939506523543519</v>
      </c>
      <c r="AA386" s="0" t="n">
        <v>0.0958680126064815</v>
      </c>
      <c r="AB386" s="0" t="n">
        <v>0.0977853728586111</v>
      </c>
      <c r="AC386" s="0" t="n">
        <v>0.0997027331107407</v>
      </c>
      <c r="AD386" s="104"/>
    </row>
    <row r="387" customFormat="false" ht="15" hidden="true" customHeight="false" outlineLevel="0" collapsed="false">
      <c r="A387" s="0" t="s">
        <v>199</v>
      </c>
      <c r="B387" s="104" t="n">
        <v>6</v>
      </c>
      <c r="C387" s="108"/>
      <c r="D387" s="108"/>
      <c r="E387" s="108"/>
      <c r="F387" s="108"/>
      <c r="G387" s="109"/>
      <c r="H387" s="109"/>
      <c r="I387" s="109"/>
      <c r="J387" s="109"/>
      <c r="K387" s="111"/>
      <c r="L387" s="111"/>
      <c r="M387" s="111"/>
      <c r="N387" s="111" t="n">
        <v>0.144253443261891</v>
      </c>
      <c r="O387" s="112" t="n">
        <v>0.148152184971672</v>
      </c>
      <c r="P387" s="112" t="n">
        <v>0.152050926681453</v>
      </c>
      <c r="Q387" s="112" t="n">
        <v>0.151867906007931</v>
      </c>
      <c r="R387" s="112" t="n">
        <v>0.155664603658129</v>
      </c>
      <c r="S387" s="112" t="n">
        <v>0.159461301308327</v>
      </c>
      <c r="T387" s="0" t="n">
        <v>0.163257998958525</v>
      </c>
      <c r="U387" s="0" t="n">
        <v>0.168727702187407</v>
      </c>
      <c r="V387" s="0" t="n">
        <v>0.172562422691667</v>
      </c>
      <c r="W387" s="0" t="n">
        <v>0.176397143195926</v>
      </c>
      <c r="X387" s="0" t="n">
        <v>0.180231863700185</v>
      </c>
      <c r="AD387" s="104"/>
    </row>
    <row r="388" customFormat="false" ht="15" hidden="true" customHeight="false" outlineLevel="0" collapsed="false">
      <c r="A388" s="0" t="s">
        <v>321</v>
      </c>
      <c r="B388" s="104" t="n">
        <v>6</v>
      </c>
      <c r="C388" s="108"/>
      <c r="D388" s="108"/>
      <c r="E388" s="108"/>
      <c r="F388" s="108"/>
      <c r="G388" s="109"/>
      <c r="H388" s="109"/>
      <c r="I388" s="109"/>
      <c r="J388" s="109"/>
      <c r="K388" s="111"/>
      <c r="L388" s="111"/>
      <c r="M388" s="111"/>
      <c r="N388" s="111" t="n">
        <v>0.144253443261891</v>
      </c>
      <c r="O388" s="112" t="n">
        <v>0.148152184971672</v>
      </c>
      <c r="P388" s="112" t="n">
        <v>0.152050926681453</v>
      </c>
      <c r="Q388" s="112" t="n">
        <v>0.151867906007931</v>
      </c>
      <c r="R388" s="112" t="n">
        <v>0.155664603658129</v>
      </c>
      <c r="S388" s="112" t="n">
        <v>0.159461301308327</v>
      </c>
      <c r="T388" s="0" t="n">
        <v>0.163257998958525</v>
      </c>
      <c r="U388" s="0" t="n">
        <v>0.168727702187407</v>
      </c>
      <c r="V388" s="0" t="n">
        <v>0.172562422691667</v>
      </c>
      <c r="W388" s="0" t="n">
        <v>0.176397143195926</v>
      </c>
      <c r="X388" s="0" t="n">
        <v>0.180231863700185</v>
      </c>
      <c r="AD388" s="104"/>
    </row>
    <row r="389" customFormat="false" ht="15" hidden="true" customHeight="false" outlineLevel="0" collapsed="false">
      <c r="A389" s="0" t="s">
        <v>200</v>
      </c>
      <c r="B389" s="104" t="n">
        <v>6</v>
      </c>
      <c r="C389" s="108"/>
      <c r="D389" s="108"/>
      <c r="E389" s="108"/>
      <c r="F389" s="108"/>
      <c r="G389" s="109"/>
      <c r="H389" s="109"/>
      <c r="I389" s="109"/>
      <c r="J389" s="109"/>
      <c r="K389" s="111"/>
      <c r="L389" s="111"/>
      <c r="M389" s="111"/>
      <c r="N389" s="111"/>
      <c r="O389" s="112"/>
      <c r="P389" s="112"/>
      <c r="Q389" s="112"/>
      <c r="R389" s="112" t="n">
        <v>0.155664603658129</v>
      </c>
      <c r="S389" s="112" t="n">
        <v>0.159461301308327</v>
      </c>
      <c r="T389" s="0" t="n">
        <v>0.163257998958525</v>
      </c>
      <c r="U389" s="0" t="n">
        <v>0.168727702187407</v>
      </c>
      <c r="V389" s="0" t="n">
        <v>0.172562422691667</v>
      </c>
      <c r="W389" s="0" t="n">
        <v>0.176397143195926</v>
      </c>
      <c r="X389" s="0" t="n">
        <v>0.180231863700185</v>
      </c>
      <c r="Y389" s="0" t="n">
        <v>0.184066584204444</v>
      </c>
      <c r="Z389" s="0" t="n">
        <v>0.187901304708704</v>
      </c>
      <c r="AA389" s="0" t="n">
        <v>0.191736025212963</v>
      </c>
      <c r="AB389" s="0" t="n">
        <v>0.195570745717222</v>
      </c>
      <c r="AC389" s="0" t="n">
        <v>0.199405466221481</v>
      </c>
      <c r="AD389" s="104"/>
    </row>
    <row r="390" customFormat="false" ht="15" hidden="true" customHeight="false" outlineLevel="0" collapsed="false">
      <c r="A390" s="0" t="s">
        <v>322</v>
      </c>
      <c r="B390" s="104" t="n">
        <v>6</v>
      </c>
      <c r="C390" s="108"/>
      <c r="D390" s="108"/>
      <c r="E390" s="108"/>
      <c r="F390" s="108"/>
      <c r="G390" s="109"/>
      <c r="H390" s="109"/>
      <c r="I390" s="109"/>
      <c r="J390" s="109"/>
      <c r="K390" s="111"/>
      <c r="L390" s="111"/>
      <c r="M390" s="111"/>
      <c r="N390" s="111"/>
      <c r="O390" s="112"/>
      <c r="P390" s="112"/>
      <c r="Q390" s="93"/>
      <c r="R390" s="93" t="n">
        <v>0.155664603658129</v>
      </c>
      <c r="S390" s="93" t="n">
        <v>0.159461301308327</v>
      </c>
      <c r="T390" s="0" t="n">
        <v>0.163257998958525</v>
      </c>
      <c r="U390" s="103" t="n">
        <v>0.168727702187407</v>
      </c>
      <c r="V390" s="0" t="n">
        <v>0.172562422691667</v>
      </c>
      <c r="W390" s="0" t="n">
        <v>0.176397143195926</v>
      </c>
      <c r="X390" s="0" t="n">
        <v>0.180231863700185</v>
      </c>
      <c r="Y390" s="0" t="n">
        <v>0.184066584204444</v>
      </c>
      <c r="Z390" s="0" t="n">
        <v>0.187901304708704</v>
      </c>
      <c r="AA390" s="0" t="n">
        <v>0.191736025212963</v>
      </c>
      <c r="AB390" s="0" t="n">
        <v>0.195570745717222</v>
      </c>
      <c r="AC390" s="0" t="n">
        <v>0.199405466221481</v>
      </c>
      <c r="AD390" s="104"/>
    </row>
    <row r="391" customFormat="false" ht="15" hidden="true" customHeight="false" outlineLevel="0" collapsed="false">
      <c r="A391" s="0" t="s">
        <v>1101</v>
      </c>
      <c r="B391" s="104" t="n">
        <v>6</v>
      </c>
      <c r="C391" s="108"/>
      <c r="D391" s="108"/>
      <c r="E391" s="108"/>
      <c r="F391" s="108"/>
      <c r="G391" s="109"/>
      <c r="H391" s="109"/>
      <c r="I391" s="109"/>
      <c r="J391" s="109"/>
      <c r="K391" s="111"/>
      <c r="L391" s="111"/>
      <c r="M391" s="111"/>
      <c r="N391" s="111"/>
      <c r="O391" s="112"/>
      <c r="P391" s="112"/>
      <c r="Q391" s="112"/>
      <c r="R391" s="112"/>
      <c r="S391" s="112"/>
      <c r="U391" s="0" t="n">
        <v>0.168727702187407</v>
      </c>
      <c r="V391" s="0" t="n">
        <v>0.172562422691667</v>
      </c>
      <c r="W391" s="0" t="n">
        <v>0.176397143195926</v>
      </c>
      <c r="X391" s="0" t="n">
        <v>0.180231863700185</v>
      </c>
      <c r="Y391" s="0" t="n">
        <v>0.184066584204444</v>
      </c>
      <c r="Z391" s="0" t="n">
        <v>0.187901304708704</v>
      </c>
      <c r="AA391" s="0" t="n">
        <v>0.191736025212963</v>
      </c>
      <c r="AB391" s="0" t="n">
        <v>0.195570745717222</v>
      </c>
      <c r="AC391" s="0" t="n">
        <v>0.199405466221481</v>
      </c>
      <c r="AD391" s="104"/>
    </row>
    <row r="392" customFormat="false" ht="15" hidden="true" customHeight="false" outlineLevel="0" collapsed="false">
      <c r="A392" s="0" t="s">
        <v>1104</v>
      </c>
      <c r="B392" s="104" t="n">
        <v>6</v>
      </c>
      <c r="C392" s="108"/>
      <c r="D392" s="108"/>
      <c r="E392" s="108"/>
      <c r="F392" s="108"/>
      <c r="G392" s="109"/>
      <c r="H392" s="109"/>
      <c r="I392" s="109" t="n">
        <v>0.0640125723098147</v>
      </c>
      <c r="J392" s="109" t="n">
        <v>0.0660129651944965</v>
      </c>
      <c r="K392" s="111" t="n">
        <v>0.0680133580791782</v>
      </c>
      <c r="L392" s="111" t="n">
        <v>0.0700137509638599</v>
      </c>
      <c r="M392" s="111" t="n">
        <v>0.0701773507760552</v>
      </c>
      <c r="N392" s="111" t="n">
        <v>0.0721267216309456</v>
      </c>
      <c r="O392" s="112" t="n">
        <v>0.074076092485836</v>
      </c>
      <c r="P392" s="112" t="n">
        <v>0.0760254633407264</v>
      </c>
      <c r="Q392" s="93" t="n">
        <v>0.0759339530039653</v>
      </c>
      <c r="R392" s="93" t="n">
        <v>0.0778323018290644</v>
      </c>
      <c r="S392" s="93" t="n">
        <v>0.0797306506541635</v>
      </c>
      <c r="T392" s="0" t="n">
        <v>0.0816289994792626</v>
      </c>
      <c r="U392" s="103" t="n">
        <v>0.0843638510937037</v>
      </c>
      <c r="V392" s="0" t="n">
        <v>0.0862812113458334</v>
      </c>
      <c r="W392" s="0" t="n">
        <v>0.088198571597963</v>
      </c>
      <c r="X392" s="0" t="n">
        <v>0.0901159318500926</v>
      </c>
      <c r="Y392" s="0" t="n">
        <v>0.0920332921022222</v>
      </c>
      <c r="Z392" s="0" t="n">
        <v>0.0939506523543519</v>
      </c>
      <c r="AA392" s="0" t="n">
        <v>0.0958680126064815</v>
      </c>
      <c r="AB392" s="0" t="n">
        <v>0.0977853728586111</v>
      </c>
      <c r="AC392" s="0" t="n">
        <v>0.0997027331107407</v>
      </c>
      <c r="AD392" s="104"/>
    </row>
    <row r="393" customFormat="false" ht="15" hidden="true" customHeight="false" outlineLevel="0" collapsed="false">
      <c r="A393" s="0" t="s">
        <v>1106</v>
      </c>
      <c r="B393" s="104" t="n">
        <v>6</v>
      </c>
      <c r="C393" s="108"/>
      <c r="D393" s="108"/>
      <c r="E393" s="108"/>
      <c r="F393" s="108"/>
      <c r="G393" s="109"/>
      <c r="H393" s="109"/>
      <c r="I393" s="109" t="n">
        <v>0.128025144619629</v>
      </c>
      <c r="J393" s="109" t="n">
        <v>0.132025930388993</v>
      </c>
      <c r="K393" s="111" t="n">
        <v>0.136026716158356</v>
      </c>
      <c r="L393" s="111" t="n">
        <v>0.14002750192772</v>
      </c>
      <c r="M393" s="111"/>
      <c r="N393" s="111"/>
      <c r="O393" s="112"/>
      <c r="P393" s="112"/>
      <c r="Q393" s="93"/>
      <c r="R393" s="93"/>
      <c r="S393" s="93"/>
      <c r="U393" s="103"/>
      <c r="AD393" s="104"/>
    </row>
    <row r="394" customFormat="false" ht="15" hidden="true" customHeight="false" outlineLevel="0" collapsed="false">
      <c r="A394" s="0" t="s">
        <v>1109</v>
      </c>
      <c r="B394" s="104" t="n">
        <v>6</v>
      </c>
      <c r="C394" s="108"/>
      <c r="D394" s="108"/>
      <c r="E394" s="108"/>
      <c r="F394" s="108"/>
      <c r="G394" s="109"/>
      <c r="H394" s="109"/>
      <c r="I394" s="109" t="n">
        <v>0.128025144619629</v>
      </c>
      <c r="J394" s="109" t="n">
        <v>0.132025930388993</v>
      </c>
      <c r="K394" s="111" t="n">
        <v>0.136026716158356</v>
      </c>
      <c r="L394" s="111" t="n">
        <v>0.14002750192772</v>
      </c>
      <c r="M394" s="111"/>
      <c r="N394" s="111"/>
      <c r="O394" s="112"/>
      <c r="P394" s="112"/>
      <c r="Q394" s="93"/>
      <c r="R394" s="93"/>
      <c r="S394" s="93"/>
      <c r="U394" s="103"/>
      <c r="AD394" s="104"/>
    </row>
    <row r="395" customFormat="false" ht="15" hidden="true" customHeight="false" outlineLevel="0" collapsed="false">
      <c r="A395" s="0" t="s">
        <v>1111</v>
      </c>
      <c r="B395" s="104" t="n">
        <v>6</v>
      </c>
      <c r="C395" s="108"/>
      <c r="D395" s="108"/>
      <c r="E395" s="108"/>
      <c r="F395" s="108"/>
      <c r="G395" s="109"/>
      <c r="H395" s="109"/>
      <c r="I395" s="109" t="n">
        <v>0.0640125723098147</v>
      </c>
      <c r="J395" s="109" t="n">
        <v>0.0660129651944965</v>
      </c>
      <c r="K395" s="111" t="n">
        <v>0.0680133580791782</v>
      </c>
      <c r="L395" s="111" t="n">
        <v>0.0700137509638599</v>
      </c>
      <c r="M395" s="111" t="n">
        <v>0.0701773507760552</v>
      </c>
      <c r="N395" s="111" t="n">
        <v>0.0721267216309456</v>
      </c>
      <c r="O395" s="112" t="n">
        <v>0.074076092485836</v>
      </c>
      <c r="P395" s="112" t="n">
        <v>0.0760254633407264</v>
      </c>
      <c r="Q395" s="93" t="n">
        <v>0.0759339530039653</v>
      </c>
      <c r="R395" s="93" t="n">
        <v>0.0778323018290644</v>
      </c>
      <c r="S395" s="93" t="n">
        <v>0.0797306506541635</v>
      </c>
      <c r="T395" s="0" t="n">
        <v>0.0816289994792626</v>
      </c>
      <c r="U395" s="103" t="n">
        <v>0.0843638510937037</v>
      </c>
      <c r="V395" s="0" t="n">
        <v>0.0862812113458334</v>
      </c>
      <c r="W395" s="0" t="n">
        <v>0.088198571597963</v>
      </c>
      <c r="X395" s="0" t="n">
        <v>0.0901159318500926</v>
      </c>
      <c r="Y395" s="0" t="n">
        <v>0.0920332921022222</v>
      </c>
      <c r="Z395" s="0" t="n">
        <v>0.0939506523543519</v>
      </c>
      <c r="AA395" s="0" t="n">
        <v>0.0958680126064815</v>
      </c>
      <c r="AB395" s="0" t="n">
        <v>0.0977853728586111</v>
      </c>
      <c r="AC395" s="0" t="n">
        <v>0.0997027331107407</v>
      </c>
      <c r="AD395" s="104"/>
    </row>
    <row r="396" customFormat="false" ht="15" hidden="true" customHeight="false" outlineLevel="0" collapsed="false">
      <c r="A396" s="0" t="s">
        <v>1114</v>
      </c>
      <c r="B396" s="104" t="n">
        <v>7</v>
      </c>
      <c r="C396" s="108"/>
      <c r="D396" s="108"/>
      <c r="E396" s="108"/>
      <c r="F396" s="108"/>
      <c r="G396" s="109"/>
      <c r="H396" s="109"/>
      <c r="I396" s="109" t="n">
        <v>0.0697804145149699</v>
      </c>
      <c r="J396" s="109" t="n">
        <v>0.0719610524685627</v>
      </c>
      <c r="K396" s="111" t="n">
        <v>0.0741416904221555</v>
      </c>
      <c r="L396" s="111" t="n">
        <v>0.0763223283757483</v>
      </c>
      <c r="M396" s="111" t="n">
        <v>0.0759907270612873</v>
      </c>
      <c r="N396" s="111" t="n">
        <v>0.0781015805907675</v>
      </c>
      <c r="O396" s="112" t="n">
        <v>0.0802124341202477</v>
      </c>
      <c r="P396" s="112" t="n">
        <v>0.0823232876497279</v>
      </c>
      <c r="Q396" s="93" t="n">
        <v>0.0816427642147039</v>
      </c>
      <c r="R396" s="93" t="n">
        <v>0.0836838333200715</v>
      </c>
      <c r="S396" s="93" t="n">
        <v>0.0857249024254391</v>
      </c>
      <c r="T396" s="0" t="n">
        <v>0.0877659715308067</v>
      </c>
      <c r="U396" s="103" t="n">
        <v>0.0916544122701241</v>
      </c>
      <c r="AD396" s="104"/>
    </row>
    <row r="397" customFormat="false" ht="15" hidden="true" customHeight="false" outlineLevel="0" collapsed="false">
      <c r="A397" s="0" t="s">
        <v>1114</v>
      </c>
      <c r="B397" s="104" t="n">
        <v>8</v>
      </c>
      <c r="C397" s="108"/>
      <c r="D397" s="108"/>
      <c r="E397" s="108"/>
      <c r="F397" s="108"/>
      <c r="G397" s="109"/>
      <c r="H397" s="109"/>
      <c r="I397" s="109" t="n">
        <v>0.0697804145149699</v>
      </c>
      <c r="J397" s="109" t="n">
        <v>0.0719610524685627</v>
      </c>
      <c r="K397" s="111" t="n">
        <v>0.0741416904221555</v>
      </c>
      <c r="L397" s="111" t="n">
        <v>0.0763223283757483</v>
      </c>
      <c r="M397" s="111" t="n">
        <v>0.0759907270612873</v>
      </c>
      <c r="N397" s="111" t="n">
        <v>0.0781015805907675</v>
      </c>
      <c r="O397" s="112" t="n">
        <v>0.0802124341202477</v>
      </c>
      <c r="P397" s="112" t="n">
        <v>0.0823232876497279</v>
      </c>
      <c r="Q397" s="112" t="n">
        <v>0.0816427642147039</v>
      </c>
      <c r="R397" s="112" t="n">
        <v>0.0836838333200715</v>
      </c>
      <c r="S397" s="112" t="n">
        <v>0.0857249024254391</v>
      </c>
      <c r="T397" s="0" t="n">
        <v>0.0877659715308067</v>
      </c>
      <c r="U397" s="114" t="n">
        <v>0.0916544122701241</v>
      </c>
      <c r="AD397" s="104"/>
    </row>
    <row r="398" customFormat="false" ht="15" hidden="true" customHeight="false" outlineLevel="0" collapsed="false">
      <c r="A398" s="0" t="s">
        <v>323</v>
      </c>
      <c r="B398" s="104" t="n">
        <v>7</v>
      </c>
      <c r="C398" s="108"/>
      <c r="D398" s="108"/>
      <c r="E398" s="108"/>
      <c r="F398" s="108"/>
      <c r="G398" s="109"/>
      <c r="H398" s="109"/>
      <c r="I398" s="109"/>
      <c r="J398" s="109"/>
      <c r="K398" s="111"/>
      <c r="L398" s="111"/>
      <c r="M398" s="111"/>
      <c r="N398" s="111"/>
      <c r="O398" s="112" t="n">
        <v>0.0802124341202477</v>
      </c>
      <c r="P398" s="112" t="n">
        <v>0.0823232876497279</v>
      </c>
      <c r="Q398" s="93" t="n">
        <v>0.0816427642147039</v>
      </c>
      <c r="R398" s="93" t="n">
        <v>0.0836838333200715</v>
      </c>
      <c r="S398" s="93" t="n">
        <v>0.0857249024254391</v>
      </c>
      <c r="T398" s="0" t="n">
        <v>0.0877659715308067</v>
      </c>
      <c r="U398" s="103" t="n">
        <v>0.0916544122701241</v>
      </c>
      <c r="V398" s="0" t="n">
        <v>0.0937374670944451</v>
      </c>
      <c r="W398" s="0" t="n">
        <v>0.0958205219187661</v>
      </c>
      <c r="X398" s="0" t="n">
        <v>0.0979035767430871</v>
      </c>
      <c r="Y398" s="0" t="n">
        <v>0.0999866315674081</v>
      </c>
      <c r="Z398" s="0" t="n">
        <v>0.102069686391729</v>
      </c>
      <c r="AA398" s="0" t="n">
        <v>0.10415274121605</v>
      </c>
      <c r="AB398" s="0" t="n">
        <v>0.106235796040371</v>
      </c>
      <c r="AC398" s="0" t="n">
        <v>0.108318850864692</v>
      </c>
      <c r="AD398" s="104"/>
    </row>
    <row r="399" customFormat="false" ht="15" hidden="true" customHeight="false" outlineLevel="0" collapsed="false">
      <c r="A399" s="0" t="s">
        <v>323</v>
      </c>
      <c r="B399" s="104" t="n">
        <v>8</v>
      </c>
      <c r="C399" s="108"/>
      <c r="D399" s="108"/>
      <c r="E399" s="108"/>
      <c r="F399" s="108"/>
      <c r="G399" s="109"/>
      <c r="H399" s="109"/>
      <c r="I399" s="109"/>
      <c r="J399" s="109"/>
      <c r="K399" s="111"/>
      <c r="L399" s="111"/>
      <c r="M399" s="111"/>
      <c r="N399" s="111"/>
      <c r="O399" s="112" t="n">
        <v>0.0802124341202477</v>
      </c>
      <c r="P399" s="112" t="n">
        <v>0.0823232876497279</v>
      </c>
      <c r="Q399" s="93" t="n">
        <v>0.0816427642147039</v>
      </c>
      <c r="R399" s="93" t="n">
        <v>0.0836838333200715</v>
      </c>
      <c r="S399" s="93" t="n">
        <v>0.0857249024254391</v>
      </c>
      <c r="T399" s="0" t="n">
        <v>0.0877659715308067</v>
      </c>
      <c r="U399" s="103" t="n">
        <v>0.0916544122701241</v>
      </c>
      <c r="V399" s="0" t="n">
        <v>0.0937374670944451</v>
      </c>
      <c r="W399" s="0" t="n">
        <v>0.0958205219187661</v>
      </c>
      <c r="X399" s="0" t="n">
        <v>0.0979035767430871</v>
      </c>
      <c r="Y399" s="0" t="n">
        <v>0.0999866315674081</v>
      </c>
      <c r="Z399" s="0" t="n">
        <v>0.102069686391729</v>
      </c>
      <c r="AA399" s="0" t="n">
        <v>0.10415274121605</v>
      </c>
      <c r="AB399" s="0" t="n">
        <v>0.106235796040371</v>
      </c>
      <c r="AC399" s="0" t="n">
        <v>0.108318850864692</v>
      </c>
      <c r="AD399" s="104"/>
    </row>
    <row r="400" customFormat="false" ht="15" hidden="true" customHeight="false" outlineLevel="0" collapsed="false">
      <c r="A400" s="0" t="s">
        <v>201</v>
      </c>
      <c r="B400" s="104" t="n">
        <v>7</v>
      </c>
      <c r="C400" s="108"/>
      <c r="D400" s="108"/>
      <c r="E400" s="108"/>
      <c r="F400" s="108"/>
      <c r="G400" s="109"/>
      <c r="H400" s="109"/>
      <c r="I400" s="109" t="n">
        <v>0.0348902072574849</v>
      </c>
      <c r="J400" s="109" t="n">
        <v>0.0359805262342813</v>
      </c>
      <c r="K400" s="111" t="n">
        <v>0.0370708452110777</v>
      </c>
      <c r="L400" s="111" t="n">
        <v>0.0381611641878741</v>
      </c>
      <c r="M400" s="111" t="n">
        <v>0.0379953635306436</v>
      </c>
      <c r="N400" s="111" t="n">
        <v>0.0390507902953838</v>
      </c>
      <c r="O400" s="93" t="n">
        <v>0.0401062170601239</v>
      </c>
      <c r="P400" s="93" t="n">
        <v>0.041161643824864</v>
      </c>
      <c r="Q400" s="93" t="n">
        <v>0.040821382107352</v>
      </c>
      <c r="R400" s="93" t="n">
        <v>0.0418419166600357</v>
      </c>
      <c r="S400" s="93" t="n">
        <v>0.0428624512127196</v>
      </c>
      <c r="T400" s="0" t="n">
        <v>0.0438829857654033</v>
      </c>
      <c r="U400" s="0" t="n">
        <v>0.0458272061350621</v>
      </c>
      <c r="V400" s="0" t="n">
        <v>0.0468687335472226</v>
      </c>
      <c r="W400" s="0" t="n">
        <v>0.0479102609593831</v>
      </c>
      <c r="X400" s="0" t="n">
        <v>0.0489517883715436</v>
      </c>
      <c r="Y400" s="0" t="n">
        <v>0.049993315783704</v>
      </c>
      <c r="Z400" s="0" t="n">
        <v>0.0510348431958645</v>
      </c>
      <c r="AA400" s="0" t="n">
        <v>0.052076370608025</v>
      </c>
      <c r="AB400" s="0" t="n">
        <v>0.0531178980201855</v>
      </c>
      <c r="AC400" s="0" t="n">
        <v>0.054159425432346</v>
      </c>
      <c r="AD400" s="104"/>
    </row>
    <row r="401" customFormat="false" ht="15" hidden="true" customHeight="false" outlineLevel="0" collapsed="false">
      <c r="A401" s="0" t="s">
        <v>201</v>
      </c>
      <c r="B401" s="104" t="n">
        <v>8</v>
      </c>
      <c r="C401" s="108"/>
      <c r="D401" s="108"/>
      <c r="E401" s="108"/>
      <c r="F401" s="108"/>
      <c r="G401" s="109"/>
      <c r="H401" s="109"/>
      <c r="I401" s="109" t="n">
        <v>0.0348902072574849</v>
      </c>
      <c r="J401" s="109" t="n">
        <v>0.0359805262342813</v>
      </c>
      <c r="K401" s="111" t="n">
        <v>0.0370708452110777</v>
      </c>
      <c r="L401" s="111" t="n">
        <v>0.0381611641878741</v>
      </c>
      <c r="M401" s="111" t="n">
        <v>0.0379953635306436</v>
      </c>
      <c r="N401" s="111" t="n">
        <v>0.0390507902953838</v>
      </c>
      <c r="O401" s="112" t="n">
        <v>0.0401062170601239</v>
      </c>
      <c r="P401" s="112" t="n">
        <v>0.041161643824864</v>
      </c>
      <c r="Q401" s="112" t="n">
        <v>0.040821382107352</v>
      </c>
      <c r="R401" s="112" t="n">
        <v>0.0418419166600357</v>
      </c>
      <c r="S401" s="112" t="n">
        <v>0.0428624512127196</v>
      </c>
      <c r="T401" s="0" t="n">
        <v>0.0438829857654033</v>
      </c>
      <c r="U401" s="114" t="n">
        <v>0.0458272061350621</v>
      </c>
      <c r="V401" s="0" t="n">
        <v>0.0468687335472226</v>
      </c>
      <c r="W401" s="0" t="n">
        <v>0.0479102609593831</v>
      </c>
      <c r="X401" s="0" t="n">
        <v>0.0489517883715436</v>
      </c>
      <c r="Y401" s="0" t="n">
        <v>0.049993315783704</v>
      </c>
      <c r="Z401" s="0" t="n">
        <v>0.0510348431958645</v>
      </c>
      <c r="AA401" s="0" t="n">
        <v>0.052076370608025</v>
      </c>
      <c r="AB401" s="0" t="n">
        <v>0.0531178980201855</v>
      </c>
      <c r="AC401" s="0" t="n">
        <v>0.054159425432346</v>
      </c>
      <c r="AD401" s="104"/>
    </row>
    <row r="402" customFormat="false" ht="15" hidden="true" customHeight="false" outlineLevel="0" collapsed="false">
      <c r="A402" s="0" t="s">
        <v>324</v>
      </c>
      <c r="B402" s="104" t="n">
        <v>7</v>
      </c>
      <c r="C402" s="108"/>
      <c r="D402" s="108"/>
      <c r="E402" s="108"/>
      <c r="F402" s="108"/>
      <c r="G402" s="109"/>
      <c r="H402" s="109"/>
      <c r="I402" s="109" t="n">
        <v>0.0348902072574849</v>
      </c>
      <c r="J402" s="109" t="n">
        <v>0.0359805262342813</v>
      </c>
      <c r="K402" s="111" t="n">
        <v>0.0370708452110777</v>
      </c>
      <c r="L402" s="111" t="n">
        <v>0.0381611641878741</v>
      </c>
      <c r="M402" s="111" t="n">
        <v>0.0379953635306436</v>
      </c>
      <c r="N402" s="111" t="n">
        <v>0.0390507902953838</v>
      </c>
      <c r="O402" s="112" t="n">
        <v>0.0401062170601239</v>
      </c>
      <c r="P402" s="112" t="n">
        <v>0.041161643824864</v>
      </c>
      <c r="Q402" s="93" t="n">
        <v>0.040821382107352</v>
      </c>
      <c r="R402" s="93" t="n">
        <v>0.0418419166600357</v>
      </c>
      <c r="S402" s="93" t="n">
        <v>0.0428624512127196</v>
      </c>
      <c r="T402" s="0" t="n">
        <v>0.0438829857654033</v>
      </c>
      <c r="U402" s="103" t="n">
        <v>0.0458272061350621</v>
      </c>
      <c r="V402" s="0" t="n">
        <v>0.0468687335472226</v>
      </c>
      <c r="W402" s="0" t="n">
        <v>0.0479102609593831</v>
      </c>
      <c r="X402" s="0" t="n">
        <v>0.0489517883715436</v>
      </c>
      <c r="Y402" s="0" t="n">
        <v>0.049993315783704</v>
      </c>
      <c r="Z402" s="0" t="n">
        <v>0.0510348431958645</v>
      </c>
      <c r="AA402" s="0" t="n">
        <v>0.052076370608025</v>
      </c>
      <c r="AB402" s="0" t="n">
        <v>0.0531178980201855</v>
      </c>
      <c r="AC402" s="0" t="n">
        <v>0.054159425432346</v>
      </c>
      <c r="AD402" s="104"/>
    </row>
    <row r="403" customFormat="false" ht="15" hidden="true" customHeight="false" outlineLevel="0" collapsed="false">
      <c r="A403" s="0" t="s">
        <v>324</v>
      </c>
      <c r="B403" s="104" t="n">
        <v>8</v>
      </c>
      <c r="C403" s="108"/>
      <c r="D403" s="108"/>
      <c r="E403" s="108"/>
      <c r="F403" s="108"/>
      <c r="G403" s="109"/>
      <c r="H403" s="109"/>
      <c r="I403" s="109" t="n">
        <v>0.0348902072574849</v>
      </c>
      <c r="J403" s="109" t="n">
        <v>0.0359805262342813</v>
      </c>
      <c r="K403" s="111" t="n">
        <v>0.0370708452110777</v>
      </c>
      <c r="L403" s="111" t="n">
        <v>0.0381611641878741</v>
      </c>
      <c r="M403" s="111" t="n">
        <v>0.0379953635306436</v>
      </c>
      <c r="N403" s="111" t="n">
        <v>0.0390507902953838</v>
      </c>
      <c r="O403" s="112" t="n">
        <v>0.0401062170601239</v>
      </c>
      <c r="P403" s="112" t="n">
        <v>0.041161643824864</v>
      </c>
      <c r="Q403" s="112" t="n">
        <v>0.040821382107352</v>
      </c>
      <c r="R403" s="112" t="n">
        <v>0.0418419166600357</v>
      </c>
      <c r="S403" s="112" t="n">
        <v>0.0428624512127196</v>
      </c>
      <c r="T403" s="0" t="n">
        <v>0.0438829857654033</v>
      </c>
      <c r="U403" s="114" t="n">
        <v>0.0458272061350621</v>
      </c>
      <c r="V403" s="0" t="n">
        <v>0.0468687335472226</v>
      </c>
      <c r="W403" s="0" t="n">
        <v>0.0479102609593831</v>
      </c>
      <c r="X403" s="0" t="n">
        <v>0.0489517883715436</v>
      </c>
      <c r="Y403" s="0" t="n">
        <v>0.049993315783704</v>
      </c>
      <c r="Z403" s="0" t="n">
        <v>0.0510348431958645</v>
      </c>
      <c r="AA403" s="0" t="n">
        <v>0.052076370608025</v>
      </c>
      <c r="AB403" s="0" t="n">
        <v>0.0531178980201855</v>
      </c>
      <c r="AC403" s="0" t="n">
        <v>0.054159425432346</v>
      </c>
      <c r="AD403" s="104"/>
    </row>
    <row r="404" customFormat="false" ht="15" hidden="true" customHeight="false" outlineLevel="0" collapsed="false">
      <c r="A404" s="0" t="s">
        <v>1121</v>
      </c>
      <c r="B404" s="104" t="n">
        <v>7</v>
      </c>
      <c r="C404" s="108"/>
      <c r="D404" s="108"/>
      <c r="E404" s="108"/>
      <c r="F404" s="108"/>
      <c r="G404" s="109"/>
      <c r="H404" s="109"/>
      <c r="I404" s="109" t="n">
        <v>0.0348902072574849</v>
      </c>
      <c r="J404" s="109" t="n">
        <v>0.0359805262342813</v>
      </c>
      <c r="K404" s="111" t="n">
        <v>0.0370708452110777</v>
      </c>
      <c r="L404" s="111" t="n">
        <v>0.0381611641878741</v>
      </c>
      <c r="M404" s="111" t="n">
        <v>0.0379953635306436</v>
      </c>
      <c r="N404" s="111" t="n">
        <v>0.0390507902953838</v>
      </c>
      <c r="O404" s="112" t="n">
        <v>0.0401062170601239</v>
      </c>
      <c r="P404" s="112" t="n">
        <v>0.041161643824864</v>
      </c>
      <c r="Q404" s="93" t="n">
        <v>0.040821382107352</v>
      </c>
      <c r="R404" s="93" t="n">
        <v>0.0418419166600357</v>
      </c>
      <c r="S404" s="93" t="n">
        <v>0.0428624512127196</v>
      </c>
      <c r="T404" s="0" t="n">
        <v>0.0438829857654033</v>
      </c>
      <c r="U404" s="0" t="n">
        <v>0.0458272061350621</v>
      </c>
      <c r="V404" s="0" t="n">
        <v>0.0468687335472226</v>
      </c>
      <c r="W404" s="0" t="n">
        <v>0.0479102609593831</v>
      </c>
      <c r="X404" s="0" t="n">
        <v>0.0489517883715436</v>
      </c>
      <c r="Y404" s="0" t="n">
        <v>0.049993315783704</v>
      </c>
      <c r="Z404" s="0" t="n">
        <v>0.0510348431958645</v>
      </c>
      <c r="AA404" s="0" t="n">
        <v>0.052076370608025</v>
      </c>
      <c r="AB404" s="0" t="n">
        <v>0.0531178980201855</v>
      </c>
      <c r="AC404" s="0" t="n">
        <v>0.054159425432346</v>
      </c>
      <c r="AD404" s="104"/>
    </row>
    <row r="405" customFormat="false" ht="15" hidden="true" customHeight="false" outlineLevel="0" collapsed="false">
      <c r="A405" s="0" t="s">
        <v>1121</v>
      </c>
      <c r="B405" s="104" t="n">
        <v>8</v>
      </c>
      <c r="C405" s="108"/>
      <c r="D405" s="108"/>
      <c r="E405" s="108"/>
      <c r="F405" s="108"/>
      <c r="G405" s="109"/>
      <c r="H405" s="109"/>
      <c r="I405" s="109" t="n">
        <v>0.0348902072574849</v>
      </c>
      <c r="J405" s="109" t="n">
        <v>0.0359805262342813</v>
      </c>
      <c r="K405" s="111" t="n">
        <v>0.0370708452110777</v>
      </c>
      <c r="L405" s="111" t="n">
        <v>0.0381611641878741</v>
      </c>
      <c r="M405" s="111" t="n">
        <v>0.0379953635306436</v>
      </c>
      <c r="N405" s="111" t="n">
        <v>0.0390507902953838</v>
      </c>
      <c r="O405" s="112" t="n">
        <v>0.0401062170601239</v>
      </c>
      <c r="P405" s="112" t="n">
        <v>0.041161643824864</v>
      </c>
      <c r="Q405" s="93" t="n">
        <v>0.040821382107352</v>
      </c>
      <c r="R405" s="93" t="n">
        <v>0.0418419166600357</v>
      </c>
      <c r="S405" s="93" t="n">
        <v>0.0428624512127196</v>
      </c>
      <c r="T405" s="0" t="n">
        <v>0.0438829857654033</v>
      </c>
      <c r="U405" s="103" t="n">
        <v>0.0458272061350621</v>
      </c>
      <c r="V405" s="0" t="n">
        <v>0.0468687335472226</v>
      </c>
      <c r="W405" s="0" t="n">
        <v>0.0479102609593831</v>
      </c>
      <c r="X405" s="0" t="n">
        <v>0.0489517883715436</v>
      </c>
      <c r="Y405" s="0" t="n">
        <v>0.049993315783704</v>
      </c>
      <c r="Z405" s="0" t="n">
        <v>0.0510348431958645</v>
      </c>
      <c r="AA405" s="0" t="n">
        <v>0.052076370608025</v>
      </c>
      <c r="AB405" s="0" t="n">
        <v>0.0531178980201855</v>
      </c>
      <c r="AC405" s="0" t="n">
        <v>0.054159425432346</v>
      </c>
      <c r="AD405" s="104"/>
    </row>
    <row r="406" customFormat="false" ht="15" hidden="true" customHeight="false" outlineLevel="0" collapsed="false">
      <c r="A406" s="0" t="s">
        <v>1123</v>
      </c>
      <c r="B406" s="104" t="n">
        <v>7</v>
      </c>
      <c r="C406" s="108"/>
      <c r="D406" s="108"/>
      <c r="E406" s="108"/>
      <c r="F406" s="108"/>
      <c r="G406" s="109"/>
      <c r="H406" s="109"/>
      <c r="I406" s="109" t="n">
        <v>0.0348902072574849</v>
      </c>
      <c r="J406" s="109" t="n">
        <v>0.0359805262342813</v>
      </c>
      <c r="K406" s="111" t="n">
        <v>0.0370708452110777</v>
      </c>
      <c r="L406" s="111" t="n">
        <v>0.0381611641878741</v>
      </c>
      <c r="M406" s="111" t="n">
        <v>0.0379953635306436</v>
      </c>
      <c r="N406" s="111" t="n">
        <v>0.0390507902953838</v>
      </c>
      <c r="O406" s="112" t="n">
        <v>0.0401062170601239</v>
      </c>
      <c r="P406" s="112" t="n">
        <v>0.041161643824864</v>
      </c>
      <c r="Q406" s="93" t="n">
        <v>0.040821382107352</v>
      </c>
      <c r="R406" s="93" t="n">
        <v>0.0418419166600357</v>
      </c>
      <c r="S406" s="93" t="n">
        <v>0.0428624512127196</v>
      </c>
      <c r="T406" s="0" t="n">
        <v>0.0438829857654033</v>
      </c>
      <c r="U406" s="0" t="n">
        <v>0.0458272061350621</v>
      </c>
      <c r="V406" s="0" t="n">
        <v>0.0468687335472226</v>
      </c>
      <c r="W406" s="0" t="n">
        <v>0.0479102609593831</v>
      </c>
      <c r="X406" s="0" t="n">
        <v>0.0489517883715436</v>
      </c>
      <c r="Y406" s="0" t="n">
        <v>0.049993315783704</v>
      </c>
      <c r="Z406" s="0" t="n">
        <v>0.0510348431958645</v>
      </c>
      <c r="AA406" s="0" t="n">
        <v>0.052076370608025</v>
      </c>
      <c r="AB406" s="0" t="n">
        <v>0.0531178980201855</v>
      </c>
      <c r="AC406" s="0" t="n">
        <v>0.054159425432346</v>
      </c>
      <c r="AD406" s="104"/>
    </row>
    <row r="407" customFormat="false" ht="15" hidden="true" customHeight="false" outlineLevel="0" collapsed="false">
      <c r="A407" s="0" t="s">
        <v>1123</v>
      </c>
      <c r="B407" s="104" t="n">
        <v>8</v>
      </c>
      <c r="C407" s="108"/>
      <c r="D407" s="108"/>
      <c r="E407" s="108"/>
      <c r="F407" s="108"/>
      <c r="G407" s="109"/>
      <c r="H407" s="109"/>
      <c r="I407" s="109" t="n">
        <v>0.0348902072574849</v>
      </c>
      <c r="J407" s="109" t="n">
        <v>0.0359805262342813</v>
      </c>
      <c r="K407" s="111" t="n">
        <v>0.0370708452110777</v>
      </c>
      <c r="L407" s="111" t="n">
        <v>0.0381611641878741</v>
      </c>
      <c r="M407" s="111" t="n">
        <v>0.0379953635306436</v>
      </c>
      <c r="N407" s="111" t="n">
        <v>0.0390507902953838</v>
      </c>
      <c r="O407" s="112" t="n">
        <v>0.0401062170601239</v>
      </c>
      <c r="P407" s="112" t="n">
        <v>0.041161643824864</v>
      </c>
      <c r="Q407" s="93" t="n">
        <v>0.040821382107352</v>
      </c>
      <c r="R407" s="93" t="n">
        <v>0.0418419166600357</v>
      </c>
      <c r="S407" s="93" t="n">
        <v>0.0428624512127196</v>
      </c>
      <c r="T407" s="0" t="n">
        <v>0.0438829857654033</v>
      </c>
      <c r="U407" s="103" t="n">
        <v>0.0458272061350621</v>
      </c>
      <c r="V407" s="0" t="n">
        <v>0.0468687335472226</v>
      </c>
      <c r="W407" s="0" t="n">
        <v>0.0479102609593831</v>
      </c>
      <c r="X407" s="0" t="n">
        <v>0.0489517883715436</v>
      </c>
      <c r="Y407" s="0" t="n">
        <v>0.049993315783704</v>
      </c>
      <c r="Z407" s="0" t="n">
        <v>0.0510348431958645</v>
      </c>
      <c r="AA407" s="0" t="n">
        <v>0.052076370608025</v>
      </c>
      <c r="AB407" s="0" t="n">
        <v>0.0531178980201855</v>
      </c>
      <c r="AC407" s="0" t="n">
        <v>0.054159425432346</v>
      </c>
      <c r="AD407" s="104"/>
    </row>
    <row r="408" customFormat="false" ht="15" hidden="true" customHeight="false" outlineLevel="0" collapsed="false">
      <c r="A408" s="0" t="s">
        <v>1126</v>
      </c>
      <c r="B408" s="104" t="n">
        <v>7</v>
      </c>
      <c r="C408" s="108"/>
      <c r="D408" s="108"/>
      <c r="E408" s="108"/>
      <c r="F408" s="108"/>
      <c r="G408" s="109"/>
      <c r="H408" s="109"/>
      <c r="I408" s="109" t="n">
        <v>0.0697804145149699</v>
      </c>
      <c r="J408" s="109" t="n">
        <v>0.0719610524685627</v>
      </c>
      <c r="K408" s="111" t="n">
        <v>0.0741416904221555</v>
      </c>
      <c r="L408" s="111" t="n">
        <v>0.0763223283757483</v>
      </c>
      <c r="M408" s="111"/>
      <c r="N408" s="111"/>
      <c r="O408" s="112"/>
      <c r="P408" s="112"/>
      <c r="Q408" s="93"/>
      <c r="R408" s="93"/>
      <c r="S408" s="93"/>
      <c r="AD408" s="104"/>
    </row>
    <row r="409" customFormat="false" ht="15" hidden="true" customHeight="false" outlineLevel="0" collapsed="false">
      <c r="A409" s="0" t="s">
        <v>1126</v>
      </c>
      <c r="B409" s="104" t="n">
        <v>8</v>
      </c>
      <c r="C409" s="108"/>
      <c r="D409" s="108"/>
      <c r="E409" s="108"/>
      <c r="F409" s="108"/>
      <c r="G409" s="109"/>
      <c r="H409" s="109"/>
      <c r="I409" s="109" t="n">
        <v>0.0697804145149699</v>
      </c>
      <c r="J409" s="109" t="n">
        <v>0.0719610524685627</v>
      </c>
      <c r="K409" s="111" t="n">
        <v>0.0741416904221555</v>
      </c>
      <c r="L409" s="111" t="n">
        <v>0.0763223283757483</v>
      </c>
      <c r="M409" s="111"/>
      <c r="N409" s="111"/>
      <c r="O409" s="112"/>
      <c r="P409" s="112"/>
      <c r="Q409" s="93"/>
      <c r="R409" s="93"/>
      <c r="S409" s="93"/>
      <c r="U409" s="103"/>
      <c r="AD409" s="104"/>
    </row>
    <row r="410" customFormat="false" ht="15" hidden="true" customHeight="false" outlineLevel="0" collapsed="false">
      <c r="A410" s="0" t="s">
        <v>1129</v>
      </c>
      <c r="B410" s="104" t="n">
        <v>7</v>
      </c>
      <c r="C410" s="108"/>
      <c r="D410" s="108"/>
      <c r="E410" s="108"/>
      <c r="F410" s="108"/>
      <c r="G410" s="109"/>
      <c r="H410" s="109"/>
      <c r="I410" s="109" t="n">
        <v>0.0348902072574849</v>
      </c>
      <c r="J410" s="109" t="n">
        <v>0.0359805262342813</v>
      </c>
      <c r="K410" s="111" t="n">
        <v>0.0370708452110777</v>
      </c>
      <c r="L410" s="111" t="n">
        <v>0.0381611641878741</v>
      </c>
      <c r="M410" s="111" t="n">
        <v>0.0379953635306436</v>
      </c>
      <c r="N410" s="111" t="n">
        <v>0.0390507902953838</v>
      </c>
      <c r="O410" s="112" t="n">
        <v>0.0401062170601239</v>
      </c>
      <c r="P410" s="112" t="n">
        <v>0.041161643824864</v>
      </c>
      <c r="Q410" s="93" t="n">
        <v>0.040821382107352</v>
      </c>
      <c r="R410" s="93" t="n">
        <v>0.0418419166600357</v>
      </c>
      <c r="S410" s="93" t="n">
        <v>0.0428624512127196</v>
      </c>
      <c r="T410" s="0" t="n">
        <v>0.0438829857654033</v>
      </c>
      <c r="U410" s="103" t="n">
        <v>0.0458272061350621</v>
      </c>
      <c r="V410" s="0" t="n">
        <v>0.0468687335472226</v>
      </c>
      <c r="W410" s="0" t="n">
        <v>0.0479102609593831</v>
      </c>
      <c r="X410" s="0" t="n">
        <v>0.0489517883715436</v>
      </c>
      <c r="Y410" s="0" t="n">
        <v>0.049993315783704</v>
      </c>
      <c r="Z410" s="0" t="n">
        <v>0.0510348431958645</v>
      </c>
      <c r="AA410" s="0" t="n">
        <v>0.052076370608025</v>
      </c>
      <c r="AB410" s="0" t="n">
        <v>0.0531178980201855</v>
      </c>
      <c r="AC410" s="0" t="n">
        <v>0.054159425432346</v>
      </c>
      <c r="AD410" s="104"/>
    </row>
    <row r="411" customFormat="false" ht="15" hidden="true" customHeight="false" outlineLevel="0" collapsed="false">
      <c r="A411" s="0" t="s">
        <v>1129</v>
      </c>
      <c r="B411" s="104" t="n">
        <v>8</v>
      </c>
      <c r="C411" s="108"/>
      <c r="D411" s="108"/>
      <c r="E411" s="108"/>
      <c r="F411" s="108"/>
      <c r="G411" s="109"/>
      <c r="H411" s="109"/>
      <c r="I411" s="109" t="n">
        <v>0.0348902072574849</v>
      </c>
      <c r="J411" s="109" t="n">
        <v>0.0359805262342813</v>
      </c>
      <c r="K411" s="111" t="n">
        <v>0.0370708452110777</v>
      </c>
      <c r="L411" s="111" t="n">
        <v>0.0381611641878741</v>
      </c>
      <c r="M411" s="111" t="n">
        <v>0.0379953635306436</v>
      </c>
      <c r="N411" s="111" t="n">
        <v>0.0390507902953838</v>
      </c>
      <c r="O411" s="112" t="n">
        <v>0.0401062170601239</v>
      </c>
      <c r="P411" s="112" t="n">
        <v>0.041161643824864</v>
      </c>
      <c r="Q411" s="93" t="n">
        <v>0.040821382107352</v>
      </c>
      <c r="R411" s="93" t="n">
        <v>0.0418419166600357</v>
      </c>
      <c r="S411" s="93" t="n">
        <v>0.0428624512127196</v>
      </c>
      <c r="T411" s="0" t="n">
        <v>0.0438829857654033</v>
      </c>
      <c r="U411" s="103" t="n">
        <v>0.0458272061350621</v>
      </c>
      <c r="V411" s="0" t="n">
        <v>0.0468687335472226</v>
      </c>
      <c r="W411" s="0" t="n">
        <v>0.0479102609593831</v>
      </c>
      <c r="X411" s="0" t="n">
        <v>0.0489517883715436</v>
      </c>
      <c r="Y411" s="0" t="n">
        <v>0.049993315783704</v>
      </c>
      <c r="Z411" s="0" t="n">
        <v>0.0510348431958645</v>
      </c>
      <c r="AA411" s="0" t="n">
        <v>0.052076370608025</v>
      </c>
      <c r="AB411" s="0" t="n">
        <v>0.0531178980201855</v>
      </c>
      <c r="AC411" s="0" t="n">
        <v>0.054159425432346</v>
      </c>
      <c r="AD411" s="104"/>
    </row>
    <row r="412" customFormat="false" ht="15" hidden="true" customHeight="false" outlineLevel="0" collapsed="false">
      <c r="A412" s="0" t="s">
        <v>1131</v>
      </c>
      <c r="B412" s="104" t="n">
        <v>7</v>
      </c>
      <c r="C412" s="108"/>
      <c r="D412" s="108"/>
      <c r="E412" s="108"/>
      <c r="F412" s="108"/>
      <c r="G412" s="109"/>
      <c r="H412" s="109"/>
      <c r="I412" s="109" t="n">
        <v>0.0348902072574849</v>
      </c>
      <c r="J412" s="109" t="n">
        <v>0.0359805262342813</v>
      </c>
      <c r="K412" s="111" t="n">
        <v>0.0370708452110777</v>
      </c>
      <c r="L412" s="111" t="n">
        <v>0.0381611641878741</v>
      </c>
      <c r="M412" s="111" t="n">
        <v>0.0379953635306436</v>
      </c>
      <c r="N412" s="111" t="n">
        <v>0.0390507902953838</v>
      </c>
      <c r="O412" s="112" t="n">
        <v>0.0401062170601239</v>
      </c>
      <c r="P412" s="112" t="n">
        <v>0.041161643824864</v>
      </c>
      <c r="Q412" s="93" t="n">
        <v>0.040821382107352</v>
      </c>
      <c r="R412" s="93" t="n">
        <v>0.0418419166600357</v>
      </c>
      <c r="S412" s="93" t="n">
        <v>0.0428624512127196</v>
      </c>
      <c r="T412" s="0" t="n">
        <v>0.0438829857654033</v>
      </c>
      <c r="U412" s="103" t="n">
        <v>0.0458272061350621</v>
      </c>
      <c r="V412" s="0" t="n">
        <v>0.0468687335472226</v>
      </c>
      <c r="W412" s="0" t="n">
        <v>0.0479102609593831</v>
      </c>
      <c r="X412" s="0" t="n">
        <v>0.0489517883715436</v>
      </c>
      <c r="Y412" s="0" t="n">
        <v>0.049993315783704</v>
      </c>
      <c r="Z412" s="0" t="n">
        <v>0.0510348431958645</v>
      </c>
      <c r="AA412" s="0" t="n">
        <v>0.052076370608025</v>
      </c>
      <c r="AB412" s="0" t="n">
        <v>0.0531178980201855</v>
      </c>
      <c r="AC412" s="0" t="n">
        <v>0.054159425432346</v>
      </c>
      <c r="AD412" s="104"/>
    </row>
    <row r="413" customFormat="false" ht="15" hidden="true" customHeight="false" outlineLevel="0" collapsed="false">
      <c r="A413" s="0" t="s">
        <v>1131</v>
      </c>
      <c r="B413" s="104" t="n">
        <v>8</v>
      </c>
      <c r="C413" s="108"/>
      <c r="D413" s="108"/>
      <c r="E413" s="108"/>
      <c r="F413" s="108"/>
      <c r="G413" s="109"/>
      <c r="H413" s="109"/>
      <c r="I413" s="109" t="n">
        <v>0.0348902072574849</v>
      </c>
      <c r="J413" s="109" t="n">
        <v>0.0359805262342813</v>
      </c>
      <c r="K413" s="111" t="n">
        <v>0.0370708452110777</v>
      </c>
      <c r="L413" s="111" t="n">
        <v>0.0381611641878741</v>
      </c>
      <c r="M413" s="111" t="n">
        <v>0.0379953635306436</v>
      </c>
      <c r="N413" s="111" t="n">
        <v>0.0390507902953838</v>
      </c>
      <c r="O413" s="112" t="n">
        <v>0.0401062170601239</v>
      </c>
      <c r="P413" s="112" t="n">
        <v>0.041161643824864</v>
      </c>
      <c r="Q413" s="93" t="n">
        <v>0.040821382107352</v>
      </c>
      <c r="R413" s="93" t="n">
        <v>0.0418419166600357</v>
      </c>
      <c r="S413" s="93" t="n">
        <v>0.0428624512127196</v>
      </c>
      <c r="T413" s="0" t="n">
        <v>0.0438829857654033</v>
      </c>
      <c r="U413" s="103" t="n">
        <v>0.0458272061350621</v>
      </c>
      <c r="V413" s="0" t="n">
        <v>0.0468687335472226</v>
      </c>
      <c r="W413" s="0" t="n">
        <v>0.0479102609593831</v>
      </c>
      <c r="X413" s="0" t="n">
        <v>0.0489517883715436</v>
      </c>
      <c r="Y413" s="0" t="n">
        <v>0.049993315783704</v>
      </c>
      <c r="Z413" s="0" t="n">
        <v>0.0510348431958645</v>
      </c>
      <c r="AA413" s="0" t="n">
        <v>0.052076370608025</v>
      </c>
      <c r="AB413" s="0" t="n">
        <v>0.0531178980201855</v>
      </c>
      <c r="AC413" s="0" t="n">
        <v>0.054159425432346</v>
      </c>
      <c r="AD413" s="104"/>
    </row>
    <row r="414" customFormat="false" ht="15" hidden="true" customHeight="false" outlineLevel="0" collapsed="false">
      <c r="A414" s="0" t="s">
        <v>202</v>
      </c>
      <c r="B414" s="104" t="n">
        <v>7</v>
      </c>
      <c r="C414" s="108"/>
      <c r="D414" s="108"/>
      <c r="E414" s="108"/>
      <c r="F414" s="108"/>
      <c r="G414" s="109"/>
      <c r="H414" s="109"/>
      <c r="I414" s="109"/>
      <c r="J414" s="109"/>
      <c r="K414" s="111"/>
      <c r="L414" s="111"/>
      <c r="M414" s="111"/>
      <c r="N414" s="111"/>
      <c r="O414" s="112"/>
      <c r="P414" s="112"/>
      <c r="Q414" s="93"/>
      <c r="R414" s="93" t="n">
        <v>0.0836838333200715</v>
      </c>
      <c r="S414" s="93" t="n">
        <v>0.0857249024254391</v>
      </c>
      <c r="T414" s="0" t="n">
        <v>0.0877659715308067</v>
      </c>
      <c r="U414" s="103" t="n">
        <v>0.0916544122701241</v>
      </c>
      <c r="V414" s="0" t="n">
        <v>0.0937374670944451</v>
      </c>
      <c r="W414" s="0" t="n">
        <v>0.0958205219187661</v>
      </c>
      <c r="X414" s="0" t="n">
        <v>0.0979035767430871</v>
      </c>
      <c r="Y414" s="0" t="n">
        <v>0.0999866315674081</v>
      </c>
      <c r="Z414" s="0" t="n">
        <v>0.102069686391729</v>
      </c>
      <c r="AA414" s="0" t="n">
        <v>0.10415274121605</v>
      </c>
      <c r="AB414" s="0" t="n">
        <v>0.106235796040371</v>
      </c>
      <c r="AC414" s="0" t="n">
        <v>0.108318850864692</v>
      </c>
      <c r="AD414" s="104"/>
    </row>
    <row r="415" customFormat="false" ht="15" hidden="true" customHeight="false" outlineLevel="0" collapsed="false">
      <c r="A415" s="0" t="s">
        <v>202</v>
      </c>
      <c r="B415" s="104" t="n">
        <v>8</v>
      </c>
      <c r="C415" s="108"/>
      <c r="D415" s="108"/>
      <c r="E415" s="108"/>
      <c r="F415" s="108"/>
      <c r="G415" s="109"/>
      <c r="H415" s="109"/>
      <c r="I415" s="109"/>
      <c r="J415" s="109"/>
      <c r="K415" s="111"/>
      <c r="L415" s="111"/>
      <c r="M415" s="111"/>
      <c r="N415" s="111"/>
      <c r="O415" s="112"/>
      <c r="P415" s="112"/>
      <c r="Q415" s="93"/>
      <c r="R415" s="93" t="n">
        <v>0.0836838333200715</v>
      </c>
      <c r="S415" s="93" t="n">
        <v>0.0857249024254391</v>
      </c>
      <c r="T415" s="0" t="n">
        <v>0.0877659715308067</v>
      </c>
      <c r="U415" s="103" t="n">
        <v>0.0916544122701241</v>
      </c>
      <c r="V415" s="0" t="n">
        <v>0.0937374670944451</v>
      </c>
      <c r="W415" s="0" t="n">
        <v>0.0958205219187661</v>
      </c>
      <c r="X415" s="0" t="n">
        <v>0.0979035767430871</v>
      </c>
      <c r="Y415" s="0" t="n">
        <v>0.0999866315674081</v>
      </c>
      <c r="Z415" s="0" t="n">
        <v>0.102069686391729</v>
      </c>
      <c r="AA415" s="0" t="n">
        <v>0.10415274121605</v>
      </c>
      <c r="AB415" s="0" t="n">
        <v>0.106235796040371</v>
      </c>
      <c r="AC415" s="0" t="n">
        <v>0.108318850864692</v>
      </c>
      <c r="AD415" s="104"/>
    </row>
    <row r="416" customFormat="false" ht="15" hidden="true" customHeight="false" outlineLevel="0" collapsed="false">
      <c r="A416" s="0" t="s">
        <v>1137</v>
      </c>
      <c r="B416" s="104" t="n">
        <v>7</v>
      </c>
      <c r="C416" s="108"/>
      <c r="D416" s="108"/>
      <c r="E416" s="108"/>
      <c r="F416" s="108"/>
      <c r="G416" s="109"/>
      <c r="H416" s="109"/>
      <c r="I416" s="109"/>
      <c r="J416" s="109"/>
      <c r="K416" s="111"/>
      <c r="L416" s="111"/>
      <c r="M416" s="111"/>
      <c r="N416" s="111"/>
      <c r="O416" s="112"/>
      <c r="P416" s="112"/>
      <c r="Q416" s="93"/>
      <c r="R416" s="93" t="n">
        <v>0.0836838333200715</v>
      </c>
      <c r="S416" s="93" t="n">
        <v>0.0857249024254391</v>
      </c>
      <c r="T416" s="0" t="n">
        <v>0.0877659715308067</v>
      </c>
      <c r="U416" s="0" t="n">
        <v>0.0916544122701241</v>
      </c>
      <c r="V416" s="0" t="n">
        <v>0.0937374670944451</v>
      </c>
      <c r="W416" s="0" t="n">
        <v>0.0958205219187661</v>
      </c>
      <c r="X416" s="0" t="n">
        <v>0.0979035767430871</v>
      </c>
      <c r="Y416" s="0" t="n">
        <v>0.0999866315674081</v>
      </c>
      <c r="Z416" s="0" t="n">
        <v>0.102069686391729</v>
      </c>
      <c r="AA416" s="0" t="n">
        <v>0.10415274121605</v>
      </c>
      <c r="AB416" s="0" t="n">
        <v>0.106235796040371</v>
      </c>
      <c r="AC416" s="0" t="n">
        <v>0.108318850864692</v>
      </c>
      <c r="AD416" s="104"/>
    </row>
    <row r="417" customFormat="false" ht="15" hidden="true" customHeight="false" outlineLevel="0" collapsed="false">
      <c r="A417" s="0" t="s">
        <v>1137</v>
      </c>
      <c r="B417" s="104" t="n">
        <v>8</v>
      </c>
      <c r="C417" s="108"/>
      <c r="D417" s="108"/>
      <c r="E417" s="108"/>
      <c r="F417" s="108"/>
      <c r="G417" s="109"/>
      <c r="H417" s="109"/>
      <c r="I417" s="109"/>
      <c r="J417" s="109"/>
      <c r="K417" s="111"/>
      <c r="L417" s="111"/>
      <c r="M417" s="111"/>
      <c r="N417" s="111"/>
      <c r="O417" s="112"/>
      <c r="P417" s="112"/>
      <c r="Q417" s="93"/>
      <c r="R417" s="93" t="n">
        <v>0.0836838333200715</v>
      </c>
      <c r="S417" s="93" t="n">
        <v>0.0857249024254391</v>
      </c>
      <c r="T417" s="0" t="n">
        <v>0.0877659715308067</v>
      </c>
      <c r="U417" s="103" t="n">
        <v>0.0916544122701241</v>
      </c>
      <c r="V417" s="0" t="n">
        <v>0.0937374670944451</v>
      </c>
      <c r="W417" s="0" t="n">
        <v>0.0958205219187661</v>
      </c>
      <c r="X417" s="0" t="n">
        <v>0.0979035767430871</v>
      </c>
      <c r="Y417" s="0" t="n">
        <v>0.0999866315674081</v>
      </c>
      <c r="Z417" s="0" t="n">
        <v>0.102069686391729</v>
      </c>
      <c r="AA417" s="0" t="n">
        <v>0.10415274121605</v>
      </c>
      <c r="AB417" s="0" t="n">
        <v>0.106235796040371</v>
      </c>
      <c r="AC417" s="0" t="n">
        <v>0.108318850864692</v>
      </c>
      <c r="AD417" s="104"/>
    </row>
    <row r="418" customFormat="false" ht="15" hidden="true" customHeight="false" outlineLevel="0" collapsed="false">
      <c r="A418" s="0" t="s">
        <v>1139</v>
      </c>
      <c r="B418" s="104" t="n">
        <v>8</v>
      </c>
      <c r="C418" s="108"/>
      <c r="D418" s="108"/>
      <c r="E418" s="108"/>
      <c r="F418" s="108"/>
      <c r="G418" s="109"/>
      <c r="H418" s="109"/>
      <c r="I418" s="109"/>
      <c r="J418" s="109"/>
      <c r="K418" s="111"/>
      <c r="L418" s="111"/>
      <c r="M418" s="111"/>
      <c r="N418" s="111"/>
      <c r="O418" s="112"/>
      <c r="P418" s="112"/>
      <c r="Q418" s="93"/>
      <c r="R418" s="93" t="n">
        <v>0.0517941502285648</v>
      </c>
      <c r="S418" s="93" t="n">
        <v>0.0530574221853591</v>
      </c>
      <c r="T418" s="0" t="n">
        <v>0.0543206941421534</v>
      </c>
      <c r="U418" s="103" t="n">
        <v>0.0567696284902491</v>
      </c>
      <c r="V418" s="0" t="n">
        <v>0.0580598473195729</v>
      </c>
      <c r="W418" s="0" t="n">
        <v>0.0593500661488968</v>
      </c>
      <c r="X418" s="0" t="n">
        <v>0.0606402849782206</v>
      </c>
      <c r="Y418" s="0" t="n">
        <v>0.0619305038075444</v>
      </c>
      <c r="Z418" s="0" t="n">
        <v>0.0632207226368683</v>
      </c>
      <c r="AA418" s="0" t="n">
        <v>0.0645109414661921</v>
      </c>
      <c r="AB418" s="0" t="n">
        <v>0.0658011602955159</v>
      </c>
      <c r="AC418" s="0" t="n">
        <v>0.0670913791248398</v>
      </c>
      <c r="AD418" s="104"/>
    </row>
    <row r="419" customFormat="false" ht="15" hidden="true" customHeight="false" outlineLevel="0" collapsed="false">
      <c r="A419" s="0" t="s">
        <v>1142</v>
      </c>
      <c r="B419" s="104" t="n">
        <v>8</v>
      </c>
      <c r="C419" s="108"/>
      <c r="D419" s="108"/>
      <c r="E419" s="108"/>
      <c r="F419" s="108"/>
      <c r="G419" s="109"/>
      <c r="H419" s="109"/>
      <c r="I419" s="109" t="n">
        <v>0.0209341337033499</v>
      </c>
      <c r="J419" s="109" t="n">
        <v>0.0215883253815796</v>
      </c>
      <c r="K419" s="111" t="n">
        <v>0.0222425170598093</v>
      </c>
      <c r="L419" s="111" t="n">
        <v>0.022896708738039</v>
      </c>
      <c r="M419" s="111" t="n">
        <v>0.0231448978192827</v>
      </c>
      <c r="N419" s="111" t="n">
        <v>0.0237878116475961</v>
      </c>
      <c r="O419" s="112" t="n">
        <v>0.0244307254759095</v>
      </c>
      <c r="P419" s="112" t="n">
        <v>0.0250736393042229</v>
      </c>
      <c r="Q419" s="93" t="n">
        <v>0.0252654391358853</v>
      </c>
      <c r="R419" s="93" t="n">
        <v>0.0258970751142824</v>
      </c>
      <c r="S419" s="93" t="n">
        <v>0.0265287110926796</v>
      </c>
      <c r="T419" s="0" t="n">
        <v>0.0271603470710767</v>
      </c>
      <c r="U419" s="103" t="n">
        <v>0.0283848142451245</v>
      </c>
      <c r="V419" s="0" t="n">
        <v>0.0290299236597865</v>
      </c>
      <c r="W419" s="0" t="n">
        <v>0.0296750330744484</v>
      </c>
      <c r="X419" s="0" t="n">
        <v>0.0303201424891103</v>
      </c>
      <c r="Y419" s="0" t="n">
        <v>0.0309652519037722</v>
      </c>
      <c r="Z419" s="0" t="n">
        <v>0.0316103613184341</v>
      </c>
      <c r="AA419" s="0" t="n">
        <v>0.032255470733096</v>
      </c>
      <c r="AB419" s="0" t="n">
        <v>0.032900580147758</v>
      </c>
      <c r="AC419" s="0" t="n">
        <v>0.0335456895624199</v>
      </c>
      <c r="AD419" s="104"/>
    </row>
    <row r="420" customFormat="false" ht="15" hidden="true" customHeight="false" outlineLevel="0" collapsed="false">
      <c r="A420" s="0" t="s">
        <v>1145</v>
      </c>
      <c r="B420" s="104" t="n">
        <v>8</v>
      </c>
      <c r="C420" s="108"/>
      <c r="D420" s="108"/>
      <c r="E420" s="108"/>
      <c r="F420" s="108"/>
      <c r="G420" s="109"/>
      <c r="H420" s="109"/>
      <c r="I420" s="109" t="n">
        <v>0.0209341337033499</v>
      </c>
      <c r="J420" s="109" t="n">
        <v>0.0215883253815796</v>
      </c>
      <c r="K420" s="111" t="n">
        <v>0.0222425170598093</v>
      </c>
      <c r="L420" s="111" t="n">
        <v>0.022896708738039</v>
      </c>
      <c r="M420" s="111" t="n">
        <v>0.0231448978192827</v>
      </c>
      <c r="N420" s="111" t="n">
        <v>0.0237878116475961</v>
      </c>
      <c r="O420" s="112" t="n">
        <v>0.0244307254759095</v>
      </c>
      <c r="P420" s="112" t="n">
        <v>0.0250736393042229</v>
      </c>
      <c r="Q420" s="93" t="n">
        <v>0.0252654391358853</v>
      </c>
      <c r="R420" s="93" t="n">
        <v>0.0258970751142824</v>
      </c>
      <c r="S420" s="93" t="n">
        <v>0.0265287110926796</v>
      </c>
      <c r="T420" s="0" t="n">
        <v>0.0271603470710767</v>
      </c>
      <c r="U420" s="103" t="n">
        <v>0.0283848142451245</v>
      </c>
      <c r="V420" s="0" t="n">
        <v>0.0290299236597865</v>
      </c>
      <c r="W420" s="0" t="n">
        <v>0.0296750330744484</v>
      </c>
      <c r="X420" s="0" t="n">
        <v>0.0303201424891103</v>
      </c>
      <c r="Y420" s="0" t="n">
        <v>0.0309652519037722</v>
      </c>
      <c r="Z420" s="0" t="n">
        <v>0.0316103613184341</v>
      </c>
      <c r="AA420" s="0" t="n">
        <v>0.032255470733096</v>
      </c>
      <c r="AB420" s="0" t="n">
        <v>0.032900580147758</v>
      </c>
      <c r="AC420" s="0" t="n">
        <v>0.0335456895624199</v>
      </c>
      <c r="AD420" s="104"/>
    </row>
    <row r="421" customFormat="false" ht="15" hidden="true" customHeight="false" outlineLevel="0" collapsed="false">
      <c r="A421" s="0" t="s">
        <v>203</v>
      </c>
      <c r="B421" s="104" t="n">
        <v>8</v>
      </c>
      <c r="C421" s="108"/>
      <c r="D421" s="108"/>
      <c r="E421" s="108"/>
      <c r="F421" s="108"/>
      <c r="G421" s="109"/>
      <c r="H421" s="109"/>
      <c r="I421" s="109" t="n">
        <v>0.0209341337033499</v>
      </c>
      <c r="J421" s="109" t="n">
        <v>0.0215883253815796</v>
      </c>
      <c r="K421" s="111" t="n">
        <v>0.0222425170598093</v>
      </c>
      <c r="L421" s="111" t="n">
        <v>0.022896708738039</v>
      </c>
      <c r="M421" s="111" t="n">
        <v>0.0231448978192827</v>
      </c>
      <c r="N421" s="111" t="n">
        <v>0.0237878116475961</v>
      </c>
      <c r="O421" s="112" t="n">
        <v>0.0244307254759095</v>
      </c>
      <c r="P421" s="112" t="n">
        <v>0.0250736393042229</v>
      </c>
      <c r="Q421" s="93" t="n">
        <v>0.0252654391358853</v>
      </c>
      <c r="R421" s="93" t="n">
        <v>0.0258970751142824</v>
      </c>
      <c r="S421" s="93" t="n">
        <v>0.0265287110926796</v>
      </c>
      <c r="T421" s="0" t="n">
        <v>0.0271603470710767</v>
      </c>
      <c r="U421" s="103" t="n">
        <v>0.0283848142451245</v>
      </c>
      <c r="V421" s="0" t="n">
        <v>0.0290299236597865</v>
      </c>
      <c r="W421" s="0" t="n">
        <v>0.0296750330744484</v>
      </c>
      <c r="X421" s="0" t="n">
        <v>0.0303201424891103</v>
      </c>
      <c r="Y421" s="0" t="n">
        <v>0.0309652519037722</v>
      </c>
      <c r="Z421" s="0" t="n">
        <v>0.0316103613184341</v>
      </c>
      <c r="AA421" s="0" t="n">
        <v>0.032255470733096</v>
      </c>
      <c r="AB421" s="0" t="n">
        <v>0.032900580147758</v>
      </c>
      <c r="AC421" s="0" t="n">
        <v>0.0335456895624199</v>
      </c>
      <c r="AD421" s="104"/>
    </row>
    <row r="422" customFormat="false" ht="15" hidden="true" customHeight="false" outlineLevel="0" collapsed="false">
      <c r="A422" s="0" t="s">
        <v>325</v>
      </c>
      <c r="B422" s="104" t="n">
        <v>8</v>
      </c>
      <c r="C422" s="108"/>
      <c r="D422" s="108"/>
      <c r="E422" s="108"/>
      <c r="F422" s="108"/>
      <c r="G422" s="109"/>
      <c r="H422" s="109"/>
      <c r="I422" s="109" t="n">
        <v>0.0209341337033499</v>
      </c>
      <c r="J422" s="109" t="n">
        <v>0.0215883253815796</v>
      </c>
      <c r="K422" s="111" t="n">
        <v>0.0222425170598093</v>
      </c>
      <c r="L422" s="111" t="n">
        <v>0.022896708738039</v>
      </c>
      <c r="M422" s="111" t="n">
        <v>0.0231448978192827</v>
      </c>
      <c r="N422" s="111" t="n">
        <v>0.0237878116475961</v>
      </c>
      <c r="O422" s="112" t="n">
        <v>0.0244307254759095</v>
      </c>
      <c r="P422" s="112" t="n">
        <v>0.0250736393042229</v>
      </c>
      <c r="Q422" s="93" t="n">
        <v>0.0252654391358853</v>
      </c>
      <c r="R422" s="93" t="n">
        <v>0.0258970751142824</v>
      </c>
      <c r="S422" s="93" t="n">
        <v>0.0265287110926796</v>
      </c>
      <c r="T422" s="0" t="n">
        <v>0.0271603470710767</v>
      </c>
      <c r="U422" s="103" t="n">
        <v>0.0283848142451245</v>
      </c>
      <c r="V422" s="0" t="n">
        <v>0.0290299236597865</v>
      </c>
      <c r="W422" s="0" t="n">
        <v>0.0296750330744484</v>
      </c>
      <c r="X422" s="0" t="n">
        <v>0.0303201424891103</v>
      </c>
      <c r="Y422" s="0" t="n">
        <v>0.0309652519037722</v>
      </c>
      <c r="Z422" s="0" t="n">
        <v>0.0316103613184341</v>
      </c>
      <c r="AA422" s="0" t="n">
        <v>0.032255470733096</v>
      </c>
      <c r="AB422" s="0" t="n">
        <v>0.032900580147758</v>
      </c>
      <c r="AC422" s="0" t="n">
        <v>0.0335456895624199</v>
      </c>
      <c r="AD422" s="104"/>
    </row>
    <row r="423" customFormat="false" ht="15" hidden="true" customHeight="false" outlineLevel="0" collapsed="false">
      <c r="A423" s="0" t="s">
        <v>1151</v>
      </c>
      <c r="B423" s="104" t="n">
        <v>8</v>
      </c>
      <c r="C423" s="108"/>
      <c r="D423" s="108"/>
      <c r="E423" s="108"/>
      <c r="F423" s="108"/>
      <c r="G423" s="109"/>
      <c r="H423" s="109"/>
      <c r="I423" s="109" t="n">
        <v>0.0209341337033499</v>
      </c>
      <c r="J423" s="109" t="n">
        <v>0.0215883253815796</v>
      </c>
      <c r="K423" s="111" t="n">
        <v>0.0222425170598093</v>
      </c>
      <c r="L423" s="111" t="n">
        <v>0.022896708738039</v>
      </c>
      <c r="M423" s="111" t="n">
        <v>0.0231448978192827</v>
      </c>
      <c r="N423" s="111" t="n">
        <v>0.0237878116475961</v>
      </c>
      <c r="O423" s="112" t="n">
        <v>0.0244307254759095</v>
      </c>
      <c r="P423" s="112" t="n">
        <v>0.0250736393042229</v>
      </c>
      <c r="Q423" s="93" t="n">
        <v>0.0252654391358853</v>
      </c>
      <c r="R423" s="93" t="n">
        <v>0.0258970751142824</v>
      </c>
      <c r="S423" s="93" t="n">
        <v>0.0265287110926796</v>
      </c>
      <c r="T423" s="0" t="n">
        <v>0.0271603470710767</v>
      </c>
      <c r="U423" s="103" t="n">
        <v>0.0283848142451245</v>
      </c>
      <c r="V423" s="0" t="n">
        <v>0.0290299236597865</v>
      </c>
      <c r="W423" s="0" t="n">
        <v>0.0296750330744484</v>
      </c>
      <c r="X423" s="0" t="n">
        <v>0.0303201424891103</v>
      </c>
      <c r="Y423" s="0" t="n">
        <v>0.0309652519037722</v>
      </c>
      <c r="Z423" s="0" t="n">
        <v>0.0316103613184341</v>
      </c>
      <c r="AA423" s="0" t="n">
        <v>0.032255470733096</v>
      </c>
      <c r="AB423" s="0" t="n">
        <v>0.032900580147758</v>
      </c>
      <c r="AC423" s="0" t="n">
        <v>0.0335456895624199</v>
      </c>
      <c r="AD423" s="104"/>
    </row>
    <row r="424" customFormat="false" ht="15" hidden="true" customHeight="false" outlineLevel="0" collapsed="false">
      <c r="A424" s="0" t="s">
        <v>1154</v>
      </c>
      <c r="B424" s="104" t="n">
        <v>8</v>
      </c>
      <c r="C424" s="108"/>
      <c r="D424" s="108"/>
      <c r="E424" s="108"/>
      <c r="F424" s="108"/>
      <c r="G424" s="109"/>
      <c r="H424" s="109"/>
      <c r="I424" s="109" t="n">
        <v>0.0209341337033499</v>
      </c>
      <c r="J424" s="109" t="n">
        <v>0.0215883253815796</v>
      </c>
      <c r="K424" s="111" t="n">
        <v>0.0222425170598093</v>
      </c>
      <c r="L424" s="111" t="n">
        <v>0.022896708738039</v>
      </c>
      <c r="M424" s="111" t="n">
        <v>0.0231448978192827</v>
      </c>
      <c r="N424" s="111" t="n">
        <v>0.0237878116475961</v>
      </c>
      <c r="O424" s="112" t="n">
        <v>0.0244307254759095</v>
      </c>
      <c r="P424" s="112" t="n">
        <v>0.0250736393042229</v>
      </c>
      <c r="Q424" s="93" t="n">
        <v>0.0252654391358853</v>
      </c>
      <c r="R424" s="93" t="n">
        <v>0.0258970751142824</v>
      </c>
      <c r="S424" s="93" t="n">
        <v>0.0265287110926796</v>
      </c>
      <c r="T424" s="0" t="n">
        <v>0.0271603470710767</v>
      </c>
      <c r="U424" s="103" t="n">
        <v>0.0283848142451245</v>
      </c>
      <c r="V424" s="0" t="n">
        <v>0.0290299236597865</v>
      </c>
      <c r="W424" s="0" t="n">
        <v>0.0296750330744484</v>
      </c>
      <c r="X424" s="0" t="n">
        <v>0.0303201424891103</v>
      </c>
      <c r="Y424" s="0" t="n">
        <v>0.0309652519037722</v>
      </c>
      <c r="Z424" s="0" t="n">
        <v>0.0316103613184341</v>
      </c>
      <c r="AA424" s="0" t="n">
        <v>0.032255470733096</v>
      </c>
      <c r="AB424" s="0" t="n">
        <v>0.032900580147758</v>
      </c>
      <c r="AC424" s="0" t="n">
        <v>0.0335456895624199</v>
      </c>
      <c r="AD424" s="104"/>
    </row>
    <row r="425" customFormat="false" ht="15" hidden="true" customHeight="false" outlineLevel="0" collapsed="false">
      <c r="A425" s="0" t="s">
        <v>1157</v>
      </c>
      <c r="B425" s="104" t="n">
        <v>8</v>
      </c>
      <c r="C425" s="108"/>
      <c r="D425" s="108"/>
      <c r="E425" s="108"/>
      <c r="F425" s="108"/>
      <c r="G425" s="109"/>
      <c r="H425" s="109"/>
      <c r="I425" s="109" t="n">
        <v>0.0209341337033499</v>
      </c>
      <c r="J425" s="109" t="n">
        <v>0.0215883253815796</v>
      </c>
      <c r="K425" s="111" t="n">
        <v>0.0222425170598093</v>
      </c>
      <c r="L425" s="111" t="n">
        <v>0.022896708738039</v>
      </c>
      <c r="M425" s="111" t="n">
        <v>0.0231448978192827</v>
      </c>
      <c r="N425" s="111" t="n">
        <v>0.0237878116475961</v>
      </c>
      <c r="O425" s="112" t="n">
        <v>0.0244307254759095</v>
      </c>
      <c r="P425" s="112" t="n">
        <v>0.0250736393042229</v>
      </c>
      <c r="Q425" s="93" t="n">
        <v>0.0252654391358853</v>
      </c>
      <c r="R425" s="93" t="n">
        <v>0.0258970751142824</v>
      </c>
      <c r="S425" s="93" t="n">
        <v>0.0265287110926796</v>
      </c>
      <c r="T425" s="0" t="n">
        <v>0.0271603470710767</v>
      </c>
      <c r="U425" s="103" t="n">
        <v>0.0283848142451245</v>
      </c>
      <c r="V425" s="0" t="n">
        <v>0.0290299236597865</v>
      </c>
      <c r="W425" s="0" t="n">
        <v>0.0296750330744484</v>
      </c>
      <c r="X425" s="0" t="n">
        <v>0.0303201424891103</v>
      </c>
      <c r="Y425" s="0" t="n">
        <v>0.0309652519037722</v>
      </c>
      <c r="Z425" s="0" t="n">
        <v>0.0316103613184341</v>
      </c>
      <c r="AA425" s="0" t="n">
        <v>0.032255470733096</v>
      </c>
      <c r="AB425" s="0" t="n">
        <v>0.032900580147758</v>
      </c>
      <c r="AC425" s="0" t="n">
        <v>0.0335456895624199</v>
      </c>
      <c r="AD425" s="104"/>
    </row>
    <row r="426" customFormat="false" ht="15" hidden="true" customHeight="false" outlineLevel="0" collapsed="false">
      <c r="A426" s="0" t="s">
        <v>204</v>
      </c>
      <c r="B426" s="104" t="n">
        <v>8</v>
      </c>
      <c r="C426" s="108"/>
      <c r="D426" s="108"/>
      <c r="E426" s="108"/>
      <c r="F426" s="108"/>
      <c r="G426" s="109"/>
      <c r="H426" s="109"/>
      <c r="I426" s="109"/>
      <c r="J426" s="109"/>
      <c r="K426" s="111"/>
      <c r="L426" s="111"/>
      <c r="M426" s="111"/>
      <c r="N426" s="111"/>
      <c r="O426" s="112"/>
      <c r="P426" s="112"/>
      <c r="Q426" s="93"/>
      <c r="R426" s="93"/>
      <c r="S426" s="93"/>
      <c r="U426" s="103" t="n">
        <v>0.0567696284902491</v>
      </c>
      <c r="V426" s="0" t="n">
        <v>0.0580598473195729</v>
      </c>
      <c r="W426" s="0" t="n">
        <v>0.0593500661488968</v>
      </c>
      <c r="X426" s="0" t="n">
        <v>0.0606402849782206</v>
      </c>
      <c r="Y426" s="0" t="n">
        <v>0.0619305038075444</v>
      </c>
      <c r="Z426" s="0" t="n">
        <v>0.0632207226368683</v>
      </c>
      <c r="AA426" s="0" t="n">
        <v>0.0645109414661921</v>
      </c>
      <c r="AB426" s="0" t="n">
        <v>0.0658011602955159</v>
      </c>
      <c r="AC426" s="0" t="n">
        <v>0.0670913791248398</v>
      </c>
      <c r="AD426" s="104"/>
    </row>
    <row r="427" customFormat="false" ht="15" hidden="true" customHeight="false" outlineLevel="0" collapsed="false">
      <c r="A427" s="0" t="s">
        <v>1161</v>
      </c>
      <c r="B427" s="104" t="n">
        <v>8</v>
      </c>
      <c r="C427" s="108"/>
      <c r="D427" s="108"/>
      <c r="E427" s="108"/>
      <c r="F427" s="108"/>
      <c r="G427" s="109"/>
      <c r="H427" s="109"/>
      <c r="I427" s="109"/>
      <c r="J427" s="109"/>
      <c r="K427" s="111"/>
      <c r="L427" s="111"/>
      <c r="M427" s="111"/>
      <c r="N427" s="111"/>
      <c r="O427" s="112"/>
      <c r="P427" s="112"/>
      <c r="Q427" s="93"/>
      <c r="R427" s="93"/>
      <c r="S427" s="93"/>
      <c r="U427" s="103" t="n">
        <v>0.0567696284902491</v>
      </c>
      <c r="V427" s="0" t="n">
        <v>0.0580598473195729</v>
      </c>
      <c r="W427" s="0" t="n">
        <v>0.0593500661488968</v>
      </c>
      <c r="X427" s="0" t="n">
        <v>0.0606402849782206</v>
      </c>
      <c r="Y427" s="0" t="n">
        <v>0.0619305038075444</v>
      </c>
      <c r="Z427" s="0" t="n">
        <v>0.0632207226368683</v>
      </c>
      <c r="AA427" s="0" t="n">
        <v>0.0645109414661921</v>
      </c>
      <c r="AB427" s="0" t="n">
        <v>0.0658011602955159</v>
      </c>
      <c r="AC427" s="0" t="n">
        <v>0.0670913791248398</v>
      </c>
      <c r="AD427" s="104"/>
    </row>
    <row r="428" customFormat="false" ht="15" hidden="true" customHeight="false" outlineLevel="0" collapsed="false">
      <c r="A428" s="132" t="s">
        <v>205</v>
      </c>
      <c r="B428" s="104" t="n">
        <v>35</v>
      </c>
      <c r="U428" s="0" t="n">
        <v>1.617</v>
      </c>
      <c r="V428" s="0" t="n">
        <v>1.65375</v>
      </c>
      <c r="W428" s="0" t="n">
        <v>1.6905</v>
      </c>
      <c r="X428" s="0" t="n">
        <v>1.72725</v>
      </c>
      <c r="Y428" s="0" t="n">
        <v>1.764</v>
      </c>
      <c r="Z428" s="0" t="n">
        <v>1.80075</v>
      </c>
      <c r="AA428" s="0" t="n">
        <v>1.8375</v>
      </c>
      <c r="AB428" s="0" t="n">
        <v>1.87425</v>
      </c>
      <c r="AC428" s="0" t="n">
        <v>1.911</v>
      </c>
      <c r="AD428" s="104"/>
    </row>
    <row r="429" customFormat="false" ht="15" hidden="true" customHeight="false" outlineLevel="0" collapsed="false">
      <c r="A429" s="133" t="s">
        <v>326</v>
      </c>
      <c r="B429" s="104" t="n">
        <v>35</v>
      </c>
      <c r="U429" s="0" t="n">
        <v>1.617</v>
      </c>
      <c r="V429" s="0" t="n">
        <v>1.65375</v>
      </c>
      <c r="W429" s="0" t="n">
        <v>1.6905</v>
      </c>
      <c r="X429" s="0" t="n">
        <v>1.72725</v>
      </c>
      <c r="Y429" s="0" t="n">
        <v>1.764</v>
      </c>
      <c r="Z429" s="0" t="n">
        <v>1.80075</v>
      </c>
      <c r="AA429" s="0" t="n">
        <v>1.8375</v>
      </c>
      <c r="AB429" s="0" t="n">
        <v>1.87425</v>
      </c>
      <c r="AC429" s="0" t="n">
        <v>1.911</v>
      </c>
      <c r="AD429" s="104"/>
    </row>
    <row r="430" customFormat="false" ht="15" hidden="true" customHeight="false" outlineLevel="0" collapsed="false">
      <c r="A430" s="132" t="s">
        <v>206</v>
      </c>
      <c r="B430" s="104" t="n">
        <v>35</v>
      </c>
      <c r="U430" s="0" t="n">
        <v>1.617</v>
      </c>
      <c r="V430" s="0" t="n">
        <v>1.65375</v>
      </c>
      <c r="W430" s="0" t="n">
        <v>1.6905</v>
      </c>
      <c r="X430" s="0" t="n">
        <v>1.72725</v>
      </c>
      <c r="Y430" s="0" t="n">
        <v>1.764</v>
      </c>
      <c r="Z430" s="0" t="n">
        <v>1.80075</v>
      </c>
      <c r="AA430" s="0" t="n">
        <v>1.8375</v>
      </c>
      <c r="AB430" s="0" t="n">
        <v>1.87425</v>
      </c>
      <c r="AC430" s="0" t="n">
        <v>1.911</v>
      </c>
      <c r="AD430" s="104"/>
    </row>
    <row r="431" customFormat="false" ht="15" hidden="true" customHeight="false" outlineLevel="0" collapsed="false">
      <c r="A431" s="132" t="s">
        <v>207</v>
      </c>
      <c r="B431" s="104" t="n">
        <v>35</v>
      </c>
      <c r="U431" s="0" t="n">
        <v>1.617</v>
      </c>
      <c r="V431" s="0" t="n">
        <v>1.65375</v>
      </c>
      <c r="W431" s="0" t="n">
        <v>1.6905</v>
      </c>
      <c r="X431" s="0" t="n">
        <v>1.72725</v>
      </c>
      <c r="Y431" s="0" t="n">
        <v>1.764</v>
      </c>
      <c r="Z431" s="0" t="n">
        <v>1.80075</v>
      </c>
      <c r="AA431" s="0" t="n">
        <v>1.8375</v>
      </c>
      <c r="AB431" s="0" t="n">
        <v>1.87425</v>
      </c>
      <c r="AC431" s="0" t="n">
        <v>1.911</v>
      </c>
      <c r="AD431" s="104"/>
    </row>
    <row r="432" customFormat="false" ht="15" hidden="true" customHeight="false" outlineLevel="0" collapsed="false">
      <c r="A432" s="133" t="s">
        <v>327</v>
      </c>
      <c r="B432" s="104" t="n">
        <v>35</v>
      </c>
      <c r="U432" s="0" t="n">
        <v>1.617</v>
      </c>
      <c r="V432" s="0" t="n">
        <v>1.65375</v>
      </c>
      <c r="W432" s="0" t="n">
        <v>1.6905</v>
      </c>
      <c r="X432" s="0" t="n">
        <v>1.72725</v>
      </c>
      <c r="Y432" s="0" t="n">
        <v>1.764</v>
      </c>
      <c r="Z432" s="0" t="n">
        <v>1.80075</v>
      </c>
      <c r="AA432" s="0" t="n">
        <v>1.8375</v>
      </c>
      <c r="AB432" s="0" t="n">
        <v>1.87425</v>
      </c>
      <c r="AC432" s="0" t="n">
        <v>1.911</v>
      </c>
      <c r="AD432" s="104"/>
    </row>
    <row r="433" customFormat="false" ht="15" hidden="true" customHeight="false" outlineLevel="0" collapsed="false">
      <c r="A433" s="132" t="s">
        <v>208</v>
      </c>
      <c r="B433" s="104" t="n">
        <v>35</v>
      </c>
      <c r="F433" s="0" t="n">
        <v>1.06575</v>
      </c>
      <c r="G433" s="0" t="n">
        <v>1.1025</v>
      </c>
      <c r="H433" s="0" t="n">
        <v>1.13925</v>
      </c>
      <c r="I433" s="0" t="n">
        <v>1.176</v>
      </c>
      <c r="J433" s="0" t="n">
        <v>1.21275</v>
      </c>
      <c r="K433" s="0" t="n">
        <v>1.2495</v>
      </c>
      <c r="L433" s="0" t="n">
        <v>1.28625</v>
      </c>
      <c r="M433" s="0" t="n">
        <v>1.323</v>
      </c>
      <c r="AD433" s="104"/>
    </row>
    <row r="434" customFormat="false" ht="15" hidden="true" customHeight="false" outlineLevel="0" collapsed="false">
      <c r="A434" s="133" t="s">
        <v>328</v>
      </c>
      <c r="B434" s="104" t="n">
        <v>35</v>
      </c>
      <c r="G434" s="0" t="n">
        <v>1.1025</v>
      </c>
      <c r="H434" s="0" t="n">
        <v>1.13925</v>
      </c>
      <c r="I434" s="0" t="n">
        <v>1.176</v>
      </c>
      <c r="J434" s="0" t="n">
        <v>1.21275</v>
      </c>
      <c r="K434" s="0" t="n">
        <v>1.2495</v>
      </c>
      <c r="L434" s="0" t="n">
        <v>1.28625</v>
      </c>
      <c r="M434" s="0" t="n">
        <v>1.323</v>
      </c>
      <c r="AD434" s="104"/>
    </row>
    <row r="435" customFormat="false" ht="15" hidden="true" customHeight="false" outlineLevel="0" collapsed="false">
      <c r="A435" s="132" t="s">
        <v>209</v>
      </c>
      <c r="B435" s="104" t="n">
        <v>35</v>
      </c>
      <c r="F435" s="0" t="n">
        <v>1.06575</v>
      </c>
      <c r="G435" s="0" t="n">
        <v>1.1025</v>
      </c>
      <c r="H435" s="0" t="n">
        <v>1.13925</v>
      </c>
      <c r="I435" s="0" t="n">
        <v>1.176</v>
      </c>
      <c r="J435" s="0" t="n">
        <v>1.21275</v>
      </c>
      <c r="K435" s="0" t="n">
        <v>1.2495</v>
      </c>
      <c r="L435" s="0" t="n">
        <v>1.28625</v>
      </c>
      <c r="M435" s="0" t="n">
        <v>1.323</v>
      </c>
      <c r="AD435" s="104"/>
    </row>
    <row r="436" customFormat="false" ht="15" hidden="true" customHeight="false" outlineLevel="0" collapsed="false">
      <c r="A436" s="133" t="s">
        <v>329</v>
      </c>
      <c r="B436" s="104" t="n">
        <v>35</v>
      </c>
      <c r="G436" s="0" t="n">
        <v>1.1025</v>
      </c>
      <c r="H436" s="0" t="n">
        <v>1.13925</v>
      </c>
      <c r="I436" s="0" t="n">
        <v>1.176</v>
      </c>
      <c r="J436" s="0" t="n">
        <v>1.21275</v>
      </c>
      <c r="K436" s="0" t="n">
        <v>1.2495</v>
      </c>
      <c r="L436" s="0" t="n">
        <v>1.28625</v>
      </c>
      <c r="M436" s="0" t="n">
        <v>1.323</v>
      </c>
      <c r="AD436" s="104"/>
    </row>
    <row r="437" customFormat="false" ht="15" hidden="true" customHeight="false" outlineLevel="0" collapsed="false">
      <c r="A437" s="133" t="s">
        <v>330</v>
      </c>
      <c r="B437" s="104" t="n">
        <v>35</v>
      </c>
      <c r="G437" s="0" t="n">
        <v>1.1025</v>
      </c>
      <c r="H437" s="0" t="n">
        <v>1.13925</v>
      </c>
      <c r="I437" s="0" t="n">
        <v>1.176</v>
      </c>
      <c r="J437" s="0" t="n">
        <v>1.21275</v>
      </c>
      <c r="K437" s="0" t="n">
        <v>1.2495</v>
      </c>
      <c r="L437" s="0" t="n">
        <v>1.28625</v>
      </c>
      <c r="M437" s="0" t="n">
        <v>1.323</v>
      </c>
      <c r="AD437" s="104"/>
    </row>
    <row r="438" customFormat="false" ht="15" hidden="true" customHeight="false" outlineLevel="0" collapsed="false">
      <c r="A438" s="132" t="s">
        <v>210</v>
      </c>
      <c r="B438" s="104" t="n">
        <v>35</v>
      </c>
      <c r="M438" s="0" t="n">
        <v>1.323</v>
      </c>
      <c r="N438" s="0" t="n">
        <v>1.35975</v>
      </c>
      <c r="O438" s="0" t="n">
        <v>1.3965</v>
      </c>
      <c r="P438" s="0" t="n">
        <v>1.43325</v>
      </c>
      <c r="Q438" s="0" t="n">
        <v>1.47</v>
      </c>
      <c r="R438" s="0" t="n">
        <v>1.50675</v>
      </c>
      <c r="S438" s="0" t="n">
        <v>1.5435</v>
      </c>
      <c r="T438" s="0" t="n">
        <v>1.58025</v>
      </c>
      <c r="U438" s="0" t="n">
        <v>1.617</v>
      </c>
      <c r="AD438" s="104"/>
    </row>
    <row r="439" customFormat="false" ht="15" hidden="true" customHeight="false" outlineLevel="0" collapsed="false">
      <c r="A439" s="53" t="s">
        <v>331</v>
      </c>
      <c r="B439" s="104" t="n">
        <v>35</v>
      </c>
      <c r="M439" s="0" t="n">
        <v>1.323</v>
      </c>
      <c r="N439" s="0" t="n">
        <v>1.35975</v>
      </c>
      <c r="O439" s="0" t="n">
        <v>1.3965</v>
      </c>
      <c r="P439" s="0" t="n">
        <v>1.43325</v>
      </c>
      <c r="Q439" s="0" t="n">
        <v>1.47</v>
      </c>
      <c r="R439" s="0" t="n">
        <v>1.50675</v>
      </c>
      <c r="S439" s="0" t="n">
        <v>1.5435</v>
      </c>
      <c r="T439" s="0" t="n">
        <v>1.58025</v>
      </c>
      <c r="U439" s="0" t="n">
        <v>1.617</v>
      </c>
      <c r="AD439" s="104"/>
    </row>
    <row r="440" customFormat="false" ht="15" hidden="true" customHeight="false" outlineLevel="0" collapsed="false">
      <c r="A440" s="130" t="s">
        <v>211</v>
      </c>
      <c r="B440" s="104" t="n">
        <v>35</v>
      </c>
      <c r="M440" s="0" t="n">
        <v>1.323</v>
      </c>
      <c r="N440" s="0" t="n">
        <v>1.35975</v>
      </c>
      <c r="O440" s="0" t="n">
        <v>1.3965</v>
      </c>
      <c r="P440" s="0" t="n">
        <v>1.43325</v>
      </c>
      <c r="Q440" s="0" t="n">
        <v>1.47</v>
      </c>
      <c r="R440" s="0" t="n">
        <v>1.50675</v>
      </c>
      <c r="S440" s="0" t="n">
        <v>1.5435</v>
      </c>
      <c r="T440" s="0" t="n">
        <v>1.58025</v>
      </c>
      <c r="U440" s="0" t="n">
        <v>1.617</v>
      </c>
      <c r="AD440" s="104"/>
    </row>
    <row r="441" customFormat="false" ht="15" hidden="true" customHeight="false" outlineLevel="0" collapsed="false">
      <c r="A441" s="53" t="s">
        <v>332</v>
      </c>
      <c r="B441" s="104" t="n">
        <v>35</v>
      </c>
      <c r="M441" s="0" t="n">
        <v>1.323</v>
      </c>
      <c r="N441" s="0" t="n">
        <v>1.35975</v>
      </c>
      <c r="O441" s="0" t="n">
        <v>1.3965</v>
      </c>
      <c r="P441" s="0" t="n">
        <v>1.43325</v>
      </c>
      <c r="Q441" s="0" t="n">
        <v>1.47</v>
      </c>
      <c r="R441" s="0" t="n">
        <v>1.50675</v>
      </c>
      <c r="S441" s="0" t="n">
        <v>1.5435</v>
      </c>
      <c r="T441" s="0" t="n">
        <v>1.58025</v>
      </c>
      <c r="U441" s="0" t="n">
        <v>1.617</v>
      </c>
      <c r="AD441" s="104"/>
    </row>
    <row r="442" customFormat="false" ht="15" hidden="true" customHeight="false" outlineLevel="0" collapsed="false">
      <c r="A442" s="130" t="s">
        <v>212</v>
      </c>
      <c r="B442" s="104" t="n">
        <v>35</v>
      </c>
      <c r="M442" s="0" t="n">
        <v>1.323</v>
      </c>
      <c r="N442" s="0" t="n">
        <v>1.35975</v>
      </c>
      <c r="O442" s="0" t="n">
        <v>1.3965</v>
      </c>
      <c r="P442" s="0" t="n">
        <v>1.43325</v>
      </c>
      <c r="Q442" s="0" t="n">
        <v>1.47</v>
      </c>
      <c r="R442" s="0" t="n">
        <v>1.50675</v>
      </c>
      <c r="S442" s="0" t="n">
        <v>1.5435</v>
      </c>
      <c r="T442" s="0" t="n">
        <v>1.58025</v>
      </c>
      <c r="U442" s="0" t="n">
        <v>1.617</v>
      </c>
      <c r="AD442" s="104"/>
    </row>
    <row r="443" customFormat="false" ht="15" hidden="true" customHeight="false" outlineLevel="0" collapsed="false">
      <c r="A443" s="130" t="s">
        <v>213</v>
      </c>
      <c r="B443" s="104" t="n">
        <v>35</v>
      </c>
      <c r="C443" s="0" t="n">
        <v>0.9555</v>
      </c>
      <c r="D443" s="0" t="n">
        <v>0.99225</v>
      </c>
      <c r="E443" s="0" t="n">
        <v>1.029</v>
      </c>
      <c r="F443" s="0" t="n">
        <v>1.06575</v>
      </c>
      <c r="AD443" s="104"/>
    </row>
    <row r="444" customFormat="false" ht="15" hidden="true" customHeight="false" outlineLevel="0" collapsed="false">
      <c r="A444" s="114" t="s">
        <v>333</v>
      </c>
      <c r="B444" s="104" t="n">
        <v>35</v>
      </c>
      <c r="C444" s="0" t="n">
        <v>0.9555</v>
      </c>
      <c r="D444" s="0" t="n">
        <v>0.99225</v>
      </c>
      <c r="E444" s="0" t="n">
        <v>1.029</v>
      </c>
      <c r="F444" s="0" t="n">
        <v>1.06575</v>
      </c>
      <c r="AD444" s="104"/>
    </row>
    <row r="445" customFormat="false" ht="15" hidden="true" customHeight="false" outlineLevel="0" collapsed="false">
      <c r="A445" s="130" t="s">
        <v>214</v>
      </c>
      <c r="B445" s="104" t="n">
        <v>35</v>
      </c>
      <c r="F445" s="0" t="n">
        <v>1.06575</v>
      </c>
      <c r="G445" s="0" t="n">
        <v>1.1025</v>
      </c>
      <c r="H445" s="0" t="n">
        <v>1.13925</v>
      </c>
      <c r="I445" s="0" t="n">
        <v>1.176</v>
      </c>
      <c r="J445" s="0" t="n">
        <v>1.21275</v>
      </c>
      <c r="K445" s="0" t="n">
        <v>1.2495</v>
      </c>
      <c r="L445" s="0" t="n">
        <v>1.28625</v>
      </c>
      <c r="AD445" s="104"/>
    </row>
    <row r="446" customFormat="false" ht="15" hidden="true" customHeight="false" outlineLevel="0" collapsed="false">
      <c r="A446" s="53" t="s">
        <v>334</v>
      </c>
      <c r="B446" s="104" t="n">
        <v>35</v>
      </c>
      <c r="F446" s="0" t="n">
        <v>1.06575</v>
      </c>
      <c r="G446" s="0" t="n">
        <v>1.1025</v>
      </c>
      <c r="H446" s="0" t="n">
        <v>1.13925</v>
      </c>
      <c r="I446" s="0" t="n">
        <v>1.176</v>
      </c>
      <c r="J446" s="0" t="n">
        <v>1.21275</v>
      </c>
      <c r="K446" s="0" t="n">
        <v>1.2495</v>
      </c>
      <c r="L446" s="0" t="n">
        <v>1.28625</v>
      </c>
      <c r="AD446" s="104"/>
    </row>
    <row r="447" customFormat="false" ht="15" hidden="true" customHeight="false" outlineLevel="0" collapsed="false">
      <c r="A447" s="130" t="s">
        <v>215</v>
      </c>
      <c r="B447" s="104" t="n">
        <v>35</v>
      </c>
      <c r="C447" s="0" t="n">
        <v>0.9555</v>
      </c>
      <c r="D447" s="0" t="n">
        <v>0.99225</v>
      </c>
      <c r="E447" s="0" t="n">
        <v>1.029</v>
      </c>
      <c r="F447" s="0" t="n">
        <v>1.06575</v>
      </c>
      <c r="AD447" s="104"/>
    </row>
    <row r="448" customFormat="false" ht="15" hidden="true" customHeight="false" outlineLevel="0" collapsed="false">
      <c r="A448" s="114" t="s">
        <v>335</v>
      </c>
      <c r="B448" s="104" t="n">
        <v>35</v>
      </c>
      <c r="C448" s="0" t="n">
        <v>0.9555</v>
      </c>
      <c r="D448" s="0" t="n">
        <v>0.99225</v>
      </c>
      <c r="E448" s="0" t="n">
        <v>1.029</v>
      </c>
      <c r="F448" s="0" t="n">
        <v>1.06575</v>
      </c>
      <c r="AD448" s="104"/>
    </row>
  </sheetData>
  <autoFilter ref="A1:AD448">
    <filterColumn colId="1">
      <customFilters and="true">
        <customFilter operator="equal" val="1"/>
      </custom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filterMode="true">
    <tabColor rgb="FF00CC33"/>
    <pageSetUpPr fitToPage="false"/>
  </sheetPr>
  <dimension ref="A1:AME1207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9541" activeCellId="0" sqref="A9541"/>
    </sheetView>
  </sheetViews>
  <sheetFormatPr defaultRowHeight="13.8"/>
  <cols>
    <col collapsed="false" hidden="false" max="1" min="1" style="0" width="25.0283400809717"/>
    <col collapsed="false" hidden="false" max="2" min="2" style="0" width="21.246963562753"/>
    <col collapsed="false" hidden="false" max="3" min="3" style="0" width="18.4048582995951"/>
    <col collapsed="false" hidden="false" max="1025" min="4" style="0" width="9.06072874493927"/>
  </cols>
  <sheetData>
    <row r="1" customFormat="false" ht="13.8" hidden="false" customHeight="false" outlineLevel="0" collapsed="false">
      <c r="A1" s="53" t="s">
        <v>1369</v>
      </c>
      <c r="B1" s="53" t="s">
        <v>1370</v>
      </c>
      <c r="C1" s="53" t="s">
        <v>1371</v>
      </c>
      <c r="D1" s="53" t="s">
        <v>1372</v>
      </c>
      <c r="E1" s="53" t="s">
        <v>1368</v>
      </c>
      <c r="AMD1" s="53"/>
      <c r="AME1" s="53"/>
    </row>
    <row r="2" customFormat="false" ht="13.8" hidden="true" customHeight="false" outlineLevel="0" collapsed="false">
      <c r="A2" s="0" t="s">
        <v>598</v>
      </c>
      <c r="B2" s="0" t="n">
        <v>11</v>
      </c>
      <c r="C2" s="0" t="n">
        <v>1.3</v>
      </c>
      <c r="D2" s="0" t="n">
        <v>0</v>
      </c>
    </row>
    <row r="3" customFormat="false" ht="13.8" hidden="true" customHeight="false" outlineLevel="0" collapsed="false">
      <c r="A3" s="0" t="s">
        <v>598</v>
      </c>
      <c r="B3" s="0" t="n">
        <v>11</v>
      </c>
      <c r="C3" s="0" t="n">
        <v>1.35</v>
      </c>
      <c r="D3" s="0" t="n">
        <v>0</v>
      </c>
    </row>
    <row r="4" customFormat="false" ht="13.8" hidden="true" customHeight="false" outlineLevel="0" collapsed="false">
      <c r="A4" s="0" t="s">
        <v>598</v>
      </c>
      <c r="B4" s="0" t="n">
        <v>11</v>
      </c>
      <c r="C4" s="0" t="n">
        <v>1.4</v>
      </c>
      <c r="D4" s="0" t="n">
        <v>0</v>
      </c>
    </row>
    <row r="5" customFormat="false" ht="13.8" hidden="true" customHeight="false" outlineLevel="0" collapsed="false">
      <c r="A5" s="0" t="s">
        <v>598</v>
      </c>
      <c r="B5" s="0" t="n">
        <v>11</v>
      </c>
      <c r="C5" s="0" t="n">
        <v>1.45</v>
      </c>
      <c r="D5" s="0" t="n">
        <v>0</v>
      </c>
    </row>
    <row r="6" customFormat="false" ht="13.8" hidden="true" customHeight="false" outlineLevel="0" collapsed="false">
      <c r="A6" s="0" t="s">
        <v>598</v>
      </c>
      <c r="B6" s="0" t="n">
        <v>11</v>
      </c>
      <c r="C6" s="0" t="n">
        <v>1.5</v>
      </c>
      <c r="D6" s="0" t="n">
        <v>0</v>
      </c>
    </row>
    <row r="7" customFormat="false" ht="13.8" hidden="true" customHeight="false" outlineLevel="0" collapsed="false">
      <c r="A7" s="0" t="s">
        <v>598</v>
      </c>
      <c r="B7" s="0" t="n">
        <v>11</v>
      </c>
      <c r="C7" s="0" t="n">
        <v>1.55</v>
      </c>
      <c r="D7" s="0" t="n">
        <v>0</v>
      </c>
    </row>
    <row r="8" customFormat="false" ht="13.8" hidden="true" customHeight="false" outlineLevel="0" collapsed="false">
      <c r="A8" s="0" t="s">
        <v>598</v>
      </c>
      <c r="B8" s="0" t="n">
        <v>11</v>
      </c>
      <c r="C8" s="0" t="n">
        <v>1.6</v>
      </c>
      <c r="D8" s="0" t="n">
        <v>0.308</v>
      </c>
    </row>
    <row r="9" customFormat="false" ht="13.8" hidden="true" customHeight="false" outlineLevel="0" collapsed="false">
      <c r="A9" s="0" t="s">
        <v>598</v>
      </c>
      <c r="B9" s="0" t="n">
        <v>11</v>
      </c>
      <c r="C9" s="0" t="n">
        <v>1.65</v>
      </c>
      <c r="D9" s="0" t="n">
        <v>0.317</v>
      </c>
    </row>
    <row r="10" customFormat="false" ht="13.8" hidden="true" customHeight="false" outlineLevel="0" collapsed="false">
      <c r="A10" s="0" t="s">
        <v>598</v>
      </c>
      <c r="B10" s="0" t="n">
        <v>11</v>
      </c>
      <c r="C10" s="0" t="n">
        <v>1.7</v>
      </c>
      <c r="D10" s="0" t="n">
        <v>0.327</v>
      </c>
    </row>
    <row r="11" customFormat="false" ht="13.8" hidden="true" customHeight="false" outlineLevel="0" collapsed="false">
      <c r="A11" s="0" t="s">
        <v>598</v>
      </c>
      <c r="B11" s="0" t="n">
        <v>11</v>
      </c>
      <c r="C11" s="0" t="n">
        <v>1.75</v>
      </c>
      <c r="D11" s="0" t="n">
        <v>0</v>
      </c>
    </row>
    <row r="12" customFormat="false" ht="13.8" hidden="true" customHeight="false" outlineLevel="0" collapsed="false">
      <c r="A12" s="0" t="s">
        <v>598</v>
      </c>
      <c r="B12" s="0" t="n">
        <v>11</v>
      </c>
      <c r="C12" s="0" t="n">
        <v>1.8</v>
      </c>
      <c r="D12" s="0" t="n">
        <v>0</v>
      </c>
    </row>
    <row r="13" customFormat="false" ht="13.8" hidden="true" customHeight="false" outlineLevel="0" collapsed="false">
      <c r="A13" s="0" t="s">
        <v>598</v>
      </c>
      <c r="B13" s="0" t="n">
        <v>11</v>
      </c>
      <c r="C13" s="0" t="n">
        <v>1.85</v>
      </c>
      <c r="D13" s="0" t="n">
        <v>0</v>
      </c>
    </row>
    <row r="14" customFormat="false" ht="13.8" hidden="true" customHeight="false" outlineLevel="0" collapsed="false">
      <c r="A14" s="0" t="s">
        <v>598</v>
      </c>
      <c r="B14" s="0" t="n">
        <v>11</v>
      </c>
      <c r="C14" s="0" t="n">
        <v>1.9</v>
      </c>
      <c r="D14" s="0" t="n">
        <v>0</v>
      </c>
    </row>
    <row r="15" customFormat="false" ht="13.8" hidden="true" customHeight="false" outlineLevel="0" collapsed="false">
      <c r="A15" s="0" t="s">
        <v>598</v>
      </c>
      <c r="B15" s="0" t="n">
        <v>11</v>
      </c>
      <c r="C15" s="0" t="n">
        <v>1.95</v>
      </c>
      <c r="D15" s="0" t="n">
        <v>0</v>
      </c>
    </row>
    <row r="16" customFormat="false" ht="13.8" hidden="true" customHeight="false" outlineLevel="0" collapsed="false">
      <c r="A16" s="0" t="s">
        <v>598</v>
      </c>
      <c r="B16" s="0" t="n">
        <v>11</v>
      </c>
      <c r="C16" s="0" t="n">
        <v>2</v>
      </c>
      <c r="D16" s="0" t="n">
        <v>0</v>
      </c>
    </row>
    <row r="17" customFormat="false" ht="13.8" hidden="true" customHeight="false" outlineLevel="0" collapsed="false">
      <c r="A17" s="0" t="s">
        <v>598</v>
      </c>
      <c r="B17" s="0" t="n">
        <v>11</v>
      </c>
      <c r="C17" s="0" t="n">
        <v>2.05</v>
      </c>
      <c r="D17" s="0" t="n">
        <v>0</v>
      </c>
    </row>
    <row r="18" customFormat="false" ht="13.8" hidden="true" customHeight="false" outlineLevel="0" collapsed="false">
      <c r="A18" s="0" t="s">
        <v>598</v>
      </c>
      <c r="B18" s="0" t="n">
        <v>11</v>
      </c>
      <c r="C18" s="0" t="n">
        <v>2.1</v>
      </c>
      <c r="D18" s="0" t="n">
        <v>0</v>
      </c>
    </row>
    <row r="19" customFormat="false" ht="13.8" hidden="true" customHeight="false" outlineLevel="0" collapsed="false">
      <c r="A19" s="0" t="s">
        <v>598</v>
      </c>
      <c r="B19" s="0" t="n">
        <v>11</v>
      </c>
      <c r="C19" s="0" t="n">
        <v>2.15</v>
      </c>
      <c r="D19" s="0" t="n">
        <v>0</v>
      </c>
    </row>
    <row r="20" customFormat="false" ht="13.8" hidden="true" customHeight="false" outlineLevel="0" collapsed="false">
      <c r="A20" s="0" t="s">
        <v>598</v>
      </c>
      <c r="B20" s="0" t="n">
        <v>11</v>
      </c>
      <c r="C20" s="0" t="n">
        <v>2.2</v>
      </c>
      <c r="D20" s="0" t="n">
        <v>0</v>
      </c>
    </row>
    <row r="21" customFormat="false" ht="13.8" hidden="true" customHeight="false" outlineLevel="0" collapsed="false">
      <c r="A21" s="0" t="s">
        <v>598</v>
      </c>
      <c r="B21" s="0" t="n">
        <v>11</v>
      </c>
      <c r="C21" s="0" t="n">
        <v>2.25</v>
      </c>
      <c r="D21" s="0" t="n">
        <v>0</v>
      </c>
    </row>
    <row r="22" customFormat="false" ht="13.8" hidden="true" customHeight="false" outlineLevel="0" collapsed="false">
      <c r="A22" s="0" t="s">
        <v>598</v>
      </c>
      <c r="B22" s="0" t="n">
        <v>11</v>
      </c>
      <c r="C22" s="0" t="n">
        <v>2.3</v>
      </c>
      <c r="D22" s="0" t="n">
        <v>0</v>
      </c>
    </row>
    <row r="23" customFormat="false" ht="13.8" hidden="true" customHeight="false" outlineLevel="0" collapsed="false">
      <c r="A23" s="0" t="s">
        <v>598</v>
      </c>
      <c r="B23" s="0" t="n">
        <v>11</v>
      </c>
      <c r="C23" s="0" t="n">
        <v>2.35</v>
      </c>
      <c r="D23" s="0" t="n">
        <v>0</v>
      </c>
    </row>
    <row r="24" customFormat="false" ht="13.8" hidden="true" customHeight="false" outlineLevel="0" collapsed="false">
      <c r="A24" s="0" t="s">
        <v>598</v>
      </c>
      <c r="B24" s="0" t="n">
        <v>11</v>
      </c>
      <c r="C24" s="0" t="n">
        <v>2.4</v>
      </c>
      <c r="D24" s="0" t="n">
        <v>0</v>
      </c>
    </row>
    <row r="25" customFormat="false" ht="13.8" hidden="true" customHeight="false" outlineLevel="0" collapsed="false">
      <c r="A25" s="0" t="s">
        <v>598</v>
      </c>
      <c r="B25" s="0" t="n">
        <v>11</v>
      </c>
      <c r="C25" s="0" t="n">
        <v>2.45</v>
      </c>
      <c r="D25" s="0" t="n">
        <v>0</v>
      </c>
    </row>
    <row r="26" customFormat="false" ht="13.8" hidden="true" customHeight="false" outlineLevel="0" collapsed="false">
      <c r="A26" s="0" t="s">
        <v>598</v>
      </c>
      <c r="B26" s="0" t="n">
        <v>11</v>
      </c>
      <c r="C26" s="0" t="n">
        <v>2.5</v>
      </c>
      <c r="D26" s="0" t="n">
        <v>0</v>
      </c>
    </row>
    <row r="27" customFormat="false" ht="13.8" hidden="true" customHeight="false" outlineLevel="0" collapsed="false">
      <c r="A27" s="0" t="s">
        <v>598</v>
      </c>
      <c r="B27" s="0" t="n">
        <v>11</v>
      </c>
      <c r="C27" s="0" t="n">
        <v>2.55</v>
      </c>
      <c r="D27" s="0" t="n">
        <v>0</v>
      </c>
    </row>
    <row r="28" customFormat="false" ht="13.8" hidden="true" customHeight="false" outlineLevel="0" collapsed="false">
      <c r="A28" s="0" t="s">
        <v>598</v>
      </c>
      <c r="B28" s="0" t="n">
        <v>11</v>
      </c>
      <c r="C28" s="0" t="n">
        <v>2.6</v>
      </c>
      <c r="D28" s="0" t="n">
        <v>0</v>
      </c>
    </row>
    <row r="29" customFormat="false" ht="13.8" hidden="true" customHeight="false" outlineLevel="0" collapsed="false">
      <c r="A29" s="0" t="s">
        <v>598</v>
      </c>
      <c r="B29" s="0" t="n">
        <v>18</v>
      </c>
      <c r="C29" s="0" t="n">
        <v>1.3</v>
      </c>
      <c r="D29" s="0" t="n">
        <v>0</v>
      </c>
    </row>
    <row r="30" customFormat="false" ht="13.8" hidden="true" customHeight="false" outlineLevel="0" collapsed="false">
      <c r="A30" s="0" t="s">
        <v>598</v>
      </c>
      <c r="B30" s="0" t="n">
        <v>18</v>
      </c>
      <c r="C30" s="0" t="n">
        <v>1.35</v>
      </c>
      <c r="D30" s="0" t="n">
        <v>0</v>
      </c>
    </row>
    <row r="31" customFormat="false" ht="13.8" hidden="true" customHeight="false" outlineLevel="0" collapsed="false">
      <c r="A31" s="0" t="s">
        <v>598</v>
      </c>
      <c r="B31" s="0" t="n">
        <v>18</v>
      </c>
      <c r="C31" s="0" t="n">
        <v>1.4</v>
      </c>
      <c r="D31" s="0" t="n">
        <v>0</v>
      </c>
    </row>
    <row r="32" customFormat="false" ht="13.8" hidden="true" customHeight="false" outlineLevel="0" collapsed="false">
      <c r="A32" s="0" t="s">
        <v>598</v>
      </c>
      <c r="B32" s="0" t="n">
        <v>18</v>
      </c>
      <c r="C32" s="0" t="n">
        <v>1.45</v>
      </c>
      <c r="D32" s="0" t="n">
        <v>0</v>
      </c>
    </row>
    <row r="33" customFormat="false" ht="13.8" hidden="true" customHeight="false" outlineLevel="0" collapsed="false">
      <c r="A33" s="0" t="s">
        <v>598</v>
      </c>
      <c r="B33" s="0" t="n">
        <v>18</v>
      </c>
      <c r="C33" s="0" t="n">
        <v>1.5</v>
      </c>
      <c r="D33" s="0" t="n">
        <v>0</v>
      </c>
    </row>
    <row r="34" customFormat="false" ht="13.8" hidden="true" customHeight="false" outlineLevel="0" collapsed="false">
      <c r="A34" s="0" t="s">
        <v>598</v>
      </c>
      <c r="B34" s="0" t="n">
        <v>18</v>
      </c>
      <c r="C34" s="0" t="n">
        <v>1.55</v>
      </c>
      <c r="D34" s="0" t="n">
        <v>0</v>
      </c>
    </row>
    <row r="35" customFormat="false" ht="13.8" hidden="true" customHeight="false" outlineLevel="0" collapsed="false">
      <c r="A35" s="0" t="s">
        <v>598</v>
      </c>
      <c r="B35" s="0" t="n">
        <v>18</v>
      </c>
      <c r="C35" s="0" t="n">
        <v>1.6</v>
      </c>
      <c r="D35" s="0" t="n">
        <v>0.308</v>
      </c>
    </row>
    <row r="36" customFormat="false" ht="13.8" hidden="true" customHeight="false" outlineLevel="0" collapsed="false">
      <c r="A36" s="0" t="s">
        <v>598</v>
      </c>
      <c r="B36" s="0" t="n">
        <v>18</v>
      </c>
      <c r="C36" s="0" t="n">
        <v>1.65</v>
      </c>
      <c r="D36" s="0" t="n">
        <v>0.317</v>
      </c>
    </row>
    <row r="37" customFormat="false" ht="13.8" hidden="true" customHeight="false" outlineLevel="0" collapsed="false">
      <c r="A37" s="0" t="s">
        <v>598</v>
      </c>
      <c r="B37" s="0" t="n">
        <v>18</v>
      </c>
      <c r="C37" s="0" t="n">
        <v>1.7</v>
      </c>
      <c r="D37" s="0" t="n">
        <v>0.327</v>
      </c>
    </row>
    <row r="38" customFormat="false" ht="13.8" hidden="true" customHeight="false" outlineLevel="0" collapsed="false">
      <c r="A38" s="0" t="s">
        <v>598</v>
      </c>
      <c r="B38" s="0" t="n">
        <v>18</v>
      </c>
      <c r="C38" s="0" t="n">
        <v>1.75</v>
      </c>
      <c r="D38" s="0" t="n">
        <v>0</v>
      </c>
    </row>
    <row r="39" customFormat="false" ht="13.8" hidden="true" customHeight="false" outlineLevel="0" collapsed="false">
      <c r="A39" s="0" t="s">
        <v>598</v>
      </c>
      <c r="B39" s="0" t="n">
        <v>18</v>
      </c>
      <c r="C39" s="0" t="n">
        <v>1.8</v>
      </c>
      <c r="D39" s="0" t="n">
        <v>0</v>
      </c>
    </row>
    <row r="40" customFormat="false" ht="13.8" hidden="true" customHeight="false" outlineLevel="0" collapsed="false">
      <c r="A40" s="0" t="s">
        <v>598</v>
      </c>
      <c r="B40" s="0" t="n">
        <v>18</v>
      </c>
      <c r="C40" s="0" t="n">
        <v>1.85</v>
      </c>
      <c r="D40" s="0" t="n">
        <v>0</v>
      </c>
    </row>
    <row r="41" customFormat="false" ht="13.8" hidden="true" customHeight="false" outlineLevel="0" collapsed="false">
      <c r="A41" s="0" t="s">
        <v>598</v>
      </c>
      <c r="B41" s="0" t="n">
        <v>18</v>
      </c>
      <c r="C41" s="0" t="n">
        <v>1.9</v>
      </c>
      <c r="D41" s="0" t="n">
        <v>0</v>
      </c>
    </row>
    <row r="42" customFormat="false" ht="13.8" hidden="true" customHeight="false" outlineLevel="0" collapsed="false">
      <c r="A42" s="0" t="s">
        <v>598</v>
      </c>
      <c r="B42" s="0" t="n">
        <v>18</v>
      </c>
      <c r="C42" s="0" t="n">
        <v>1.95</v>
      </c>
      <c r="D42" s="0" t="n">
        <v>0</v>
      </c>
    </row>
    <row r="43" customFormat="false" ht="13.8" hidden="true" customHeight="false" outlineLevel="0" collapsed="false">
      <c r="A43" s="0" t="s">
        <v>598</v>
      </c>
      <c r="B43" s="0" t="n">
        <v>18</v>
      </c>
      <c r="C43" s="0" t="n">
        <v>2</v>
      </c>
      <c r="D43" s="0" t="n">
        <v>0</v>
      </c>
    </row>
    <row r="44" customFormat="false" ht="13.8" hidden="true" customHeight="false" outlineLevel="0" collapsed="false">
      <c r="A44" s="0" t="s">
        <v>598</v>
      </c>
      <c r="B44" s="0" t="n">
        <v>18</v>
      </c>
      <c r="C44" s="0" t="n">
        <v>2.05</v>
      </c>
      <c r="D44" s="0" t="n">
        <v>0</v>
      </c>
    </row>
    <row r="45" customFormat="false" ht="13.8" hidden="true" customHeight="false" outlineLevel="0" collapsed="false">
      <c r="A45" s="0" t="s">
        <v>598</v>
      </c>
      <c r="B45" s="0" t="n">
        <v>18</v>
      </c>
      <c r="C45" s="0" t="n">
        <v>2.1</v>
      </c>
      <c r="D45" s="0" t="n">
        <v>0</v>
      </c>
    </row>
    <row r="46" customFormat="false" ht="13.8" hidden="true" customHeight="false" outlineLevel="0" collapsed="false">
      <c r="A46" s="0" t="s">
        <v>598</v>
      </c>
      <c r="B46" s="0" t="n">
        <v>18</v>
      </c>
      <c r="C46" s="0" t="n">
        <v>2.15</v>
      </c>
      <c r="D46" s="0" t="n">
        <v>0</v>
      </c>
    </row>
    <row r="47" customFormat="false" ht="13.8" hidden="true" customHeight="false" outlineLevel="0" collapsed="false">
      <c r="A47" s="0" t="s">
        <v>598</v>
      </c>
      <c r="B47" s="0" t="n">
        <v>18</v>
      </c>
      <c r="C47" s="0" t="n">
        <v>2.2</v>
      </c>
      <c r="D47" s="0" t="n">
        <v>0</v>
      </c>
    </row>
    <row r="48" customFormat="false" ht="13.8" hidden="true" customHeight="false" outlineLevel="0" collapsed="false">
      <c r="A48" s="0" t="s">
        <v>598</v>
      </c>
      <c r="B48" s="0" t="n">
        <v>18</v>
      </c>
      <c r="C48" s="0" t="n">
        <v>2.25</v>
      </c>
      <c r="D48" s="0" t="n">
        <v>0</v>
      </c>
    </row>
    <row r="49" customFormat="false" ht="13.8" hidden="true" customHeight="false" outlineLevel="0" collapsed="false">
      <c r="A49" s="0" t="s">
        <v>598</v>
      </c>
      <c r="B49" s="0" t="n">
        <v>18</v>
      </c>
      <c r="C49" s="0" t="n">
        <v>2.3</v>
      </c>
      <c r="D49" s="0" t="n">
        <v>0</v>
      </c>
    </row>
    <row r="50" customFormat="false" ht="13.8" hidden="true" customHeight="false" outlineLevel="0" collapsed="false">
      <c r="A50" s="0" t="s">
        <v>598</v>
      </c>
      <c r="B50" s="0" t="n">
        <v>18</v>
      </c>
      <c r="C50" s="0" t="n">
        <v>2.35</v>
      </c>
      <c r="D50" s="0" t="n">
        <v>0</v>
      </c>
    </row>
    <row r="51" customFormat="false" ht="13.8" hidden="true" customHeight="false" outlineLevel="0" collapsed="false">
      <c r="A51" s="0" t="s">
        <v>598</v>
      </c>
      <c r="B51" s="0" t="n">
        <v>18</v>
      </c>
      <c r="C51" s="0" t="n">
        <v>2.4</v>
      </c>
      <c r="D51" s="0" t="n">
        <v>0</v>
      </c>
    </row>
    <row r="52" customFormat="false" ht="13.8" hidden="true" customHeight="false" outlineLevel="0" collapsed="false">
      <c r="A52" s="0" t="s">
        <v>598</v>
      </c>
      <c r="B52" s="0" t="n">
        <v>18</v>
      </c>
      <c r="C52" s="0" t="n">
        <v>2.45</v>
      </c>
      <c r="D52" s="0" t="n">
        <v>0</v>
      </c>
    </row>
    <row r="53" customFormat="false" ht="13.8" hidden="true" customHeight="false" outlineLevel="0" collapsed="false">
      <c r="A53" s="0" t="s">
        <v>598</v>
      </c>
      <c r="B53" s="0" t="n">
        <v>18</v>
      </c>
      <c r="C53" s="0" t="n">
        <v>2.5</v>
      </c>
      <c r="D53" s="0" t="n">
        <v>0</v>
      </c>
    </row>
    <row r="54" customFormat="false" ht="13.8" hidden="true" customHeight="false" outlineLevel="0" collapsed="false">
      <c r="A54" s="0" t="s">
        <v>598</v>
      </c>
      <c r="B54" s="0" t="n">
        <v>18</v>
      </c>
      <c r="C54" s="0" t="n">
        <v>2.55</v>
      </c>
      <c r="D54" s="0" t="n">
        <v>0</v>
      </c>
    </row>
    <row r="55" customFormat="false" ht="13.8" hidden="true" customHeight="false" outlineLevel="0" collapsed="false">
      <c r="A55" s="0" t="s">
        <v>598</v>
      </c>
      <c r="B55" s="0" t="n">
        <v>18</v>
      </c>
      <c r="C55" s="0" t="n">
        <v>2.6</v>
      </c>
      <c r="D55" s="0" t="n">
        <v>0</v>
      </c>
    </row>
    <row r="56" customFormat="false" ht="13.8" hidden="true" customHeight="false" outlineLevel="0" collapsed="false">
      <c r="A56" s="0" t="s">
        <v>120</v>
      </c>
      <c r="B56" s="0" t="n">
        <v>9</v>
      </c>
      <c r="C56" s="0" t="n">
        <v>1.3</v>
      </c>
      <c r="D56" s="0" t="n">
        <v>0</v>
      </c>
    </row>
    <row r="57" customFormat="false" ht="13.8" hidden="true" customHeight="false" outlineLevel="0" collapsed="false">
      <c r="A57" s="0" t="s">
        <v>120</v>
      </c>
      <c r="B57" s="0" t="n">
        <v>9</v>
      </c>
      <c r="C57" s="0" t="n">
        <v>1.35</v>
      </c>
      <c r="D57" s="0" t="n">
        <v>0</v>
      </c>
    </row>
    <row r="58" customFormat="false" ht="13.8" hidden="true" customHeight="false" outlineLevel="0" collapsed="false">
      <c r="A58" s="0" t="s">
        <v>120</v>
      </c>
      <c r="B58" s="0" t="n">
        <v>9</v>
      </c>
      <c r="C58" s="0" t="n">
        <v>1.4</v>
      </c>
      <c r="D58" s="0" t="n">
        <v>0</v>
      </c>
    </row>
    <row r="59" customFormat="false" ht="13.8" hidden="true" customHeight="false" outlineLevel="0" collapsed="false">
      <c r="A59" s="0" t="s">
        <v>120</v>
      </c>
      <c r="B59" s="0" t="n">
        <v>9</v>
      </c>
      <c r="C59" s="0" t="n">
        <v>1.45</v>
      </c>
      <c r="D59" s="0" t="n">
        <v>0</v>
      </c>
    </row>
    <row r="60" customFormat="false" ht="13.8" hidden="true" customHeight="false" outlineLevel="0" collapsed="false">
      <c r="A60" s="0" t="s">
        <v>120</v>
      </c>
      <c r="B60" s="0" t="n">
        <v>9</v>
      </c>
      <c r="C60" s="0" t="n">
        <v>1.5</v>
      </c>
      <c r="D60" s="0" t="n">
        <v>0</v>
      </c>
    </row>
    <row r="61" customFormat="false" ht="13.8" hidden="true" customHeight="false" outlineLevel="0" collapsed="false">
      <c r="A61" s="0" t="s">
        <v>120</v>
      </c>
      <c r="B61" s="0" t="n">
        <v>9</v>
      </c>
      <c r="C61" s="0" t="n">
        <v>1.55</v>
      </c>
      <c r="D61" s="0" t="n">
        <v>0</v>
      </c>
    </row>
    <row r="62" customFormat="false" ht="13.8" hidden="true" customHeight="false" outlineLevel="0" collapsed="false">
      <c r="A62" s="0" t="s">
        <v>120</v>
      </c>
      <c r="B62" s="0" t="n">
        <v>9</v>
      </c>
      <c r="C62" s="0" t="n">
        <v>1.6</v>
      </c>
      <c r="D62" s="0" t="n">
        <v>0.158</v>
      </c>
    </row>
    <row r="63" customFormat="false" ht="13.8" hidden="true" customHeight="false" outlineLevel="0" collapsed="false">
      <c r="A63" s="0" t="s">
        <v>120</v>
      </c>
      <c r="B63" s="0" t="n">
        <v>9</v>
      </c>
      <c r="C63" s="0" t="n">
        <v>1.65</v>
      </c>
      <c r="D63" s="0" t="n">
        <v>0.163</v>
      </c>
    </row>
    <row r="64" customFormat="false" ht="13.8" hidden="true" customHeight="false" outlineLevel="0" collapsed="false">
      <c r="A64" s="0" t="s">
        <v>120</v>
      </c>
      <c r="B64" s="0" t="n">
        <v>9</v>
      </c>
      <c r="C64" s="0" t="n">
        <v>1.7</v>
      </c>
      <c r="D64" s="0" t="n">
        <v>0.168</v>
      </c>
    </row>
    <row r="65" customFormat="false" ht="13.8" hidden="true" customHeight="false" outlineLevel="0" collapsed="false">
      <c r="A65" s="0" t="s">
        <v>120</v>
      </c>
      <c r="B65" s="0" t="n">
        <v>9</v>
      </c>
      <c r="C65" s="0" t="n">
        <v>1.75</v>
      </c>
      <c r="D65" s="0" t="n">
        <v>0.173</v>
      </c>
    </row>
    <row r="66" customFormat="false" ht="13.8" hidden="true" customHeight="false" outlineLevel="0" collapsed="false">
      <c r="A66" s="0" t="s">
        <v>120</v>
      </c>
      <c r="B66" s="0" t="n">
        <v>9</v>
      </c>
      <c r="C66" s="0" t="n">
        <v>1.8</v>
      </c>
      <c r="D66" s="0" t="n">
        <v>0.185</v>
      </c>
    </row>
    <row r="67" customFormat="false" ht="13.8" hidden="true" customHeight="false" outlineLevel="0" collapsed="false">
      <c r="A67" s="0" t="s">
        <v>120</v>
      </c>
      <c r="B67" s="0" t="n">
        <v>9</v>
      </c>
      <c r="C67" s="0" t="n">
        <v>1.85</v>
      </c>
      <c r="D67" s="0" t="n">
        <v>0.191</v>
      </c>
    </row>
    <row r="68" customFormat="false" ht="13.8" hidden="true" customHeight="false" outlineLevel="0" collapsed="false">
      <c r="A68" s="0" t="s">
        <v>120</v>
      </c>
      <c r="B68" s="0" t="n">
        <v>9</v>
      </c>
      <c r="C68" s="0" t="n">
        <v>1.9</v>
      </c>
      <c r="D68" s="0" t="n">
        <v>0.196</v>
      </c>
    </row>
    <row r="69" customFormat="false" ht="13.8" hidden="true" customHeight="false" outlineLevel="0" collapsed="false">
      <c r="A69" s="0" t="s">
        <v>120</v>
      </c>
      <c r="B69" s="0" t="n">
        <v>9</v>
      </c>
      <c r="C69" s="0" t="n">
        <v>1.95</v>
      </c>
      <c r="D69" s="0" t="n">
        <v>0.201</v>
      </c>
    </row>
    <row r="70" customFormat="false" ht="13.8" hidden="true" customHeight="false" outlineLevel="0" collapsed="false">
      <c r="A70" s="0" t="s">
        <v>120</v>
      </c>
      <c r="B70" s="0" t="n">
        <v>9</v>
      </c>
      <c r="C70" s="0" t="n">
        <v>2</v>
      </c>
      <c r="D70" s="0" t="n">
        <v>0.214</v>
      </c>
    </row>
    <row r="71" customFormat="false" ht="13.8" hidden="true" customHeight="false" outlineLevel="0" collapsed="false">
      <c r="A71" s="0" t="s">
        <v>120</v>
      </c>
      <c r="B71" s="0" t="n">
        <v>9</v>
      </c>
      <c r="C71" s="0" t="n">
        <v>2.05</v>
      </c>
      <c r="D71" s="0" t="n">
        <v>0.22</v>
      </c>
    </row>
    <row r="72" customFormat="false" ht="13.8" hidden="true" customHeight="false" outlineLevel="0" collapsed="false">
      <c r="A72" s="0" t="s">
        <v>120</v>
      </c>
      <c r="B72" s="0" t="n">
        <v>9</v>
      </c>
      <c r="C72" s="0" t="n">
        <v>2.1</v>
      </c>
      <c r="D72" s="0" t="n">
        <v>0.225</v>
      </c>
    </row>
    <row r="73" customFormat="false" ht="13.8" hidden="true" customHeight="false" outlineLevel="0" collapsed="false">
      <c r="A73" s="0" t="s">
        <v>120</v>
      </c>
      <c r="B73" s="0" t="n">
        <v>9</v>
      </c>
      <c r="C73" s="0" t="n">
        <v>2.15</v>
      </c>
      <c r="D73" s="0" t="n">
        <v>0.230286495</v>
      </c>
    </row>
    <row r="74" customFormat="false" ht="13.8" hidden="true" customHeight="false" outlineLevel="0" collapsed="false">
      <c r="A74" s="0" t="s">
        <v>120</v>
      </c>
      <c r="B74" s="0" t="n">
        <v>9</v>
      </c>
      <c r="C74" s="0" t="n">
        <v>2.2</v>
      </c>
      <c r="D74" s="0" t="n">
        <v>0.220063531</v>
      </c>
    </row>
    <row r="75" customFormat="false" ht="13.8" hidden="true" customHeight="false" outlineLevel="0" collapsed="false">
      <c r="A75" s="0" t="s">
        <v>120</v>
      </c>
      <c r="B75" s="0" t="n">
        <v>9</v>
      </c>
      <c r="C75" s="0" t="n">
        <v>2.25</v>
      </c>
      <c r="D75" s="0" t="n">
        <v>0.225064975</v>
      </c>
    </row>
    <row r="76" customFormat="false" ht="13.8" hidden="true" customHeight="false" outlineLevel="0" collapsed="false">
      <c r="A76" s="0" t="s">
        <v>120</v>
      </c>
      <c r="B76" s="0" t="n">
        <v>9</v>
      </c>
      <c r="C76" s="0" t="n">
        <v>2.3</v>
      </c>
      <c r="D76" s="0" t="n">
        <v>0.230066419</v>
      </c>
    </row>
    <row r="77" customFormat="false" ht="13.8" hidden="true" customHeight="false" outlineLevel="0" collapsed="false">
      <c r="A77" s="0" t="s">
        <v>120</v>
      </c>
      <c r="B77" s="0" t="n">
        <v>9</v>
      </c>
      <c r="C77" s="0" t="n">
        <v>2.35</v>
      </c>
      <c r="D77" s="0" t="n">
        <v>0.235067863</v>
      </c>
    </row>
    <row r="78" customFormat="false" ht="13.8" hidden="true" customHeight="false" outlineLevel="0" collapsed="false">
      <c r="A78" s="0" t="s">
        <v>120</v>
      </c>
      <c r="B78" s="0" t="n">
        <v>9</v>
      </c>
      <c r="C78" s="0" t="n">
        <v>2.4</v>
      </c>
      <c r="D78" s="0" t="n">
        <v>0.240069307</v>
      </c>
    </row>
    <row r="79" customFormat="false" ht="13.8" hidden="true" customHeight="false" outlineLevel="0" collapsed="false">
      <c r="A79" s="0" t="s">
        <v>120</v>
      </c>
      <c r="B79" s="0" t="n">
        <v>9</v>
      </c>
      <c r="C79" s="0" t="n">
        <v>2.45</v>
      </c>
      <c r="D79" s="0" t="n">
        <v>0.24507075</v>
      </c>
    </row>
    <row r="80" customFormat="false" ht="13.8" hidden="true" customHeight="false" outlineLevel="0" collapsed="false">
      <c r="A80" s="0" t="s">
        <v>120</v>
      </c>
      <c r="B80" s="0" t="n">
        <v>9</v>
      </c>
      <c r="C80" s="0" t="n">
        <v>2.5</v>
      </c>
      <c r="D80" s="0" t="n">
        <v>0.250072194</v>
      </c>
    </row>
    <row r="81" customFormat="false" ht="13.8" hidden="true" customHeight="false" outlineLevel="0" collapsed="false">
      <c r="A81" s="0" t="s">
        <v>120</v>
      </c>
      <c r="B81" s="0" t="n">
        <v>9</v>
      </c>
      <c r="C81" s="0" t="n">
        <v>2.55</v>
      </c>
      <c r="D81" s="0" t="n">
        <v>0.255073638</v>
      </c>
    </row>
    <row r="82" customFormat="false" ht="13.8" hidden="true" customHeight="false" outlineLevel="0" collapsed="false">
      <c r="A82" s="0" t="s">
        <v>120</v>
      </c>
      <c r="B82" s="0" t="n">
        <v>9</v>
      </c>
      <c r="C82" s="0" t="n">
        <v>2.6</v>
      </c>
      <c r="D82" s="0" t="n">
        <v>0.260075082</v>
      </c>
    </row>
    <row r="83" customFormat="false" ht="13.8" hidden="true" customHeight="false" outlineLevel="0" collapsed="false">
      <c r="A83" s="0" t="s">
        <v>120</v>
      </c>
      <c r="B83" s="0" t="n">
        <v>16</v>
      </c>
      <c r="C83" s="0" t="n">
        <v>1.3</v>
      </c>
      <c r="D83" s="0" t="n">
        <v>0</v>
      </c>
    </row>
    <row r="84" customFormat="false" ht="13.8" hidden="true" customHeight="false" outlineLevel="0" collapsed="false">
      <c r="A84" s="0" t="s">
        <v>120</v>
      </c>
      <c r="B84" s="0" t="n">
        <v>16</v>
      </c>
      <c r="C84" s="0" t="n">
        <v>1.35</v>
      </c>
      <c r="D84" s="0" t="n">
        <v>0</v>
      </c>
    </row>
    <row r="85" customFormat="false" ht="13.8" hidden="true" customHeight="false" outlineLevel="0" collapsed="false">
      <c r="A85" s="0" t="s">
        <v>120</v>
      </c>
      <c r="B85" s="0" t="n">
        <v>16</v>
      </c>
      <c r="C85" s="0" t="n">
        <v>1.4</v>
      </c>
      <c r="D85" s="0" t="n">
        <v>0</v>
      </c>
    </row>
    <row r="86" customFormat="false" ht="13.8" hidden="true" customHeight="false" outlineLevel="0" collapsed="false">
      <c r="A86" s="0" t="s">
        <v>120</v>
      </c>
      <c r="B86" s="0" t="n">
        <v>16</v>
      </c>
      <c r="C86" s="0" t="n">
        <v>1.45</v>
      </c>
      <c r="D86" s="0" t="n">
        <v>0</v>
      </c>
    </row>
    <row r="87" customFormat="false" ht="13.8" hidden="true" customHeight="false" outlineLevel="0" collapsed="false">
      <c r="A87" s="0" t="s">
        <v>120</v>
      </c>
      <c r="B87" s="0" t="n">
        <v>16</v>
      </c>
      <c r="C87" s="0" t="n">
        <v>1.5</v>
      </c>
      <c r="D87" s="0" t="n">
        <v>0</v>
      </c>
    </row>
    <row r="88" customFormat="false" ht="13.8" hidden="true" customHeight="false" outlineLevel="0" collapsed="false">
      <c r="A88" s="0" t="s">
        <v>120</v>
      </c>
      <c r="B88" s="0" t="n">
        <v>16</v>
      </c>
      <c r="C88" s="0" t="n">
        <v>1.55</v>
      </c>
      <c r="D88" s="0" t="n">
        <v>0</v>
      </c>
    </row>
    <row r="89" customFormat="false" ht="13.8" hidden="true" customHeight="false" outlineLevel="0" collapsed="false">
      <c r="A89" s="0" t="s">
        <v>120</v>
      </c>
      <c r="B89" s="0" t="n">
        <v>16</v>
      </c>
      <c r="C89" s="0" t="n">
        <v>1.6</v>
      </c>
      <c r="D89" s="0" t="n">
        <v>0.158</v>
      </c>
    </row>
    <row r="90" customFormat="false" ht="13.8" hidden="true" customHeight="false" outlineLevel="0" collapsed="false">
      <c r="A90" s="0" t="s">
        <v>120</v>
      </c>
      <c r="B90" s="0" t="n">
        <v>16</v>
      </c>
      <c r="C90" s="0" t="n">
        <v>1.65</v>
      </c>
      <c r="D90" s="0" t="n">
        <v>0.163</v>
      </c>
    </row>
    <row r="91" customFormat="false" ht="13.8" hidden="true" customHeight="false" outlineLevel="0" collapsed="false">
      <c r="A91" s="0" t="s">
        <v>120</v>
      </c>
      <c r="B91" s="0" t="n">
        <v>16</v>
      </c>
      <c r="C91" s="0" t="n">
        <v>1.7</v>
      </c>
      <c r="D91" s="0" t="n">
        <v>0.168</v>
      </c>
    </row>
    <row r="92" customFormat="false" ht="13.8" hidden="true" customHeight="false" outlineLevel="0" collapsed="false">
      <c r="A92" s="0" t="s">
        <v>120</v>
      </c>
      <c r="B92" s="0" t="n">
        <v>16</v>
      </c>
      <c r="C92" s="0" t="n">
        <v>1.75</v>
      </c>
      <c r="D92" s="0" t="n">
        <v>0.173</v>
      </c>
    </row>
    <row r="93" customFormat="false" ht="13.8" hidden="true" customHeight="false" outlineLevel="0" collapsed="false">
      <c r="A93" s="0" t="s">
        <v>120</v>
      </c>
      <c r="B93" s="0" t="n">
        <v>16</v>
      </c>
      <c r="C93" s="0" t="n">
        <v>1.8</v>
      </c>
      <c r="D93" s="0" t="n">
        <v>0.185</v>
      </c>
    </row>
    <row r="94" customFormat="false" ht="13.8" hidden="true" customHeight="false" outlineLevel="0" collapsed="false">
      <c r="A94" s="0" t="s">
        <v>120</v>
      </c>
      <c r="B94" s="0" t="n">
        <v>16</v>
      </c>
      <c r="C94" s="0" t="n">
        <v>1.85</v>
      </c>
      <c r="D94" s="0" t="n">
        <v>0.191</v>
      </c>
    </row>
    <row r="95" customFormat="false" ht="13.8" hidden="true" customHeight="false" outlineLevel="0" collapsed="false">
      <c r="A95" s="0" t="s">
        <v>120</v>
      </c>
      <c r="B95" s="0" t="n">
        <v>16</v>
      </c>
      <c r="C95" s="0" t="n">
        <v>1.9</v>
      </c>
      <c r="D95" s="0" t="n">
        <v>0.196</v>
      </c>
    </row>
    <row r="96" customFormat="false" ht="13.8" hidden="true" customHeight="false" outlineLevel="0" collapsed="false">
      <c r="A96" s="0" t="s">
        <v>120</v>
      </c>
      <c r="B96" s="0" t="n">
        <v>16</v>
      </c>
      <c r="C96" s="0" t="n">
        <v>1.95</v>
      </c>
      <c r="D96" s="0" t="n">
        <v>0.201</v>
      </c>
    </row>
    <row r="97" customFormat="false" ht="13.8" hidden="true" customHeight="false" outlineLevel="0" collapsed="false">
      <c r="A97" s="0" t="s">
        <v>120</v>
      </c>
      <c r="B97" s="0" t="n">
        <v>16</v>
      </c>
      <c r="C97" s="0" t="n">
        <v>2</v>
      </c>
      <c r="D97" s="0" t="n">
        <v>0.214</v>
      </c>
    </row>
    <row r="98" customFormat="false" ht="13.8" hidden="true" customHeight="false" outlineLevel="0" collapsed="false">
      <c r="A98" s="0" t="s">
        <v>120</v>
      </c>
      <c r="B98" s="0" t="n">
        <v>16</v>
      </c>
      <c r="C98" s="0" t="n">
        <v>2.05</v>
      </c>
      <c r="D98" s="0" t="n">
        <v>0.22</v>
      </c>
    </row>
    <row r="99" customFormat="false" ht="13.8" hidden="true" customHeight="false" outlineLevel="0" collapsed="false">
      <c r="A99" s="0" t="s">
        <v>120</v>
      </c>
      <c r="B99" s="0" t="n">
        <v>16</v>
      </c>
      <c r="C99" s="0" t="n">
        <v>2.1</v>
      </c>
      <c r="D99" s="0" t="n">
        <v>0.225</v>
      </c>
    </row>
    <row r="100" customFormat="false" ht="13.8" hidden="true" customHeight="false" outlineLevel="0" collapsed="false">
      <c r="A100" s="0" t="s">
        <v>120</v>
      </c>
      <c r="B100" s="0" t="n">
        <v>16</v>
      </c>
      <c r="C100" s="0" t="n">
        <v>2.15</v>
      </c>
      <c r="D100" s="0" t="n">
        <v>0.230286495</v>
      </c>
    </row>
    <row r="101" customFormat="false" ht="13.8" hidden="true" customHeight="false" outlineLevel="0" collapsed="false">
      <c r="A101" s="0" t="s">
        <v>120</v>
      </c>
      <c r="B101" s="0" t="n">
        <v>16</v>
      </c>
      <c r="C101" s="0" t="n">
        <v>2.2</v>
      </c>
      <c r="D101" s="0" t="n">
        <v>0.220063531</v>
      </c>
    </row>
    <row r="102" customFormat="false" ht="13.8" hidden="true" customHeight="false" outlineLevel="0" collapsed="false">
      <c r="A102" s="0" t="s">
        <v>120</v>
      </c>
      <c r="B102" s="0" t="n">
        <v>16</v>
      </c>
      <c r="C102" s="0" t="n">
        <v>2.25</v>
      </c>
      <c r="D102" s="0" t="n">
        <v>0.225064975</v>
      </c>
    </row>
    <row r="103" customFormat="false" ht="13.8" hidden="true" customHeight="false" outlineLevel="0" collapsed="false">
      <c r="A103" s="0" t="s">
        <v>120</v>
      </c>
      <c r="B103" s="0" t="n">
        <v>16</v>
      </c>
      <c r="C103" s="0" t="n">
        <v>2.3</v>
      </c>
      <c r="D103" s="0" t="n">
        <v>0.230066419</v>
      </c>
    </row>
    <row r="104" customFormat="false" ht="13.8" hidden="true" customHeight="false" outlineLevel="0" collapsed="false">
      <c r="A104" s="0" t="s">
        <v>120</v>
      </c>
      <c r="B104" s="0" t="n">
        <v>16</v>
      </c>
      <c r="C104" s="0" t="n">
        <v>2.35</v>
      </c>
      <c r="D104" s="0" t="n">
        <v>0.235067863</v>
      </c>
    </row>
    <row r="105" customFormat="false" ht="13.8" hidden="true" customHeight="false" outlineLevel="0" collapsed="false">
      <c r="A105" s="0" t="s">
        <v>120</v>
      </c>
      <c r="B105" s="0" t="n">
        <v>16</v>
      </c>
      <c r="C105" s="0" t="n">
        <v>2.4</v>
      </c>
      <c r="D105" s="0" t="n">
        <v>0.240069307</v>
      </c>
    </row>
    <row r="106" customFormat="false" ht="13.8" hidden="true" customHeight="false" outlineLevel="0" collapsed="false">
      <c r="A106" s="0" t="s">
        <v>120</v>
      </c>
      <c r="B106" s="0" t="n">
        <v>16</v>
      </c>
      <c r="C106" s="0" t="n">
        <v>2.45</v>
      </c>
      <c r="D106" s="0" t="n">
        <v>0.24507075</v>
      </c>
    </row>
    <row r="107" customFormat="false" ht="13.8" hidden="true" customHeight="false" outlineLevel="0" collapsed="false">
      <c r="A107" s="0" t="s">
        <v>120</v>
      </c>
      <c r="B107" s="0" t="n">
        <v>16</v>
      </c>
      <c r="C107" s="0" t="n">
        <v>2.5</v>
      </c>
      <c r="D107" s="0" t="n">
        <v>0.250072194</v>
      </c>
    </row>
    <row r="108" customFormat="false" ht="13.8" hidden="true" customHeight="false" outlineLevel="0" collapsed="false">
      <c r="A108" s="0" t="s">
        <v>120</v>
      </c>
      <c r="B108" s="0" t="n">
        <v>16</v>
      </c>
      <c r="C108" s="0" t="n">
        <v>2.55</v>
      </c>
      <c r="D108" s="0" t="n">
        <v>0.255073638</v>
      </c>
    </row>
    <row r="109" customFormat="false" ht="13.8" hidden="true" customHeight="false" outlineLevel="0" collapsed="false">
      <c r="A109" s="0" t="s">
        <v>120</v>
      </c>
      <c r="B109" s="0" t="n">
        <v>16</v>
      </c>
      <c r="C109" s="0" t="n">
        <v>2.6</v>
      </c>
      <c r="D109" s="0" t="n">
        <v>0.260075082</v>
      </c>
    </row>
    <row r="110" customFormat="false" ht="13.8" hidden="true" customHeight="false" outlineLevel="0" collapsed="false">
      <c r="A110" s="0" t="s">
        <v>120</v>
      </c>
      <c r="B110" s="0" t="n">
        <v>10</v>
      </c>
      <c r="C110" s="0" t="n">
        <v>1.3</v>
      </c>
      <c r="D110" s="0" t="n">
        <v>0</v>
      </c>
    </row>
    <row r="111" customFormat="false" ht="13.8" hidden="true" customHeight="false" outlineLevel="0" collapsed="false">
      <c r="A111" s="0" t="s">
        <v>120</v>
      </c>
      <c r="B111" s="0" t="n">
        <v>10</v>
      </c>
      <c r="C111" s="0" t="n">
        <v>1.35</v>
      </c>
      <c r="D111" s="0" t="n">
        <v>0</v>
      </c>
    </row>
    <row r="112" customFormat="false" ht="13.8" hidden="true" customHeight="false" outlineLevel="0" collapsed="false">
      <c r="A112" s="0" t="s">
        <v>120</v>
      </c>
      <c r="B112" s="0" t="n">
        <v>10</v>
      </c>
      <c r="C112" s="0" t="n">
        <v>1.4</v>
      </c>
      <c r="D112" s="0" t="n">
        <v>0</v>
      </c>
    </row>
    <row r="113" customFormat="false" ht="13.8" hidden="true" customHeight="false" outlineLevel="0" collapsed="false">
      <c r="A113" s="0" t="s">
        <v>120</v>
      </c>
      <c r="B113" s="0" t="n">
        <v>10</v>
      </c>
      <c r="C113" s="0" t="n">
        <v>1.45</v>
      </c>
      <c r="D113" s="0" t="n">
        <v>0</v>
      </c>
    </row>
    <row r="114" customFormat="false" ht="13.8" hidden="true" customHeight="false" outlineLevel="0" collapsed="false">
      <c r="A114" s="0" t="s">
        <v>120</v>
      </c>
      <c r="B114" s="0" t="n">
        <v>10</v>
      </c>
      <c r="C114" s="0" t="n">
        <v>1.5</v>
      </c>
      <c r="D114" s="0" t="n">
        <v>0</v>
      </c>
    </row>
    <row r="115" customFormat="false" ht="13.8" hidden="true" customHeight="false" outlineLevel="0" collapsed="false">
      <c r="A115" s="0" t="s">
        <v>120</v>
      </c>
      <c r="B115" s="0" t="n">
        <v>10</v>
      </c>
      <c r="C115" s="0" t="n">
        <v>1.55</v>
      </c>
      <c r="D115" s="0" t="n">
        <v>0</v>
      </c>
    </row>
    <row r="116" customFormat="false" ht="13.8" hidden="true" customHeight="false" outlineLevel="0" collapsed="false">
      <c r="A116" s="0" t="s">
        <v>120</v>
      </c>
      <c r="B116" s="0" t="n">
        <v>10</v>
      </c>
      <c r="C116" s="0" t="n">
        <v>1.6</v>
      </c>
      <c r="D116" s="0" t="n">
        <v>0.136</v>
      </c>
    </row>
    <row r="117" customFormat="false" ht="13.8" hidden="true" customHeight="false" outlineLevel="0" collapsed="false">
      <c r="A117" s="0" t="s">
        <v>120</v>
      </c>
      <c r="B117" s="0" t="n">
        <v>10</v>
      </c>
      <c r="C117" s="0" t="n">
        <v>1.65</v>
      </c>
      <c r="D117" s="0" t="n">
        <v>0.141</v>
      </c>
    </row>
    <row r="118" customFormat="false" ht="13.8" hidden="true" customHeight="false" outlineLevel="0" collapsed="false">
      <c r="A118" s="0" t="s">
        <v>120</v>
      </c>
      <c r="B118" s="0" t="n">
        <v>10</v>
      </c>
      <c r="C118" s="0" t="n">
        <v>1.7</v>
      </c>
      <c r="D118" s="0" t="n">
        <v>0.145</v>
      </c>
    </row>
    <row r="119" customFormat="false" ht="13.8" hidden="true" customHeight="false" outlineLevel="0" collapsed="false">
      <c r="A119" s="0" t="s">
        <v>120</v>
      </c>
      <c r="B119" s="0" t="n">
        <v>10</v>
      </c>
      <c r="C119" s="0" t="n">
        <v>1.75</v>
      </c>
      <c r="D119" s="0" t="n">
        <v>0.149</v>
      </c>
    </row>
    <row r="120" customFormat="false" ht="13.8" hidden="true" customHeight="false" outlineLevel="0" collapsed="false">
      <c r="A120" s="0" t="s">
        <v>120</v>
      </c>
      <c r="B120" s="0" t="n">
        <v>10</v>
      </c>
      <c r="C120" s="0" t="n">
        <v>1.8</v>
      </c>
      <c r="D120" s="0" t="n">
        <v>0.163</v>
      </c>
    </row>
    <row r="121" customFormat="false" ht="13.8" hidden="true" customHeight="false" outlineLevel="0" collapsed="false">
      <c r="A121" s="0" t="s">
        <v>120</v>
      </c>
      <c r="B121" s="0" t="n">
        <v>10</v>
      </c>
      <c r="C121" s="0" t="n">
        <v>1.85</v>
      </c>
      <c r="D121" s="0" t="n">
        <v>0.168</v>
      </c>
    </row>
    <row r="122" customFormat="false" ht="13.8" hidden="true" customHeight="false" outlineLevel="0" collapsed="false">
      <c r="A122" s="0" t="s">
        <v>120</v>
      </c>
      <c r="B122" s="0" t="n">
        <v>10</v>
      </c>
      <c r="C122" s="0" t="n">
        <v>1.9</v>
      </c>
      <c r="D122" s="0" t="n">
        <v>0.172</v>
      </c>
    </row>
    <row r="123" customFormat="false" ht="13.8" hidden="true" customHeight="false" outlineLevel="0" collapsed="false">
      <c r="A123" s="0" t="s">
        <v>120</v>
      </c>
      <c r="B123" s="0" t="n">
        <v>10</v>
      </c>
      <c r="C123" s="0" t="n">
        <v>1.95</v>
      </c>
      <c r="D123" s="0" t="n">
        <v>0.177</v>
      </c>
    </row>
    <row r="124" customFormat="false" ht="13.8" hidden="true" customHeight="false" outlineLevel="0" collapsed="false">
      <c r="A124" s="0" t="s">
        <v>120</v>
      </c>
      <c r="B124" s="0" t="n">
        <v>10</v>
      </c>
      <c r="C124" s="0" t="n">
        <v>2</v>
      </c>
      <c r="D124" s="0" t="n">
        <v>0.192</v>
      </c>
    </row>
    <row r="125" customFormat="false" ht="13.8" hidden="true" customHeight="false" outlineLevel="0" collapsed="false">
      <c r="A125" s="0" t="s">
        <v>120</v>
      </c>
      <c r="B125" s="0" t="n">
        <v>10</v>
      </c>
      <c r="C125" s="0" t="n">
        <v>2.05</v>
      </c>
      <c r="D125" s="0" t="n">
        <v>0.197</v>
      </c>
    </row>
    <row r="126" customFormat="false" ht="13.8" hidden="true" customHeight="false" outlineLevel="0" collapsed="false">
      <c r="A126" s="0" t="s">
        <v>120</v>
      </c>
      <c r="B126" s="0" t="n">
        <v>10</v>
      </c>
      <c r="C126" s="0" t="n">
        <v>2.1</v>
      </c>
      <c r="D126" s="0" t="n">
        <v>0.202</v>
      </c>
    </row>
    <row r="127" customFormat="false" ht="13.8" hidden="true" customHeight="false" outlineLevel="0" collapsed="false">
      <c r="A127" s="0" t="s">
        <v>120</v>
      </c>
      <c r="B127" s="0" t="n">
        <v>10</v>
      </c>
      <c r="C127" s="0" t="n">
        <v>2.15</v>
      </c>
      <c r="D127" s="0" t="n">
        <v>0.206712902</v>
      </c>
    </row>
    <row r="128" customFormat="false" ht="13.8" hidden="true" customHeight="false" outlineLevel="0" collapsed="false">
      <c r="A128" s="0" t="s">
        <v>120</v>
      </c>
      <c r="B128" s="0" t="n">
        <v>10</v>
      </c>
      <c r="C128" s="0" t="n">
        <v>2.2</v>
      </c>
      <c r="D128" s="0" t="n">
        <v>0.189921701</v>
      </c>
    </row>
    <row r="129" customFormat="false" ht="13.8" hidden="true" customHeight="false" outlineLevel="0" collapsed="false">
      <c r="A129" s="0" t="s">
        <v>120</v>
      </c>
      <c r="B129" s="0" t="n">
        <v>10</v>
      </c>
      <c r="C129" s="0" t="n">
        <v>2.25</v>
      </c>
      <c r="D129" s="0" t="n">
        <v>0.194238103</v>
      </c>
    </row>
    <row r="130" customFormat="false" ht="13.8" hidden="true" customHeight="false" outlineLevel="0" collapsed="false">
      <c r="A130" s="0" t="s">
        <v>120</v>
      </c>
      <c r="B130" s="0" t="n">
        <v>10</v>
      </c>
      <c r="C130" s="0" t="n">
        <v>2.3</v>
      </c>
      <c r="D130" s="0" t="n">
        <v>0.198554506</v>
      </c>
    </row>
    <row r="131" customFormat="false" ht="13.8" hidden="true" customHeight="false" outlineLevel="0" collapsed="false">
      <c r="A131" s="0" t="s">
        <v>120</v>
      </c>
      <c r="B131" s="0" t="n">
        <v>10</v>
      </c>
      <c r="C131" s="0" t="n">
        <v>2.35</v>
      </c>
      <c r="D131" s="0" t="n">
        <v>0.202870908</v>
      </c>
    </row>
    <row r="132" customFormat="false" ht="13.8" hidden="true" customHeight="false" outlineLevel="0" collapsed="false">
      <c r="A132" s="0" t="s">
        <v>120</v>
      </c>
      <c r="B132" s="0" t="n">
        <v>10</v>
      </c>
      <c r="C132" s="0" t="n">
        <v>2.4</v>
      </c>
      <c r="D132" s="0" t="n">
        <v>0.20718731</v>
      </c>
    </row>
    <row r="133" customFormat="false" ht="13.8" hidden="true" customHeight="false" outlineLevel="0" collapsed="false">
      <c r="A133" s="0" t="s">
        <v>120</v>
      </c>
      <c r="B133" s="0" t="n">
        <v>10</v>
      </c>
      <c r="C133" s="0" t="n">
        <v>2.45</v>
      </c>
      <c r="D133" s="0" t="n">
        <v>0.211503713</v>
      </c>
    </row>
    <row r="134" customFormat="false" ht="13.8" hidden="true" customHeight="false" outlineLevel="0" collapsed="false">
      <c r="A134" s="0" t="s">
        <v>120</v>
      </c>
      <c r="B134" s="0" t="n">
        <v>10</v>
      </c>
      <c r="C134" s="0" t="n">
        <v>2.5</v>
      </c>
      <c r="D134" s="0" t="n">
        <v>0.215820115</v>
      </c>
    </row>
    <row r="135" customFormat="false" ht="13.8" hidden="true" customHeight="false" outlineLevel="0" collapsed="false">
      <c r="A135" s="0" t="s">
        <v>120</v>
      </c>
      <c r="B135" s="0" t="n">
        <v>10</v>
      </c>
      <c r="C135" s="0" t="n">
        <v>2.55</v>
      </c>
      <c r="D135" s="0" t="n">
        <v>0.220136517</v>
      </c>
    </row>
    <row r="136" customFormat="false" ht="13.8" hidden="true" customHeight="false" outlineLevel="0" collapsed="false">
      <c r="A136" s="0" t="s">
        <v>120</v>
      </c>
      <c r="B136" s="0" t="n">
        <v>10</v>
      </c>
      <c r="C136" s="0" t="n">
        <v>2.6</v>
      </c>
      <c r="D136" s="0" t="n">
        <v>0.224452919</v>
      </c>
    </row>
    <row r="137" customFormat="false" ht="13.8" hidden="true" customHeight="false" outlineLevel="0" collapsed="false">
      <c r="A137" s="0" t="s">
        <v>120</v>
      </c>
      <c r="B137" s="0" t="n">
        <v>17</v>
      </c>
      <c r="C137" s="0" t="n">
        <v>1.3</v>
      </c>
      <c r="D137" s="0" t="n">
        <v>0</v>
      </c>
    </row>
    <row r="138" customFormat="false" ht="13.8" hidden="true" customHeight="false" outlineLevel="0" collapsed="false">
      <c r="A138" s="0" t="s">
        <v>120</v>
      </c>
      <c r="B138" s="0" t="n">
        <v>17</v>
      </c>
      <c r="C138" s="0" t="n">
        <v>1.35</v>
      </c>
      <c r="D138" s="0" t="n">
        <v>0</v>
      </c>
    </row>
    <row r="139" customFormat="false" ht="13.8" hidden="true" customHeight="false" outlineLevel="0" collapsed="false">
      <c r="A139" s="0" t="s">
        <v>120</v>
      </c>
      <c r="B139" s="0" t="n">
        <v>17</v>
      </c>
      <c r="C139" s="0" t="n">
        <v>1.4</v>
      </c>
      <c r="D139" s="0" t="n">
        <v>0</v>
      </c>
    </row>
    <row r="140" customFormat="false" ht="13.8" hidden="true" customHeight="false" outlineLevel="0" collapsed="false">
      <c r="A140" s="0" t="s">
        <v>120</v>
      </c>
      <c r="B140" s="0" t="n">
        <v>17</v>
      </c>
      <c r="C140" s="0" t="n">
        <v>1.45</v>
      </c>
      <c r="D140" s="0" t="n">
        <v>0</v>
      </c>
    </row>
    <row r="141" customFormat="false" ht="13.8" hidden="true" customHeight="false" outlineLevel="0" collapsed="false">
      <c r="A141" s="0" t="s">
        <v>120</v>
      </c>
      <c r="B141" s="0" t="n">
        <v>17</v>
      </c>
      <c r="C141" s="0" t="n">
        <v>1.5</v>
      </c>
      <c r="D141" s="0" t="n">
        <v>0</v>
      </c>
    </row>
    <row r="142" customFormat="false" ht="13.8" hidden="true" customHeight="false" outlineLevel="0" collapsed="false">
      <c r="A142" s="0" t="s">
        <v>120</v>
      </c>
      <c r="B142" s="0" t="n">
        <v>17</v>
      </c>
      <c r="C142" s="0" t="n">
        <v>1.55</v>
      </c>
      <c r="D142" s="0" t="n">
        <v>0</v>
      </c>
    </row>
    <row r="143" customFormat="false" ht="13.8" hidden="true" customHeight="false" outlineLevel="0" collapsed="false">
      <c r="A143" s="0" t="s">
        <v>120</v>
      </c>
      <c r="B143" s="0" t="n">
        <v>17</v>
      </c>
      <c r="C143" s="0" t="n">
        <v>1.6</v>
      </c>
      <c r="D143" s="0" t="n">
        <v>0.136</v>
      </c>
    </row>
    <row r="144" customFormat="false" ht="13.8" hidden="true" customHeight="false" outlineLevel="0" collapsed="false">
      <c r="A144" s="0" t="s">
        <v>120</v>
      </c>
      <c r="B144" s="0" t="n">
        <v>17</v>
      </c>
      <c r="C144" s="0" t="n">
        <v>1.65</v>
      </c>
      <c r="D144" s="0" t="n">
        <v>0.141</v>
      </c>
    </row>
    <row r="145" customFormat="false" ht="13.8" hidden="true" customHeight="false" outlineLevel="0" collapsed="false">
      <c r="A145" s="0" t="s">
        <v>120</v>
      </c>
      <c r="B145" s="0" t="n">
        <v>17</v>
      </c>
      <c r="C145" s="0" t="n">
        <v>1.7</v>
      </c>
      <c r="D145" s="0" t="n">
        <v>0.145</v>
      </c>
    </row>
    <row r="146" customFormat="false" ht="13.8" hidden="true" customHeight="false" outlineLevel="0" collapsed="false">
      <c r="A146" s="0" t="s">
        <v>120</v>
      </c>
      <c r="B146" s="0" t="n">
        <v>17</v>
      </c>
      <c r="C146" s="0" t="n">
        <v>1.75</v>
      </c>
      <c r="D146" s="0" t="n">
        <v>0.149</v>
      </c>
    </row>
    <row r="147" customFormat="false" ht="13.8" hidden="true" customHeight="false" outlineLevel="0" collapsed="false">
      <c r="A147" s="0" t="s">
        <v>120</v>
      </c>
      <c r="B147" s="0" t="n">
        <v>17</v>
      </c>
      <c r="C147" s="0" t="n">
        <v>1.8</v>
      </c>
      <c r="D147" s="0" t="n">
        <v>0.163</v>
      </c>
    </row>
    <row r="148" customFormat="false" ht="13.8" hidden="true" customHeight="false" outlineLevel="0" collapsed="false">
      <c r="A148" s="0" t="s">
        <v>120</v>
      </c>
      <c r="B148" s="0" t="n">
        <v>17</v>
      </c>
      <c r="C148" s="0" t="n">
        <v>1.85</v>
      </c>
      <c r="D148" s="0" t="n">
        <v>0.168</v>
      </c>
    </row>
    <row r="149" customFormat="false" ht="13.8" hidden="true" customHeight="false" outlineLevel="0" collapsed="false">
      <c r="A149" s="0" t="s">
        <v>120</v>
      </c>
      <c r="B149" s="0" t="n">
        <v>17</v>
      </c>
      <c r="C149" s="0" t="n">
        <v>1.9</v>
      </c>
      <c r="D149" s="0" t="n">
        <v>0.172</v>
      </c>
    </row>
    <row r="150" customFormat="false" ht="13.8" hidden="true" customHeight="false" outlineLevel="0" collapsed="false">
      <c r="A150" s="0" t="s">
        <v>120</v>
      </c>
      <c r="B150" s="0" t="n">
        <v>17</v>
      </c>
      <c r="C150" s="0" t="n">
        <v>1.95</v>
      </c>
      <c r="D150" s="0" t="n">
        <v>0.177</v>
      </c>
    </row>
    <row r="151" customFormat="false" ht="13.8" hidden="true" customHeight="false" outlineLevel="0" collapsed="false">
      <c r="A151" s="0" t="s">
        <v>120</v>
      </c>
      <c r="B151" s="0" t="n">
        <v>17</v>
      </c>
      <c r="C151" s="0" t="n">
        <v>2</v>
      </c>
      <c r="D151" s="0" t="n">
        <v>0.192</v>
      </c>
    </row>
    <row r="152" customFormat="false" ht="13.8" hidden="true" customHeight="false" outlineLevel="0" collapsed="false">
      <c r="A152" s="0" t="s">
        <v>120</v>
      </c>
      <c r="B152" s="0" t="n">
        <v>17</v>
      </c>
      <c r="C152" s="0" t="n">
        <v>2.05</v>
      </c>
      <c r="D152" s="0" t="n">
        <v>0.197</v>
      </c>
    </row>
    <row r="153" customFormat="false" ht="13.8" hidden="true" customHeight="false" outlineLevel="0" collapsed="false">
      <c r="A153" s="0" t="s">
        <v>120</v>
      </c>
      <c r="B153" s="0" t="n">
        <v>17</v>
      </c>
      <c r="C153" s="0" t="n">
        <v>2.1</v>
      </c>
      <c r="D153" s="0" t="n">
        <v>0.202</v>
      </c>
    </row>
    <row r="154" customFormat="false" ht="13.8" hidden="true" customHeight="false" outlineLevel="0" collapsed="false">
      <c r="A154" s="0" t="s">
        <v>120</v>
      </c>
      <c r="B154" s="0" t="n">
        <v>17</v>
      </c>
      <c r="C154" s="0" t="n">
        <v>2.15</v>
      </c>
      <c r="D154" s="0" t="n">
        <v>0.206712902</v>
      </c>
    </row>
    <row r="155" customFormat="false" ht="13.8" hidden="true" customHeight="false" outlineLevel="0" collapsed="false">
      <c r="A155" s="0" t="s">
        <v>120</v>
      </c>
      <c r="B155" s="0" t="n">
        <v>17</v>
      </c>
      <c r="C155" s="0" t="n">
        <v>2.2</v>
      </c>
      <c r="D155" s="0" t="n">
        <v>0.189921701</v>
      </c>
    </row>
    <row r="156" customFormat="false" ht="13.8" hidden="true" customHeight="false" outlineLevel="0" collapsed="false">
      <c r="A156" s="0" t="s">
        <v>120</v>
      </c>
      <c r="B156" s="0" t="n">
        <v>17</v>
      </c>
      <c r="C156" s="0" t="n">
        <v>2.25</v>
      </c>
      <c r="D156" s="0" t="n">
        <v>0.194238103</v>
      </c>
    </row>
    <row r="157" customFormat="false" ht="13.8" hidden="true" customHeight="false" outlineLevel="0" collapsed="false">
      <c r="A157" s="0" t="s">
        <v>120</v>
      </c>
      <c r="B157" s="0" t="n">
        <v>17</v>
      </c>
      <c r="C157" s="0" t="n">
        <v>2.3</v>
      </c>
      <c r="D157" s="0" t="n">
        <v>0.198554506</v>
      </c>
    </row>
    <row r="158" customFormat="false" ht="13.8" hidden="true" customHeight="false" outlineLevel="0" collapsed="false">
      <c r="A158" s="0" t="s">
        <v>120</v>
      </c>
      <c r="B158" s="0" t="n">
        <v>17</v>
      </c>
      <c r="C158" s="0" t="n">
        <v>2.35</v>
      </c>
      <c r="D158" s="0" t="n">
        <v>0.202870908</v>
      </c>
    </row>
    <row r="159" customFormat="false" ht="13.8" hidden="true" customHeight="false" outlineLevel="0" collapsed="false">
      <c r="A159" s="0" t="s">
        <v>120</v>
      </c>
      <c r="B159" s="0" t="n">
        <v>17</v>
      </c>
      <c r="C159" s="0" t="n">
        <v>2.4</v>
      </c>
      <c r="D159" s="0" t="n">
        <v>0.20718731</v>
      </c>
    </row>
    <row r="160" customFormat="false" ht="13.8" hidden="true" customHeight="false" outlineLevel="0" collapsed="false">
      <c r="A160" s="0" t="s">
        <v>120</v>
      </c>
      <c r="B160" s="0" t="n">
        <v>17</v>
      </c>
      <c r="C160" s="0" t="n">
        <v>2.45</v>
      </c>
      <c r="D160" s="0" t="n">
        <v>0.211503713</v>
      </c>
    </row>
    <row r="161" customFormat="false" ht="13.8" hidden="true" customHeight="false" outlineLevel="0" collapsed="false">
      <c r="A161" s="0" t="s">
        <v>120</v>
      </c>
      <c r="B161" s="0" t="n">
        <v>17</v>
      </c>
      <c r="C161" s="0" t="n">
        <v>2.5</v>
      </c>
      <c r="D161" s="0" t="n">
        <v>0.215820115</v>
      </c>
    </row>
    <row r="162" customFormat="false" ht="13.8" hidden="true" customHeight="false" outlineLevel="0" collapsed="false">
      <c r="A162" s="0" t="s">
        <v>120</v>
      </c>
      <c r="B162" s="0" t="n">
        <v>17</v>
      </c>
      <c r="C162" s="0" t="n">
        <v>2.55</v>
      </c>
      <c r="D162" s="0" t="n">
        <v>0.220136517</v>
      </c>
    </row>
    <row r="163" customFormat="false" ht="13.8" hidden="true" customHeight="false" outlineLevel="0" collapsed="false">
      <c r="A163" s="0" t="s">
        <v>120</v>
      </c>
      <c r="B163" s="0" t="n">
        <v>17</v>
      </c>
      <c r="C163" s="0" t="n">
        <v>2.6</v>
      </c>
      <c r="D163" s="0" t="n">
        <v>0.224452919</v>
      </c>
    </row>
    <row r="164" customFormat="false" ht="13.8" hidden="true" customHeight="false" outlineLevel="0" collapsed="false">
      <c r="A164" s="0" t="s">
        <v>217</v>
      </c>
      <c r="B164" s="0" t="n">
        <v>9</v>
      </c>
      <c r="C164" s="0" t="n">
        <v>1.3</v>
      </c>
      <c r="D164" s="0" t="n">
        <v>0</v>
      </c>
    </row>
    <row r="165" customFormat="false" ht="13.8" hidden="true" customHeight="false" outlineLevel="0" collapsed="false">
      <c r="A165" s="0" t="s">
        <v>217</v>
      </c>
      <c r="B165" s="0" t="n">
        <v>9</v>
      </c>
      <c r="C165" s="0" t="n">
        <v>1.35</v>
      </c>
      <c r="D165" s="0" t="n">
        <v>0</v>
      </c>
    </row>
    <row r="166" customFormat="false" ht="13.8" hidden="true" customHeight="false" outlineLevel="0" collapsed="false">
      <c r="A166" s="0" t="s">
        <v>217</v>
      </c>
      <c r="B166" s="0" t="n">
        <v>9</v>
      </c>
      <c r="C166" s="0" t="n">
        <v>1.4</v>
      </c>
      <c r="D166" s="0" t="n">
        <v>0</v>
      </c>
    </row>
    <row r="167" customFormat="false" ht="13.8" hidden="true" customHeight="false" outlineLevel="0" collapsed="false">
      <c r="A167" s="0" t="s">
        <v>217</v>
      </c>
      <c r="B167" s="0" t="n">
        <v>9</v>
      </c>
      <c r="C167" s="0" t="n">
        <v>1.45</v>
      </c>
      <c r="D167" s="0" t="n">
        <v>0</v>
      </c>
    </row>
    <row r="168" customFormat="false" ht="13.8" hidden="true" customHeight="false" outlineLevel="0" collapsed="false">
      <c r="A168" s="0" t="s">
        <v>217</v>
      </c>
      <c r="B168" s="0" t="n">
        <v>9</v>
      </c>
      <c r="C168" s="0" t="n">
        <v>1.5</v>
      </c>
      <c r="D168" s="0" t="n">
        <v>0</v>
      </c>
    </row>
    <row r="169" customFormat="false" ht="13.8" hidden="true" customHeight="false" outlineLevel="0" collapsed="false">
      <c r="A169" s="0" t="s">
        <v>217</v>
      </c>
      <c r="B169" s="0" t="n">
        <v>9</v>
      </c>
      <c r="C169" s="0" t="n">
        <v>1.55</v>
      </c>
      <c r="D169" s="0" t="n">
        <v>0</v>
      </c>
    </row>
    <row r="170" customFormat="false" ht="13.8" hidden="true" customHeight="false" outlineLevel="0" collapsed="false">
      <c r="A170" s="0" t="s">
        <v>217</v>
      </c>
      <c r="B170" s="0" t="n">
        <v>9</v>
      </c>
      <c r="C170" s="0" t="n">
        <v>1.6</v>
      </c>
      <c r="D170" s="0" t="n">
        <v>0.158</v>
      </c>
    </row>
    <row r="171" customFormat="false" ht="13.8" hidden="true" customHeight="false" outlineLevel="0" collapsed="false">
      <c r="A171" s="0" t="s">
        <v>217</v>
      </c>
      <c r="B171" s="0" t="n">
        <v>9</v>
      </c>
      <c r="C171" s="0" t="n">
        <v>1.65</v>
      </c>
      <c r="D171" s="0" t="n">
        <v>0.163</v>
      </c>
    </row>
    <row r="172" customFormat="false" ht="13.8" hidden="true" customHeight="false" outlineLevel="0" collapsed="false">
      <c r="A172" s="0" t="s">
        <v>217</v>
      </c>
      <c r="B172" s="0" t="n">
        <v>9</v>
      </c>
      <c r="C172" s="0" t="n">
        <v>1.7</v>
      </c>
      <c r="D172" s="0" t="n">
        <v>0.168</v>
      </c>
    </row>
    <row r="173" customFormat="false" ht="13.8" hidden="true" customHeight="false" outlineLevel="0" collapsed="false">
      <c r="A173" s="0" t="s">
        <v>217</v>
      </c>
      <c r="B173" s="0" t="n">
        <v>9</v>
      </c>
      <c r="C173" s="0" t="n">
        <v>1.75</v>
      </c>
      <c r="D173" s="0" t="n">
        <v>0.173</v>
      </c>
    </row>
    <row r="174" customFormat="false" ht="13.8" hidden="true" customHeight="false" outlineLevel="0" collapsed="false">
      <c r="A174" s="0" t="s">
        <v>217</v>
      </c>
      <c r="B174" s="0" t="n">
        <v>9</v>
      </c>
      <c r="C174" s="0" t="n">
        <v>1.8</v>
      </c>
      <c r="D174" s="0" t="n">
        <v>0.185</v>
      </c>
    </row>
    <row r="175" customFormat="false" ht="13.8" hidden="true" customHeight="false" outlineLevel="0" collapsed="false">
      <c r="A175" s="0" t="s">
        <v>217</v>
      </c>
      <c r="B175" s="0" t="n">
        <v>9</v>
      </c>
      <c r="C175" s="0" t="n">
        <v>1.85</v>
      </c>
      <c r="D175" s="0" t="n">
        <v>0.191</v>
      </c>
    </row>
    <row r="176" customFormat="false" ht="13.8" hidden="true" customHeight="false" outlineLevel="0" collapsed="false">
      <c r="A176" s="0" t="s">
        <v>217</v>
      </c>
      <c r="B176" s="0" t="n">
        <v>9</v>
      </c>
      <c r="C176" s="0" t="n">
        <v>1.9</v>
      </c>
      <c r="D176" s="0" t="n">
        <v>0.196</v>
      </c>
    </row>
    <row r="177" customFormat="false" ht="13.8" hidden="true" customHeight="false" outlineLevel="0" collapsed="false">
      <c r="A177" s="0" t="s">
        <v>217</v>
      </c>
      <c r="B177" s="0" t="n">
        <v>9</v>
      </c>
      <c r="C177" s="0" t="n">
        <v>1.95</v>
      </c>
      <c r="D177" s="0" t="n">
        <v>0.201</v>
      </c>
    </row>
    <row r="178" customFormat="false" ht="13.8" hidden="true" customHeight="false" outlineLevel="0" collapsed="false">
      <c r="A178" s="0" t="s">
        <v>217</v>
      </c>
      <c r="B178" s="0" t="n">
        <v>9</v>
      </c>
      <c r="C178" s="0" t="n">
        <v>2</v>
      </c>
      <c r="D178" s="0" t="n">
        <v>0.214</v>
      </c>
    </row>
    <row r="179" customFormat="false" ht="13.8" hidden="true" customHeight="false" outlineLevel="0" collapsed="false">
      <c r="A179" s="0" t="s">
        <v>217</v>
      </c>
      <c r="B179" s="0" t="n">
        <v>9</v>
      </c>
      <c r="C179" s="0" t="n">
        <v>2.05</v>
      </c>
      <c r="D179" s="0" t="n">
        <v>0.22</v>
      </c>
    </row>
    <row r="180" customFormat="false" ht="13.8" hidden="true" customHeight="false" outlineLevel="0" collapsed="false">
      <c r="A180" s="0" t="s">
        <v>217</v>
      </c>
      <c r="B180" s="0" t="n">
        <v>9</v>
      </c>
      <c r="C180" s="0" t="n">
        <v>2.1</v>
      </c>
      <c r="D180" s="0" t="n">
        <v>0.225</v>
      </c>
    </row>
    <row r="181" customFormat="false" ht="13.8" hidden="true" customHeight="false" outlineLevel="0" collapsed="false">
      <c r="A181" s="0" t="s">
        <v>217</v>
      </c>
      <c r="B181" s="0" t="n">
        <v>9</v>
      </c>
      <c r="C181" s="0" t="n">
        <v>2.15</v>
      </c>
      <c r="D181" s="0" t="n">
        <v>0.230286495</v>
      </c>
    </row>
    <row r="182" customFormat="false" ht="13.8" hidden="true" customHeight="false" outlineLevel="0" collapsed="false">
      <c r="A182" s="0" t="s">
        <v>217</v>
      </c>
      <c r="B182" s="0" t="n">
        <v>9</v>
      </c>
      <c r="C182" s="0" t="n">
        <v>2.2</v>
      </c>
      <c r="D182" s="0" t="n">
        <v>0.220063531</v>
      </c>
    </row>
    <row r="183" customFormat="false" ht="13.8" hidden="true" customHeight="false" outlineLevel="0" collapsed="false">
      <c r="A183" s="0" t="s">
        <v>217</v>
      </c>
      <c r="B183" s="0" t="n">
        <v>9</v>
      </c>
      <c r="C183" s="0" t="n">
        <v>2.25</v>
      </c>
      <c r="D183" s="0" t="n">
        <v>0.225064975</v>
      </c>
    </row>
    <row r="184" customFormat="false" ht="13.8" hidden="true" customHeight="false" outlineLevel="0" collapsed="false">
      <c r="A184" s="0" t="s">
        <v>217</v>
      </c>
      <c r="B184" s="0" t="n">
        <v>9</v>
      </c>
      <c r="C184" s="0" t="n">
        <v>2.3</v>
      </c>
      <c r="D184" s="0" t="n">
        <v>0.230066419</v>
      </c>
    </row>
    <row r="185" customFormat="false" ht="13.8" hidden="true" customHeight="false" outlineLevel="0" collapsed="false">
      <c r="A185" s="0" t="s">
        <v>217</v>
      </c>
      <c r="B185" s="0" t="n">
        <v>9</v>
      </c>
      <c r="C185" s="0" t="n">
        <v>2.35</v>
      </c>
      <c r="D185" s="0" t="n">
        <v>0.235067863</v>
      </c>
    </row>
    <row r="186" customFormat="false" ht="13.8" hidden="true" customHeight="false" outlineLevel="0" collapsed="false">
      <c r="A186" s="0" t="s">
        <v>217</v>
      </c>
      <c r="B186" s="0" t="n">
        <v>9</v>
      </c>
      <c r="C186" s="0" t="n">
        <v>2.4</v>
      </c>
      <c r="D186" s="0" t="n">
        <v>0.240069307</v>
      </c>
    </row>
    <row r="187" customFormat="false" ht="13.8" hidden="true" customHeight="false" outlineLevel="0" collapsed="false">
      <c r="A187" s="0" t="s">
        <v>217</v>
      </c>
      <c r="B187" s="0" t="n">
        <v>9</v>
      </c>
      <c r="C187" s="0" t="n">
        <v>2.45</v>
      </c>
      <c r="D187" s="0" t="n">
        <v>0.24507075</v>
      </c>
    </row>
    <row r="188" customFormat="false" ht="13.8" hidden="true" customHeight="false" outlineLevel="0" collapsed="false">
      <c r="A188" s="0" t="s">
        <v>217</v>
      </c>
      <c r="B188" s="0" t="n">
        <v>9</v>
      </c>
      <c r="C188" s="0" t="n">
        <v>2.5</v>
      </c>
      <c r="D188" s="0" t="n">
        <v>0.250072194</v>
      </c>
    </row>
    <row r="189" customFormat="false" ht="13.8" hidden="true" customHeight="false" outlineLevel="0" collapsed="false">
      <c r="A189" s="0" t="s">
        <v>217</v>
      </c>
      <c r="B189" s="0" t="n">
        <v>9</v>
      </c>
      <c r="C189" s="0" t="n">
        <v>2.55</v>
      </c>
      <c r="D189" s="0" t="n">
        <v>0.255073638</v>
      </c>
    </row>
    <row r="190" customFormat="false" ht="13.8" hidden="true" customHeight="false" outlineLevel="0" collapsed="false">
      <c r="A190" s="0" t="s">
        <v>217</v>
      </c>
      <c r="B190" s="0" t="n">
        <v>9</v>
      </c>
      <c r="C190" s="0" t="n">
        <v>2.6</v>
      </c>
      <c r="D190" s="0" t="n">
        <v>0.260075082</v>
      </c>
    </row>
    <row r="191" customFormat="false" ht="13.8" hidden="true" customHeight="false" outlineLevel="0" collapsed="false">
      <c r="A191" s="0" t="s">
        <v>217</v>
      </c>
      <c r="B191" s="0" t="n">
        <v>16</v>
      </c>
      <c r="C191" s="0" t="n">
        <v>1.3</v>
      </c>
      <c r="D191" s="0" t="n">
        <v>0</v>
      </c>
    </row>
    <row r="192" customFormat="false" ht="13.8" hidden="true" customHeight="false" outlineLevel="0" collapsed="false">
      <c r="A192" s="0" t="s">
        <v>217</v>
      </c>
      <c r="B192" s="0" t="n">
        <v>16</v>
      </c>
      <c r="C192" s="0" t="n">
        <v>1.35</v>
      </c>
      <c r="D192" s="0" t="n">
        <v>0</v>
      </c>
    </row>
    <row r="193" customFormat="false" ht="13.8" hidden="true" customHeight="false" outlineLevel="0" collapsed="false">
      <c r="A193" s="0" t="s">
        <v>217</v>
      </c>
      <c r="B193" s="0" t="n">
        <v>16</v>
      </c>
      <c r="C193" s="0" t="n">
        <v>1.4</v>
      </c>
      <c r="D193" s="0" t="n">
        <v>0</v>
      </c>
    </row>
    <row r="194" customFormat="false" ht="13.8" hidden="true" customHeight="false" outlineLevel="0" collapsed="false">
      <c r="A194" s="0" t="s">
        <v>217</v>
      </c>
      <c r="B194" s="0" t="n">
        <v>16</v>
      </c>
      <c r="C194" s="0" t="n">
        <v>1.45</v>
      </c>
      <c r="D194" s="0" t="n">
        <v>0</v>
      </c>
    </row>
    <row r="195" customFormat="false" ht="13.8" hidden="true" customHeight="false" outlineLevel="0" collapsed="false">
      <c r="A195" s="0" t="s">
        <v>217</v>
      </c>
      <c r="B195" s="0" t="n">
        <v>16</v>
      </c>
      <c r="C195" s="0" t="n">
        <v>1.5</v>
      </c>
      <c r="D195" s="0" t="n">
        <v>0</v>
      </c>
    </row>
    <row r="196" customFormat="false" ht="13.8" hidden="true" customHeight="false" outlineLevel="0" collapsed="false">
      <c r="A196" s="0" t="s">
        <v>217</v>
      </c>
      <c r="B196" s="0" t="n">
        <v>16</v>
      </c>
      <c r="C196" s="0" t="n">
        <v>1.55</v>
      </c>
      <c r="D196" s="0" t="n">
        <v>0</v>
      </c>
    </row>
    <row r="197" customFormat="false" ht="13.8" hidden="true" customHeight="false" outlineLevel="0" collapsed="false">
      <c r="A197" s="0" t="s">
        <v>217</v>
      </c>
      <c r="B197" s="0" t="n">
        <v>16</v>
      </c>
      <c r="C197" s="0" t="n">
        <v>1.6</v>
      </c>
      <c r="D197" s="0" t="n">
        <v>0.158</v>
      </c>
    </row>
    <row r="198" customFormat="false" ht="13.8" hidden="true" customHeight="false" outlineLevel="0" collapsed="false">
      <c r="A198" s="0" t="s">
        <v>217</v>
      </c>
      <c r="B198" s="0" t="n">
        <v>16</v>
      </c>
      <c r="C198" s="0" t="n">
        <v>1.65</v>
      </c>
      <c r="D198" s="0" t="n">
        <v>0.163</v>
      </c>
    </row>
    <row r="199" customFormat="false" ht="13.8" hidden="true" customHeight="false" outlineLevel="0" collapsed="false">
      <c r="A199" s="0" t="s">
        <v>217</v>
      </c>
      <c r="B199" s="0" t="n">
        <v>16</v>
      </c>
      <c r="C199" s="0" t="n">
        <v>1.7</v>
      </c>
      <c r="D199" s="0" t="n">
        <v>0.168</v>
      </c>
    </row>
    <row r="200" customFormat="false" ht="13.8" hidden="true" customHeight="false" outlineLevel="0" collapsed="false">
      <c r="A200" s="0" t="s">
        <v>217</v>
      </c>
      <c r="B200" s="0" t="n">
        <v>16</v>
      </c>
      <c r="C200" s="0" t="n">
        <v>1.75</v>
      </c>
      <c r="D200" s="0" t="n">
        <v>0.173</v>
      </c>
    </row>
    <row r="201" customFormat="false" ht="13.8" hidden="true" customHeight="false" outlineLevel="0" collapsed="false">
      <c r="A201" s="0" t="s">
        <v>217</v>
      </c>
      <c r="B201" s="0" t="n">
        <v>16</v>
      </c>
      <c r="C201" s="0" t="n">
        <v>1.8</v>
      </c>
      <c r="D201" s="0" t="n">
        <v>0.185</v>
      </c>
    </row>
    <row r="202" customFormat="false" ht="13.8" hidden="true" customHeight="false" outlineLevel="0" collapsed="false">
      <c r="A202" s="0" t="s">
        <v>217</v>
      </c>
      <c r="B202" s="0" t="n">
        <v>16</v>
      </c>
      <c r="C202" s="0" t="n">
        <v>1.85</v>
      </c>
      <c r="D202" s="0" t="n">
        <v>0.191</v>
      </c>
    </row>
    <row r="203" customFormat="false" ht="13.8" hidden="true" customHeight="false" outlineLevel="0" collapsed="false">
      <c r="A203" s="0" t="s">
        <v>217</v>
      </c>
      <c r="B203" s="0" t="n">
        <v>16</v>
      </c>
      <c r="C203" s="0" t="n">
        <v>1.9</v>
      </c>
      <c r="D203" s="0" t="n">
        <v>0.196</v>
      </c>
    </row>
    <row r="204" customFormat="false" ht="13.8" hidden="true" customHeight="false" outlineLevel="0" collapsed="false">
      <c r="A204" s="0" t="s">
        <v>217</v>
      </c>
      <c r="B204" s="0" t="n">
        <v>16</v>
      </c>
      <c r="C204" s="0" t="n">
        <v>1.95</v>
      </c>
      <c r="D204" s="0" t="n">
        <v>0.201</v>
      </c>
    </row>
    <row r="205" customFormat="false" ht="13.8" hidden="true" customHeight="false" outlineLevel="0" collapsed="false">
      <c r="A205" s="0" t="s">
        <v>217</v>
      </c>
      <c r="B205" s="0" t="n">
        <v>16</v>
      </c>
      <c r="C205" s="0" t="n">
        <v>2</v>
      </c>
      <c r="D205" s="0" t="n">
        <v>0.214</v>
      </c>
    </row>
    <row r="206" customFormat="false" ht="13.8" hidden="true" customHeight="false" outlineLevel="0" collapsed="false">
      <c r="A206" s="0" t="s">
        <v>217</v>
      </c>
      <c r="B206" s="0" t="n">
        <v>16</v>
      </c>
      <c r="C206" s="0" t="n">
        <v>2.05</v>
      </c>
      <c r="D206" s="0" t="n">
        <v>0.22</v>
      </c>
    </row>
    <row r="207" customFormat="false" ht="13.8" hidden="true" customHeight="false" outlineLevel="0" collapsed="false">
      <c r="A207" s="0" t="s">
        <v>217</v>
      </c>
      <c r="B207" s="0" t="n">
        <v>16</v>
      </c>
      <c r="C207" s="0" t="n">
        <v>2.1</v>
      </c>
      <c r="D207" s="0" t="n">
        <v>0.225</v>
      </c>
    </row>
    <row r="208" customFormat="false" ht="13.8" hidden="true" customHeight="false" outlineLevel="0" collapsed="false">
      <c r="A208" s="0" t="s">
        <v>217</v>
      </c>
      <c r="B208" s="0" t="n">
        <v>16</v>
      </c>
      <c r="C208" s="0" t="n">
        <v>2.15</v>
      </c>
      <c r="D208" s="0" t="n">
        <v>0.230286495</v>
      </c>
    </row>
    <row r="209" customFormat="false" ht="13.8" hidden="true" customHeight="false" outlineLevel="0" collapsed="false">
      <c r="A209" s="0" t="s">
        <v>217</v>
      </c>
      <c r="B209" s="0" t="n">
        <v>16</v>
      </c>
      <c r="C209" s="0" t="n">
        <v>2.2</v>
      </c>
      <c r="D209" s="0" t="n">
        <v>0.220063531</v>
      </c>
    </row>
    <row r="210" customFormat="false" ht="13.8" hidden="true" customHeight="false" outlineLevel="0" collapsed="false">
      <c r="A210" s="0" t="s">
        <v>217</v>
      </c>
      <c r="B210" s="0" t="n">
        <v>16</v>
      </c>
      <c r="C210" s="0" t="n">
        <v>2.25</v>
      </c>
      <c r="D210" s="0" t="n">
        <v>0.225064975</v>
      </c>
    </row>
    <row r="211" customFormat="false" ht="13.8" hidden="true" customHeight="false" outlineLevel="0" collapsed="false">
      <c r="A211" s="0" t="s">
        <v>217</v>
      </c>
      <c r="B211" s="0" t="n">
        <v>16</v>
      </c>
      <c r="C211" s="0" t="n">
        <v>2.3</v>
      </c>
      <c r="D211" s="0" t="n">
        <v>0.230066419</v>
      </c>
    </row>
    <row r="212" customFormat="false" ht="13.8" hidden="true" customHeight="false" outlineLevel="0" collapsed="false">
      <c r="A212" s="0" t="s">
        <v>217</v>
      </c>
      <c r="B212" s="0" t="n">
        <v>16</v>
      </c>
      <c r="C212" s="0" t="n">
        <v>2.35</v>
      </c>
      <c r="D212" s="0" t="n">
        <v>0.235067863</v>
      </c>
    </row>
    <row r="213" customFormat="false" ht="13.8" hidden="true" customHeight="false" outlineLevel="0" collapsed="false">
      <c r="A213" s="0" t="s">
        <v>217</v>
      </c>
      <c r="B213" s="0" t="n">
        <v>16</v>
      </c>
      <c r="C213" s="0" t="n">
        <v>2.4</v>
      </c>
      <c r="D213" s="0" t="n">
        <v>0.240069307</v>
      </c>
    </row>
    <row r="214" customFormat="false" ht="13.8" hidden="true" customHeight="false" outlineLevel="0" collapsed="false">
      <c r="A214" s="0" t="s">
        <v>217</v>
      </c>
      <c r="B214" s="0" t="n">
        <v>16</v>
      </c>
      <c r="C214" s="0" t="n">
        <v>2.45</v>
      </c>
      <c r="D214" s="0" t="n">
        <v>0.24507075</v>
      </c>
    </row>
    <row r="215" customFormat="false" ht="13.8" hidden="true" customHeight="false" outlineLevel="0" collapsed="false">
      <c r="A215" s="0" t="s">
        <v>217</v>
      </c>
      <c r="B215" s="0" t="n">
        <v>16</v>
      </c>
      <c r="C215" s="0" t="n">
        <v>2.5</v>
      </c>
      <c r="D215" s="0" t="n">
        <v>0.250072194</v>
      </c>
    </row>
    <row r="216" customFormat="false" ht="13.8" hidden="true" customHeight="false" outlineLevel="0" collapsed="false">
      <c r="A216" s="0" t="s">
        <v>217</v>
      </c>
      <c r="B216" s="0" t="n">
        <v>16</v>
      </c>
      <c r="C216" s="0" t="n">
        <v>2.55</v>
      </c>
      <c r="D216" s="0" t="n">
        <v>0.255073638</v>
      </c>
    </row>
    <row r="217" customFormat="false" ht="13.8" hidden="true" customHeight="false" outlineLevel="0" collapsed="false">
      <c r="A217" s="0" t="s">
        <v>217</v>
      </c>
      <c r="B217" s="0" t="n">
        <v>16</v>
      </c>
      <c r="C217" s="0" t="n">
        <v>2.6</v>
      </c>
      <c r="D217" s="0" t="n">
        <v>0.260075082</v>
      </c>
    </row>
    <row r="218" customFormat="false" ht="13.8" hidden="true" customHeight="false" outlineLevel="0" collapsed="false">
      <c r="A218" s="0" t="s">
        <v>217</v>
      </c>
      <c r="B218" s="0" t="n">
        <v>10</v>
      </c>
      <c r="C218" s="0" t="n">
        <v>1.3</v>
      </c>
      <c r="D218" s="0" t="n">
        <v>0</v>
      </c>
    </row>
    <row r="219" customFormat="false" ht="13.8" hidden="true" customHeight="false" outlineLevel="0" collapsed="false">
      <c r="A219" s="0" t="s">
        <v>217</v>
      </c>
      <c r="B219" s="0" t="n">
        <v>10</v>
      </c>
      <c r="C219" s="0" t="n">
        <v>1.35</v>
      </c>
      <c r="D219" s="0" t="n">
        <v>0</v>
      </c>
    </row>
    <row r="220" customFormat="false" ht="13.8" hidden="true" customHeight="false" outlineLevel="0" collapsed="false">
      <c r="A220" s="0" t="s">
        <v>217</v>
      </c>
      <c r="B220" s="0" t="n">
        <v>10</v>
      </c>
      <c r="C220" s="0" t="n">
        <v>1.4</v>
      </c>
      <c r="D220" s="0" t="n">
        <v>0</v>
      </c>
    </row>
    <row r="221" customFormat="false" ht="13.8" hidden="true" customHeight="false" outlineLevel="0" collapsed="false">
      <c r="A221" s="0" t="s">
        <v>217</v>
      </c>
      <c r="B221" s="0" t="n">
        <v>10</v>
      </c>
      <c r="C221" s="0" t="n">
        <v>1.45</v>
      </c>
      <c r="D221" s="0" t="n">
        <v>0</v>
      </c>
    </row>
    <row r="222" customFormat="false" ht="13.8" hidden="true" customHeight="false" outlineLevel="0" collapsed="false">
      <c r="A222" s="0" t="s">
        <v>217</v>
      </c>
      <c r="B222" s="0" t="n">
        <v>10</v>
      </c>
      <c r="C222" s="0" t="n">
        <v>1.5</v>
      </c>
      <c r="D222" s="0" t="n">
        <v>0</v>
      </c>
    </row>
    <row r="223" customFormat="false" ht="13.8" hidden="true" customHeight="false" outlineLevel="0" collapsed="false">
      <c r="A223" s="0" t="s">
        <v>217</v>
      </c>
      <c r="B223" s="0" t="n">
        <v>10</v>
      </c>
      <c r="C223" s="0" t="n">
        <v>1.55</v>
      </c>
      <c r="D223" s="0" t="n">
        <v>0</v>
      </c>
    </row>
    <row r="224" customFormat="false" ht="13.8" hidden="true" customHeight="false" outlineLevel="0" collapsed="false">
      <c r="A224" s="0" t="s">
        <v>217</v>
      </c>
      <c r="B224" s="0" t="n">
        <v>10</v>
      </c>
      <c r="C224" s="0" t="n">
        <v>1.6</v>
      </c>
      <c r="D224" s="0" t="n">
        <v>0.136</v>
      </c>
    </row>
    <row r="225" customFormat="false" ht="13.8" hidden="true" customHeight="false" outlineLevel="0" collapsed="false">
      <c r="A225" s="0" t="s">
        <v>217</v>
      </c>
      <c r="B225" s="0" t="n">
        <v>10</v>
      </c>
      <c r="C225" s="0" t="n">
        <v>1.65</v>
      </c>
      <c r="D225" s="0" t="n">
        <v>0.141</v>
      </c>
    </row>
    <row r="226" customFormat="false" ht="13.8" hidden="true" customHeight="false" outlineLevel="0" collapsed="false">
      <c r="A226" s="0" t="s">
        <v>217</v>
      </c>
      <c r="B226" s="0" t="n">
        <v>10</v>
      </c>
      <c r="C226" s="0" t="n">
        <v>1.7</v>
      </c>
      <c r="D226" s="0" t="n">
        <v>0.145</v>
      </c>
    </row>
    <row r="227" customFormat="false" ht="13.8" hidden="true" customHeight="false" outlineLevel="0" collapsed="false">
      <c r="A227" s="0" t="s">
        <v>217</v>
      </c>
      <c r="B227" s="0" t="n">
        <v>10</v>
      </c>
      <c r="C227" s="0" t="n">
        <v>1.75</v>
      </c>
      <c r="D227" s="0" t="n">
        <v>0.149</v>
      </c>
    </row>
    <row r="228" customFormat="false" ht="13.8" hidden="true" customHeight="false" outlineLevel="0" collapsed="false">
      <c r="A228" s="0" t="s">
        <v>217</v>
      </c>
      <c r="B228" s="0" t="n">
        <v>10</v>
      </c>
      <c r="C228" s="0" t="n">
        <v>1.8</v>
      </c>
      <c r="D228" s="0" t="n">
        <v>0.163</v>
      </c>
    </row>
    <row r="229" customFormat="false" ht="13.8" hidden="true" customHeight="false" outlineLevel="0" collapsed="false">
      <c r="A229" s="0" t="s">
        <v>217</v>
      </c>
      <c r="B229" s="0" t="n">
        <v>10</v>
      </c>
      <c r="C229" s="0" t="n">
        <v>1.85</v>
      </c>
      <c r="D229" s="0" t="n">
        <v>0.168</v>
      </c>
    </row>
    <row r="230" customFormat="false" ht="13.8" hidden="true" customHeight="false" outlineLevel="0" collapsed="false">
      <c r="A230" s="0" t="s">
        <v>217</v>
      </c>
      <c r="B230" s="0" t="n">
        <v>10</v>
      </c>
      <c r="C230" s="0" t="n">
        <v>1.9</v>
      </c>
      <c r="D230" s="0" t="n">
        <v>0.172</v>
      </c>
    </row>
    <row r="231" customFormat="false" ht="13.8" hidden="true" customHeight="false" outlineLevel="0" collapsed="false">
      <c r="A231" s="0" t="s">
        <v>217</v>
      </c>
      <c r="B231" s="0" t="n">
        <v>10</v>
      </c>
      <c r="C231" s="0" t="n">
        <v>1.95</v>
      </c>
      <c r="D231" s="0" t="n">
        <v>0.177</v>
      </c>
    </row>
    <row r="232" customFormat="false" ht="13.8" hidden="true" customHeight="false" outlineLevel="0" collapsed="false">
      <c r="A232" s="0" t="s">
        <v>217</v>
      </c>
      <c r="B232" s="0" t="n">
        <v>10</v>
      </c>
      <c r="C232" s="0" t="n">
        <v>2</v>
      </c>
      <c r="D232" s="0" t="n">
        <v>0.192</v>
      </c>
    </row>
    <row r="233" customFormat="false" ht="13.8" hidden="true" customHeight="false" outlineLevel="0" collapsed="false">
      <c r="A233" s="0" t="s">
        <v>217</v>
      </c>
      <c r="B233" s="0" t="n">
        <v>10</v>
      </c>
      <c r="C233" s="0" t="n">
        <v>2.05</v>
      </c>
      <c r="D233" s="0" t="n">
        <v>0.197</v>
      </c>
    </row>
    <row r="234" customFormat="false" ht="13.8" hidden="true" customHeight="false" outlineLevel="0" collapsed="false">
      <c r="A234" s="0" t="s">
        <v>217</v>
      </c>
      <c r="B234" s="0" t="n">
        <v>10</v>
      </c>
      <c r="C234" s="0" t="n">
        <v>2.1</v>
      </c>
      <c r="D234" s="0" t="n">
        <v>0.202</v>
      </c>
    </row>
    <row r="235" customFormat="false" ht="13.8" hidden="true" customHeight="false" outlineLevel="0" collapsed="false">
      <c r="A235" s="0" t="s">
        <v>217</v>
      </c>
      <c r="B235" s="0" t="n">
        <v>10</v>
      </c>
      <c r="C235" s="0" t="n">
        <v>2.15</v>
      </c>
      <c r="D235" s="0" t="n">
        <v>0.206712902</v>
      </c>
    </row>
    <row r="236" customFormat="false" ht="13.8" hidden="true" customHeight="false" outlineLevel="0" collapsed="false">
      <c r="A236" s="0" t="s">
        <v>217</v>
      </c>
      <c r="B236" s="0" t="n">
        <v>10</v>
      </c>
      <c r="C236" s="0" t="n">
        <v>2.2</v>
      </c>
      <c r="D236" s="0" t="n">
        <v>0.189921701</v>
      </c>
    </row>
    <row r="237" customFormat="false" ht="13.8" hidden="true" customHeight="false" outlineLevel="0" collapsed="false">
      <c r="A237" s="0" t="s">
        <v>217</v>
      </c>
      <c r="B237" s="0" t="n">
        <v>10</v>
      </c>
      <c r="C237" s="0" t="n">
        <v>2.25</v>
      </c>
      <c r="D237" s="0" t="n">
        <v>0.194238103</v>
      </c>
    </row>
    <row r="238" customFormat="false" ht="13.8" hidden="true" customHeight="false" outlineLevel="0" collapsed="false">
      <c r="A238" s="0" t="s">
        <v>217</v>
      </c>
      <c r="B238" s="0" t="n">
        <v>10</v>
      </c>
      <c r="C238" s="0" t="n">
        <v>2.3</v>
      </c>
      <c r="D238" s="0" t="n">
        <v>0.198554506</v>
      </c>
    </row>
    <row r="239" customFormat="false" ht="13.8" hidden="true" customHeight="false" outlineLevel="0" collapsed="false">
      <c r="A239" s="0" t="s">
        <v>217</v>
      </c>
      <c r="B239" s="0" t="n">
        <v>10</v>
      </c>
      <c r="C239" s="0" t="n">
        <v>2.35</v>
      </c>
      <c r="D239" s="0" t="n">
        <v>0.202870908</v>
      </c>
    </row>
    <row r="240" customFormat="false" ht="13.8" hidden="true" customHeight="false" outlineLevel="0" collapsed="false">
      <c r="A240" s="0" t="s">
        <v>217</v>
      </c>
      <c r="B240" s="0" t="n">
        <v>10</v>
      </c>
      <c r="C240" s="0" t="n">
        <v>2.4</v>
      </c>
      <c r="D240" s="0" t="n">
        <v>0.20718731</v>
      </c>
    </row>
    <row r="241" customFormat="false" ht="13.8" hidden="true" customHeight="false" outlineLevel="0" collapsed="false">
      <c r="A241" s="0" t="s">
        <v>217</v>
      </c>
      <c r="B241" s="0" t="n">
        <v>10</v>
      </c>
      <c r="C241" s="0" t="n">
        <v>2.45</v>
      </c>
      <c r="D241" s="0" t="n">
        <v>0.211503713</v>
      </c>
    </row>
    <row r="242" customFormat="false" ht="13.8" hidden="true" customHeight="false" outlineLevel="0" collapsed="false">
      <c r="A242" s="0" t="s">
        <v>217</v>
      </c>
      <c r="B242" s="0" t="n">
        <v>10</v>
      </c>
      <c r="C242" s="0" t="n">
        <v>2.5</v>
      </c>
      <c r="D242" s="0" t="n">
        <v>0.215820115</v>
      </c>
    </row>
    <row r="243" customFormat="false" ht="13.8" hidden="true" customHeight="false" outlineLevel="0" collapsed="false">
      <c r="A243" s="0" t="s">
        <v>217</v>
      </c>
      <c r="B243" s="0" t="n">
        <v>10</v>
      </c>
      <c r="C243" s="0" t="n">
        <v>2.55</v>
      </c>
      <c r="D243" s="0" t="n">
        <v>0.220136517</v>
      </c>
    </row>
    <row r="244" customFormat="false" ht="13.8" hidden="true" customHeight="false" outlineLevel="0" collapsed="false">
      <c r="A244" s="0" t="s">
        <v>217</v>
      </c>
      <c r="B244" s="0" t="n">
        <v>10</v>
      </c>
      <c r="C244" s="0" t="n">
        <v>2.6</v>
      </c>
      <c r="D244" s="0" t="n">
        <v>0.224452919</v>
      </c>
    </row>
    <row r="245" customFormat="false" ht="13.8" hidden="true" customHeight="false" outlineLevel="0" collapsed="false">
      <c r="A245" s="0" t="s">
        <v>217</v>
      </c>
      <c r="B245" s="0" t="n">
        <v>17</v>
      </c>
      <c r="C245" s="0" t="n">
        <v>1.3</v>
      </c>
      <c r="D245" s="0" t="n">
        <v>0</v>
      </c>
    </row>
    <row r="246" customFormat="false" ht="13.8" hidden="true" customHeight="false" outlineLevel="0" collapsed="false">
      <c r="A246" s="0" t="s">
        <v>217</v>
      </c>
      <c r="B246" s="0" t="n">
        <v>17</v>
      </c>
      <c r="C246" s="0" t="n">
        <v>1.35</v>
      </c>
      <c r="D246" s="0" t="n">
        <v>0</v>
      </c>
    </row>
    <row r="247" customFormat="false" ht="13.8" hidden="true" customHeight="false" outlineLevel="0" collapsed="false">
      <c r="A247" s="0" t="s">
        <v>217</v>
      </c>
      <c r="B247" s="0" t="n">
        <v>17</v>
      </c>
      <c r="C247" s="0" t="n">
        <v>1.4</v>
      </c>
      <c r="D247" s="0" t="n">
        <v>0</v>
      </c>
    </row>
    <row r="248" customFormat="false" ht="13.8" hidden="true" customHeight="false" outlineLevel="0" collapsed="false">
      <c r="A248" s="0" t="s">
        <v>217</v>
      </c>
      <c r="B248" s="0" t="n">
        <v>17</v>
      </c>
      <c r="C248" s="0" t="n">
        <v>1.45</v>
      </c>
      <c r="D248" s="0" t="n">
        <v>0</v>
      </c>
    </row>
    <row r="249" customFormat="false" ht="13.8" hidden="true" customHeight="false" outlineLevel="0" collapsed="false">
      <c r="A249" s="0" t="s">
        <v>217</v>
      </c>
      <c r="B249" s="0" t="n">
        <v>17</v>
      </c>
      <c r="C249" s="0" t="n">
        <v>1.5</v>
      </c>
      <c r="D249" s="0" t="n">
        <v>0</v>
      </c>
    </row>
    <row r="250" customFormat="false" ht="13.8" hidden="true" customHeight="false" outlineLevel="0" collapsed="false">
      <c r="A250" s="0" t="s">
        <v>217</v>
      </c>
      <c r="B250" s="0" t="n">
        <v>17</v>
      </c>
      <c r="C250" s="0" t="n">
        <v>1.55</v>
      </c>
      <c r="D250" s="0" t="n">
        <v>0</v>
      </c>
    </row>
    <row r="251" customFormat="false" ht="13.8" hidden="true" customHeight="false" outlineLevel="0" collapsed="false">
      <c r="A251" s="0" t="s">
        <v>217</v>
      </c>
      <c r="B251" s="0" t="n">
        <v>17</v>
      </c>
      <c r="C251" s="0" t="n">
        <v>1.6</v>
      </c>
      <c r="D251" s="0" t="n">
        <v>0.136</v>
      </c>
    </row>
    <row r="252" customFormat="false" ht="13.8" hidden="true" customHeight="false" outlineLevel="0" collapsed="false">
      <c r="A252" s="0" t="s">
        <v>217</v>
      </c>
      <c r="B252" s="0" t="n">
        <v>17</v>
      </c>
      <c r="C252" s="0" t="n">
        <v>1.65</v>
      </c>
      <c r="D252" s="0" t="n">
        <v>0.141</v>
      </c>
    </row>
    <row r="253" customFormat="false" ht="13.8" hidden="true" customHeight="false" outlineLevel="0" collapsed="false">
      <c r="A253" s="0" t="s">
        <v>217</v>
      </c>
      <c r="B253" s="0" t="n">
        <v>17</v>
      </c>
      <c r="C253" s="0" t="n">
        <v>1.7</v>
      </c>
      <c r="D253" s="0" t="n">
        <v>0.145</v>
      </c>
    </row>
    <row r="254" customFormat="false" ht="13.8" hidden="true" customHeight="false" outlineLevel="0" collapsed="false">
      <c r="A254" s="0" t="s">
        <v>217</v>
      </c>
      <c r="B254" s="0" t="n">
        <v>17</v>
      </c>
      <c r="C254" s="0" t="n">
        <v>1.75</v>
      </c>
      <c r="D254" s="0" t="n">
        <v>0.149</v>
      </c>
    </row>
    <row r="255" customFormat="false" ht="13.8" hidden="true" customHeight="false" outlineLevel="0" collapsed="false">
      <c r="A255" s="0" t="s">
        <v>217</v>
      </c>
      <c r="B255" s="0" t="n">
        <v>17</v>
      </c>
      <c r="C255" s="0" t="n">
        <v>1.8</v>
      </c>
      <c r="D255" s="0" t="n">
        <v>0.163</v>
      </c>
    </row>
    <row r="256" customFormat="false" ht="13.8" hidden="true" customHeight="false" outlineLevel="0" collapsed="false">
      <c r="A256" s="0" t="s">
        <v>217</v>
      </c>
      <c r="B256" s="0" t="n">
        <v>17</v>
      </c>
      <c r="C256" s="0" t="n">
        <v>1.85</v>
      </c>
      <c r="D256" s="0" t="n">
        <v>0.168</v>
      </c>
    </row>
    <row r="257" customFormat="false" ht="13.8" hidden="true" customHeight="false" outlineLevel="0" collapsed="false">
      <c r="A257" s="0" t="s">
        <v>217</v>
      </c>
      <c r="B257" s="0" t="n">
        <v>17</v>
      </c>
      <c r="C257" s="0" t="n">
        <v>1.9</v>
      </c>
      <c r="D257" s="0" t="n">
        <v>0.172</v>
      </c>
    </row>
    <row r="258" customFormat="false" ht="13.8" hidden="true" customHeight="false" outlineLevel="0" collapsed="false">
      <c r="A258" s="0" t="s">
        <v>217</v>
      </c>
      <c r="B258" s="0" t="n">
        <v>17</v>
      </c>
      <c r="C258" s="0" t="n">
        <v>1.95</v>
      </c>
      <c r="D258" s="0" t="n">
        <v>0.177</v>
      </c>
    </row>
    <row r="259" customFormat="false" ht="13.8" hidden="true" customHeight="false" outlineLevel="0" collapsed="false">
      <c r="A259" s="0" t="s">
        <v>217</v>
      </c>
      <c r="B259" s="0" t="n">
        <v>17</v>
      </c>
      <c r="C259" s="0" t="n">
        <v>2</v>
      </c>
      <c r="D259" s="0" t="n">
        <v>0.192</v>
      </c>
    </row>
    <row r="260" customFormat="false" ht="13.8" hidden="true" customHeight="false" outlineLevel="0" collapsed="false">
      <c r="A260" s="0" t="s">
        <v>217</v>
      </c>
      <c r="B260" s="0" t="n">
        <v>17</v>
      </c>
      <c r="C260" s="0" t="n">
        <v>2.05</v>
      </c>
      <c r="D260" s="0" t="n">
        <v>0.197</v>
      </c>
    </row>
    <row r="261" customFormat="false" ht="13.8" hidden="true" customHeight="false" outlineLevel="0" collapsed="false">
      <c r="A261" s="0" t="s">
        <v>217</v>
      </c>
      <c r="B261" s="0" t="n">
        <v>17</v>
      </c>
      <c r="C261" s="0" t="n">
        <v>2.1</v>
      </c>
      <c r="D261" s="0" t="n">
        <v>0.202</v>
      </c>
    </row>
    <row r="262" customFormat="false" ht="13.8" hidden="true" customHeight="false" outlineLevel="0" collapsed="false">
      <c r="A262" s="0" t="s">
        <v>217</v>
      </c>
      <c r="B262" s="0" t="n">
        <v>17</v>
      </c>
      <c r="C262" s="0" t="n">
        <v>2.15</v>
      </c>
      <c r="D262" s="0" t="n">
        <v>0.206712902</v>
      </c>
    </row>
    <row r="263" customFormat="false" ht="13.8" hidden="true" customHeight="false" outlineLevel="0" collapsed="false">
      <c r="A263" s="0" t="s">
        <v>217</v>
      </c>
      <c r="B263" s="0" t="n">
        <v>17</v>
      </c>
      <c r="C263" s="0" t="n">
        <v>2.2</v>
      </c>
      <c r="D263" s="0" t="n">
        <v>0.189921701</v>
      </c>
    </row>
    <row r="264" customFormat="false" ht="13.8" hidden="true" customHeight="false" outlineLevel="0" collapsed="false">
      <c r="A264" s="0" t="s">
        <v>217</v>
      </c>
      <c r="B264" s="0" t="n">
        <v>17</v>
      </c>
      <c r="C264" s="0" t="n">
        <v>2.25</v>
      </c>
      <c r="D264" s="0" t="n">
        <v>0.194238103</v>
      </c>
    </row>
    <row r="265" customFormat="false" ht="13.8" hidden="true" customHeight="false" outlineLevel="0" collapsed="false">
      <c r="A265" s="0" t="s">
        <v>217</v>
      </c>
      <c r="B265" s="0" t="n">
        <v>17</v>
      </c>
      <c r="C265" s="0" t="n">
        <v>2.3</v>
      </c>
      <c r="D265" s="0" t="n">
        <v>0.198554506</v>
      </c>
    </row>
    <row r="266" customFormat="false" ht="13.8" hidden="true" customHeight="false" outlineLevel="0" collapsed="false">
      <c r="A266" s="0" t="s">
        <v>217</v>
      </c>
      <c r="B266" s="0" t="n">
        <v>17</v>
      </c>
      <c r="C266" s="0" t="n">
        <v>2.35</v>
      </c>
      <c r="D266" s="0" t="n">
        <v>0.202870908</v>
      </c>
    </row>
    <row r="267" customFormat="false" ht="13.8" hidden="true" customHeight="false" outlineLevel="0" collapsed="false">
      <c r="A267" s="0" t="s">
        <v>217</v>
      </c>
      <c r="B267" s="0" t="n">
        <v>17</v>
      </c>
      <c r="C267" s="0" t="n">
        <v>2.4</v>
      </c>
      <c r="D267" s="0" t="n">
        <v>0.20718731</v>
      </c>
    </row>
    <row r="268" customFormat="false" ht="13.8" hidden="true" customHeight="false" outlineLevel="0" collapsed="false">
      <c r="A268" s="0" t="s">
        <v>217</v>
      </c>
      <c r="B268" s="0" t="n">
        <v>17</v>
      </c>
      <c r="C268" s="0" t="n">
        <v>2.45</v>
      </c>
      <c r="D268" s="0" t="n">
        <v>0.211503713</v>
      </c>
    </row>
    <row r="269" customFormat="false" ht="13.8" hidden="true" customHeight="false" outlineLevel="0" collapsed="false">
      <c r="A269" s="0" t="s">
        <v>217</v>
      </c>
      <c r="B269" s="0" t="n">
        <v>17</v>
      </c>
      <c r="C269" s="0" t="n">
        <v>2.5</v>
      </c>
      <c r="D269" s="0" t="n">
        <v>0.215820115</v>
      </c>
    </row>
    <row r="270" customFormat="false" ht="13.8" hidden="true" customHeight="false" outlineLevel="0" collapsed="false">
      <c r="A270" s="0" t="s">
        <v>217</v>
      </c>
      <c r="B270" s="0" t="n">
        <v>17</v>
      </c>
      <c r="C270" s="0" t="n">
        <v>2.55</v>
      </c>
      <c r="D270" s="0" t="n">
        <v>0.220136517</v>
      </c>
    </row>
    <row r="271" customFormat="false" ht="13.8" hidden="true" customHeight="false" outlineLevel="0" collapsed="false">
      <c r="A271" s="0" t="s">
        <v>217</v>
      </c>
      <c r="B271" s="0" t="n">
        <v>17</v>
      </c>
      <c r="C271" s="0" t="n">
        <v>2.6</v>
      </c>
      <c r="D271" s="0" t="n">
        <v>0.224452919</v>
      </c>
    </row>
    <row r="272" customFormat="false" ht="13.8" hidden="true" customHeight="false" outlineLevel="0" collapsed="false">
      <c r="A272" s="0" t="s">
        <v>607</v>
      </c>
      <c r="B272" s="0" t="n">
        <v>9</v>
      </c>
      <c r="C272" s="0" t="n">
        <v>1.3</v>
      </c>
      <c r="D272" s="0" t="n">
        <v>0</v>
      </c>
    </row>
    <row r="273" customFormat="false" ht="13.8" hidden="true" customHeight="false" outlineLevel="0" collapsed="false">
      <c r="A273" s="0" t="s">
        <v>607</v>
      </c>
      <c r="B273" s="0" t="n">
        <v>9</v>
      </c>
      <c r="C273" s="0" t="n">
        <v>1.35</v>
      </c>
      <c r="D273" s="0" t="n">
        <v>0</v>
      </c>
    </row>
    <row r="274" customFormat="false" ht="13.8" hidden="true" customHeight="false" outlineLevel="0" collapsed="false">
      <c r="A274" s="0" t="s">
        <v>607</v>
      </c>
      <c r="B274" s="0" t="n">
        <v>9</v>
      </c>
      <c r="C274" s="0" t="n">
        <v>1.4</v>
      </c>
      <c r="D274" s="0" t="n">
        <v>0</v>
      </c>
    </row>
    <row r="275" customFormat="false" ht="13.8" hidden="true" customHeight="false" outlineLevel="0" collapsed="false">
      <c r="A275" s="0" t="s">
        <v>607</v>
      </c>
      <c r="B275" s="0" t="n">
        <v>9</v>
      </c>
      <c r="C275" s="0" t="n">
        <v>1.45</v>
      </c>
      <c r="D275" s="0" t="n">
        <v>0</v>
      </c>
    </row>
    <row r="276" customFormat="false" ht="13.8" hidden="true" customHeight="false" outlineLevel="0" collapsed="false">
      <c r="A276" s="0" t="s">
        <v>607</v>
      </c>
      <c r="B276" s="0" t="n">
        <v>9</v>
      </c>
      <c r="C276" s="0" t="n">
        <v>1.5</v>
      </c>
      <c r="D276" s="0" t="n">
        <v>0</v>
      </c>
    </row>
    <row r="277" customFormat="false" ht="13.8" hidden="true" customHeight="false" outlineLevel="0" collapsed="false">
      <c r="A277" s="0" t="s">
        <v>607</v>
      </c>
      <c r="B277" s="0" t="n">
        <v>9</v>
      </c>
      <c r="C277" s="0" t="n">
        <v>1.55</v>
      </c>
      <c r="D277" s="0" t="n">
        <v>0</v>
      </c>
    </row>
    <row r="278" customFormat="false" ht="13.8" hidden="true" customHeight="false" outlineLevel="0" collapsed="false">
      <c r="A278" s="0" t="s">
        <v>607</v>
      </c>
      <c r="B278" s="0" t="n">
        <v>9</v>
      </c>
      <c r="C278" s="0" t="n">
        <v>1.6</v>
      </c>
      <c r="D278" s="0" t="n">
        <v>0.158</v>
      </c>
    </row>
    <row r="279" customFormat="false" ht="13.8" hidden="true" customHeight="false" outlineLevel="0" collapsed="false">
      <c r="A279" s="0" t="s">
        <v>607</v>
      </c>
      <c r="B279" s="0" t="n">
        <v>9</v>
      </c>
      <c r="C279" s="0" t="n">
        <v>1.65</v>
      </c>
      <c r="D279" s="0" t="n">
        <v>0.163</v>
      </c>
    </row>
    <row r="280" customFormat="false" ht="13.8" hidden="true" customHeight="false" outlineLevel="0" collapsed="false">
      <c r="A280" s="0" t="s">
        <v>607</v>
      </c>
      <c r="B280" s="0" t="n">
        <v>9</v>
      </c>
      <c r="C280" s="0" t="n">
        <v>1.7</v>
      </c>
      <c r="D280" s="0" t="n">
        <v>0.168</v>
      </c>
    </row>
    <row r="281" customFormat="false" ht="13.8" hidden="true" customHeight="false" outlineLevel="0" collapsed="false">
      <c r="A281" s="0" t="s">
        <v>607</v>
      </c>
      <c r="B281" s="0" t="n">
        <v>9</v>
      </c>
      <c r="C281" s="0" t="n">
        <v>1.75</v>
      </c>
      <c r="D281" s="0" t="n">
        <v>0.173</v>
      </c>
    </row>
    <row r="282" customFormat="false" ht="13.8" hidden="true" customHeight="false" outlineLevel="0" collapsed="false">
      <c r="A282" s="0" t="s">
        <v>607</v>
      </c>
      <c r="B282" s="0" t="n">
        <v>9</v>
      </c>
      <c r="C282" s="0" t="n">
        <v>1.8</v>
      </c>
      <c r="D282" s="0" t="n">
        <v>0.185</v>
      </c>
    </row>
    <row r="283" customFormat="false" ht="13.8" hidden="true" customHeight="false" outlineLevel="0" collapsed="false">
      <c r="A283" s="0" t="s">
        <v>607</v>
      </c>
      <c r="B283" s="0" t="n">
        <v>9</v>
      </c>
      <c r="C283" s="0" t="n">
        <v>1.85</v>
      </c>
      <c r="D283" s="0" t="n">
        <v>0.191</v>
      </c>
    </row>
    <row r="284" customFormat="false" ht="13.8" hidden="true" customHeight="false" outlineLevel="0" collapsed="false">
      <c r="A284" s="0" t="s">
        <v>607</v>
      </c>
      <c r="B284" s="0" t="n">
        <v>9</v>
      </c>
      <c r="C284" s="0" t="n">
        <v>1.9</v>
      </c>
      <c r="D284" s="0" t="n">
        <v>0.196</v>
      </c>
    </row>
    <row r="285" customFormat="false" ht="13.8" hidden="true" customHeight="false" outlineLevel="0" collapsed="false">
      <c r="A285" s="0" t="s">
        <v>607</v>
      </c>
      <c r="B285" s="0" t="n">
        <v>9</v>
      </c>
      <c r="C285" s="0" t="n">
        <v>1.95</v>
      </c>
      <c r="D285" s="0" t="n">
        <v>0.201</v>
      </c>
    </row>
    <row r="286" customFormat="false" ht="13.8" hidden="true" customHeight="false" outlineLevel="0" collapsed="false">
      <c r="A286" s="0" t="s">
        <v>607</v>
      </c>
      <c r="B286" s="0" t="n">
        <v>9</v>
      </c>
      <c r="C286" s="0" t="n">
        <v>2</v>
      </c>
      <c r="D286" s="0" t="n">
        <v>0.214</v>
      </c>
    </row>
    <row r="287" customFormat="false" ht="13.8" hidden="true" customHeight="false" outlineLevel="0" collapsed="false">
      <c r="A287" s="0" t="s">
        <v>607</v>
      </c>
      <c r="B287" s="0" t="n">
        <v>9</v>
      </c>
      <c r="C287" s="0" t="n">
        <v>2.05</v>
      </c>
      <c r="D287" s="0" t="n">
        <v>0.22</v>
      </c>
    </row>
    <row r="288" customFormat="false" ht="13.8" hidden="true" customHeight="false" outlineLevel="0" collapsed="false">
      <c r="A288" s="0" t="s">
        <v>607</v>
      </c>
      <c r="B288" s="0" t="n">
        <v>9</v>
      </c>
      <c r="C288" s="0" t="n">
        <v>2.1</v>
      </c>
      <c r="D288" s="0" t="n">
        <v>0.225</v>
      </c>
    </row>
    <row r="289" customFormat="false" ht="13.8" hidden="true" customHeight="false" outlineLevel="0" collapsed="false">
      <c r="A289" s="0" t="s">
        <v>607</v>
      </c>
      <c r="B289" s="0" t="n">
        <v>9</v>
      </c>
      <c r="C289" s="0" t="n">
        <v>2.15</v>
      </c>
      <c r="D289" s="0" t="n">
        <v>0.230286495</v>
      </c>
    </row>
    <row r="290" customFormat="false" ht="13.8" hidden="true" customHeight="false" outlineLevel="0" collapsed="false">
      <c r="A290" s="0" t="s">
        <v>607</v>
      </c>
      <c r="B290" s="0" t="n">
        <v>9</v>
      </c>
      <c r="C290" s="0" t="n">
        <v>2.2</v>
      </c>
      <c r="D290" s="0" t="n">
        <v>0.220063531</v>
      </c>
    </row>
    <row r="291" customFormat="false" ht="13.8" hidden="true" customHeight="false" outlineLevel="0" collapsed="false">
      <c r="A291" s="0" t="s">
        <v>607</v>
      </c>
      <c r="B291" s="0" t="n">
        <v>9</v>
      </c>
      <c r="C291" s="0" t="n">
        <v>2.25</v>
      </c>
      <c r="D291" s="0" t="n">
        <v>0.225064975</v>
      </c>
    </row>
    <row r="292" customFormat="false" ht="13.8" hidden="true" customHeight="false" outlineLevel="0" collapsed="false">
      <c r="A292" s="0" t="s">
        <v>607</v>
      </c>
      <c r="B292" s="0" t="n">
        <v>9</v>
      </c>
      <c r="C292" s="0" t="n">
        <v>2.3</v>
      </c>
      <c r="D292" s="0" t="n">
        <v>0.230066419</v>
      </c>
    </row>
    <row r="293" customFormat="false" ht="13.8" hidden="true" customHeight="false" outlineLevel="0" collapsed="false">
      <c r="A293" s="0" t="s">
        <v>607</v>
      </c>
      <c r="B293" s="0" t="n">
        <v>9</v>
      </c>
      <c r="C293" s="0" t="n">
        <v>2.35</v>
      </c>
      <c r="D293" s="0" t="n">
        <v>0.235067863</v>
      </c>
    </row>
    <row r="294" customFormat="false" ht="13.8" hidden="true" customHeight="false" outlineLevel="0" collapsed="false">
      <c r="A294" s="0" t="s">
        <v>607</v>
      </c>
      <c r="B294" s="0" t="n">
        <v>9</v>
      </c>
      <c r="C294" s="0" t="n">
        <v>2.4</v>
      </c>
      <c r="D294" s="0" t="n">
        <v>0.240069307</v>
      </c>
    </row>
    <row r="295" customFormat="false" ht="13.8" hidden="true" customHeight="false" outlineLevel="0" collapsed="false">
      <c r="A295" s="0" t="s">
        <v>607</v>
      </c>
      <c r="B295" s="0" t="n">
        <v>9</v>
      </c>
      <c r="C295" s="0" t="n">
        <v>2.45</v>
      </c>
      <c r="D295" s="0" t="n">
        <v>0.24507075</v>
      </c>
    </row>
    <row r="296" customFormat="false" ht="13.8" hidden="true" customHeight="false" outlineLevel="0" collapsed="false">
      <c r="A296" s="0" t="s">
        <v>607</v>
      </c>
      <c r="B296" s="0" t="n">
        <v>9</v>
      </c>
      <c r="C296" s="0" t="n">
        <v>2.5</v>
      </c>
      <c r="D296" s="0" t="n">
        <v>0.250072194</v>
      </c>
    </row>
    <row r="297" customFormat="false" ht="13.8" hidden="true" customHeight="false" outlineLevel="0" collapsed="false">
      <c r="A297" s="0" t="s">
        <v>607</v>
      </c>
      <c r="B297" s="0" t="n">
        <v>9</v>
      </c>
      <c r="C297" s="0" t="n">
        <v>2.55</v>
      </c>
      <c r="D297" s="0" t="n">
        <v>0.255073638</v>
      </c>
    </row>
    <row r="298" customFormat="false" ht="13.8" hidden="true" customHeight="false" outlineLevel="0" collapsed="false">
      <c r="A298" s="0" t="s">
        <v>607</v>
      </c>
      <c r="B298" s="0" t="n">
        <v>9</v>
      </c>
      <c r="C298" s="0" t="n">
        <v>2.6</v>
      </c>
      <c r="D298" s="0" t="n">
        <v>0.260075082</v>
      </c>
    </row>
    <row r="299" customFormat="false" ht="13.8" hidden="true" customHeight="false" outlineLevel="0" collapsed="false">
      <c r="A299" s="0" t="s">
        <v>607</v>
      </c>
      <c r="B299" s="0" t="n">
        <v>16</v>
      </c>
      <c r="C299" s="0" t="n">
        <v>1.3</v>
      </c>
      <c r="D299" s="0" t="n">
        <v>0</v>
      </c>
    </row>
    <row r="300" customFormat="false" ht="13.8" hidden="true" customHeight="false" outlineLevel="0" collapsed="false">
      <c r="A300" s="0" t="s">
        <v>607</v>
      </c>
      <c r="B300" s="0" t="n">
        <v>16</v>
      </c>
      <c r="C300" s="0" t="n">
        <v>1.35</v>
      </c>
      <c r="D300" s="0" t="n">
        <v>0</v>
      </c>
    </row>
    <row r="301" customFormat="false" ht="13.8" hidden="true" customHeight="false" outlineLevel="0" collapsed="false">
      <c r="A301" s="0" t="s">
        <v>607</v>
      </c>
      <c r="B301" s="0" t="n">
        <v>16</v>
      </c>
      <c r="C301" s="0" t="n">
        <v>1.4</v>
      </c>
      <c r="D301" s="0" t="n">
        <v>0</v>
      </c>
    </row>
    <row r="302" customFormat="false" ht="13.8" hidden="true" customHeight="false" outlineLevel="0" collapsed="false">
      <c r="A302" s="0" t="s">
        <v>607</v>
      </c>
      <c r="B302" s="0" t="n">
        <v>16</v>
      </c>
      <c r="C302" s="0" t="n">
        <v>1.45</v>
      </c>
      <c r="D302" s="0" t="n">
        <v>0</v>
      </c>
    </row>
    <row r="303" customFormat="false" ht="13.8" hidden="true" customHeight="false" outlineLevel="0" collapsed="false">
      <c r="A303" s="0" t="s">
        <v>607</v>
      </c>
      <c r="B303" s="0" t="n">
        <v>16</v>
      </c>
      <c r="C303" s="0" t="n">
        <v>1.5</v>
      </c>
      <c r="D303" s="0" t="n">
        <v>0</v>
      </c>
    </row>
    <row r="304" customFormat="false" ht="13.8" hidden="true" customHeight="false" outlineLevel="0" collapsed="false">
      <c r="A304" s="0" t="s">
        <v>607</v>
      </c>
      <c r="B304" s="0" t="n">
        <v>16</v>
      </c>
      <c r="C304" s="0" t="n">
        <v>1.55</v>
      </c>
      <c r="D304" s="0" t="n">
        <v>0</v>
      </c>
    </row>
    <row r="305" customFormat="false" ht="13.8" hidden="true" customHeight="false" outlineLevel="0" collapsed="false">
      <c r="A305" s="0" t="s">
        <v>607</v>
      </c>
      <c r="B305" s="0" t="n">
        <v>16</v>
      </c>
      <c r="C305" s="0" t="n">
        <v>1.6</v>
      </c>
      <c r="D305" s="0" t="n">
        <v>0.158</v>
      </c>
    </row>
    <row r="306" customFormat="false" ht="13.8" hidden="true" customHeight="false" outlineLevel="0" collapsed="false">
      <c r="A306" s="0" t="s">
        <v>607</v>
      </c>
      <c r="B306" s="0" t="n">
        <v>16</v>
      </c>
      <c r="C306" s="0" t="n">
        <v>1.65</v>
      </c>
      <c r="D306" s="0" t="n">
        <v>0.163</v>
      </c>
    </row>
    <row r="307" customFormat="false" ht="13.8" hidden="true" customHeight="false" outlineLevel="0" collapsed="false">
      <c r="A307" s="0" t="s">
        <v>607</v>
      </c>
      <c r="B307" s="0" t="n">
        <v>16</v>
      </c>
      <c r="C307" s="0" t="n">
        <v>1.7</v>
      </c>
      <c r="D307" s="0" t="n">
        <v>0.168</v>
      </c>
    </row>
    <row r="308" customFormat="false" ht="13.8" hidden="true" customHeight="false" outlineLevel="0" collapsed="false">
      <c r="A308" s="0" t="s">
        <v>607</v>
      </c>
      <c r="B308" s="0" t="n">
        <v>16</v>
      </c>
      <c r="C308" s="0" t="n">
        <v>1.75</v>
      </c>
      <c r="D308" s="0" t="n">
        <v>0.173</v>
      </c>
    </row>
    <row r="309" customFormat="false" ht="13.8" hidden="true" customHeight="false" outlineLevel="0" collapsed="false">
      <c r="A309" s="0" t="s">
        <v>607</v>
      </c>
      <c r="B309" s="0" t="n">
        <v>16</v>
      </c>
      <c r="C309" s="0" t="n">
        <v>1.8</v>
      </c>
      <c r="D309" s="0" t="n">
        <v>0.185</v>
      </c>
    </row>
    <row r="310" customFormat="false" ht="13.8" hidden="true" customHeight="false" outlineLevel="0" collapsed="false">
      <c r="A310" s="0" t="s">
        <v>607</v>
      </c>
      <c r="B310" s="0" t="n">
        <v>16</v>
      </c>
      <c r="C310" s="0" t="n">
        <v>1.85</v>
      </c>
      <c r="D310" s="0" t="n">
        <v>0.191</v>
      </c>
    </row>
    <row r="311" customFormat="false" ht="13.8" hidden="true" customHeight="false" outlineLevel="0" collapsed="false">
      <c r="A311" s="0" t="s">
        <v>607</v>
      </c>
      <c r="B311" s="0" t="n">
        <v>16</v>
      </c>
      <c r="C311" s="0" t="n">
        <v>1.9</v>
      </c>
      <c r="D311" s="0" t="n">
        <v>0.196</v>
      </c>
    </row>
    <row r="312" customFormat="false" ht="13.8" hidden="true" customHeight="false" outlineLevel="0" collapsed="false">
      <c r="A312" s="0" t="s">
        <v>607</v>
      </c>
      <c r="B312" s="0" t="n">
        <v>16</v>
      </c>
      <c r="C312" s="0" t="n">
        <v>1.95</v>
      </c>
      <c r="D312" s="0" t="n">
        <v>0.201</v>
      </c>
    </row>
    <row r="313" customFormat="false" ht="13.8" hidden="true" customHeight="false" outlineLevel="0" collapsed="false">
      <c r="A313" s="0" t="s">
        <v>607</v>
      </c>
      <c r="B313" s="0" t="n">
        <v>16</v>
      </c>
      <c r="C313" s="0" t="n">
        <v>2</v>
      </c>
      <c r="D313" s="0" t="n">
        <v>0.214</v>
      </c>
    </row>
    <row r="314" customFormat="false" ht="13.8" hidden="true" customHeight="false" outlineLevel="0" collapsed="false">
      <c r="A314" s="0" t="s">
        <v>607</v>
      </c>
      <c r="B314" s="0" t="n">
        <v>16</v>
      </c>
      <c r="C314" s="0" t="n">
        <v>2.05</v>
      </c>
      <c r="D314" s="0" t="n">
        <v>0.22</v>
      </c>
    </row>
    <row r="315" customFormat="false" ht="13.8" hidden="true" customHeight="false" outlineLevel="0" collapsed="false">
      <c r="A315" s="0" t="s">
        <v>607</v>
      </c>
      <c r="B315" s="0" t="n">
        <v>16</v>
      </c>
      <c r="C315" s="0" t="n">
        <v>2.1</v>
      </c>
      <c r="D315" s="0" t="n">
        <v>0.225</v>
      </c>
    </row>
    <row r="316" customFormat="false" ht="13.8" hidden="true" customHeight="false" outlineLevel="0" collapsed="false">
      <c r="A316" s="0" t="s">
        <v>607</v>
      </c>
      <c r="B316" s="0" t="n">
        <v>16</v>
      </c>
      <c r="C316" s="0" t="n">
        <v>2.15</v>
      </c>
      <c r="D316" s="0" t="n">
        <v>0.230286495</v>
      </c>
    </row>
    <row r="317" customFormat="false" ht="13.8" hidden="true" customHeight="false" outlineLevel="0" collapsed="false">
      <c r="A317" s="0" t="s">
        <v>607</v>
      </c>
      <c r="B317" s="0" t="n">
        <v>16</v>
      </c>
      <c r="C317" s="0" t="n">
        <v>2.2</v>
      </c>
      <c r="D317" s="0" t="n">
        <v>0.220063531</v>
      </c>
    </row>
    <row r="318" customFormat="false" ht="13.8" hidden="true" customHeight="false" outlineLevel="0" collapsed="false">
      <c r="A318" s="0" t="s">
        <v>607</v>
      </c>
      <c r="B318" s="0" t="n">
        <v>16</v>
      </c>
      <c r="C318" s="0" t="n">
        <v>2.25</v>
      </c>
      <c r="D318" s="0" t="n">
        <v>0.225064975</v>
      </c>
    </row>
    <row r="319" customFormat="false" ht="13.8" hidden="true" customHeight="false" outlineLevel="0" collapsed="false">
      <c r="A319" s="0" t="s">
        <v>607</v>
      </c>
      <c r="B319" s="0" t="n">
        <v>16</v>
      </c>
      <c r="C319" s="0" t="n">
        <v>2.3</v>
      </c>
      <c r="D319" s="0" t="n">
        <v>0.230066419</v>
      </c>
    </row>
    <row r="320" customFormat="false" ht="13.8" hidden="true" customHeight="false" outlineLevel="0" collapsed="false">
      <c r="A320" s="0" t="s">
        <v>607</v>
      </c>
      <c r="B320" s="0" t="n">
        <v>16</v>
      </c>
      <c r="C320" s="0" t="n">
        <v>2.35</v>
      </c>
      <c r="D320" s="0" t="n">
        <v>0.235067863</v>
      </c>
    </row>
    <row r="321" customFormat="false" ht="13.8" hidden="true" customHeight="false" outlineLevel="0" collapsed="false">
      <c r="A321" s="0" t="s">
        <v>607</v>
      </c>
      <c r="B321" s="0" t="n">
        <v>16</v>
      </c>
      <c r="C321" s="0" t="n">
        <v>2.4</v>
      </c>
      <c r="D321" s="0" t="n">
        <v>0.240069307</v>
      </c>
    </row>
    <row r="322" customFormat="false" ht="13.8" hidden="true" customHeight="false" outlineLevel="0" collapsed="false">
      <c r="A322" s="0" t="s">
        <v>607</v>
      </c>
      <c r="B322" s="0" t="n">
        <v>16</v>
      </c>
      <c r="C322" s="0" t="n">
        <v>2.45</v>
      </c>
      <c r="D322" s="0" t="n">
        <v>0.24507075</v>
      </c>
    </row>
    <row r="323" customFormat="false" ht="13.8" hidden="true" customHeight="false" outlineLevel="0" collapsed="false">
      <c r="A323" s="0" t="s">
        <v>607</v>
      </c>
      <c r="B323" s="0" t="n">
        <v>16</v>
      </c>
      <c r="C323" s="0" t="n">
        <v>2.5</v>
      </c>
      <c r="D323" s="0" t="n">
        <v>0.250072194</v>
      </c>
    </row>
    <row r="324" customFormat="false" ht="13.8" hidden="true" customHeight="false" outlineLevel="0" collapsed="false">
      <c r="A324" s="0" t="s">
        <v>607</v>
      </c>
      <c r="B324" s="0" t="n">
        <v>16</v>
      </c>
      <c r="C324" s="0" t="n">
        <v>2.55</v>
      </c>
      <c r="D324" s="0" t="n">
        <v>0.255073638</v>
      </c>
    </row>
    <row r="325" customFormat="false" ht="13.8" hidden="true" customHeight="false" outlineLevel="0" collapsed="false">
      <c r="A325" s="0" t="s">
        <v>607</v>
      </c>
      <c r="B325" s="0" t="n">
        <v>16</v>
      </c>
      <c r="C325" s="0" t="n">
        <v>2.6</v>
      </c>
      <c r="D325" s="0" t="n">
        <v>0.260075082</v>
      </c>
    </row>
    <row r="326" customFormat="false" ht="13.8" hidden="true" customHeight="false" outlineLevel="0" collapsed="false">
      <c r="A326" s="0" t="s">
        <v>607</v>
      </c>
      <c r="B326" s="0" t="n">
        <v>10</v>
      </c>
      <c r="C326" s="0" t="n">
        <v>1.3</v>
      </c>
      <c r="D326" s="0" t="n">
        <v>0</v>
      </c>
    </row>
    <row r="327" customFormat="false" ht="13.8" hidden="true" customHeight="false" outlineLevel="0" collapsed="false">
      <c r="A327" s="0" t="s">
        <v>607</v>
      </c>
      <c r="B327" s="0" t="n">
        <v>10</v>
      </c>
      <c r="C327" s="0" t="n">
        <v>1.35</v>
      </c>
      <c r="D327" s="0" t="n">
        <v>0</v>
      </c>
    </row>
    <row r="328" customFormat="false" ht="13.8" hidden="true" customHeight="false" outlineLevel="0" collapsed="false">
      <c r="A328" s="0" t="s">
        <v>607</v>
      </c>
      <c r="B328" s="0" t="n">
        <v>10</v>
      </c>
      <c r="C328" s="0" t="n">
        <v>1.4</v>
      </c>
      <c r="D328" s="0" t="n">
        <v>0</v>
      </c>
    </row>
    <row r="329" customFormat="false" ht="13.8" hidden="true" customHeight="false" outlineLevel="0" collapsed="false">
      <c r="A329" s="0" t="s">
        <v>607</v>
      </c>
      <c r="B329" s="0" t="n">
        <v>10</v>
      </c>
      <c r="C329" s="0" t="n">
        <v>1.45</v>
      </c>
      <c r="D329" s="0" t="n">
        <v>0</v>
      </c>
    </row>
    <row r="330" customFormat="false" ht="13.8" hidden="true" customHeight="false" outlineLevel="0" collapsed="false">
      <c r="A330" s="0" t="s">
        <v>607</v>
      </c>
      <c r="B330" s="0" t="n">
        <v>10</v>
      </c>
      <c r="C330" s="0" t="n">
        <v>1.5</v>
      </c>
      <c r="D330" s="0" t="n">
        <v>0</v>
      </c>
    </row>
    <row r="331" customFormat="false" ht="13.8" hidden="true" customHeight="false" outlineLevel="0" collapsed="false">
      <c r="A331" s="0" t="s">
        <v>607</v>
      </c>
      <c r="B331" s="0" t="n">
        <v>10</v>
      </c>
      <c r="C331" s="0" t="n">
        <v>1.55</v>
      </c>
      <c r="D331" s="0" t="n">
        <v>0</v>
      </c>
    </row>
    <row r="332" customFormat="false" ht="13.8" hidden="true" customHeight="false" outlineLevel="0" collapsed="false">
      <c r="A332" s="0" t="s">
        <v>607</v>
      </c>
      <c r="B332" s="0" t="n">
        <v>10</v>
      </c>
      <c r="C332" s="0" t="n">
        <v>1.6</v>
      </c>
      <c r="D332" s="0" t="n">
        <v>0.136</v>
      </c>
    </row>
    <row r="333" customFormat="false" ht="13.8" hidden="true" customHeight="false" outlineLevel="0" collapsed="false">
      <c r="A333" s="0" t="s">
        <v>607</v>
      </c>
      <c r="B333" s="0" t="n">
        <v>10</v>
      </c>
      <c r="C333" s="0" t="n">
        <v>1.65</v>
      </c>
      <c r="D333" s="0" t="n">
        <v>0.141</v>
      </c>
    </row>
    <row r="334" customFormat="false" ht="13.8" hidden="true" customHeight="false" outlineLevel="0" collapsed="false">
      <c r="A334" s="0" t="s">
        <v>607</v>
      </c>
      <c r="B334" s="0" t="n">
        <v>10</v>
      </c>
      <c r="C334" s="0" t="n">
        <v>1.7</v>
      </c>
      <c r="D334" s="0" t="n">
        <v>0.145</v>
      </c>
    </row>
    <row r="335" customFormat="false" ht="13.8" hidden="true" customHeight="false" outlineLevel="0" collapsed="false">
      <c r="A335" s="0" t="s">
        <v>607</v>
      </c>
      <c r="B335" s="0" t="n">
        <v>10</v>
      </c>
      <c r="C335" s="0" t="n">
        <v>1.75</v>
      </c>
      <c r="D335" s="0" t="n">
        <v>0.149</v>
      </c>
    </row>
    <row r="336" customFormat="false" ht="13.8" hidden="true" customHeight="false" outlineLevel="0" collapsed="false">
      <c r="A336" s="0" t="s">
        <v>607</v>
      </c>
      <c r="B336" s="0" t="n">
        <v>10</v>
      </c>
      <c r="C336" s="0" t="n">
        <v>1.8</v>
      </c>
      <c r="D336" s="0" t="n">
        <v>0.163</v>
      </c>
    </row>
    <row r="337" customFormat="false" ht="13.8" hidden="true" customHeight="false" outlineLevel="0" collapsed="false">
      <c r="A337" s="0" t="s">
        <v>607</v>
      </c>
      <c r="B337" s="0" t="n">
        <v>10</v>
      </c>
      <c r="C337" s="0" t="n">
        <v>1.85</v>
      </c>
      <c r="D337" s="0" t="n">
        <v>0.168</v>
      </c>
    </row>
    <row r="338" customFormat="false" ht="13.8" hidden="true" customHeight="false" outlineLevel="0" collapsed="false">
      <c r="A338" s="0" t="s">
        <v>607</v>
      </c>
      <c r="B338" s="0" t="n">
        <v>10</v>
      </c>
      <c r="C338" s="0" t="n">
        <v>1.9</v>
      </c>
      <c r="D338" s="0" t="n">
        <v>0.172</v>
      </c>
    </row>
    <row r="339" customFormat="false" ht="13.8" hidden="true" customHeight="false" outlineLevel="0" collapsed="false">
      <c r="A339" s="0" t="s">
        <v>607</v>
      </c>
      <c r="B339" s="0" t="n">
        <v>10</v>
      </c>
      <c r="C339" s="0" t="n">
        <v>1.95</v>
      </c>
      <c r="D339" s="0" t="n">
        <v>0.177</v>
      </c>
    </row>
    <row r="340" customFormat="false" ht="13.8" hidden="true" customHeight="false" outlineLevel="0" collapsed="false">
      <c r="A340" s="0" t="s">
        <v>607</v>
      </c>
      <c r="B340" s="0" t="n">
        <v>10</v>
      </c>
      <c r="C340" s="0" t="n">
        <v>2</v>
      </c>
      <c r="D340" s="0" t="n">
        <v>0.192</v>
      </c>
    </row>
    <row r="341" customFormat="false" ht="13.8" hidden="true" customHeight="false" outlineLevel="0" collapsed="false">
      <c r="A341" s="0" t="s">
        <v>607</v>
      </c>
      <c r="B341" s="0" t="n">
        <v>10</v>
      </c>
      <c r="C341" s="0" t="n">
        <v>2.05</v>
      </c>
      <c r="D341" s="0" t="n">
        <v>0.197</v>
      </c>
    </row>
    <row r="342" customFormat="false" ht="13.8" hidden="true" customHeight="false" outlineLevel="0" collapsed="false">
      <c r="A342" s="0" t="s">
        <v>607</v>
      </c>
      <c r="B342" s="0" t="n">
        <v>10</v>
      </c>
      <c r="C342" s="0" t="n">
        <v>2.1</v>
      </c>
      <c r="D342" s="0" t="n">
        <v>0.202</v>
      </c>
    </row>
    <row r="343" customFormat="false" ht="13.8" hidden="true" customHeight="false" outlineLevel="0" collapsed="false">
      <c r="A343" s="0" t="s">
        <v>607</v>
      </c>
      <c r="B343" s="0" t="n">
        <v>10</v>
      </c>
      <c r="C343" s="0" t="n">
        <v>2.15</v>
      </c>
      <c r="D343" s="0" t="n">
        <v>0.206712902</v>
      </c>
    </row>
    <row r="344" customFormat="false" ht="13.8" hidden="true" customHeight="false" outlineLevel="0" collapsed="false">
      <c r="A344" s="0" t="s">
        <v>607</v>
      </c>
      <c r="B344" s="0" t="n">
        <v>10</v>
      </c>
      <c r="C344" s="0" t="n">
        <v>2.2</v>
      </c>
      <c r="D344" s="0" t="n">
        <v>0.189921701</v>
      </c>
    </row>
    <row r="345" customFormat="false" ht="13.8" hidden="true" customHeight="false" outlineLevel="0" collapsed="false">
      <c r="A345" s="0" t="s">
        <v>607</v>
      </c>
      <c r="B345" s="0" t="n">
        <v>10</v>
      </c>
      <c r="C345" s="0" t="n">
        <v>2.25</v>
      </c>
      <c r="D345" s="0" t="n">
        <v>0.194238103</v>
      </c>
    </row>
    <row r="346" customFormat="false" ht="13.8" hidden="true" customHeight="false" outlineLevel="0" collapsed="false">
      <c r="A346" s="0" t="s">
        <v>607</v>
      </c>
      <c r="B346" s="0" t="n">
        <v>10</v>
      </c>
      <c r="C346" s="0" t="n">
        <v>2.3</v>
      </c>
      <c r="D346" s="0" t="n">
        <v>0.198554506</v>
      </c>
    </row>
    <row r="347" customFormat="false" ht="13.8" hidden="true" customHeight="false" outlineLevel="0" collapsed="false">
      <c r="A347" s="0" t="s">
        <v>607</v>
      </c>
      <c r="B347" s="0" t="n">
        <v>10</v>
      </c>
      <c r="C347" s="0" t="n">
        <v>2.35</v>
      </c>
      <c r="D347" s="0" t="n">
        <v>0.202870908</v>
      </c>
    </row>
    <row r="348" customFormat="false" ht="13.8" hidden="true" customHeight="false" outlineLevel="0" collapsed="false">
      <c r="A348" s="0" t="s">
        <v>607</v>
      </c>
      <c r="B348" s="0" t="n">
        <v>10</v>
      </c>
      <c r="C348" s="0" t="n">
        <v>2.4</v>
      </c>
      <c r="D348" s="0" t="n">
        <v>0.20718731</v>
      </c>
    </row>
    <row r="349" customFormat="false" ht="13.8" hidden="true" customHeight="false" outlineLevel="0" collapsed="false">
      <c r="A349" s="0" t="s">
        <v>607</v>
      </c>
      <c r="B349" s="0" t="n">
        <v>10</v>
      </c>
      <c r="C349" s="0" t="n">
        <v>2.45</v>
      </c>
      <c r="D349" s="0" t="n">
        <v>0.211503713</v>
      </c>
    </row>
    <row r="350" customFormat="false" ht="13.8" hidden="true" customHeight="false" outlineLevel="0" collapsed="false">
      <c r="A350" s="0" t="s">
        <v>607</v>
      </c>
      <c r="B350" s="0" t="n">
        <v>10</v>
      </c>
      <c r="C350" s="0" t="n">
        <v>2.5</v>
      </c>
      <c r="D350" s="0" t="n">
        <v>0.215820115</v>
      </c>
    </row>
    <row r="351" customFormat="false" ht="13.8" hidden="true" customHeight="false" outlineLevel="0" collapsed="false">
      <c r="A351" s="0" t="s">
        <v>607</v>
      </c>
      <c r="B351" s="0" t="n">
        <v>10</v>
      </c>
      <c r="C351" s="0" t="n">
        <v>2.55</v>
      </c>
      <c r="D351" s="0" t="n">
        <v>0.220136517</v>
      </c>
    </row>
    <row r="352" customFormat="false" ht="13.8" hidden="true" customHeight="false" outlineLevel="0" collapsed="false">
      <c r="A352" s="0" t="s">
        <v>607</v>
      </c>
      <c r="B352" s="0" t="n">
        <v>10</v>
      </c>
      <c r="C352" s="0" t="n">
        <v>2.6</v>
      </c>
      <c r="D352" s="0" t="n">
        <v>0.224452919</v>
      </c>
    </row>
    <row r="353" customFormat="false" ht="13.8" hidden="true" customHeight="false" outlineLevel="0" collapsed="false">
      <c r="A353" s="0" t="s">
        <v>607</v>
      </c>
      <c r="B353" s="0" t="n">
        <v>17</v>
      </c>
      <c r="C353" s="0" t="n">
        <v>1.3</v>
      </c>
      <c r="D353" s="0" t="n">
        <v>0</v>
      </c>
    </row>
    <row r="354" customFormat="false" ht="13.8" hidden="true" customHeight="false" outlineLevel="0" collapsed="false">
      <c r="A354" s="0" t="s">
        <v>607</v>
      </c>
      <c r="B354" s="0" t="n">
        <v>17</v>
      </c>
      <c r="C354" s="0" t="n">
        <v>1.35</v>
      </c>
      <c r="D354" s="0" t="n">
        <v>0</v>
      </c>
    </row>
    <row r="355" customFormat="false" ht="13.8" hidden="true" customHeight="false" outlineLevel="0" collapsed="false">
      <c r="A355" s="0" t="s">
        <v>607</v>
      </c>
      <c r="B355" s="0" t="n">
        <v>17</v>
      </c>
      <c r="C355" s="0" t="n">
        <v>1.4</v>
      </c>
      <c r="D355" s="0" t="n">
        <v>0</v>
      </c>
    </row>
    <row r="356" customFormat="false" ht="13.8" hidden="true" customHeight="false" outlineLevel="0" collapsed="false">
      <c r="A356" s="0" t="s">
        <v>607</v>
      </c>
      <c r="B356" s="0" t="n">
        <v>17</v>
      </c>
      <c r="C356" s="0" t="n">
        <v>1.45</v>
      </c>
      <c r="D356" s="0" t="n">
        <v>0</v>
      </c>
    </row>
    <row r="357" customFormat="false" ht="13.8" hidden="true" customHeight="false" outlineLevel="0" collapsed="false">
      <c r="A357" s="0" t="s">
        <v>607</v>
      </c>
      <c r="B357" s="0" t="n">
        <v>17</v>
      </c>
      <c r="C357" s="0" t="n">
        <v>1.5</v>
      </c>
      <c r="D357" s="0" t="n">
        <v>0</v>
      </c>
    </row>
    <row r="358" customFormat="false" ht="13.8" hidden="true" customHeight="false" outlineLevel="0" collapsed="false">
      <c r="A358" s="0" t="s">
        <v>607</v>
      </c>
      <c r="B358" s="0" t="n">
        <v>17</v>
      </c>
      <c r="C358" s="0" t="n">
        <v>1.55</v>
      </c>
      <c r="D358" s="0" t="n">
        <v>0</v>
      </c>
    </row>
    <row r="359" customFormat="false" ht="13.8" hidden="true" customHeight="false" outlineLevel="0" collapsed="false">
      <c r="A359" s="0" t="s">
        <v>607</v>
      </c>
      <c r="B359" s="0" t="n">
        <v>17</v>
      </c>
      <c r="C359" s="0" t="n">
        <v>1.6</v>
      </c>
      <c r="D359" s="0" t="n">
        <v>0.136</v>
      </c>
    </row>
    <row r="360" customFormat="false" ht="13.8" hidden="true" customHeight="false" outlineLevel="0" collapsed="false">
      <c r="A360" s="0" t="s">
        <v>607</v>
      </c>
      <c r="B360" s="0" t="n">
        <v>17</v>
      </c>
      <c r="C360" s="0" t="n">
        <v>1.65</v>
      </c>
      <c r="D360" s="0" t="n">
        <v>0.141</v>
      </c>
    </row>
    <row r="361" customFormat="false" ht="13.8" hidden="true" customHeight="false" outlineLevel="0" collapsed="false">
      <c r="A361" s="0" t="s">
        <v>607</v>
      </c>
      <c r="B361" s="0" t="n">
        <v>17</v>
      </c>
      <c r="C361" s="0" t="n">
        <v>1.7</v>
      </c>
      <c r="D361" s="0" t="n">
        <v>0.145</v>
      </c>
    </row>
    <row r="362" customFormat="false" ht="13.8" hidden="true" customHeight="false" outlineLevel="0" collapsed="false">
      <c r="A362" s="0" t="s">
        <v>607</v>
      </c>
      <c r="B362" s="0" t="n">
        <v>17</v>
      </c>
      <c r="C362" s="0" t="n">
        <v>1.75</v>
      </c>
      <c r="D362" s="0" t="n">
        <v>0.149</v>
      </c>
    </row>
    <row r="363" customFormat="false" ht="13.8" hidden="true" customHeight="false" outlineLevel="0" collapsed="false">
      <c r="A363" s="0" t="s">
        <v>607</v>
      </c>
      <c r="B363" s="0" t="n">
        <v>17</v>
      </c>
      <c r="C363" s="0" t="n">
        <v>1.8</v>
      </c>
      <c r="D363" s="0" t="n">
        <v>0.163</v>
      </c>
    </row>
    <row r="364" customFormat="false" ht="13.8" hidden="true" customHeight="false" outlineLevel="0" collapsed="false">
      <c r="A364" s="0" t="s">
        <v>607</v>
      </c>
      <c r="B364" s="0" t="n">
        <v>17</v>
      </c>
      <c r="C364" s="0" t="n">
        <v>1.85</v>
      </c>
      <c r="D364" s="0" t="n">
        <v>0.168</v>
      </c>
    </row>
    <row r="365" customFormat="false" ht="13.8" hidden="true" customHeight="false" outlineLevel="0" collapsed="false">
      <c r="A365" s="0" t="s">
        <v>607</v>
      </c>
      <c r="B365" s="0" t="n">
        <v>17</v>
      </c>
      <c r="C365" s="0" t="n">
        <v>1.9</v>
      </c>
      <c r="D365" s="0" t="n">
        <v>0.172</v>
      </c>
    </row>
    <row r="366" customFormat="false" ht="13.8" hidden="true" customHeight="false" outlineLevel="0" collapsed="false">
      <c r="A366" s="0" t="s">
        <v>607</v>
      </c>
      <c r="B366" s="0" t="n">
        <v>17</v>
      </c>
      <c r="C366" s="0" t="n">
        <v>1.95</v>
      </c>
      <c r="D366" s="0" t="n">
        <v>0.177</v>
      </c>
    </row>
    <row r="367" customFormat="false" ht="13.8" hidden="true" customHeight="false" outlineLevel="0" collapsed="false">
      <c r="A367" s="0" t="s">
        <v>607</v>
      </c>
      <c r="B367" s="0" t="n">
        <v>17</v>
      </c>
      <c r="C367" s="0" t="n">
        <v>2</v>
      </c>
      <c r="D367" s="0" t="n">
        <v>0.192</v>
      </c>
    </row>
    <row r="368" customFormat="false" ht="13.8" hidden="true" customHeight="false" outlineLevel="0" collapsed="false">
      <c r="A368" s="0" t="s">
        <v>607</v>
      </c>
      <c r="B368" s="0" t="n">
        <v>17</v>
      </c>
      <c r="C368" s="0" t="n">
        <v>2.05</v>
      </c>
      <c r="D368" s="0" t="n">
        <v>0.197</v>
      </c>
    </row>
    <row r="369" customFormat="false" ht="13.8" hidden="true" customHeight="false" outlineLevel="0" collapsed="false">
      <c r="A369" s="0" t="s">
        <v>607</v>
      </c>
      <c r="B369" s="0" t="n">
        <v>17</v>
      </c>
      <c r="C369" s="0" t="n">
        <v>2.1</v>
      </c>
      <c r="D369" s="0" t="n">
        <v>0.202</v>
      </c>
    </row>
    <row r="370" customFormat="false" ht="13.8" hidden="true" customHeight="false" outlineLevel="0" collapsed="false">
      <c r="A370" s="0" t="s">
        <v>607</v>
      </c>
      <c r="B370" s="0" t="n">
        <v>17</v>
      </c>
      <c r="C370" s="0" t="n">
        <v>2.15</v>
      </c>
      <c r="D370" s="0" t="n">
        <v>0.206712902</v>
      </c>
    </row>
    <row r="371" customFormat="false" ht="13.8" hidden="true" customHeight="false" outlineLevel="0" collapsed="false">
      <c r="A371" s="0" t="s">
        <v>607</v>
      </c>
      <c r="B371" s="0" t="n">
        <v>17</v>
      </c>
      <c r="C371" s="0" t="n">
        <v>2.2</v>
      </c>
      <c r="D371" s="0" t="n">
        <v>0.189921701</v>
      </c>
    </row>
    <row r="372" customFormat="false" ht="13.8" hidden="true" customHeight="false" outlineLevel="0" collapsed="false">
      <c r="A372" s="0" t="s">
        <v>607</v>
      </c>
      <c r="B372" s="0" t="n">
        <v>17</v>
      </c>
      <c r="C372" s="0" t="n">
        <v>2.25</v>
      </c>
      <c r="D372" s="0" t="n">
        <v>0.194238103</v>
      </c>
    </row>
    <row r="373" customFormat="false" ht="13.8" hidden="true" customHeight="false" outlineLevel="0" collapsed="false">
      <c r="A373" s="0" t="s">
        <v>607</v>
      </c>
      <c r="B373" s="0" t="n">
        <v>17</v>
      </c>
      <c r="C373" s="0" t="n">
        <v>2.3</v>
      </c>
      <c r="D373" s="0" t="n">
        <v>0.198554506</v>
      </c>
    </row>
    <row r="374" customFormat="false" ht="13.8" hidden="true" customHeight="false" outlineLevel="0" collapsed="false">
      <c r="A374" s="0" t="s">
        <v>607</v>
      </c>
      <c r="B374" s="0" t="n">
        <v>17</v>
      </c>
      <c r="C374" s="0" t="n">
        <v>2.35</v>
      </c>
      <c r="D374" s="0" t="n">
        <v>0.202870908</v>
      </c>
    </row>
    <row r="375" customFormat="false" ht="13.8" hidden="true" customHeight="false" outlineLevel="0" collapsed="false">
      <c r="A375" s="0" t="s">
        <v>607</v>
      </c>
      <c r="B375" s="0" t="n">
        <v>17</v>
      </c>
      <c r="C375" s="0" t="n">
        <v>2.4</v>
      </c>
      <c r="D375" s="0" t="n">
        <v>0.20718731</v>
      </c>
    </row>
    <row r="376" customFormat="false" ht="13.8" hidden="true" customHeight="false" outlineLevel="0" collapsed="false">
      <c r="A376" s="0" t="s">
        <v>607</v>
      </c>
      <c r="B376" s="0" t="n">
        <v>17</v>
      </c>
      <c r="C376" s="0" t="n">
        <v>2.45</v>
      </c>
      <c r="D376" s="0" t="n">
        <v>0.211503713</v>
      </c>
    </row>
    <row r="377" customFormat="false" ht="13.8" hidden="true" customHeight="false" outlineLevel="0" collapsed="false">
      <c r="A377" s="0" t="s">
        <v>607</v>
      </c>
      <c r="B377" s="0" t="n">
        <v>17</v>
      </c>
      <c r="C377" s="0" t="n">
        <v>2.5</v>
      </c>
      <c r="D377" s="0" t="n">
        <v>0.215820115</v>
      </c>
    </row>
    <row r="378" customFormat="false" ht="13.8" hidden="true" customHeight="false" outlineLevel="0" collapsed="false">
      <c r="A378" s="0" t="s">
        <v>607</v>
      </c>
      <c r="B378" s="0" t="n">
        <v>17</v>
      </c>
      <c r="C378" s="0" t="n">
        <v>2.55</v>
      </c>
      <c r="D378" s="0" t="n">
        <v>0.220136517</v>
      </c>
    </row>
    <row r="379" customFormat="false" ht="13.8" hidden="true" customHeight="false" outlineLevel="0" collapsed="false">
      <c r="A379" s="0" t="s">
        <v>607</v>
      </c>
      <c r="B379" s="0" t="n">
        <v>17</v>
      </c>
      <c r="C379" s="0" t="n">
        <v>2.6</v>
      </c>
      <c r="D379" s="0" t="n">
        <v>0.224452919</v>
      </c>
    </row>
    <row r="380" customFormat="false" ht="13.8" hidden="true" customHeight="false" outlineLevel="0" collapsed="false">
      <c r="A380" s="0" t="s">
        <v>612</v>
      </c>
      <c r="B380" s="0" t="n">
        <v>10</v>
      </c>
      <c r="C380" s="0" t="n">
        <v>1.3</v>
      </c>
      <c r="D380" s="0" t="n">
        <v>0</v>
      </c>
    </row>
    <row r="381" customFormat="false" ht="13.8" hidden="true" customHeight="false" outlineLevel="0" collapsed="false">
      <c r="A381" s="0" t="s">
        <v>612</v>
      </c>
      <c r="B381" s="0" t="n">
        <v>10</v>
      </c>
      <c r="C381" s="0" t="n">
        <v>1.35</v>
      </c>
      <c r="D381" s="0" t="n">
        <v>0</v>
      </c>
    </row>
    <row r="382" customFormat="false" ht="13.8" hidden="true" customHeight="false" outlineLevel="0" collapsed="false">
      <c r="A382" s="0" t="s">
        <v>612</v>
      </c>
      <c r="B382" s="0" t="n">
        <v>10</v>
      </c>
      <c r="C382" s="0" t="n">
        <v>1.4</v>
      </c>
      <c r="D382" s="0" t="n">
        <v>0</v>
      </c>
    </row>
    <row r="383" customFormat="false" ht="13.8" hidden="true" customHeight="false" outlineLevel="0" collapsed="false">
      <c r="A383" s="0" t="s">
        <v>612</v>
      </c>
      <c r="B383" s="0" t="n">
        <v>10</v>
      </c>
      <c r="C383" s="0" t="n">
        <v>1.45</v>
      </c>
      <c r="D383" s="0" t="n">
        <v>0</v>
      </c>
    </row>
    <row r="384" customFormat="false" ht="13.8" hidden="true" customHeight="false" outlineLevel="0" collapsed="false">
      <c r="A384" s="0" t="s">
        <v>612</v>
      </c>
      <c r="B384" s="0" t="n">
        <v>10</v>
      </c>
      <c r="C384" s="0" t="n">
        <v>1.5</v>
      </c>
      <c r="D384" s="0" t="n">
        <v>0</v>
      </c>
    </row>
    <row r="385" customFormat="false" ht="13.8" hidden="true" customHeight="false" outlineLevel="0" collapsed="false">
      <c r="A385" s="0" t="s">
        <v>612</v>
      </c>
      <c r="B385" s="0" t="n">
        <v>10</v>
      </c>
      <c r="C385" s="0" t="n">
        <v>1.55</v>
      </c>
      <c r="D385" s="0" t="n">
        <v>0</v>
      </c>
    </row>
    <row r="386" customFormat="false" ht="13.8" hidden="true" customHeight="false" outlineLevel="0" collapsed="false">
      <c r="A386" s="0" t="s">
        <v>612</v>
      </c>
      <c r="B386" s="0" t="n">
        <v>10</v>
      </c>
      <c r="C386" s="0" t="n">
        <v>1.6</v>
      </c>
      <c r="D386" s="0" t="n">
        <v>0.136</v>
      </c>
    </row>
    <row r="387" customFormat="false" ht="13.8" hidden="true" customHeight="false" outlineLevel="0" collapsed="false">
      <c r="A387" s="0" t="s">
        <v>612</v>
      </c>
      <c r="B387" s="0" t="n">
        <v>10</v>
      </c>
      <c r="C387" s="0" t="n">
        <v>1.65</v>
      </c>
      <c r="D387" s="0" t="n">
        <v>0.141</v>
      </c>
    </row>
    <row r="388" customFormat="false" ht="13.8" hidden="true" customHeight="false" outlineLevel="0" collapsed="false">
      <c r="A388" s="0" t="s">
        <v>612</v>
      </c>
      <c r="B388" s="0" t="n">
        <v>10</v>
      </c>
      <c r="C388" s="0" t="n">
        <v>1.7</v>
      </c>
      <c r="D388" s="0" t="n">
        <v>0.145</v>
      </c>
    </row>
    <row r="389" customFormat="false" ht="13.8" hidden="true" customHeight="false" outlineLevel="0" collapsed="false">
      <c r="A389" s="0" t="s">
        <v>612</v>
      </c>
      <c r="B389" s="0" t="n">
        <v>10</v>
      </c>
      <c r="C389" s="0" t="n">
        <v>1.75</v>
      </c>
      <c r="D389" s="0" t="n">
        <v>0.149</v>
      </c>
    </row>
    <row r="390" customFormat="false" ht="13.8" hidden="true" customHeight="false" outlineLevel="0" collapsed="false">
      <c r="A390" s="0" t="s">
        <v>612</v>
      </c>
      <c r="B390" s="0" t="n">
        <v>10</v>
      </c>
      <c r="C390" s="0" t="n">
        <v>1.8</v>
      </c>
      <c r="D390" s="0" t="n">
        <v>0.163</v>
      </c>
    </row>
    <row r="391" customFormat="false" ht="13.8" hidden="true" customHeight="false" outlineLevel="0" collapsed="false">
      <c r="A391" s="0" t="s">
        <v>612</v>
      </c>
      <c r="B391" s="0" t="n">
        <v>10</v>
      </c>
      <c r="C391" s="0" t="n">
        <v>1.85</v>
      </c>
      <c r="D391" s="0" t="n">
        <v>0.168</v>
      </c>
    </row>
    <row r="392" customFormat="false" ht="13.8" hidden="true" customHeight="false" outlineLevel="0" collapsed="false">
      <c r="A392" s="0" t="s">
        <v>612</v>
      </c>
      <c r="B392" s="0" t="n">
        <v>10</v>
      </c>
      <c r="C392" s="0" t="n">
        <v>1.9</v>
      </c>
      <c r="D392" s="0" t="n">
        <v>0.172</v>
      </c>
    </row>
    <row r="393" customFormat="false" ht="13.8" hidden="true" customHeight="false" outlineLevel="0" collapsed="false">
      <c r="A393" s="0" t="s">
        <v>612</v>
      </c>
      <c r="B393" s="0" t="n">
        <v>10</v>
      </c>
      <c r="C393" s="0" t="n">
        <v>1.95</v>
      </c>
      <c r="D393" s="0" t="n">
        <v>0.177</v>
      </c>
    </row>
    <row r="394" customFormat="false" ht="13.8" hidden="true" customHeight="false" outlineLevel="0" collapsed="false">
      <c r="A394" s="0" t="s">
        <v>612</v>
      </c>
      <c r="B394" s="0" t="n">
        <v>10</v>
      </c>
      <c r="C394" s="0" t="n">
        <v>2</v>
      </c>
      <c r="D394" s="0" t="n">
        <v>0.192</v>
      </c>
    </row>
    <row r="395" customFormat="false" ht="13.8" hidden="true" customHeight="false" outlineLevel="0" collapsed="false">
      <c r="A395" s="0" t="s">
        <v>612</v>
      </c>
      <c r="B395" s="0" t="n">
        <v>10</v>
      </c>
      <c r="C395" s="0" t="n">
        <v>2.05</v>
      </c>
      <c r="D395" s="0" t="n">
        <v>0.197</v>
      </c>
    </row>
    <row r="396" customFormat="false" ht="13.8" hidden="true" customHeight="false" outlineLevel="0" collapsed="false">
      <c r="A396" s="0" t="s">
        <v>612</v>
      </c>
      <c r="B396" s="0" t="n">
        <v>10</v>
      </c>
      <c r="C396" s="0" t="n">
        <v>2.1</v>
      </c>
      <c r="D396" s="0" t="n">
        <v>0.202</v>
      </c>
    </row>
    <row r="397" customFormat="false" ht="13.8" hidden="true" customHeight="false" outlineLevel="0" collapsed="false">
      <c r="A397" s="0" t="s">
        <v>612</v>
      </c>
      <c r="B397" s="0" t="n">
        <v>10</v>
      </c>
      <c r="C397" s="0" t="n">
        <v>2.15</v>
      </c>
      <c r="D397" s="0" t="n">
        <v>0.206712902</v>
      </c>
    </row>
    <row r="398" customFormat="false" ht="13.8" hidden="true" customHeight="false" outlineLevel="0" collapsed="false">
      <c r="A398" s="0" t="s">
        <v>612</v>
      </c>
      <c r="B398" s="0" t="n">
        <v>10</v>
      </c>
      <c r="C398" s="0" t="n">
        <v>2.2</v>
      </c>
      <c r="D398" s="0" t="n">
        <v>0.189921701</v>
      </c>
    </row>
    <row r="399" customFormat="false" ht="13.8" hidden="true" customHeight="false" outlineLevel="0" collapsed="false">
      <c r="A399" s="0" t="s">
        <v>612</v>
      </c>
      <c r="B399" s="0" t="n">
        <v>10</v>
      </c>
      <c r="C399" s="0" t="n">
        <v>2.25</v>
      </c>
      <c r="D399" s="0" t="n">
        <v>0.194238103</v>
      </c>
    </row>
    <row r="400" customFormat="false" ht="13.8" hidden="true" customHeight="false" outlineLevel="0" collapsed="false">
      <c r="A400" s="0" t="s">
        <v>612</v>
      </c>
      <c r="B400" s="0" t="n">
        <v>10</v>
      </c>
      <c r="C400" s="0" t="n">
        <v>2.3</v>
      </c>
      <c r="D400" s="0" t="n">
        <v>0.198554506</v>
      </c>
    </row>
    <row r="401" customFormat="false" ht="13.8" hidden="true" customHeight="false" outlineLevel="0" collapsed="false">
      <c r="A401" s="0" t="s">
        <v>612</v>
      </c>
      <c r="B401" s="0" t="n">
        <v>10</v>
      </c>
      <c r="C401" s="0" t="n">
        <v>2.35</v>
      </c>
      <c r="D401" s="0" t="n">
        <v>0.202870908</v>
      </c>
    </row>
    <row r="402" customFormat="false" ht="13.8" hidden="true" customHeight="false" outlineLevel="0" collapsed="false">
      <c r="A402" s="0" t="s">
        <v>612</v>
      </c>
      <c r="B402" s="0" t="n">
        <v>10</v>
      </c>
      <c r="C402" s="0" t="n">
        <v>2.4</v>
      </c>
      <c r="D402" s="0" t="n">
        <v>0.20718731</v>
      </c>
    </row>
    <row r="403" customFormat="false" ht="13.8" hidden="true" customHeight="false" outlineLevel="0" collapsed="false">
      <c r="A403" s="0" t="s">
        <v>612</v>
      </c>
      <c r="B403" s="0" t="n">
        <v>10</v>
      </c>
      <c r="C403" s="0" t="n">
        <v>2.45</v>
      </c>
      <c r="D403" s="0" t="n">
        <v>0.211503713</v>
      </c>
    </row>
    <row r="404" customFormat="false" ht="13.8" hidden="true" customHeight="false" outlineLevel="0" collapsed="false">
      <c r="A404" s="0" t="s">
        <v>612</v>
      </c>
      <c r="B404" s="0" t="n">
        <v>10</v>
      </c>
      <c r="C404" s="0" t="n">
        <v>2.5</v>
      </c>
      <c r="D404" s="0" t="n">
        <v>0.215820115</v>
      </c>
    </row>
    <row r="405" customFormat="false" ht="13.8" hidden="true" customHeight="false" outlineLevel="0" collapsed="false">
      <c r="A405" s="0" t="s">
        <v>612</v>
      </c>
      <c r="B405" s="0" t="n">
        <v>10</v>
      </c>
      <c r="C405" s="0" t="n">
        <v>2.55</v>
      </c>
      <c r="D405" s="0" t="n">
        <v>0.220136517</v>
      </c>
    </row>
    <row r="406" customFormat="false" ht="13.8" hidden="true" customHeight="false" outlineLevel="0" collapsed="false">
      <c r="A406" s="0" t="s">
        <v>612</v>
      </c>
      <c r="B406" s="0" t="n">
        <v>10</v>
      </c>
      <c r="C406" s="0" t="n">
        <v>2.6</v>
      </c>
      <c r="D406" s="0" t="n">
        <v>0.224452919</v>
      </c>
    </row>
    <row r="407" customFormat="false" ht="13.8" hidden="true" customHeight="false" outlineLevel="0" collapsed="false">
      <c r="A407" s="0" t="s">
        <v>612</v>
      </c>
      <c r="B407" s="0" t="n">
        <v>17</v>
      </c>
      <c r="C407" s="0" t="n">
        <v>1.3</v>
      </c>
      <c r="D407" s="0" t="n">
        <v>0</v>
      </c>
    </row>
    <row r="408" customFormat="false" ht="13.8" hidden="true" customHeight="false" outlineLevel="0" collapsed="false">
      <c r="A408" s="0" t="s">
        <v>612</v>
      </c>
      <c r="B408" s="0" t="n">
        <v>17</v>
      </c>
      <c r="C408" s="0" t="n">
        <v>1.35</v>
      </c>
      <c r="D408" s="0" t="n">
        <v>0</v>
      </c>
    </row>
    <row r="409" customFormat="false" ht="13.8" hidden="true" customHeight="false" outlineLevel="0" collapsed="false">
      <c r="A409" s="0" t="s">
        <v>612</v>
      </c>
      <c r="B409" s="0" t="n">
        <v>17</v>
      </c>
      <c r="C409" s="0" t="n">
        <v>1.4</v>
      </c>
      <c r="D409" s="0" t="n">
        <v>0</v>
      </c>
    </row>
    <row r="410" customFormat="false" ht="13.8" hidden="true" customHeight="false" outlineLevel="0" collapsed="false">
      <c r="A410" s="0" t="s">
        <v>612</v>
      </c>
      <c r="B410" s="0" t="n">
        <v>17</v>
      </c>
      <c r="C410" s="0" t="n">
        <v>1.45</v>
      </c>
      <c r="D410" s="0" t="n">
        <v>0</v>
      </c>
    </row>
    <row r="411" customFormat="false" ht="13.8" hidden="true" customHeight="false" outlineLevel="0" collapsed="false">
      <c r="A411" s="0" t="s">
        <v>612</v>
      </c>
      <c r="B411" s="0" t="n">
        <v>17</v>
      </c>
      <c r="C411" s="0" t="n">
        <v>1.5</v>
      </c>
      <c r="D411" s="0" t="n">
        <v>0</v>
      </c>
    </row>
    <row r="412" customFormat="false" ht="13.8" hidden="true" customHeight="false" outlineLevel="0" collapsed="false">
      <c r="A412" s="0" t="s">
        <v>612</v>
      </c>
      <c r="B412" s="0" t="n">
        <v>17</v>
      </c>
      <c r="C412" s="0" t="n">
        <v>1.55</v>
      </c>
      <c r="D412" s="0" t="n">
        <v>0</v>
      </c>
    </row>
    <row r="413" customFormat="false" ht="13.8" hidden="true" customHeight="false" outlineLevel="0" collapsed="false">
      <c r="A413" s="0" t="s">
        <v>612</v>
      </c>
      <c r="B413" s="0" t="n">
        <v>17</v>
      </c>
      <c r="C413" s="0" t="n">
        <v>1.6</v>
      </c>
      <c r="D413" s="0" t="n">
        <v>0.136</v>
      </c>
    </row>
    <row r="414" customFormat="false" ht="13.8" hidden="true" customHeight="false" outlineLevel="0" collapsed="false">
      <c r="A414" s="0" t="s">
        <v>612</v>
      </c>
      <c r="B414" s="0" t="n">
        <v>17</v>
      </c>
      <c r="C414" s="0" t="n">
        <v>1.65</v>
      </c>
      <c r="D414" s="0" t="n">
        <v>0.141</v>
      </c>
    </row>
    <row r="415" customFormat="false" ht="13.8" hidden="true" customHeight="false" outlineLevel="0" collapsed="false">
      <c r="A415" s="0" t="s">
        <v>612</v>
      </c>
      <c r="B415" s="0" t="n">
        <v>17</v>
      </c>
      <c r="C415" s="0" t="n">
        <v>1.7</v>
      </c>
      <c r="D415" s="0" t="n">
        <v>0.145</v>
      </c>
    </row>
    <row r="416" customFormat="false" ht="13.8" hidden="true" customHeight="false" outlineLevel="0" collapsed="false">
      <c r="A416" s="0" t="s">
        <v>612</v>
      </c>
      <c r="B416" s="0" t="n">
        <v>17</v>
      </c>
      <c r="C416" s="0" t="n">
        <v>1.75</v>
      </c>
      <c r="D416" s="0" t="n">
        <v>0.149</v>
      </c>
    </row>
    <row r="417" customFormat="false" ht="13.8" hidden="true" customHeight="false" outlineLevel="0" collapsed="false">
      <c r="A417" s="0" t="s">
        <v>612</v>
      </c>
      <c r="B417" s="0" t="n">
        <v>17</v>
      </c>
      <c r="C417" s="0" t="n">
        <v>1.8</v>
      </c>
      <c r="D417" s="0" t="n">
        <v>0.163</v>
      </c>
    </row>
    <row r="418" customFormat="false" ht="13.8" hidden="true" customHeight="false" outlineLevel="0" collapsed="false">
      <c r="A418" s="0" t="s">
        <v>612</v>
      </c>
      <c r="B418" s="0" t="n">
        <v>17</v>
      </c>
      <c r="C418" s="0" t="n">
        <v>1.85</v>
      </c>
      <c r="D418" s="0" t="n">
        <v>0.168</v>
      </c>
    </row>
    <row r="419" customFormat="false" ht="13.8" hidden="true" customHeight="false" outlineLevel="0" collapsed="false">
      <c r="A419" s="0" t="s">
        <v>612</v>
      </c>
      <c r="B419" s="0" t="n">
        <v>17</v>
      </c>
      <c r="C419" s="0" t="n">
        <v>1.9</v>
      </c>
      <c r="D419" s="0" t="n">
        <v>0.172</v>
      </c>
    </row>
    <row r="420" customFormat="false" ht="13.8" hidden="true" customHeight="false" outlineLevel="0" collapsed="false">
      <c r="A420" s="0" t="s">
        <v>612</v>
      </c>
      <c r="B420" s="0" t="n">
        <v>17</v>
      </c>
      <c r="C420" s="0" t="n">
        <v>1.95</v>
      </c>
      <c r="D420" s="0" t="n">
        <v>0.177</v>
      </c>
    </row>
    <row r="421" customFormat="false" ht="13.8" hidden="true" customHeight="false" outlineLevel="0" collapsed="false">
      <c r="A421" s="0" t="s">
        <v>612</v>
      </c>
      <c r="B421" s="0" t="n">
        <v>17</v>
      </c>
      <c r="C421" s="0" t="n">
        <v>2</v>
      </c>
      <c r="D421" s="0" t="n">
        <v>0.192</v>
      </c>
    </row>
    <row r="422" customFormat="false" ht="13.8" hidden="true" customHeight="false" outlineLevel="0" collapsed="false">
      <c r="A422" s="0" t="s">
        <v>612</v>
      </c>
      <c r="B422" s="0" t="n">
        <v>17</v>
      </c>
      <c r="C422" s="0" t="n">
        <v>2.05</v>
      </c>
      <c r="D422" s="0" t="n">
        <v>0.197</v>
      </c>
    </row>
    <row r="423" customFormat="false" ht="13.8" hidden="true" customHeight="false" outlineLevel="0" collapsed="false">
      <c r="A423" s="0" t="s">
        <v>612</v>
      </c>
      <c r="B423" s="0" t="n">
        <v>17</v>
      </c>
      <c r="C423" s="0" t="n">
        <v>2.1</v>
      </c>
      <c r="D423" s="0" t="n">
        <v>0.202</v>
      </c>
    </row>
    <row r="424" customFormat="false" ht="13.8" hidden="true" customHeight="false" outlineLevel="0" collapsed="false">
      <c r="A424" s="0" t="s">
        <v>612</v>
      </c>
      <c r="B424" s="0" t="n">
        <v>17</v>
      </c>
      <c r="C424" s="0" t="n">
        <v>2.15</v>
      </c>
      <c r="D424" s="0" t="n">
        <v>0.206712902</v>
      </c>
    </row>
    <row r="425" customFormat="false" ht="13.8" hidden="true" customHeight="false" outlineLevel="0" collapsed="false">
      <c r="A425" s="0" t="s">
        <v>612</v>
      </c>
      <c r="B425" s="0" t="n">
        <v>17</v>
      </c>
      <c r="C425" s="0" t="n">
        <v>2.2</v>
      </c>
      <c r="D425" s="0" t="n">
        <v>0.189921701</v>
      </c>
    </row>
    <row r="426" customFormat="false" ht="13.8" hidden="true" customHeight="false" outlineLevel="0" collapsed="false">
      <c r="A426" s="0" t="s">
        <v>612</v>
      </c>
      <c r="B426" s="0" t="n">
        <v>17</v>
      </c>
      <c r="C426" s="0" t="n">
        <v>2.25</v>
      </c>
      <c r="D426" s="0" t="n">
        <v>0.194238103</v>
      </c>
    </row>
    <row r="427" customFormat="false" ht="13.8" hidden="true" customHeight="false" outlineLevel="0" collapsed="false">
      <c r="A427" s="0" t="s">
        <v>612</v>
      </c>
      <c r="B427" s="0" t="n">
        <v>17</v>
      </c>
      <c r="C427" s="0" t="n">
        <v>2.3</v>
      </c>
      <c r="D427" s="0" t="n">
        <v>0.198554506</v>
      </c>
    </row>
    <row r="428" customFormat="false" ht="13.8" hidden="true" customHeight="false" outlineLevel="0" collapsed="false">
      <c r="A428" s="0" t="s">
        <v>612</v>
      </c>
      <c r="B428" s="0" t="n">
        <v>17</v>
      </c>
      <c r="C428" s="0" t="n">
        <v>2.35</v>
      </c>
      <c r="D428" s="0" t="n">
        <v>0.202870908</v>
      </c>
    </row>
    <row r="429" customFormat="false" ht="13.8" hidden="true" customHeight="false" outlineLevel="0" collapsed="false">
      <c r="A429" s="0" t="s">
        <v>612</v>
      </c>
      <c r="B429" s="0" t="n">
        <v>17</v>
      </c>
      <c r="C429" s="0" t="n">
        <v>2.4</v>
      </c>
      <c r="D429" s="0" t="n">
        <v>0.20718731</v>
      </c>
    </row>
    <row r="430" customFormat="false" ht="13.8" hidden="true" customHeight="false" outlineLevel="0" collapsed="false">
      <c r="A430" s="0" t="s">
        <v>612</v>
      </c>
      <c r="B430" s="0" t="n">
        <v>17</v>
      </c>
      <c r="C430" s="0" t="n">
        <v>2.45</v>
      </c>
      <c r="D430" s="0" t="n">
        <v>0.211503713</v>
      </c>
    </row>
    <row r="431" customFormat="false" ht="13.8" hidden="true" customHeight="false" outlineLevel="0" collapsed="false">
      <c r="A431" s="0" t="s">
        <v>612</v>
      </c>
      <c r="B431" s="0" t="n">
        <v>17</v>
      </c>
      <c r="C431" s="0" t="n">
        <v>2.5</v>
      </c>
      <c r="D431" s="0" t="n">
        <v>0.215820115</v>
      </c>
    </row>
    <row r="432" customFormat="false" ht="13.8" hidden="true" customHeight="false" outlineLevel="0" collapsed="false">
      <c r="A432" s="0" t="s">
        <v>612</v>
      </c>
      <c r="B432" s="0" t="n">
        <v>17</v>
      </c>
      <c r="C432" s="0" t="n">
        <v>2.55</v>
      </c>
      <c r="D432" s="0" t="n">
        <v>0.220136517</v>
      </c>
    </row>
    <row r="433" customFormat="false" ht="13.8" hidden="true" customHeight="false" outlineLevel="0" collapsed="false">
      <c r="A433" s="0" t="s">
        <v>612</v>
      </c>
      <c r="B433" s="0" t="n">
        <v>17</v>
      </c>
      <c r="C433" s="0" t="n">
        <v>2.6</v>
      </c>
      <c r="D433" s="0" t="n">
        <v>0.224452919</v>
      </c>
    </row>
    <row r="434" customFormat="false" ht="13.8" hidden="true" customHeight="false" outlineLevel="0" collapsed="false">
      <c r="A434" s="0" t="s">
        <v>616</v>
      </c>
      <c r="B434" s="0" t="n">
        <v>10</v>
      </c>
      <c r="C434" s="0" t="n">
        <v>1.3</v>
      </c>
      <c r="D434" s="0" t="n">
        <v>0</v>
      </c>
    </row>
    <row r="435" customFormat="false" ht="13.8" hidden="true" customHeight="false" outlineLevel="0" collapsed="false">
      <c r="A435" s="0" t="s">
        <v>616</v>
      </c>
      <c r="B435" s="0" t="n">
        <v>10</v>
      </c>
      <c r="C435" s="0" t="n">
        <v>1.35</v>
      </c>
      <c r="D435" s="0" t="n">
        <v>0</v>
      </c>
    </row>
    <row r="436" customFormat="false" ht="13.8" hidden="true" customHeight="false" outlineLevel="0" collapsed="false">
      <c r="A436" s="0" t="s">
        <v>616</v>
      </c>
      <c r="B436" s="0" t="n">
        <v>10</v>
      </c>
      <c r="C436" s="0" t="n">
        <v>1.4</v>
      </c>
      <c r="D436" s="0" t="n">
        <v>0</v>
      </c>
    </row>
    <row r="437" customFormat="false" ht="13.8" hidden="true" customHeight="false" outlineLevel="0" collapsed="false">
      <c r="A437" s="0" t="s">
        <v>616</v>
      </c>
      <c r="B437" s="0" t="n">
        <v>10</v>
      </c>
      <c r="C437" s="0" t="n">
        <v>1.45</v>
      </c>
      <c r="D437" s="0" t="n">
        <v>0</v>
      </c>
    </row>
    <row r="438" customFormat="false" ht="13.8" hidden="true" customHeight="false" outlineLevel="0" collapsed="false">
      <c r="A438" s="0" t="s">
        <v>616</v>
      </c>
      <c r="B438" s="0" t="n">
        <v>10</v>
      </c>
      <c r="C438" s="0" t="n">
        <v>1.5</v>
      </c>
      <c r="D438" s="0" t="n">
        <v>0</v>
      </c>
    </row>
    <row r="439" customFormat="false" ht="13.8" hidden="true" customHeight="false" outlineLevel="0" collapsed="false">
      <c r="A439" s="0" t="s">
        <v>616</v>
      </c>
      <c r="B439" s="0" t="n">
        <v>10</v>
      </c>
      <c r="C439" s="0" t="n">
        <v>1.55</v>
      </c>
      <c r="D439" s="0" t="n">
        <v>0</v>
      </c>
    </row>
    <row r="440" customFormat="false" ht="13.8" hidden="true" customHeight="false" outlineLevel="0" collapsed="false">
      <c r="A440" s="0" t="s">
        <v>616</v>
      </c>
      <c r="B440" s="0" t="n">
        <v>10</v>
      </c>
      <c r="C440" s="0" t="n">
        <v>1.6</v>
      </c>
      <c r="D440" s="0" t="n">
        <v>0.136</v>
      </c>
    </row>
    <row r="441" customFormat="false" ht="13.8" hidden="true" customHeight="false" outlineLevel="0" collapsed="false">
      <c r="A441" s="0" t="s">
        <v>616</v>
      </c>
      <c r="B441" s="0" t="n">
        <v>10</v>
      </c>
      <c r="C441" s="0" t="n">
        <v>1.65</v>
      </c>
      <c r="D441" s="0" t="n">
        <v>0.141</v>
      </c>
    </row>
    <row r="442" customFormat="false" ht="13.8" hidden="true" customHeight="false" outlineLevel="0" collapsed="false">
      <c r="A442" s="0" t="s">
        <v>616</v>
      </c>
      <c r="B442" s="0" t="n">
        <v>10</v>
      </c>
      <c r="C442" s="0" t="n">
        <v>1.7</v>
      </c>
      <c r="D442" s="0" t="n">
        <v>0.145</v>
      </c>
    </row>
    <row r="443" customFormat="false" ht="13.8" hidden="true" customHeight="false" outlineLevel="0" collapsed="false">
      <c r="A443" s="0" t="s">
        <v>616</v>
      </c>
      <c r="B443" s="0" t="n">
        <v>10</v>
      </c>
      <c r="C443" s="0" t="n">
        <v>1.75</v>
      </c>
      <c r="D443" s="0" t="n">
        <v>0.149</v>
      </c>
    </row>
    <row r="444" customFormat="false" ht="13.8" hidden="true" customHeight="false" outlineLevel="0" collapsed="false">
      <c r="A444" s="0" t="s">
        <v>616</v>
      </c>
      <c r="B444" s="0" t="n">
        <v>10</v>
      </c>
      <c r="C444" s="0" t="n">
        <v>1.8</v>
      </c>
      <c r="D444" s="0" t="n">
        <v>0.163</v>
      </c>
    </row>
    <row r="445" customFormat="false" ht="13.8" hidden="true" customHeight="false" outlineLevel="0" collapsed="false">
      <c r="A445" s="0" t="s">
        <v>616</v>
      </c>
      <c r="B445" s="0" t="n">
        <v>10</v>
      </c>
      <c r="C445" s="0" t="n">
        <v>1.85</v>
      </c>
      <c r="D445" s="0" t="n">
        <v>0.168</v>
      </c>
    </row>
    <row r="446" customFormat="false" ht="13.8" hidden="true" customHeight="false" outlineLevel="0" collapsed="false">
      <c r="A446" s="0" t="s">
        <v>616</v>
      </c>
      <c r="B446" s="0" t="n">
        <v>10</v>
      </c>
      <c r="C446" s="0" t="n">
        <v>1.9</v>
      </c>
      <c r="D446" s="0" t="n">
        <v>0.172</v>
      </c>
    </row>
    <row r="447" customFormat="false" ht="13.8" hidden="true" customHeight="false" outlineLevel="0" collapsed="false">
      <c r="A447" s="0" t="s">
        <v>616</v>
      </c>
      <c r="B447" s="0" t="n">
        <v>10</v>
      </c>
      <c r="C447" s="0" t="n">
        <v>1.95</v>
      </c>
      <c r="D447" s="0" t="n">
        <v>0.177</v>
      </c>
    </row>
    <row r="448" customFormat="false" ht="13.8" hidden="true" customHeight="false" outlineLevel="0" collapsed="false">
      <c r="A448" s="0" t="s">
        <v>616</v>
      </c>
      <c r="B448" s="0" t="n">
        <v>10</v>
      </c>
      <c r="C448" s="0" t="n">
        <v>2</v>
      </c>
      <c r="D448" s="0" t="n">
        <v>0.192</v>
      </c>
    </row>
    <row r="449" customFormat="false" ht="13.8" hidden="true" customHeight="false" outlineLevel="0" collapsed="false">
      <c r="A449" s="0" t="s">
        <v>616</v>
      </c>
      <c r="B449" s="0" t="n">
        <v>10</v>
      </c>
      <c r="C449" s="0" t="n">
        <v>2.05</v>
      </c>
      <c r="D449" s="0" t="n">
        <v>0.197</v>
      </c>
    </row>
    <row r="450" customFormat="false" ht="13.8" hidden="true" customHeight="false" outlineLevel="0" collapsed="false">
      <c r="A450" s="0" t="s">
        <v>616</v>
      </c>
      <c r="B450" s="0" t="n">
        <v>10</v>
      </c>
      <c r="C450" s="0" t="n">
        <v>2.1</v>
      </c>
      <c r="D450" s="0" t="n">
        <v>0.202</v>
      </c>
    </row>
    <row r="451" customFormat="false" ht="13.8" hidden="true" customHeight="false" outlineLevel="0" collapsed="false">
      <c r="A451" s="0" t="s">
        <v>616</v>
      </c>
      <c r="B451" s="0" t="n">
        <v>10</v>
      </c>
      <c r="C451" s="0" t="n">
        <v>2.15</v>
      </c>
      <c r="D451" s="0" t="n">
        <v>0.206712902</v>
      </c>
    </row>
    <row r="452" customFormat="false" ht="13.8" hidden="true" customHeight="false" outlineLevel="0" collapsed="false">
      <c r="A452" s="0" t="s">
        <v>616</v>
      </c>
      <c r="B452" s="0" t="n">
        <v>10</v>
      </c>
      <c r="C452" s="0" t="n">
        <v>2.2</v>
      </c>
      <c r="D452" s="0" t="n">
        <v>0.189921701</v>
      </c>
    </row>
    <row r="453" customFormat="false" ht="13.8" hidden="true" customHeight="false" outlineLevel="0" collapsed="false">
      <c r="A453" s="0" t="s">
        <v>616</v>
      </c>
      <c r="B453" s="0" t="n">
        <v>10</v>
      </c>
      <c r="C453" s="0" t="n">
        <v>2.25</v>
      </c>
      <c r="D453" s="0" t="n">
        <v>0.194238103</v>
      </c>
    </row>
    <row r="454" customFormat="false" ht="13.8" hidden="true" customHeight="false" outlineLevel="0" collapsed="false">
      <c r="A454" s="0" t="s">
        <v>616</v>
      </c>
      <c r="B454" s="0" t="n">
        <v>10</v>
      </c>
      <c r="C454" s="0" t="n">
        <v>2.3</v>
      </c>
      <c r="D454" s="0" t="n">
        <v>0.198554506</v>
      </c>
    </row>
    <row r="455" customFormat="false" ht="13.8" hidden="true" customHeight="false" outlineLevel="0" collapsed="false">
      <c r="A455" s="0" t="s">
        <v>616</v>
      </c>
      <c r="B455" s="0" t="n">
        <v>10</v>
      </c>
      <c r="C455" s="0" t="n">
        <v>2.35</v>
      </c>
      <c r="D455" s="0" t="n">
        <v>0.202870908</v>
      </c>
    </row>
    <row r="456" customFormat="false" ht="13.8" hidden="true" customHeight="false" outlineLevel="0" collapsed="false">
      <c r="A456" s="0" t="s">
        <v>616</v>
      </c>
      <c r="B456" s="0" t="n">
        <v>10</v>
      </c>
      <c r="C456" s="0" t="n">
        <v>2.4</v>
      </c>
      <c r="D456" s="0" t="n">
        <v>0.20718731</v>
      </c>
    </row>
    <row r="457" customFormat="false" ht="13.8" hidden="true" customHeight="false" outlineLevel="0" collapsed="false">
      <c r="A457" s="0" t="s">
        <v>616</v>
      </c>
      <c r="B457" s="0" t="n">
        <v>10</v>
      </c>
      <c r="C457" s="0" t="n">
        <v>2.45</v>
      </c>
      <c r="D457" s="0" t="n">
        <v>0.211503713</v>
      </c>
    </row>
    <row r="458" customFormat="false" ht="13.8" hidden="true" customHeight="false" outlineLevel="0" collapsed="false">
      <c r="A458" s="0" t="s">
        <v>616</v>
      </c>
      <c r="B458" s="0" t="n">
        <v>10</v>
      </c>
      <c r="C458" s="0" t="n">
        <v>2.5</v>
      </c>
      <c r="D458" s="0" t="n">
        <v>0.215820115</v>
      </c>
    </row>
    <row r="459" customFormat="false" ht="13.8" hidden="true" customHeight="false" outlineLevel="0" collapsed="false">
      <c r="A459" s="0" t="s">
        <v>616</v>
      </c>
      <c r="B459" s="0" t="n">
        <v>10</v>
      </c>
      <c r="C459" s="0" t="n">
        <v>2.55</v>
      </c>
      <c r="D459" s="0" t="n">
        <v>0.220136517</v>
      </c>
    </row>
    <row r="460" customFormat="false" ht="13.8" hidden="true" customHeight="false" outlineLevel="0" collapsed="false">
      <c r="A460" s="0" t="s">
        <v>616</v>
      </c>
      <c r="B460" s="0" t="n">
        <v>10</v>
      </c>
      <c r="C460" s="0" t="n">
        <v>2.6</v>
      </c>
      <c r="D460" s="0" t="n">
        <v>0.224452919</v>
      </c>
    </row>
    <row r="461" customFormat="false" ht="13.8" hidden="true" customHeight="false" outlineLevel="0" collapsed="false">
      <c r="A461" s="0" t="s">
        <v>616</v>
      </c>
      <c r="B461" s="0" t="n">
        <v>17</v>
      </c>
      <c r="C461" s="0" t="n">
        <v>1.3</v>
      </c>
      <c r="D461" s="0" t="n">
        <v>0</v>
      </c>
    </row>
    <row r="462" customFormat="false" ht="13.8" hidden="true" customHeight="false" outlineLevel="0" collapsed="false">
      <c r="A462" s="0" t="s">
        <v>616</v>
      </c>
      <c r="B462" s="0" t="n">
        <v>17</v>
      </c>
      <c r="C462" s="0" t="n">
        <v>1.35</v>
      </c>
      <c r="D462" s="0" t="n">
        <v>0</v>
      </c>
    </row>
    <row r="463" customFormat="false" ht="13.8" hidden="true" customHeight="false" outlineLevel="0" collapsed="false">
      <c r="A463" s="0" t="s">
        <v>616</v>
      </c>
      <c r="B463" s="0" t="n">
        <v>17</v>
      </c>
      <c r="C463" s="0" t="n">
        <v>1.4</v>
      </c>
      <c r="D463" s="0" t="n">
        <v>0</v>
      </c>
    </row>
    <row r="464" customFormat="false" ht="13.8" hidden="true" customHeight="false" outlineLevel="0" collapsed="false">
      <c r="A464" s="0" t="s">
        <v>616</v>
      </c>
      <c r="B464" s="0" t="n">
        <v>17</v>
      </c>
      <c r="C464" s="0" t="n">
        <v>1.45</v>
      </c>
      <c r="D464" s="0" t="n">
        <v>0</v>
      </c>
    </row>
    <row r="465" customFormat="false" ht="13.8" hidden="true" customHeight="false" outlineLevel="0" collapsed="false">
      <c r="A465" s="0" t="s">
        <v>616</v>
      </c>
      <c r="B465" s="0" t="n">
        <v>17</v>
      </c>
      <c r="C465" s="0" t="n">
        <v>1.5</v>
      </c>
      <c r="D465" s="0" t="n">
        <v>0</v>
      </c>
    </row>
    <row r="466" customFormat="false" ht="13.8" hidden="true" customHeight="false" outlineLevel="0" collapsed="false">
      <c r="A466" s="0" t="s">
        <v>616</v>
      </c>
      <c r="B466" s="0" t="n">
        <v>17</v>
      </c>
      <c r="C466" s="0" t="n">
        <v>1.55</v>
      </c>
      <c r="D466" s="0" t="n">
        <v>0</v>
      </c>
    </row>
    <row r="467" customFormat="false" ht="13.8" hidden="true" customHeight="false" outlineLevel="0" collapsed="false">
      <c r="A467" s="0" t="s">
        <v>616</v>
      </c>
      <c r="B467" s="0" t="n">
        <v>17</v>
      </c>
      <c r="C467" s="0" t="n">
        <v>1.6</v>
      </c>
      <c r="D467" s="0" t="n">
        <v>0.136</v>
      </c>
    </row>
    <row r="468" customFormat="false" ht="13.8" hidden="true" customHeight="false" outlineLevel="0" collapsed="false">
      <c r="A468" s="0" t="s">
        <v>616</v>
      </c>
      <c r="B468" s="0" t="n">
        <v>17</v>
      </c>
      <c r="C468" s="0" t="n">
        <v>1.65</v>
      </c>
      <c r="D468" s="0" t="n">
        <v>0.141</v>
      </c>
    </row>
    <row r="469" customFormat="false" ht="13.8" hidden="true" customHeight="false" outlineLevel="0" collapsed="false">
      <c r="A469" s="0" t="s">
        <v>616</v>
      </c>
      <c r="B469" s="0" t="n">
        <v>17</v>
      </c>
      <c r="C469" s="0" t="n">
        <v>1.7</v>
      </c>
      <c r="D469" s="0" t="n">
        <v>0.145</v>
      </c>
    </row>
    <row r="470" customFormat="false" ht="13.8" hidden="true" customHeight="false" outlineLevel="0" collapsed="false">
      <c r="A470" s="0" t="s">
        <v>616</v>
      </c>
      <c r="B470" s="0" t="n">
        <v>17</v>
      </c>
      <c r="C470" s="0" t="n">
        <v>1.75</v>
      </c>
      <c r="D470" s="0" t="n">
        <v>0.149</v>
      </c>
    </row>
    <row r="471" customFormat="false" ht="13.8" hidden="true" customHeight="false" outlineLevel="0" collapsed="false">
      <c r="A471" s="0" t="s">
        <v>616</v>
      </c>
      <c r="B471" s="0" t="n">
        <v>17</v>
      </c>
      <c r="C471" s="0" t="n">
        <v>1.8</v>
      </c>
      <c r="D471" s="0" t="n">
        <v>0.163</v>
      </c>
    </row>
    <row r="472" customFormat="false" ht="13.8" hidden="true" customHeight="false" outlineLevel="0" collapsed="false">
      <c r="A472" s="0" t="s">
        <v>616</v>
      </c>
      <c r="B472" s="0" t="n">
        <v>17</v>
      </c>
      <c r="C472" s="0" t="n">
        <v>1.85</v>
      </c>
      <c r="D472" s="0" t="n">
        <v>0.168</v>
      </c>
    </row>
    <row r="473" customFormat="false" ht="13.8" hidden="true" customHeight="false" outlineLevel="0" collapsed="false">
      <c r="A473" s="0" t="s">
        <v>616</v>
      </c>
      <c r="B473" s="0" t="n">
        <v>17</v>
      </c>
      <c r="C473" s="0" t="n">
        <v>1.9</v>
      </c>
      <c r="D473" s="0" t="n">
        <v>0.172</v>
      </c>
    </row>
    <row r="474" customFormat="false" ht="13.8" hidden="true" customHeight="false" outlineLevel="0" collapsed="false">
      <c r="A474" s="0" t="s">
        <v>616</v>
      </c>
      <c r="B474" s="0" t="n">
        <v>17</v>
      </c>
      <c r="C474" s="0" t="n">
        <v>1.95</v>
      </c>
      <c r="D474" s="0" t="n">
        <v>0.177</v>
      </c>
    </row>
    <row r="475" customFormat="false" ht="13.8" hidden="true" customHeight="false" outlineLevel="0" collapsed="false">
      <c r="A475" s="0" t="s">
        <v>616</v>
      </c>
      <c r="B475" s="0" t="n">
        <v>17</v>
      </c>
      <c r="C475" s="0" t="n">
        <v>2</v>
      </c>
      <c r="D475" s="0" t="n">
        <v>0.192</v>
      </c>
    </row>
    <row r="476" customFormat="false" ht="13.8" hidden="true" customHeight="false" outlineLevel="0" collapsed="false">
      <c r="A476" s="0" t="s">
        <v>616</v>
      </c>
      <c r="B476" s="0" t="n">
        <v>17</v>
      </c>
      <c r="C476" s="0" t="n">
        <v>2.05</v>
      </c>
      <c r="D476" s="0" t="n">
        <v>0.197</v>
      </c>
    </row>
    <row r="477" customFormat="false" ht="13.8" hidden="true" customHeight="false" outlineLevel="0" collapsed="false">
      <c r="A477" s="0" t="s">
        <v>616</v>
      </c>
      <c r="B477" s="0" t="n">
        <v>17</v>
      </c>
      <c r="C477" s="0" t="n">
        <v>2.1</v>
      </c>
      <c r="D477" s="0" t="n">
        <v>0.202</v>
      </c>
    </row>
    <row r="478" customFormat="false" ht="13.8" hidden="true" customHeight="false" outlineLevel="0" collapsed="false">
      <c r="A478" s="0" t="s">
        <v>616</v>
      </c>
      <c r="B478" s="0" t="n">
        <v>17</v>
      </c>
      <c r="C478" s="0" t="n">
        <v>2.15</v>
      </c>
      <c r="D478" s="0" t="n">
        <v>0.206712902</v>
      </c>
    </row>
    <row r="479" customFormat="false" ht="13.8" hidden="true" customHeight="false" outlineLevel="0" collapsed="false">
      <c r="A479" s="0" t="s">
        <v>616</v>
      </c>
      <c r="B479" s="0" t="n">
        <v>17</v>
      </c>
      <c r="C479" s="0" t="n">
        <v>2.2</v>
      </c>
      <c r="D479" s="0" t="n">
        <v>0.189921701</v>
      </c>
    </row>
    <row r="480" customFormat="false" ht="13.8" hidden="true" customHeight="false" outlineLevel="0" collapsed="false">
      <c r="A480" s="0" t="s">
        <v>616</v>
      </c>
      <c r="B480" s="0" t="n">
        <v>17</v>
      </c>
      <c r="C480" s="0" t="n">
        <v>2.25</v>
      </c>
      <c r="D480" s="0" t="n">
        <v>0.194238103</v>
      </c>
    </row>
    <row r="481" customFormat="false" ht="13.8" hidden="true" customHeight="false" outlineLevel="0" collapsed="false">
      <c r="A481" s="0" t="s">
        <v>616</v>
      </c>
      <c r="B481" s="0" t="n">
        <v>17</v>
      </c>
      <c r="C481" s="0" t="n">
        <v>2.3</v>
      </c>
      <c r="D481" s="0" t="n">
        <v>0.198554506</v>
      </c>
    </row>
    <row r="482" customFormat="false" ht="13.8" hidden="true" customHeight="false" outlineLevel="0" collapsed="false">
      <c r="A482" s="0" t="s">
        <v>616</v>
      </c>
      <c r="B482" s="0" t="n">
        <v>17</v>
      </c>
      <c r="C482" s="0" t="n">
        <v>2.35</v>
      </c>
      <c r="D482" s="0" t="n">
        <v>0.202870908</v>
      </c>
    </row>
    <row r="483" customFormat="false" ht="13.8" hidden="true" customHeight="false" outlineLevel="0" collapsed="false">
      <c r="A483" s="0" t="s">
        <v>616</v>
      </c>
      <c r="B483" s="0" t="n">
        <v>17</v>
      </c>
      <c r="C483" s="0" t="n">
        <v>2.4</v>
      </c>
      <c r="D483" s="0" t="n">
        <v>0.20718731</v>
      </c>
    </row>
    <row r="484" customFormat="false" ht="13.8" hidden="true" customHeight="false" outlineLevel="0" collapsed="false">
      <c r="A484" s="0" t="s">
        <v>616</v>
      </c>
      <c r="B484" s="0" t="n">
        <v>17</v>
      </c>
      <c r="C484" s="0" t="n">
        <v>2.45</v>
      </c>
      <c r="D484" s="0" t="n">
        <v>0.211503713</v>
      </c>
    </row>
    <row r="485" customFormat="false" ht="13.8" hidden="true" customHeight="false" outlineLevel="0" collapsed="false">
      <c r="A485" s="0" t="s">
        <v>616</v>
      </c>
      <c r="B485" s="0" t="n">
        <v>17</v>
      </c>
      <c r="C485" s="0" t="n">
        <v>2.5</v>
      </c>
      <c r="D485" s="0" t="n">
        <v>0.215820115</v>
      </c>
    </row>
    <row r="486" customFormat="false" ht="13.8" hidden="true" customHeight="false" outlineLevel="0" collapsed="false">
      <c r="A486" s="0" t="s">
        <v>616</v>
      </c>
      <c r="B486" s="0" t="n">
        <v>17</v>
      </c>
      <c r="C486" s="0" t="n">
        <v>2.55</v>
      </c>
      <c r="D486" s="0" t="n">
        <v>0.220136517</v>
      </c>
    </row>
    <row r="487" customFormat="false" ht="13.8" hidden="true" customHeight="false" outlineLevel="0" collapsed="false">
      <c r="A487" s="0" t="s">
        <v>616</v>
      </c>
      <c r="B487" s="0" t="n">
        <v>17</v>
      </c>
      <c r="C487" s="0" t="n">
        <v>2.6</v>
      </c>
      <c r="D487" s="0" t="n">
        <v>0.224452919</v>
      </c>
    </row>
    <row r="488" customFormat="false" ht="13.8" hidden="true" customHeight="false" outlineLevel="0" collapsed="false">
      <c r="A488" s="0" t="s">
        <v>619</v>
      </c>
      <c r="B488" s="0" t="n">
        <v>10</v>
      </c>
      <c r="C488" s="0" t="n">
        <v>1.3</v>
      </c>
      <c r="D488" s="0" t="n">
        <v>0</v>
      </c>
    </row>
    <row r="489" customFormat="false" ht="13.8" hidden="true" customHeight="false" outlineLevel="0" collapsed="false">
      <c r="A489" s="0" t="s">
        <v>619</v>
      </c>
      <c r="B489" s="0" t="n">
        <v>10</v>
      </c>
      <c r="C489" s="0" t="n">
        <v>1.35</v>
      </c>
      <c r="D489" s="0" t="n">
        <v>0</v>
      </c>
    </row>
    <row r="490" customFormat="false" ht="13.8" hidden="true" customHeight="false" outlineLevel="0" collapsed="false">
      <c r="A490" s="0" t="s">
        <v>619</v>
      </c>
      <c r="B490" s="0" t="n">
        <v>10</v>
      </c>
      <c r="C490" s="0" t="n">
        <v>1.4</v>
      </c>
      <c r="D490" s="0" t="n">
        <v>0</v>
      </c>
    </row>
    <row r="491" customFormat="false" ht="13.8" hidden="true" customHeight="false" outlineLevel="0" collapsed="false">
      <c r="A491" s="0" t="s">
        <v>619</v>
      </c>
      <c r="B491" s="0" t="n">
        <v>10</v>
      </c>
      <c r="C491" s="0" t="n">
        <v>1.45</v>
      </c>
      <c r="D491" s="0" t="n">
        <v>0</v>
      </c>
    </row>
    <row r="492" customFormat="false" ht="13.8" hidden="true" customHeight="false" outlineLevel="0" collapsed="false">
      <c r="A492" s="0" t="s">
        <v>619</v>
      </c>
      <c r="B492" s="0" t="n">
        <v>10</v>
      </c>
      <c r="C492" s="0" t="n">
        <v>1.5</v>
      </c>
      <c r="D492" s="0" t="n">
        <v>0</v>
      </c>
    </row>
    <row r="493" customFormat="false" ht="13.8" hidden="true" customHeight="false" outlineLevel="0" collapsed="false">
      <c r="A493" s="0" t="s">
        <v>619</v>
      </c>
      <c r="B493" s="0" t="n">
        <v>10</v>
      </c>
      <c r="C493" s="0" t="n">
        <v>1.55</v>
      </c>
      <c r="D493" s="0" t="n">
        <v>0</v>
      </c>
    </row>
    <row r="494" customFormat="false" ht="13.8" hidden="true" customHeight="false" outlineLevel="0" collapsed="false">
      <c r="A494" s="0" t="s">
        <v>619</v>
      </c>
      <c r="B494" s="0" t="n">
        <v>10</v>
      </c>
      <c r="C494" s="0" t="n">
        <v>1.6</v>
      </c>
      <c r="D494" s="0" t="n">
        <v>0.136</v>
      </c>
    </row>
    <row r="495" customFormat="false" ht="13.8" hidden="true" customHeight="false" outlineLevel="0" collapsed="false">
      <c r="A495" s="0" t="s">
        <v>619</v>
      </c>
      <c r="B495" s="0" t="n">
        <v>10</v>
      </c>
      <c r="C495" s="0" t="n">
        <v>1.65</v>
      </c>
      <c r="D495" s="0" t="n">
        <v>0.141</v>
      </c>
    </row>
    <row r="496" customFormat="false" ht="13.8" hidden="true" customHeight="false" outlineLevel="0" collapsed="false">
      <c r="A496" s="0" t="s">
        <v>619</v>
      </c>
      <c r="B496" s="0" t="n">
        <v>10</v>
      </c>
      <c r="C496" s="0" t="n">
        <v>1.7</v>
      </c>
      <c r="D496" s="0" t="n">
        <v>0.145</v>
      </c>
    </row>
    <row r="497" customFormat="false" ht="13.8" hidden="true" customHeight="false" outlineLevel="0" collapsed="false">
      <c r="A497" s="0" t="s">
        <v>619</v>
      </c>
      <c r="B497" s="0" t="n">
        <v>10</v>
      </c>
      <c r="C497" s="0" t="n">
        <v>1.75</v>
      </c>
      <c r="D497" s="0" t="n">
        <v>0.149</v>
      </c>
    </row>
    <row r="498" customFormat="false" ht="13.8" hidden="true" customHeight="false" outlineLevel="0" collapsed="false">
      <c r="A498" s="0" t="s">
        <v>619</v>
      </c>
      <c r="B498" s="0" t="n">
        <v>10</v>
      </c>
      <c r="C498" s="0" t="n">
        <v>1.8</v>
      </c>
      <c r="D498" s="0" t="n">
        <v>0.163</v>
      </c>
    </row>
    <row r="499" customFormat="false" ht="13.8" hidden="true" customHeight="false" outlineLevel="0" collapsed="false">
      <c r="A499" s="0" t="s">
        <v>619</v>
      </c>
      <c r="B499" s="0" t="n">
        <v>10</v>
      </c>
      <c r="C499" s="0" t="n">
        <v>1.85</v>
      </c>
      <c r="D499" s="0" t="n">
        <v>0.168</v>
      </c>
    </row>
    <row r="500" customFormat="false" ht="13.8" hidden="true" customHeight="false" outlineLevel="0" collapsed="false">
      <c r="A500" s="0" t="s">
        <v>619</v>
      </c>
      <c r="B500" s="0" t="n">
        <v>10</v>
      </c>
      <c r="C500" s="0" t="n">
        <v>1.9</v>
      </c>
      <c r="D500" s="0" t="n">
        <v>0.172</v>
      </c>
    </row>
    <row r="501" customFormat="false" ht="13.8" hidden="true" customHeight="false" outlineLevel="0" collapsed="false">
      <c r="A501" s="0" t="s">
        <v>619</v>
      </c>
      <c r="B501" s="0" t="n">
        <v>10</v>
      </c>
      <c r="C501" s="0" t="n">
        <v>1.95</v>
      </c>
      <c r="D501" s="0" t="n">
        <v>0.177</v>
      </c>
    </row>
    <row r="502" customFormat="false" ht="13.8" hidden="true" customHeight="false" outlineLevel="0" collapsed="false">
      <c r="A502" s="0" t="s">
        <v>619</v>
      </c>
      <c r="B502" s="0" t="n">
        <v>10</v>
      </c>
      <c r="C502" s="0" t="n">
        <v>2</v>
      </c>
      <c r="D502" s="0" t="n">
        <v>0.192</v>
      </c>
    </row>
    <row r="503" customFormat="false" ht="13.8" hidden="true" customHeight="false" outlineLevel="0" collapsed="false">
      <c r="A503" s="0" t="s">
        <v>619</v>
      </c>
      <c r="B503" s="0" t="n">
        <v>10</v>
      </c>
      <c r="C503" s="0" t="n">
        <v>2.05</v>
      </c>
      <c r="D503" s="0" t="n">
        <v>0.197</v>
      </c>
    </row>
    <row r="504" customFormat="false" ht="13.8" hidden="true" customHeight="false" outlineLevel="0" collapsed="false">
      <c r="A504" s="0" t="s">
        <v>619</v>
      </c>
      <c r="B504" s="0" t="n">
        <v>10</v>
      </c>
      <c r="C504" s="0" t="n">
        <v>2.1</v>
      </c>
      <c r="D504" s="0" t="n">
        <v>0.202</v>
      </c>
    </row>
    <row r="505" customFormat="false" ht="13.8" hidden="true" customHeight="false" outlineLevel="0" collapsed="false">
      <c r="A505" s="0" t="s">
        <v>619</v>
      </c>
      <c r="B505" s="0" t="n">
        <v>10</v>
      </c>
      <c r="C505" s="0" t="n">
        <v>2.15</v>
      </c>
      <c r="D505" s="0" t="n">
        <v>0.206712902</v>
      </c>
    </row>
    <row r="506" customFormat="false" ht="13.8" hidden="true" customHeight="false" outlineLevel="0" collapsed="false">
      <c r="A506" s="0" t="s">
        <v>619</v>
      </c>
      <c r="B506" s="0" t="n">
        <v>10</v>
      </c>
      <c r="C506" s="0" t="n">
        <v>2.2</v>
      </c>
      <c r="D506" s="0" t="n">
        <v>0.189921701</v>
      </c>
    </row>
    <row r="507" customFormat="false" ht="13.8" hidden="true" customHeight="false" outlineLevel="0" collapsed="false">
      <c r="A507" s="0" t="s">
        <v>619</v>
      </c>
      <c r="B507" s="0" t="n">
        <v>10</v>
      </c>
      <c r="C507" s="0" t="n">
        <v>2.25</v>
      </c>
      <c r="D507" s="0" t="n">
        <v>0.194238103</v>
      </c>
    </row>
    <row r="508" customFormat="false" ht="13.8" hidden="true" customHeight="false" outlineLevel="0" collapsed="false">
      <c r="A508" s="0" t="s">
        <v>619</v>
      </c>
      <c r="B508" s="0" t="n">
        <v>10</v>
      </c>
      <c r="C508" s="0" t="n">
        <v>2.3</v>
      </c>
      <c r="D508" s="0" t="n">
        <v>0.198554506</v>
      </c>
    </row>
    <row r="509" customFormat="false" ht="13.8" hidden="true" customHeight="false" outlineLevel="0" collapsed="false">
      <c r="A509" s="0" t="s">
        <v>619</v>
      </c>
      <c r="B509" s="0" t="n">
        <v>10</v>
      </c>
      <c r="C509" s="0" t="n">
        <v>2.35</v>
      </c>
      <c r="D509" s="0" t="n">
        <v>0.202870908</v>
      </c>
    </row>
    <row r="510" customFormat="false" ht="13.8" hidden="true" customHeight="false" outlineLevel="0" collapsed="false">
      <c r="A510" s="0" t="s">
        <v>619</v>
      </c>
      <c r="B510" s="0" t="n">
        <v>10</v>
      </c>
      <c r="C510" s="0" t="n">
        <v>2.4</v>
      </c>
      <c r="D510" s="0" t="n">
        <v>0.20718731</v>
      </c>
    </row>
    <row r="511" customFormat="false" ht="13.8" hidden="true" customHeight="false" outlineLevel="0" collapsed="false">
      <c r="A511" s="0" t="s">
        <v>619</v>
      </c>
      <c r="B511" s="0" t="n">
        <v>10</v>
      </c>
      <c r="C511" s="0" t="n">
        <v>2.45</v>
      </c>
      <c r="D511" s="0" t="n">
        <v>0.211503713</v>
      </c>
    </row>
    <row r="512" customFormat="false" ht="13.8" hidden="true" customHeight="false" outlineLevel="0" collapsed="false">
      <c r="A512" s="0" t="s">
        <v>619</v>
      </c>
      <c r="B512" s="0" t="n">
        <v>10</v>
      </c>
      <c r="C512" s="0" t="n">
        <v>2.5</v>
      </c>
      <c r="D512" s="0" t="n">
        <v>0.215820115</v>
      </c>
    </row>
    <row r="513" customFormat="false" ht="13.8" hidden="true" customHeight="false" outlineLevel="0" collapsed="false">
      <c r="A513" s="0" t="s">
        <v>619</v>
      </c>
      <c r="B513" s="0" t="n">
        <v>10</v>
      </c>
      <c r="C513" s="0" t="n">
        <v>2.55</v>
      </c>
      <c r="D513" s="0" t="n">
        <v>0.220136517</v>
      </c>
    </row>
    <row r="514" customFormat="false" ht="13.8" hidden="true" customHeight="false" outlineLevel="0" collapsed="false">
      <c r="A514" s="0" t="s">
        <v>619</v>
      </c>
      <c r="B514" s="0" t="n">
        <v>10</v>
      </c>
      <c r="C514" s="0" t="n">
        <v>2.6</v>
      </c>
      <c r="D514" s="0" t="n">
        <v>0.224452919</v>
      </c>
    </row>
    <row r="515" customFormat="false" ht="13.8" hidden="true" customHeight="false" outlineLevel="0" collapsed="false">
      <c r="A515" s="0" t="s">
        <v>619</v>
      </c>
      <c r="B515" s="0" t="n">
        <v>17</v>
      </c>
      <c r="C515" s="0" t="n">
        <v>1.3</v>
      </c>
      <c r="D515" s="0" t="n">
        <v>0</v>
      </c>
    </row>
    <row r="516" customFormat="false" ht="13.8" hidden="true" customHeight="false" outlineLevel="0" collapsed="false">
      <c r="A516" s="0" t="s">
        <v>619</v>
      </c>
      <c r="B516" s="0" t="n">
        <v>17</v>
      </c>
      <c r="C516" s="0" t="n">
        <v>1.35</v>
      </c>
      <c r="D516" s="0" t="n">
        <v>0</v>
      </c>
    </row>
    <row r="517" customFormat="false" ht="13.8" hidden="true" customHeight="false" outlineLevel="0" collapsed="false">
      <c r="A517" s="0" t="s">
        <v>619</v>
      </c>
      <c r="B517" s="0" t="n">
        <v>17</v>
      </c>
      <c r="C517" s="0" t="n">
        <v>1.4</v>
      </c>
      <c r="D517" s="0" t="n">
        <v>0</v>
      </c>
    </row>
    <row r="518" customFormat="false" ht="13.8" hidden="true" customHeight="false" outlineLevel="0" collapsed="false">
      <c r="A518" s="0" t="s">
        <v>619</v>
      </c>
      <c r="B518" s="0" t="n">
        <v>17</v>
      </c>
      <c r="C518" s="0" t="n">
        <v>1.45</v>
      </c>
      <c r="D518" s="0" t="n">
        <v>0</v>
      </c>
    </row>
    <row r="519" customFormat="false" ht="13.8" hidden="true" customHeight="false" outlineLevel="0" collapsed="false">
      <c r="A519" s="0" t="s">
        <v>619</v>
      </c>
      <c r="B519" s="0" t="n">
        <v>17</v>
      </c>
      <c r="C519" s="0" t="n">
        <v>1.5</v>
      </c>
      <c r="D519" s="0" t="n">
        <v>0</v>
      </c>
    </row>
    <row r="520" customFormat="false" ht="13.8" hidden="true" customHeight="false" outlineLevel="0" collapsed="false">
      <c r="A520" s="0" t="s">
        <v>619</v>
      </c>
      <c r="B520" s="0" t="n">
        <v>17</v>
      </c>
      <c r="C520" s="0" t="n">
        <v>1.55</v>
      </c>
      <c r="D520" s="0" t="n">
        <v>0</v>
      </c>
    </row>
    <row r="521" customFormat="false" ht="13.8" hidden="true" customHeight="false" outlineLevel="0" collapsed="false">
      <c r="A521" s="0" t="s">
        <v>619</v>
      </c>
      <c r="B521" s="0" t="n">
        <v>17</v>
      </c>
      <c r="C521" s="0" t="n">
        <v>1.6</v>
      </c>
      <c r="D521" s="0" t="n">
        <v>0.136</v>
      </c>
    </row>
    <row r="522" customFormat="false" ht="13.8" hidden="true" customHeight="false" outlineLevel="0" collapsed="false">
      <c r="A522" s="0" t="s">
        <v>619</v>
      </c>
      <c r="B522" s="0" t="n">
        <v>17</v>
      </c>
      <c r="C522" s="0" t="n">
        <v>1.65</v>
      </c>
      <c r="D522" s="0" t="n">
        <v>0.141</v>
      </c>
    </row>
    <row r="523" customFormat="false" ht="13.8" hidden="true" customHeight="false" outlineLevel="0" collapsed="false">
      <c r="A523" s="0" t="s">
        <v>619</v>
      </c>
      <c r="B523" s="0" t="n">
        <v>17</v>
      </c>
      <c r="C523" s="0" t="n">
        <v>1.7</v>
      </c>
      <c r="D523" s="0" t="n">
        <v>0.145</v>
      </c>
    </row>
    <row r="524" customFormat="false" ht="13.8" hidden="true" customHeight="false" outlineLevel="0" collapsed="false">
      <c r="A524" s="0" t="s">
        <v>619</v>
      </c>
      <c r="B524" s="0" t="n">
        <v>17</v>
      </c>
      <c r="C524" s="0" t="n">
        <v>1.75</v>
      </c>
      <c r="D524" s="0" t="n">
        <v>0.149</v>
      </c>
    </row>
    <row r="525" customFormat="false" ht="13.8" hidden="true" customHeight="false" outlineLevel="0" collapsed="false">
      <c r="A525" s="0" t="s">
        <v>619</v>
      </c>
      <c r="B525" s="0" t="n">
        <v>17</v>
      </c>
      <c r="C525" s="0" t="n">
        <v>1.8</v>
      </c>
      <c r="D525" s="0" t="n">
        <v>0.163</v>
      </c>
    </row>
    <row r="526" customFormat="false" ht="13.8" hidden="true" customHeight="false" outlineLevel="0" collapsed="false">
      <c r="A526" s="0" t="s">
        <v>619</v>
      </c>
      <c r="B526" s="0" t="n">
        <v>17</v>
      </c>
      <c r="C526" s="0" t="n">
        <v>1.85</v>
      </c>
      <c r="D526" s="0" t="n">
        <v>0.168</v>
      </c>
    </row>
    <row r="527" customFormat="false" ht="13.8" hidden="true" customHeight="false" outlineLevel="0" collapsed="false">
      <c r="A527" s="0" t="s">
        <v>619</v>
      </c>
      <c r="B527" s="0" t="n">
        <v>17</v>
      </c>
      <c r="C527" s="0" t="n">
        <v>1.9</v>
      </c>
      <c r="D527" s="0" t="n">
        <v>0.172</v>
      </c>
    </row>
    <row r="528" customFormat="false" ht="13.8" hidden="true" customHeight="false" outlineLevel="0" collapsed="false">
      <c r="A528" s="0" t="s">
        <v>619</v>
      </c>
      <c r="B528" s="0" t="n">
        <v>17</v>
      </c>
      <c r="C528" s="0" t="n">
        <v>1.95</v>
      </c>
      <c r="D528" s="0" t="n">
        <v>0.177</v>
      </c>
    </row>
    <row r="529" customFormat="false" ht="13.8" hidden="true" customHeight="false" outlineLevel="0" collapsed="false">
      <c r="A529" s="0" t="s">
        <v>619</v>
      </c>
      <c r="B529" s="0" t="n">
        <v>17</v>
      </c>
      <c r="C529" s="0" t="n">
        <v>2</v>
      </c>
      <c r="D529" s="0" t="n">
        <v>0.192</v>
      </c>
    </row>
    <row r="530" customFormat="false" ht="13.8" hidden="true" customHeight="false" outlineLevel="0" collapsed="false">
      <c r="A530" s="0" t="s">
        <v>619</v>
      </c>
      <c r="B530" s="0" t="n">
        <v>17</v>
      </c>
      <c r="C530" s="0" t="n">
        <v>2.05</v>
      </c>
      <c r="D530" s="0" t="n">
        <v>0.197</v>
      </c>
    </row>
    <row r="531" customFormat="false" ht="13.8" hidden="true" customHeight="false" outlineLevel="0" collapsed="false">
      <c r="A531" s="0" t="s">
        <v>619</v>
      </c>
      <c r="B531" s="0" t="n">
        <v>17</v>
      </c>
      <c r="C531" s="0" t="n">
        <v>2.1</v>
      </c>
      <c r="D531" s="0" t="n">
        <v>0.202</v>
      </c>
    </row>
    <row r="532" customFormat="false" ht="13.8" hidden="true" customHeight="false" outlineLevel="0" collapsed="false">
      <c r="A532" s="0" t="s">
        <v>619</v>
      </c>
      <c r="B532" s="0" t="n">
        <v>17</v>
      </c>
      <c r="C532" s="0" t="n">
        <v>2.15</v>
      </c>
      <c r="D532" s="0" t="n">
        <v>0.206712902</v>
      </c>
    </row>
    <row r="533" customFormat="false" ht="13.8" hidden="true" customHeight="false" outlineLevel="0" collapsed="false">
      <c r="A533" s="0" t="s">
        <v>619</v>
      </c>
      <c r="B533" s="0" t="n">
        <v>17</v>
      </c>
      <c r="C533" s="0" t="n">
        <v>2.2</v>
      </c>
      <c r="D533" s="0" t="n">
        <v>0.189921701</v>
      </c>
    </row>
    <row r="534" customFormat="false" ht="13.8" hidden="true" customHeight="false" outlineLevel="0" collapsed="false">
      <c r="A534" s="0" t="s">
        <v>619</v>
      </c>
      <c r="B534" s="0" t="n">
        <v>17</v>
      </c>
      <c r="C534" s="0" t="n">
        <v>2.25</v>
      </c>
      <c r="D534" s="0" t="n">
        <v>0.194238103</v>
      </c>
    </row>
    <row r="535" customFormat="false" ht="13.8" hidden="true" customHeight="false" outlineLevel="0" collapsed="false">
      <c r="A535" s="0" t="s">
        <v>619</v>
      </c>
      <c r="B535" s="0" t="n">
        <v>17</v>
      </c>
      <c r="C535" s="0" t="n">
        <v>2.3</v>
      </c>
      <c r="D535" s="0" t="n">
        <v>0.198554506</v>
      </c>
    </row>
    <row r="536" customFormat="false" ht="13.8" hidden="true" customHeight="false" outlineLevel="0" collapsed="false">
      <c r="A536" s="0" t="s">
        <v>619</v>
      </c>
      <c r="B536" s="0" t="n">
        <v>17</v>
      </c>
      <c r="C536" s="0" t="n">
        <v>2.35</v>
      </c>
      <c r="D536" s="0" t="n">
        <v>0.202870908</v>
      </c>
    </row>
    <row r="537" customFormat="false" ht="13.8" hidden="true" customHeight="false" outlineLevel="0" collapsed="false">
      <c r="A537" s="0" t="s">
        <v>619</v>
      </c>
      <c r="B537" s="0" t="n">
        <v>17</v>
      </c>
      <c r="C537" s="0" t="n">
        <v>2.4</v>
      </c>
      <c r="D537" s="0" t="n">
        <v>0.20718731</v>
      </c>
    </row>
    <row r="538" customFormat="false" ht="13.8" hidden="true" customHeight="false" outlineLevel="0" collapsed="false">
      <c r="A538" s="0" t="s">
        <v>619</v>
      </c>
      <c r="B538" s="0" t="n">
        <v>17</v>
      </c>
      <c r="C538" s="0" t="n">
        <v>2.45</v>
      </c>
      <c r="D538" s="0" t="n">
        <v>0.211503713</v>
      </c>
    </row>
    <row r="539" customFormat="false" ht="13.8" hidden="true" customHeight="false" outlineLevel="0" collapsed="false">
      <c r="A539" s="0" t="s">
        <v>619</v>
      </c>
      <c r="B539" s="0" t="n">
        <v>17</v>
      </c>
      <c r="C539" s="0" t="n">
        <v>2.5</v>
      </c>
      <c r="D539" s="0" t="n">
        <v>0.215820115</v>
      </c>
    </row>
    <row r="540" customFormat="false" ht="13.8" hidden="true" customHeight="false" outlineLevel="0" collapsed="false">
      <c r="A540" s="0" t="s">
        <v>619</v>
      </c>
      <c r="B540" s="0" t="n">
        <v>17</v>
      </c>
      <c r="C540" s="0" t="n">
        <v>2.55</v>
      </c>
      <c r="D540" s="0" t="n">
        <v>0.220136517</v>
      </c>
    </row>
    <row r="541" customFormat="false" ht="13.8" hidden="true" customHeight="false" outlineLevel="0" collapsed="false">
      <c r="A541" s="0" t="s">
        <v>619</v>
      </c>
      <c r="B541" s="0" t="n">
        <v>17</v>
      </c>
      <c r="C541" s="0" t="n">
        <v>2.6</v>
      </c>
      <c r="D541" s="0" t="n">
        <v>0.224452919</v>
      </c>
    </row>
    <row r="542" customFormat="false" ht="13.8" hidden="true" customHeight="false" outlineLevel="0" collapsed="false">
      <c r="A542" s="0" t="s">
        <v>622</v>
      </c>
      <c r="B542" s="0" t="n">
        <v>10</v>
      </c>
      <c r="C542" s="0" t="n">
        <v>1.3</v>
      </c>
      <c r="D542" s="0" t="n">
        <v>0</v>
      </c>
    </row>
    <row r="543" customFormat="false" ht="13.8" hidden="true" customHeight="false" outlineLevel="0" collapsed="false">
      <c r="A543" s="0" t="s">
        <v>622</v>
      </c>
      <c r="B543" s="0" t="n">
        <v>10</v>
      </c>
      <c r="C543" s="0" t="n">
        <v>1.35</v>
      </c>
      <c r="D543" s="0" t="n">
        <v>0</v>
      </c>
    </row>
    <row r="544" customFormat="false" ht="13.8" hidden="true" customHeight="false" outlineLevel="0" collapsed="false">
      <c r="A544" s="0" t="s">
        <v>622</v>
      </c>
      <c r="B544" s="0" t="n">
        <v>10</v>
      </c>
      <c r="C544" s="0" t="n">
        <v>1.4</v>
      </c>
      <c r="D544" s="0" t="n">
        <v>0</v>
      </c>
    </row>
    <row r="545" customFormat="false" ht="13.8" hidden="true" customHeight="false" outlineLevel="0" collapsed="false">
      <c r="A545" s="0" t="s">
        <v>622</v>
      </c>
      <c r="B545" s="0" t="n">
        <v>10</v>
      </c>
      <c r="C545" s="0" t="n">
        <v>1.45</v>
      </c>
      <c r="D545" s="0" t="n">
        <v>0</v>
      </c>
    </row>
    <row r="546" customFormat="false" ht="13.8" hidden="true" customHeight="false" outlineLevel="0" collapsed="false">
      <c r="A546" s="0" t="s">
        <v>622</v>
      </c>
      <c r="B546" s="0" t="n">
        <v>10</v>
      </c>
      <c r="C546" s="0" t="n">
        <v>1.5</v>
      </c>
      <c r="D546" s="0" t="n">
        <v>0</v>
      </c>
    </row>
    <row r="547" customFormat="false" ht="13.8" hidden="true" customHeight="false" outlineLevel="0" collapsed="false">
      <c r="A547" s="0" t="s">
        <v>622</v>
      </c>
      <c r="B547" s="0" t="n">
        <v>10</v>
      </c>
      <c r="C547" s="0" t="n">
        <v>1.55</v>
      </c>
      <c r="D547" s="0" t="n">
        <v>0</v>
      </c>
    </row>
    <row r="548" customFormat="false" ht="13.8" hidden="true" customHeight="false" outlineLevel="0" collapsed="false">
      <c r="A548" s="0" t="s">
        <v>622</v>
      </c>
      <c r="B548" s="0" t="n">
        <v>10</v>
      </c>
      <c r="C548" s="0" t="n">
        <v>1.6</v>
      </c>
      <c r="D548" s="0" t="n">
        <v>0.136</v>
      </c>
    </row>
    <row r="549" customFormat="false" ht="13.8" hidden="true" customHeight="false" outlineLevel="0" collapsed="false">
      <c r="A549" s="0" t="s">
        <v>622</v>
      </c>
      <c r="B549" s="0" t="n">
        <v>10</v>
      </c>
      <c r="C549" s="0" t="n">
        <v>1.65</v>
      </c>
      <c r="D549" s="0" t="n">
        <v>0.141</v>
      </c>
    </row>
    <row r="550" customFormat="false" ht="13.8" hidden="true" customHeight="false" outlineLevel="0" collapsed="false">
      <c r="A550" s="0" t="s">
        <v>622</v>
      </c>
      <c r="B550" s="0" t="n">
        <v>10</v>
      </c>
      <c r="C550" s="0" t="n">
        <v>1.7</v>
      </c>
      <c r="D550" s="0" t="n">
        <v>0.145</v>
      </c>
    </row>
    <row r="551" customFormat="false" ht="13.8" hidden="true" customHeight="false" outlineLevel="0" collapsed="false">
      <c r="A551" s="0" t="s">
        <v>622</v>
      </c>
      <c r="B551" s="0" t="n">
        <v>10</v>
      </c>
      <c r="C551" s="0" t="n">
        <v>1.75</v>
      </c>
      <c r="D551" s="0" t="n">
        <v>0.149</v>
      </c>
    </row>
    <row r="552" customFormat="false" ht="13.8" hidden="true" customHeight="false" outlineLevel="0" collapsed="false">
      <c r="A552" s="0" t="s">
        <v>622</v>
      </c>
      <c r="B552" s="0" t="n">
        <v>10</v>
      </c>
      <c r="C552" s="0" t="n">
        <v>1.8</v>
      </c>
      <c r="D552" s="0" t="n">
        <v>0.163</v>
      </c>
    </row>
    <row r="553" customFormat="false" ht="13.8" hidden="true" customHeight="false" outlineLevel="0" collapsed="false">
      <c r="A553" s="0" t="s">
        <v>622</v>
      </c>
      <c r="B553" s="0" t="n">
        <v>10</v>
      </c>
      <c r="C553" s="0" t="n">
        <v>1.85</v>
      </c>
      <c r="D553" s="0" t="n">
        <v>0.168</v>
      </c>
    </row>
    <row r="554" customFormat="false" ht="13.8" hidden="true" customHeight="false" outlineLevel="0" collapsed="false">
      <c r="A554" s="0" t="s">
        <v>622</v>
      </c>
      <c r="B554" s="0" t="n">
        <v>10</v>
      </c>
      <c r="C554" s="0" t="n">
        <v>1.9</v>
      </c>
      <c r="D554" s="0" t="n">
        <v>0.172</v>
      </c>
    </row>
    <row r="555" customFormat="false" ht="13.8" hidden="true" customHeight="false" outlineLevel="0" collapsed="false">
      <c r="A555" s="0" t="s">
        <v>622</v>
      </c>
      <c r="B555" s="0" t="n">
        <v>10</v>
      </c>
      <c r="C555" s="0" t="n">
        <v>1.95</v>
      </c>
      <c r="D555" s="0" t="n">
        <v>0.177</v>
      </c>
    </row>
    <row r="556" customFormat="false" ht="13.8" hidden="true" customHeight="false" outlineLevel="0" collapsed="false">
      <c r="A556" s="0" t="s">
        <v>622</v>
      </c>
      <c r="B556" s="0" t="n">
        <v>10</v>
      </c>
      <c r="C556" s="0" t="n">
        <v>2</v>
      </c>
      <c r="D556" s="0" t="n">
        <v>0.192</v>
      </c>
    </row>
    <row r="557" customFormat="false" ht="13.8" hidden="true" customHeight="false" outlineLevel="0" collapsed="false">
      <c r="A557" s="0" t="s">
        <v>622</v>
      </c>
      <c r="B557" s="0" t="n">
        <v>10</v>
      </c>
      <c r="C557" s="0" t="n">
        <v>2.05</v>
      </c>
      <c r="D557" s="0" t="n">
        <v>0.197</v>
      </c>
    </row>
    <row r="558" customFormat="false" ht="13.8" hidden="true" customHeight="false" outlineLevel="0" collapsed="false">
      <c r="A558" s="0" t="s">
        <v>622</v>
      </c>
      <c r="B558" s="0" t="n">
        <v>10</v>
      </c>
      <c r="C558" s="0" t="n">
        <v>2.1</v>
      </c>
      <c r="D558" s="0" t="n">
        <v>0.202</v>
      </c>
    </row>
    <row r="559" customFormat="false" ht="13.8" hidden="true" customHeight="false" outlineLevel="0" collapsed="false">
      <c r="A559" s="0" t="s">
        <v>622</v>
      </c>
      <c r="B559" s="0" t="n">
        <v>10</v>
      </c>
      <c r="C559" s="0" t="n">
        <v>2.15</v>
      </c>
      <c r="D559" s="0" t="n">
        <v>0.206712902</v>
      </c>
    </row>
    <row r="560" customFormat="false" ht="13.8" hidden="true" customHeight="false" outlineLevel="0" collapsed="false">
      <c r="A560" s="0" t="s">
        <v>622</v>
      </c>
      <c r="B560" s="0" t="n">
        <v>10</v>
      </c>
      <c r="C560" s="0" t="n">
        <v>2.2</v>
      </c>
      <c r="D560" s="0" t="n">
        <v>0.189921701</v>
      </c>
    </row>
    <row r="561" customFormat="false" ht="13.8" hidden="true" customHeight="false" outlineLevel="0" collapsed="false">
      <c r="A561" s="0" t="s">
        <v>622</v>
      </c>
      <c r="B561" s="0" t="n">
        <v>10</v>
      </c>
      <c r="C561" s="0" t="n">
        <v>2.25</v>
      </c>
      <c r="D561" s="0" t="n">
        <v>0.194238103</v>
      </c>
    </row>
    <row r="562" customFormat="false" ht="13.8" hidden="true" customHeight="false" outlineLevel="0" collapsed="false">
      <c r="A562" s="0" t="s">
        <v>622</v>
      </c>
      <c r="B562" s="0" t="n">
        <v>10</v>
      </c>
      <c r="C562" s="0" t="n">
        <v>2.3</v>
      </c>
      <c r="D562" s="0" t="n">
        <v>0.198554506</v>
      </c>
    </row>
    <row r="563" customFormat="false" ht="13.8" hidden="true" customHeight="false" outlineLevel="0" collapsed="false">
      <c r="A563" s="0" t="s">
        <v>622</v>
      </c>
      <c r="B563" s="0" t="n">
        <v>10</v>
      </c>
      <c r="C563" s="0" t="n">
        <v>2.35</v>
      </c>
      <c r="D563" s="0" t="n">
        <v>0.202870908</v>
      </c>
    </row>
    <row r="564" customFormat="false" ht="13.8" hidden="true" customHeight="false" outlineLevel="0" collapsed="false">
      <c r="A564" s="0" t="s">
        <v>622</v>
      </c>
      <c r="B564" s="0" t="n">
        <v>10</v>
      </c>
      <c r="C564" s="0" t="n">
        <v>2.4</v>
      </c>
      <c r="D564" s="0" t="n">
        <v>0.20718731</v>
      </c>
    </row>
    <row r="565" customFormat="false" ht="13.8" hidden="true" customHeight="false" outlineLevel="0" collapsed="false">
      <c r="A565" s="0" t="s">
        <v>622</v>
      </c>
      <c r="B565" s="0" t="n">
        <v>10</v>
      </c>
      <c r="C565" s="0" t="n">
        <v>2.45</v>
      </c>
      <c r="D565" s="0" t="n">
        <v>0.211503713</v>
      </c>
    </row>
    <row r="566" customFormat="false" ht="13.8" hidden="true" customHeight="false" outlineLevel="0" collapsed="false">
      <c r="A566" s="0" t="s">
        <v>622</v>
      </c>
      <c r="B566" s="0" t="n">
        <v>10</v>
      </c>
      <c r="C566" s="0" t="n">
        <v>2.5</v>
      </c>
      <c r="D566" s="0" t="n">
        <v>0.215820115</v>
      </c>
    </row>
    <row r="567" customFormat="false" ht="13.8" hidden="true" customHeight="false" outlineLevel="0" collapsed="false">
      <c r="A567" s="0" t="s">
        <v>622</v>
      </c>
      <c r="B567" s="0" t="n">
        <v>10</v>
      </c>
      <c r="C567" s="0" t="n">
        <v>2.55</v>
      </c>
      <c r="D567" s="0" t="n">
        <v>0.220136517</v>
      </c>
    </row>
    <row r="568" customFormat="false" ht="13.8" hidden="true" customHeight="false" outlineLevel="0" collapsed="false">
      <c r="A568" s="0" t="s">
        <v>622</v>
      </c>
      <c r="B568" s="0" t="n">
        <v>10</v>
      </c>
      <c r="C568" s="0" t="n">
        <v>2.6</v>
      </c>
      <c r="D568" s="0" t="n">
        <v>0.224452919</v>
      </c>
    </row>
    <row r="569" customFormat="false" ht="13.8" hidden="true" customHeight="false" outlineLevel="0" collapsed="false">
      <c r="A569" s="0" t="s">
        <v>622</v>
      </c>
      <c r="B569" s="0" t="n">
        <v>17</v>
      </c>
      <c r="C569" s="0" t="n">
        <v>1.3</v>
      </c>
      <c r="D569" s="0" t="n">
        <v>0</v>
      </c>
    </row>
    <row r="570" customFormat="false" ht="13.8" hidden="true" customHeight="false" outlineLevel="0" collapsed="false">
      <c r="A570" s="0" t="s">
        <v>622</v>
      </c>
      <c r="B570" s="0" t="n">
        <v>17</v>
      </c>
      <c r="C570" s="0" t="n">
        <v>1.35</v>
      </c>
      <c r="D570" s="0" t="n">
        <v>0</v>
      </c>
    </row>
    <row r="571" customFormat="false" ht="13.8" hidden="true" customHeight="false" outlineLevel="0" collapsed="false">
      <c r="A571" s="0" t="s">
        <v>622</v>
      </c>
      <c r="B571" s="0" t="n">
        <v>17</v>
      </c>
      <c r="C571" s="0" t="n">
        <v>1.4</v>
      </c>
      <c r="D571" s="0" t="n">
        <v>0</v>
      </c>
    </row>
    <row r="572" customFormat="false" ht="13.8" hidden="true" customHeight="false" outlineLevel="0" collapsed="false">
      <c r="A572" s="0" t="s">
        <v>622</v>
      </c>
      <c r="B572" s="0" t="n">
        <v>17</v>
      </c>
      <c r="C572" s="0" t="n">
        <v>1.45</v>
      </c>
      <c r="D572" s="0" t="n">
        <v>0</v>
      </c>
    </row>
    <row r="573" customFormat="false" ht="13.8" hidden="true" customHeight="false" outlineLevel="0" collapsed="false">
      <c r="A573" s="0" t="s">
        <v>622</v>
      </c>
      <c r="B573" s="0" t="n">
        <v>17</v>
      </c>
      <c r="C573" s="0" t="n">
        <v>1.5</v>
      </c>
      <c r="D573" s="0" t="n">
        <v>0</v>
      </c>
    </row>
    <row r="574" customFormat="false" ht="13.8" hidden="true" customHeight="false" outlineLevel="0" collapsed="false">
      <c r="A574" s="0" t="s">
        <v>622</v>
      </c>
      <c r="B574" s="0" t="n">
        <v>17</v>
      </c>
      <c r="C574" s="0" t="n">
        <v>1.55</v>
      </c>
      <c r="D574" s="0" t="n">
        <v>0</v>
      </c>
    </row>
    <row r="575" customFormat="false" ht="13.8" hidden="true" customHeight="false" outlineLevel="0" collapsed="false">
      <c r="A575" s="0" t="s">
        <v>622</v>
      </c>
      <c r="B575" s="0" t="n">
        <v>17</v>
      </c>
      <c r="C575" s="0" t="n">
        <v>1.6</v>
      </c>
      <c r="D575" s="0" t="n">
        <v>0.136</v>
      </c>
    </row>
    <row r="576" customFormat="false" ht="13.8" hidden="true" customHeight="false" outlineLevel="0" collapsed="false">
      <c r="A576" s="0" t="s">
        <v>622</v>
      </c>
      <c r="B576" s="0" t="n">
        <v>17</v>
      </c>
      <c r="C576" s="0" t="n">
        <v>1.65</v>
      </c>
      <c r="D576" s="0" t="n">
        <v>0.141</v>
      </c>
    </row>
    <row r="577" customFormat="false" ht="13.8" hidden="true" customHeight="false" outlineLevel="0" collapsed="false">
      <c r="A577" s="0" t="s">
        <v>622</v>
      </c>
      <c r="B577" s="0" t="n">
        <v>17</v>
      </c>
      <c r="C577" s="0" t="n">
        <v>1.7</v>
      </c>
      <c r="D577" s="0" t="n">
        <v>0.145</v>
      </c>
    </row>
    <row r="578" customFormat="false" ht="13.8" hidden="true" customHeight="false" outlineLevel="0" collapsed="false">
      <c r="A578" s="0" t="s">
        <v>622</v>
      </c>
      <c r="B578" s="0" t="n">
        <v>17</v>
      </c>
      <c r="C578" s="0" t="n">
        <v>1.75</v>
      </c>
      <c r="D578" s="0" t="n">
        <v>0.149</v>
      </c>
    </row>
    <row r="579" customFormat="false" ht="13.8" hidden="true" customHeight="false" outlineLevel="0" collapsed="false">
      <c r="A579" s="0" t="s">
        <v>622</v>
      </c>
      <c r="B579" s="0" t="n">
        <v>17</v>
      </c>
      <c r="C579" s="0" t="n">
        <v>1.8</v>
      </c>
      <c r="D579" s="0" t="n">
        <v>0.163</v>
      </c>
    </row>
    <row r="580" customFormat="false" ht="13.8" hidden="true" customHeight="false" outlineLevel="0" collapsed="false">
      <c r="A580" s="0" t="s">
        <v>622</v>
      </c>
      <c r="B580" s="0" t="n">
        <v>17</v>
      </c>
      <c r="C580" s="0" t="n">
        <v>1.85</v>
      </c>
      <c r="D580" s="0" t="n">
        <v>0.168</v>
      </c>
    </row>
    <row r="581" customFormat="false" ht="13.8" hidden="true" customHeight="false" outlineLevel="0" collapsed="false">
      <c r="A581" s="0" t="s">
        <v>622</v>
      </c>
      <c r="B581" s="0" t="n">
        <v>17</v>
      </c>
      <c r="C581" s="0" t="n">
        <v>1.9</v>
      </c>
      <c r="D581" s="0" t="n">
        <v>0.172</v>
      </c>
    </row>
    <row r="582" customFormat="false" ht="13.8" hidden="true" customHeight="false" outlineLevel="0" collapsed="false">
      <c r="A582" s="0" t="s">
        <v>622</v>
      </c>
      <c r="B582" s="0" t="n">
        <v>17</v>
      </c>
      <c r="C582" s="0" t="n">
        <v>1.95</v>
      </c>
      <c r="D582" s="0" t="n">
        <v>0.177</v>
      </c>
    </row>
    <row r="583" customFormat="false" ht="13.8" hidden="true" customHeight="false" outlineLevel="0" collapsed="false">
      <c r="A583" s="0" t="s">
        <v>622</v>
      </c>
      <c r="B583" s="0" t="n">
        <v>17</v>
      </c>
      <c r="C583" s="0" t="n">
        <v>2</v>
      </c>
      <c r="D583" s="0" t="n">
        <v>0.192</v>
      </c>
    </row>
    <row r="584" customFormat="false" ht="13.8" hidden="true" customHeight="false" outlineLevel="0" collapsed="false">
      <c r="A584" s="0" t="s">
        <v>622</v>
      </c>
      <c r="B584" s="0" t="n">
        <v>17</v>
      </c>
      <c r="C584" s="0" t="n">
        <v>2.05</v>
      </c>
      <c r="D584" s="0" t="n">
        <v>0.197</v>
      </c>
    </row>
    <row r="585" customFormat="false" ht="13.8" hidden="true" customHeight="false" outlineLevel="0" collapsed="false">
      <c r="A585" s="0" t="s">
        <v>622</v>
      </c>
      <c r="B585" s="0" t="n">
        <v>17</v>
      </c>
      <c r="C585" s="0" t="n">
        <v>2.1</v>
      </c>
      <c r="D585" s="0" t="n">
        <v>0.202</v>
      </c>
    </row>
    <row r="586" customFormat="false" ht="13.8" hidden="true" customHeight="false" outlineLevel="0" collapsed="false">
      <c r="A586" s="0" t="s">
        <v>622</v>
      </c>
      <c r="B586" s="0" t="n">
        <v>17</v>
      </c>
      <c r="C586" s="0" t="n">
        <v>2.15</v>
      </c>
      <c r="D586" s="0" t="n">
        <v>0.206712902</v>
      </c>
    </row>
    <row r="587" customFormat="false" ht="13.8" hidden="true" customHeight="false" outlineLevel="0" collapsed="false">
      <c r="A587" s="0" t="s">
        <v>622</v>
      </c>
      <c r="B587" s="0" t="n">
        <v>17</v>
      </c>
      <c r="C587" s="0" t="n">
        <v>2.2</v>
      </c>
      <c r="D587" s="0" t="n">
        <v>0.189921701</v>
      </c>
    </row>
    <row r="588" customFormat="false" ht="13.8" hidden="true" customHeight="false" outlineLevel="0" collapsed="false">
      <c r="A588" s="0" t="s">
        <v>622</v>
      </c>
      <c r="B588" s="0" t="n">
        <v>17</v>
      </c>
      <c r="C588" s="0" t="n">
        <v>2.25</v>
      </c>
      <c r="D588" s="0" t="n">
        <v>0.194238103</v>
      </c>
    </row>
    <row r="589" customFormat="false" ht="13.8" hidden="true" customHeight="false" outlineLevel="0" collapsed="false">
      <c r="A589" s="0" t="s">
        <v>622</v>
      </c>
      <c r="B589" s="0" t="n">
        <v>17</v>
      </c>
      <c r="C589" s="0" t="n">
        <v>2.3</v>
      </c>
      <c r="D589" s="0" t="n">
        <v>0.198554506</v>
      </c>
    </row>
    <row r="590" customFormat="false" ht="13.8" hidden="true" customHeight="false" outlineLevel="0" collapsed="false">
      <c r="A590" s="0" t="s">
        <v>622</v>
      </c>
      <c r="B590" s="0" t="n">
        <v>17</v>
      </c>
      <c r="C590" s="0" t="n">
        <v>2.35</v>
      </c>
      <c r="D590" s="0" t="n">
        <v>0.202870908</v>
      </c>
    </row>
    <row r="591" customFormat="false" ht="13.8" hidden="true" customHeight="false" outlineLevel="0" collapsed="false">
      <c r="A591" s="0" t="s">
        <v>622</v>
      </c>
      <c r="B591" s="0" t="n">
        <v>17</v>
      </c>
      <c r="C591" s="0" t="n">
        <v>2.4</v>
      </c>
      <c r="D591" s="0" t="n">
        <v>0.20718731</v>
      </c>
    </row>
    <row r="592" customFormat="false" ht="13.8" hidden="true" customHeight="false" outlineLevel="0" collapsed="false">
      <c r="A592" s="0" t="s">
        <v>622</v>
      </c>
      <c r="B592" s="0" t="n">
        <v>17</v>
      </c>
      <c r="C592" s="0" t="n">
        <v>2.45</v>
      </c>
      <c r="D592" s="0" t="n">
        <v>0.211503713</v>
      </c>
    </row>
    <row r="593" customFormat="false" ht="13.8" hidden="true" customHeight="false" outlineLevel="0" collapsed="false">
      <c r="A593" s="0" t="s">
        <v>622</v>
      </c>
      <c r="B593" s="0" t="n">
        <v>17</v>
      </c>
      <c r="C593" s="0" t="n">
        <v>2.5</v>
      </c>
      <c r="D593" s="0" t="n">
        <v>0.215820115</v>
      </c>
    </row>
    <row r="594" customFormat="false" ht="13.8" hidden="true" customHeight="false" outlineLevel="0" collapsed="false">
      <c r="A594" s="0" t="s">
        <v>622</v>
      </c>
      <c r="B594" s="0" t="n">
        <v>17</v>
      </c>
      <c r="C594" s="0" t="n">
        <v>2.55</v>
      </c>
      <c r="D594" s="0" t="n">
        <v>0.220136517</v>
      </c>
    </row>
    <row r="595" customFormat="false" ht="13.8" hidden="true" customHeight="false" outlineLevel="0" collapsed="false">
      <c r="A595" s="0" t="s">
        <v>622</v>
      </c>
      <c r="B595" s="0" t="n">
        <v>17</v>
      </c>
      <c r="C595" s="0" t="n">
        <v>2.6</v>
      </c>
      <c r="D595" s="0" t="n">
        <v>0.224452919</v>
      </c>
    </row>
    <row r="596" customFormat="false" ht="13.8" hidden="true" customHeight="false" outlineLevel="0" collapsed="false">
      <c r="A596" s="0" t="s">
        <v>218</v>
      </c>
      <c r="B596" s="0" t="n">
        <v>10</v>
      </c>
      <c r="C596" s="0" t="n">
        <v>1.3</v>
      </c>
      <c r="D596" s="0" t="n">
        <v>0</v>
      </c>
    </row>
    <row r="597" customFormat="false" ht="13.8" hidden="true" customHeight="false" outlineLevel="0" collapsed="false">
      <c r="A597" s="0" t="s">
        <v>218</v>
      </c>
      <c r="B597" s="0" t="n">
        <v>10</v>
      </c>
      <c r="C597" s="0" t="n">
        <v>1.35</v>
      </c>
      <c r="D597" s="0" t="n">
        <v>0</v>
      </c>
    </row>
    <row r="598" customFormat="false" ht="13.8" hidden="true" customHeight="false" outlineLevel="0" collapsed="false">
      <c r="A598" s="0" t="s">
        <v>218</v>
      </c>
      <c r="B598" s="0" t="n">
        <v>10</v>
      </c>
      <c r="C598" s="0" t="n">
        <v>1.4</v>
      </c>
      <c r="D598" s="0" t="n">
        <v>0</v>
      </c>
    </row>
    <row r="599" customFormat="false" ht="13.8" hidden="true" customHeight="false" outlineLevel="0" collapsed="false">
      <c r="A599" s="0" t="s">
        <v>218</v>
      </c>
      <c r="B599" s="0" t="n">
        <v>10</v>
      </c>
      <c r="C599" s="0" t="n">
        <v>1.45</v>
      </c>
      <c r="D599" s="0" t="n">
        <v>0</v>
      </c>
    </row>
    <row r="600" customFormat="false" ht="13.8" hidden="true" customHeight="false" outlineLevel="0" collapsed="false">
      <c r="A600" s="0" t="s">
        <v>218</v>
      </c>
      <c r="B600" s="0" t="n">
        <v>10</v>
      </c>
      <c r="C600" s="0" t="n">
        <v>1.5</v>
      </c>
      <c r="D600" s="0" t="n">
        <v>0</v>
      </c>
    </row>
    <row r="601" customFormat="false" ht="13.8" hidden="true" customHeight="false" outlineLevel="0" collapsed="false">
      <c r="A601" s="0" t="s">
        <v>218</v>
      </c>
      <c r="B601" s="0" t="n">
        <v>10</v>
      </c>
      <c r="C601" s="0" t="n">
        <v>1.55</v>
      </c>
      <c r="D601" s="0" t="n">
        <v>0</v>
      </c>
    </row>
    <row r="602" customFormat="false" ht="13.8" hidden="true" customHeight="false" outlineLevel="0" collapsed="false">
      <c r="A602" s="0" t="s">
        <v>218</v>
      </c>
      <c r="B602" s="0" t="n">
        <v>10</v>
      </c>
      <c r="C602" s="0" t="n">
        <v>1.6</v>
      </c>
      <c r="D602" s="0" t="n">
        <v>0.136</v>
      </c>
    </row>
    <row r="603" customFormat="false" ht="13.8" hidden="true" customHeight="false" outlineLevel="0" collapsed="false">
      <c r="A603" s="0" t="s">
        <v>218</v>
      </c>
      <c r="B603" s="0" t="n">
        <v>10</v>
      </c>
      <c r="C603" s="0" t="n">
        <v>1.65</v>
      </c>
      <c r="D603" s="0" t="n">
        <v>0.141</v>
      </c>
    </row>
    <row r="604" customFormat="false" ht="13.8" hidden="true" customHeight="false" outlineLevel="0" collapsed="false">
      <c r="A604" s="0" t="s">
        <v>218</v>
      </c>
      <c r="B604" s="0" t="n">
        <v>10</v>
      </c>
      <c r="C604" s="0" t="n">
        <v>1.7</v>
      </c>
      <c r="D604" s="0" t="n">
        <v>0.145</v>
      </c>
    </row>
    <row r="605" customFormat="false" ht="13.8" hidden="true" customHeight="false" outlineLevel="0" collapsed="false">
      <c r="A605" s="0" t="s">
        <v>218</v>
      </c>
      <c r="B605" s="0" t="n">
        <v>10</v>
      </c>
      <c r="C605" s="0" t="n">
        <v>1.75</v>
      </c>
      <c r="D605" s="0" t="n">
        <v>0.149</v>
      </c>
    </row>
    <row r="606" customFormat="false" ht="13.8" hidden="true" customHeight="false" outlineLevel="0" collapsed="false">
      <c r="A606" s="0" t="s">
        <v>218</v>
      </c>
      <c r="B606" s="0" t="n">
        <v>10</v>
      </c>
      <c r="C606" s="0" t="n">
        <v>1.8</v>
      </c>
      <c r="D606" s="0" t="n">
        <v>0.163</v>
      </c>
    </row>
    <row r="607" customFormat="false" ht="13.8" hidden="true" customHeight="false" outlineLevel="0" collapsed="false">
      <c r="A607" s="0" t="s">
        <v>218</v>
      </c>
      <c r="B607" s="0" t="n">
        <v>10</v>
      </c>
      <c r="C607" s="0" t="n">
        <v>1.85</v>
      </c>
      <c r="D607" s="0" t="n">
        <v>0.168</v>
      </c>
    </row>
    <row r="608" customFormat="false" ht="13.8" hidden="true" customHeight="false" outlineLevel="0" collapsed="false">
      <c r="A608" s="0" t="s">
        <v>218</v>
      </c>
      <c r="B608" s="0" t="n">
        <v>10</v>
      </c>
      <c r="C608" s="0" t="n">
        <v>1.9</v>
      </c>
      <c r="D608" s="0" t="n">
        <v>0.172</v>
      </c>
    </row>
    <row r="609" customFormat="false" ht="13.8" hidden="true" customHeight="false" outlineLevel="0" collapsed="false">
      <c r="A609" s="0" t="s">
        <v>218</v>
      </c>
      <c r="B609" s="0" t="n">
        <v>10</v>
      </c>
      <c r="C609" s="0" t="n">
        <v>1.95</v>
      </c>
      <c r="D609" s="0" t="n">
        <v>0.177</v>
      </c>
    </row>
    <row r="610" customFormat="false" ht="13.8" hidden="true" customHeight="false" outlineLevel="0" collapsed="false">
      <c r="A610" s="0" t="s">
        <v>218</v>
      </c>
      <c r="B610" s="0" t="n">
        <v>10</v>
      </c>
      <c r="C610" s="0" t="n">
        <v>2</v>
      </c>
      <c r="D610" s="0" t="n">
        <v>0.192</v>
      </c>
    </row>
    <row r="611" customFormat="false" ht="13.8" hidden="true" customHeight="false" outlineLevel="0" collapsed="false">
      <c r="A611" s="0" t="s">
        <v>218</v>
      </c>
      <c r="B611" s="0" t="n">
        <v>10</v>
      </c>
      <c r="C611" s="0" t="n">
        <v>2.05</v>
      </c>
      <c r="D611" s="0" t="n">
        <v>0.197</v>
      </c>
    </row>
    <row r="612" customFormat="false" ht="13.8" hidden="true" customHeight="false" outlineLevel="0" collapsed="false">
      <c r="A612" s="0" t="s">
        <v>218</v>
      </c>
      <c r="B612" s="0" t="n">
        <v>10</v>
      </c>
      <c r="C612" s="0" t="n">
        <v>2.1</v>
      </c>
      <c r="D612" s="0" t="n">
        <v>0.202</v>
      </c>
    </row>
    <row r="613" customFormat="false" ht="13.8" hidden="true" customHeight="false" outlineLevel="0" collapsed="false">
      <c r="A613" s="0" t="s">
        <v>218</v>
      </c>
      <c r="B613" s="0" t="n">
        <v>10</v>
      </c>
      <c r="C613" s="0" t="n">
        <v>2.15</v>
      </c>
      <c r="D613" s="0" t="n">
        <v>0.206712902</v>
      </c>
    </row>
    <row r="614" customFormat="false" ht="13.8" hidden="true" customHeight="false" outlineLevel="0" collapsed="false">
      <c r="A614" s="0" t="s">
        <v>218</v>
      </c>
      <c r="B614" s="0" t="n">
        <v>10</v>
      </c>
      <c r="C614" s="0" t="n">
        <v>2.2</v>
      </c>
      <c r="D614" s="0" t="n">
        <v>0.189921701</v>
      </c>
    </row>
    <row r="615" customFormat="false" ht="13.8" hidden="true" customHeight="false" outlineLevel="0" collapsed="false">
      <c r="A615" s="0" t="s">
        <v>218</v>
      </c>
      <c r="B615" s="0" t="n">
        <v>10</v>
      </c>
      <c r="C615" s="0" t="n">
        <v>2.25</v>
      </c>
      <c r="D615" s="0" t="n">
        <v>0.194238103</v>
      </c>
    </row>
    <row r="616" customFormat="false" ht="13.8" hidden="true" customHeight="false" outlineLevel="0" collapsed="false">
      <c r="A616" s="0" t="s">
        <v>218</v>
      </c>
      <c r="B616" s="0" t="n">
        <v>10</v>
      </c>
      <c r="C616" s="0" t="n">
        <v>2.3</v>
      </c>
      <c r="D616" s="0" t="n">
        <v>0.198554506</v>
      </c>
    </row>
    <row r="617" customFormat="false" ht="13.8" hidden="true" customHeight="false" outlineLevel="0" collapsed="false">
      <c r="A617" s="0" t="s">
        <v>218</v>
      </c>
      <c r="B617" s="0" t="n">
        <v>10</v>
      </c>
      <c r="C617" s="0" t="n">
        <v>2.35</v>
      </c>
      <c r="D617" s="0" t="n">
        <v>0.202870908</v>
      </c>
    </row>
    <row r="618" customFormat="false" ht="13.8" hidden="true" customHeight="false" outlineLevel="0" collapsed="false">
      <c r="A618" s="0" t="s">
        <v>218</v>
      </c>
      <c r="B618" s="0" t="n">
        <v>10</v>
      </c>
      <c r="C618" s="0" t="n">
        <v>2.4</v>
      </c>
      <c r="D618" s="0" t="n">
        <v>0.20718731</v>
      </c>
    </row>
    <row r="619" customFormat="false" ht="13.8" hidden="true" customHeight="false" outlineLevel="0" collapsed="false">
      <c r="A619" s="0" t="s">
        <v>218</v>
      </c>
      <c r="B619" s="0" t="n">
        <v>10</v>
      </c>
      <c r="C619" s="0" t="n">
        <v>2.45</v>
      </c>
      <c r="D619" s="0" t="n">
        <v>0.211503713</v>
      </c>
    </row>
    <row r="620" customFormat="false" ht="13.8" hidden="true" customHeight="false" outlineLevel="0" collapsed="false">
      <c r="A620" s="0" t="s">
        <v>218</v>
      </c>
      <c r="B620" s="0" t="n">
        <v>10</v>
      </c>
      <c r="C620" s="0" t="n">
        <v>2.5</v>
      </c>
      <c r="D620" s="0" t="n">
        <v>0.215820115</v>
      </c>
    </row>
    <row r="621" customFormat="false" ht="13.8" hidden="true" customHeight="false" outlineLevel="0" collapsed="false">
      <c r="A621" s="0" t="s">
        <v>218</v>
      </c>
      <c r="B621" s="0" t="n">
        <v>10</v>
      </c>
      <c r="C621" s="0" t="n">
        <v>2.55</v>
      </c>
      <c r="D621" s="0" t="n">
        <v>0.220136517</v>
      </c>
    </row>
    <row r="622" customFormat="false" ht="13.8" hidden="true" customHeight="false" outlineLevel="0" collapsed="false">
      <c r="A622" s="0" t="s">
        <v>218</v>
      </c>
      <c r="B622" s="0" t="n">
        <v>10</v>
      </c>
      <c r="C622" s="0" t="n">
        <v>2.6</v>
      </c>
      <c r="D622" s="0" t="n">
        <v>0.224452919</v>
      </c>
    </row>
    <row r="623" customFormat="false" ht="13.8" hidden="true" customHeight="false" outlineLevel="0" collapsed="false">
      <c r="A623" s="0" t="s">
        <v>218</v>
      </c>
      <c r="B623" s="0" t="n">
        <v>17</v>
      </c>
      <c r="C623" s="0" t="n">
        <v>1.3</v>
      </c>
      <c r="D623" s="0" t="n">
        <v>0</v>
      </c>
    </row>
    <row r="624" customFormat="false" ht="13.8" hidden="true" customHeight="false" outlineLevel="0" collapsed="false">
      <c r="A624" s="0" t="s">
        <v>218</v>
      </c>
      <c r="B624" s="0" t="n">
        <v>17</v>
      </c>
      <c r="C624" s="0" t="n">
        <v>1.35</v>
      </c>
      <c r="D624" s="0" t="n">
        <v>0</v>
      </c>
    </row>
    <row r="625" customFormat="false" ht="13.8" hidden="true" customHeight="false" outlineLevel="0" collapsed="false">
      <c r="A625" s="0" t="s">
        <v>218</v>
      </c>
      <c r="B625" s="0" t="n">
        <v>17</v>
      </c>
      <c r="C625" s="0" t="n">
        <v>1.4</v>
      </c>
      <c r="D625" s="0" t="n">
        <v>0</v>
      </c>
    </row>
    <row r="626" customFormat="false" ht="13.8" hidden="true" customHeight="false" outlineLevel="0" collapsed="false">
      <c r="A626" s="0" t="s">
        <v>218</v>
      </c>
      <c r="B626" s="0" t="n">
        <v>17</v>
      </c>
      <c r="C626" s="0" t="n">
        <v>1.45</v>
      </c>
      <c r="D626" s="0" t="n">
        <v>0</v>
      </c>
    </row>
    <row r="627" customFormat="false" ht="13.8" hidden="true" customHeight="false" outlineLevel="0" collapsed="false">
      <c r="A627" s="0" t="s">
        <v>218</v>
      </c>
      <c r="B627" s="0" t="n">
        <v>17</v>
      </c>
      <c r="C627" s="0" t="n">
        <v>1.5</v>
      </c>
      <c r="D627" s="0" t="n">
        <v>0</v>
      </c>
    </row>
    <row r="628" customFormat="false" ht="13.8" hidden="true" customHeight="false" outlineLevel="0" collapsed="false">
      <c r="A628" s="0" t="s">
        <v>218</v>
      </c>
      <c r="B628" s="0" t="n">
        <v>17</v>
      </c>
      <c r="C628" s="0" t="n">
        <v>1.55</v>
      </c>
      <c r="D628" s="0" t="n">
        <v>0</v>
      </c>
    </row>
    <row r="629" customFormat="false" ht="13.8" hidden="true" customHeight="false" outlineLevel="0" collapsed="false">
      <c r="A629" s="0" t="s">
        <v>218</v>
      </c>
      <c r="B629" s="0" t="n">
        <v>17</v>
      </c>
      <c r="C629" s="0" t="n">
        <v>1.6</v>
      </c>
      <c r="D629" s="0" t="n">
        <v>0.273</v>
      </c>
    </row>
    <row r="630" customFormat="false" ht="13.8" hidden="true" customHeight="false" outlineLevel="0" collapsed="false">
      <c r="A630" s="0" t="s">
        <v>218</v>
      </c>
      <c r="B630" s="0" t="n">
        <v>17</v>
      </c>
      <c r="C630" s="0" t="n">
        <v>1.65</v>
      </c>
      <c r="D630" s="0" t="n">
        <v>0.281</v>
      </c>
    </row>
    <row r="631" customFormat="false" ht="13.8" hidden="true" customHeight="false" outlineLevel="0" collapsed="false">
      <c r="A631" s="0" t="s">
        <v>218</v>
      </c>
      <c r="B631" s="0" t="n">
        <v>17</v>
      </c>
      <c r="C631" s="0" t="n">
        <v>1.7</v>
      </c>
      <c r="D631" s="0" t="n">
        <v>0.29</v>
      </c>
    </row>
    <row r="632" customFormat="false" ht="13.8" hidden="true" customHeight="false" outlineLevel="0" collapsed="false">
      <c r="A632" s="0" t="s">
        <v>218</v>
      </c>
      <c r="B632" s="0" t="n">
        <v>17</v>
      </c>
      <c r="C632" s="0" t="n">
        <v>1.75</v>
      </c>
      <c r="D632" s="0" t="n">
        <v>0.298499907</v>
      </c>
    </row>
    <row r="633" customFormat="false" ht="13.8" hidden="true" customHeight="false" outlineLevel="0" collapsed="false">
      <c r="A633" s="0" t="s">
        <v>218</v>
      </c>
      <c r="B633" s="0" t="n">
        <v>17</v>
      </c>
      <c r="C633" s="0" t="n">
        <v>1.8</v>
      </c>
      <c r="D633" s="0" t="n">
        <v>0</v>
      </c>
    </row>
    <row r="634" customFormat="false" ht="13.8" hidden="true" customHeight="false" outlineLevel="0" collapsed="false">
      <c r="A634" s="0" t="s">
        <v>218</v>
      </c>
      <c r="B634" s="0" t="n">
        <v>17</v>
      </c>
      <c r="C634" s="0" t="n">
        <v>1.85</v>
      </c>
      <c r="D634" s="0" t="n">
        <v>0</v>
      </c>
    </row>
    <row r="635" customFormat="false" ht="13.8" hidden="true" customHeight="false" outlineLevel="0" collapsed="false">
      <c r="A635" s="0" t="s">
        <v>218</v>
      </c>
      <c r="B635" s="0" t="n">
        <v>17</v>
      </c>
      <c r="C635" s="0" t="n">
        <v>1.9</v>
      </c>
      <c r="D635" s="0" t="n">
        <v>0</v>
      </c>
    </row>
    <row r="636" customFormat="false" ht="13.8" hidden="true" customHeight="false" outlineLevel="0" collapsed="false">
      <c r="A636" s="0" t="s">
        <v>218</v>
      </c>
      <c r="B636" s="0" t="n">
        <v>17</v>
      </c>
      <c r="C636" s="0" t="n">
        <v>1.95</v>
      </c>
      <c r="D636" s="0" t="n">
        <v>0</v>
      </c>
    </row>
    <row r="637" customFormat="false" ht="13.8" hidden="true" customHeight="false" outlineLevel="0" collapsed="false">
      <c r="A637" s="0" t="s">
        <v>218</v>
      </c>
      <c r="B637" s="0" t="n">
        <v>17</v>
      </c>
      <c r="C637" s="0" t="n">
        <v>2</v>
      </c>
      <c r="D637" s="0" t="n">
        <v>0</v>
      </c>
    </row>
    <row r="638" customFormat="false" ht="13.8" hidden="true" customHeight="false" outlineLevel="0" collapsed="false">
      <c r="A638" s="0" t="s">
        <v>218</v>
      </c>
      <c r="B638" s="0" t="n">
        <v>17</v>
      </c>
      <c r="C638" s="0" t="n">
        <v>2.05</v>
      </c>
      <c r="D638" s="0" t="n">
        <v>0</v>
      </c>
    </row>
    <row r="639" customFormat="false" ht="13.8" hidden="true" customHeight="false" outlineLevel="0" collapsed="false">
      <c r="A639" s="0" t="s">
        <v>218</v>
      </c>
      <c r="B639" s="0" t="n">
        <v>17</v>
      </c>
      <c r="C639" s="0" t="n">
        <v>2.1</v>
      </c>
      <c r="D639" s="0" t="n">
        <v>0</v>
      </c>
    </row>
    <row r="640" customFormat="false" ht="13.8" hidden="true" customHeight="false" outlineLevel="0" collapsed="false">
      <c r="A640" s="0" t="s">
        <v>218</v>
      </c>
      <c r="B640" s="0" t="n">
        <v>17</v>
      </c>
      <c r="C640" s="0" t="n">
        <v>2.15</v>
      </c>
      <c r="D640" s="0" t="n">
        <v>0</v>
      </c>
    </row>
    <row r="641" customFormat="false" ht="13.8" hidden="true" customHeight="false" outlineLevel="0" collapsed="false">
      <c r="A641" s="0" t="s">
        <v>218</v>
      </c>
      <c r="B641" s="0" t="n">
        <v>17</v>
      </c>
      <c r="C641" s="0" t="n">
        <v>2.2</v>
      </c>
      <c r="D641" s="0" t="n">
        <v>0</v>
      </c>
    </row>
    <row r="642" customFormat="false" ht="13.8" hidden="true" customHeight="false" outlineLevel="0" collapsed="false">
      <c r="A642" s="0" t="s">
        <v>218</v>
      </c>
      <c r="B642" s="0" t="n">
        <v>17</v>
      </c>
      <c r="C642" s="0" t="n">
        <v>2.25</v>
      </c>
      <c r="D642" s="0" t="n">
        <v>0</v>
      </c>
    </row>
    <row r="643" customFormat="false" ht="13.8" hidden="true" customHeight="false" outlineLevel="0" collapsed="false">
      <c r="A643" s="0" t="s">
        <v>218</v>
      </c>
      <c r="B643" s="0" t="n">
        <v>17</v>
      </c>
      <c r="C643" s="0" t="n">
        <v>2.3</v>
      </c>
      <c r="D643" s="0" t="n">
        <v>0</v>
      </c>
    </row>
    <row r="644" customFormat="false" ht="13.8" hidden="true" customHeight="false" outlineLevel="0" collapsed="false">
      <c r="A644" s="0" t="s">
        <v>218</v>
      </c>
      <c r="B644" s="0" t="n">
        <v>17</v>
      </c>
      <c r="C644" s="0" t="n">
        <v>2.35</v>
      </c>
      <c r="D644" s="0" t="n">
        <v>0</v>
      </c>
    </row>
    <row r="645" customFormat="false" ht="13.8" hidden="true" customHeight="false" outlineLevel="0" collapsed="false">
      <c r="A645" s="0" t="s">
        <v>218</v>
      </c>
      <c r="B645" s="0" t="n">
        <v>17</v>
      </c>
      <c r="C645" s="0" t="n">
        <v>2.4</v>
      </c>
      <c r="D645" s="0" t="n">
        <v>0</v>
      </c>
    </row>
    <row r="646" customFormat="false" ht="13.8" hidden="true" customHeight="false" outlineLevel="0" collapsed="false">
      <c r="A646" s="0" t="s">
        <v>218</v>
      </c>
      <c r="B646" s="0" t="n">
        <v>17</v>
      </c>
      <c r="C646" s="0" t="n">
        <v>2.45</v>
      </c>
      <c r="D646" s="0" t="n">
        <v>0</v>
      </c>
    </row>
    <row r="647" customFormat="false" ht="13.8" hidden="true" customHeight="false" outlineLevel="0" collapsed="false">
      <c r="A647" s="0" t="s">
        <v>218</v>
      </c>
      <c r="B647" s="0" t="n">
        <v>17</v>
      </c>
      <c r="C647" s="0" t="n">
        <v>2.5</v>
      </c>
      <c r="D647" s="0" t="n">
        <v>0</v>
      </c>
    </row>
    <row r="648" customFormat="false" ht="13.8" hidden="true" customHeight="false" outlineLevel="0" collapsed="false">
      <c r="A648" s="0" t="s">
        <v>218</v>
      </c>
      <c r="B648" s="0" t="n">
        <v>17</v>
      </c>
      <c r="C648" s="0" t="n">
        <v>2.55</v>
      </c>
      <c r="D648" s="0" t="n">
        <v>0</v>
      </c>
    </row>
    <row r="649" customFormat="false" ht="13.8" hidden="true" customHeight="false" outlineLevel="0" collapsed="false">
      <c r="A649" s="0" t="s">
        <v>218</v>
      </c>
      <c r="B649" s="0" t="n">
        <v>17</v>
      </c>
      <c r="C649" s="0" t="n">
        <v>2.6</v>
      </c>
      <c r="D649" s="0" t="n">
        <v>0</v>
      </c>
    </row>
    <row r="650" customFormat="false" ht="13.8" hidden="true" customHeight="false" outlineLevel="0" collapsed="false">
      <c r="A650" s="0" t="s">
        <v>627</v>
      </c>
      <c r="B650" s="0" t="n">
        <v>10</v>
      </c>
      <c r="C650" s="0" t="n">
        <v>1.3</v>
      </c>
      <c r="D650" s="0" t="n">
        <v>0</v>
      </c>
    </row>
    <row r="651" customFormat="false" ht="13.8" hidden="true" customHeight="false" outlineLevel="0" collapsed="false">
      <c r="A651" s="0" t="s">
        <v>627</v>
      </c>
      <c r="B651" s="0" t="n">
        <v>10</v>
      </c>
      <c r="C651" s="0" t="n">
        <v>1.35</v>
      </c>
      <c r="D651" s="0" t="n">
        <v>0</v>
      </c>
    </row>
    <row r="652" customFormat="false" ht="13.8" hidden="true" customHeight="false" outlineLevel="0" collapsed="false">
      <c r="A652" s="0" t="s">
        <v>627</v>
      </c>
      <c r="B652" s="0" t="n">
        <v>10</v>
      </c>
      <c r="C652" s="0" t="n">
        <v>1.4</v>
      </c>
      <c r="D652" s="0" t="n">
        <v>0</v>
      </c>
    </row>
    <row r="653" customFormat="false" ht="13.8" hidden="true" customHeight="false" outlineLevel="0" collapsed="false">
      <c r="A653" s="0" t="s">
        <v>627</v>
      </c>
      <c r="B653" s="0" t="n">
        <v>10</v>
      </c>
      <c r="C653" s="0" t="n">
        <v>1.45</v>
      </c>
      <c r="D653" s="0" t="n">
        <v>0</v>
      </c>
    </row>
    <row r="654" customFormat="false" ht="13.8" hidden="true" customHeight="false" outlineLevel="0" collapsed="false">
      <c r="A654" s="0" t="s">
        <v>627</v>
      </c>
      <c r="B654" s="0" t="n">
        <v>10</v>
      </c>
      <c r="C654" s="0" t="n">
        <v>1.5</v>
      </c>
      <c r="D654" s="0" t="n">
        <v>0</v>
      </c>
    </row>
    <row r="655" customFormat="false" ht="13.8" hidden="true" customHeight="false" outlineLevel="0" collapsed="false">
      <c r="A655" s="0" t="s">
        <v>627</v>
      </c>
      <c r="B655" s="0" t="n">
        <v>10</v>
      </c>
      <c r="C655" s="0" t="n">
        <v>1.55</v>
      </c>
      <c r="D655" s="0" t="n">
        <v>0</v>
      </c>
    </row>
    <row r="656" customFormat="false" ht="13.8" hidden="true" customHeight="false" outlineLevel="0" collapsed="false">
      <c r="A656" s="0" t="s">
        <v>627</v>
      </c>
      <c r="B656" s="0" t="n">
        <v>10</v>
      </c>
      <c r="C656" s="0" t="n">
        <v>1.6</v>
      </c>
      <c r="D656" s="0" t="n">
        <v>0.136</v>
      </c>
    </row>
    <row r="657" customFormat="false" ht="13.8" hidden="true" customHeight="false" outlineLevel="0" collapsed="false">
      <c r="A657" s="0" t="s">
        <v>627</v>
      </c>
      <c r="B657" s="0" t="n">
        <v>10</v>
      </c>
      <c r="C657" s="0" t="n">
        <v>1.65</v>
      </c>
      <c r="D657" s="0" t="n">
        <v>0.141</v>
      </c>
    </row>
    <row r="658" customFormat="false" ht="13.8" hidden="true" customHeight="false" outlineLevel="0" collapsed="false">
      <c r="A658" s="0" t="s">
        <v>627</v>
      </c>
      <c r="B658" s="0" t="n">
        <v>10</v>
      </c>
      <c r="C658" s="0" t="n">
        <v>1.7</v>
      </c>
      <c r="D658" s="0" t="n">
        <v>0.145</v>
      </c>
    </row>
    <row r="659" customFormat="false" ht="13.8" hidden="true" customHeight="false" outlineLevel="0" collapsed="false">
      <c r="A659" s="0" t="s">
        <v>627</v>
      </c>
      <c r="B659" s="0" t="n">
        <v>10</v>
      </c>
      <c r="C659" s="0" t="n">
        <v>1.75</v>
      </c>
      <c r="D659" s="0" t="n">
        <v>0.149</v>
      </c>
    </row>
    <row r="660" customFormat="false" ht="13.8" hidden="true" customHeight="false" outlineLevel="0" collapsed="false">
      <c r="A660" s="0" t="s">
        <v>627</v>
      </c>
      <c r="B660" s="0" t="n">
        <v>10</v>
      </c>
      <c r="C660" s="0" t="n">
        <v>1.8</v>
      </c>
      <c r="D660" s="0" t="n">
        <v>0.163</v>
      </c>
    </row>
    <row r="661" customFormat="false" ht="13.8" hidden="true" customHeight="false" outlineLevel="0" collapsed="false">
      <c r="A661" s="0" t="s">
        <v>627</v>
      </c>
      <c r="B661" s="0" t="n">
        <v>10</v>
      </c>
      <c r="C661" s="0" t="n">
        <v>1.85</v>
      </c>
      <c r="D661" s="0" t="n">
        <v>0.168</v>
      </c>
    </row>
    <row r="662" customFormat="false" ht="13.8" hidden="true" customHeight="false" outlineLevel="0" collapsed="false">
      <c r="A662" s="0" t="s">
        <v>627</v>
      </c>
      <c r="B662" s="0" t="n">
        <v>10</v>
      </c>
      <c r="C662" s="0" t="n">
        <v>1.9</v>
      </c>
      <c r="D662" s="0" t="n">
        <v>0.172</v>
      </c>
    </row>
    <row r="663" customFormat="false" ht="13.8" hidden="true" customHeight="false" outlineLevel="0" collapsed="false">
      <c r="A663" s="0" t="s">
        <v>627</v>
      </c>
      <c r="B663" s="0" t="n">
        <v>10</v>
      </c>
      <c r="C663" s="0" t="n">
        <v>1.95</v>
      </c>
      <c r="D663" s="0" t="n">
        <v>0.177</v>
      </c>
    </row>
    <row r="664" customFormat="false" ht="13.8" hidden="true" customHeight="false" outlineLevel="0" collapsed="false">
      <c r="A664" s="0" t="s">
        <v>627</v>
      </c>
      <c r="B664" s="0" t="n">
        <v>10</v>
      </c>
      <c r="C664" s="0" t="n">
        <v>2</v>
      </c>
      <c r="D664" s="0" t="n">
        <v>0.192</v>
      </c>
    </row>
    <row r="665" customFormat="false" ht="13.8" hidden="true" customHeight="false" outlineLevel="0" collapsed="false">
      <c r="A665" s="0" t="s">
        <v>627</v>
      </c>
      <c r="B665" s="0" t="n">
        <v>10</v>
      </c>
      <c r="C665" s="0" t="n">
        <v>2.05</v>
      </c>
      <c r="D665" s="0" t="n">
        <v>0.197</v>
      </c>
    </row>
    <row r="666" customFormat="false" ht="13.8" hidden="true" customHeight="false" outlineLevel="0" collapsed="false">
      <c r="A666" s="0" t="s">
        <v>627</v>
      </c>
      <c r="B666" s="0" t="n">
        <v>10</v>
      </c>
      <c r="C666" s="0" t="n">
        <v>2.1</v>
      </c>
      <c r="D666" s="0" t="n">
        <v>0.202</v>
      </c>
    </row>
    <row r="667" customFormat="false" ht="13.8" hidden="true" customHeight="false" outlineLevel="0" collapsed="false">
      <c r="A667" s="0" t="s">
        <v>627</v>
      </c>
      <c r="B667" s="0" t="n">
        <v>10</v>
      </c>
      <c r="C667" s="0" t="n">
        <v>2.15</v>
      </c>
      <c r="D667" s="0" t="n">
        <v>0.206712902</v>
      </c>
    </row>
    <row r="668" customFormat="false" ht="13.8" hidden="true" customHeight="false" outlineLevel="0" collapsed="false">
      <c r="A668" s="0" t="s">
        <v>627</v>
      </c>
      <c r="B668" s="0" t="n">
        <v>10</v>
      </c>
      <c r="C668" s="0" t="n">
        <v>2.2</v>
      </c>
      <c r="D668" s="0" t="n">
        <v>0.189921701</v>
      </c>
    </row>
    <row r="669" customFormat="false" ht="13.8" hidden="true" customHeight="false" outlineLevel="0" collapsed="false">
      <c r="A669" s="0" t="s">
        <v>627</v>
      </c>
      <c r="B669" s="0" t="n">
        <v>10</v>
      </c>
      <c r="C669" s="0" t="n">
        <v>2.25</v>
      </c>
      <c r="D669" s="0" t="n">
        <v>0.194238103</v>
      </c>
    </row>
    <row r="670" customFormat="false" ht="13.8" hidden="true" customHeight="false" outlineLevel="0" collapsed="false">
      <c r="A670" s="0" t="s">
        <v>627</v>
      </c>
      <c r="B670" s="0" t="n">
        <v>10</v>
      </c>
      <c r="C670" s="0" t="n">
        <v>2.3</v>
      </c>
      <c r="D670" s="0" t="n">
        <v>0.198554506</v>
      </c>
    </row>
    <row r="671" customFormat="false" ht="13.8" hidden="true" customHeight="false" outlineLevel="0" collapsed="false">
      <c r="A671" s="0" t="s">
        <v>627</v>
      </c>
      <c r="B671" s="0" t="n">
        <v>10</v>
      </c>
      <c r="C671" s="0" t="n">
        <v>2.35</v>
      </c>
      <c r="D671" s="0" t="n">
        <v>0.202870908</v>
      </c>
    </row>
    <row r="672" customFormat="false" ht="13.8" hidden="true" customHeight="false" outlineLevel="0" collapsed="false">
      <c r="A672" s="0" t="s">
        <v>627</v>
      </c>
      <c r="B672" s="0" t="n">
        <v>10</v>
      </c>
      <c r="C672" s="0" t="n">
        <v>2.4</v>
      </c>
      <c r="D672" s="0" t="n">
        <v>0.20718731</v>
      </c>
    </row>
    <row r="673" customFormat="false" ht="13.8" hidden="true" customHeight="false" outlineLevel="0" collapsed="false">
      <c r="A673" s="0" t="s">
        <v>627</v>
      </c>
      <c r="B673" s="0" t="n">
        <v>10</v>
      </c>
      <c r="C673" s="0" t="n">
        <v>2.45</v>
      </c>
      <c r="D673" s="0" t="n">
        <v>0.211503713</v>
      </c>
    </row>
    <row r="674" customFormat="false" ht="13.8" hidden="true" customHeight="false" outlineLevel="0" collapsed="false">
      <c r="A674" s="0" t="s">
        <v>627</v>
      </c>
      <c r="B674" s="0" t="n">
        <v>10</v>
      </c>
      <c r="C674" s="0" t="n">
        <v>2.5</v>
      </c>
      <c r="D674" s="0" t="n">
        <v>0.215820115</v>
      </c>
    </row>
    <row r="675" customFormat="false" ht="13.8" hidden="true" customHeight="false" outlineLevel="0" collapsed="false">
      <c r="A675" s="0" t="s">
        <v>627</v>
      </c>
      <c r="B675" s="0" t="n">
        <v>10</v>
      </c>
      <c r="C675" s="0" t="n">
        <v>2.55</v>
      </c>
      <c r="D675" s="0" t="n">
        <v>0.220136517</v>
      </c>
    </row>
    <row r="676" customFormat="false" ht="13.8" hidden="true" customHeight="false" outlineLevel="0" collapsed="false">
      <c r="A676" s="0" t="s">
        <v>627</v>
      </c>
      <c r="B676" s="0" t="n">
        <v>10</v>
      </c>
      <c r="C676" s="0" t="n">
        <v>2.6</v>
      </c>
      <c r="D676" s="0" t="n">
        <v>0.224452919</v>
      </c>
    </row>
    <row r="677" customFormat="false" ht="13.8" hidden="true" customHeight="false" outlineLevel="0" collapsed="false">
      <c r="A677" s="0" t="s">
        <v>627</v>
      </c>
      <c r="B677" s="0" t="n">
        <v>17</v>
      </c>
      <c r="C677" s="0" t="n">
        <v>1.3</v>
      </c>
      <c r="D677" s="0" t="n">
        <v>0</v>
      </c>
    </row>
    <row r="678" customFormat="false" ht="13.8" hidden="true" customHeight="false" outlineLevel="0" collapsed="false">
      <c r="A678" s="0" t="s">
        <v>627</v>
      </c>
      <c r="B678" s="0" t="n">
        <v>17</v>
      </c>
      <c r="C678" s="0" t="n">
        <v>1.35</v>
      </c>
      <c r="D678" s="0" t="n">
        <v>0</v>
      </c>
    </row>
    <row r="679" customFormat="false" ht="13.8" hidden="true" customHeight="false" outlineLevel="0" collapsed="false">
      <c r="A679" s="0" t="s">
        <v>627</v>
      </c>
      <c r="B679" s="0" t="n">
        <v>17</v>
      </c>
      <c r="C679" s="0" t="n">
        <v>1.4</v>
      </c>
      <c r="D679" s="0" t="n">
        <v>0</v>
      </c>
    </row>
    <row r="680" customFormat="false" ht="13.8" hidden="true" customHeight="false" outlineLevel="0" collapsed="false">
      <c r="A680" s="0" t="s">
        <v>627</v>
      </c>
      <c r="B680" s="0" t="n">
        <v>17</v>
      </c>
      <c r="C680" s="0" t="n">
        <v>1.45</v>
      </c>
      <c r="D680" s="0" t="n">
        <v>0</v>
      </c>
    </row>
    <row r="681" customFormat="false" ht="13.8" hidden="true" customHeight="false" outlineLevel="0" collapsed="false">
      <c r="A681" s="0" t="s">
        <v>627</v>
      </c>
      <c r="B681" s="0" t="n">
        <v>17</v>
      </c>
      <c r="C681" s="0" t="n">
        <v>1.5</v>
      </c>
      <c r="D681" s="0" t="n">
        <v>0</v>
      </c>
    </row>
    <row r="682" customFormat="false" ht="13.8" hidden="true" customHeight="false" outlineLevel="0" collapsed="false">
      <c r="A682" s="0" t="s">
        <v>627</v>
      </c>
      <c r="B682" s="0" t="n">
        <v>17</v>
      </c>
      <c r="C682" s="0" t="n">
        <v>1.55</v>
      </c>
      <c r="D682" s="0" t="n">
        <v>0</v>
      </c>
    </row>
    <row r="683" customFormat="false" ht="13.8" hidden="true" customHeight="false" outlineLevel="0" collapsed="false">
      <c r="A683" s="0" t="s">
        <v>627</v>
      </c>
      <c r="B683" s="0" t="n">
        <v>17</v>
      </c>
      <c r="C683" s="0" t="n">
        <v>1.6</v>
      </c>
      <c r="D683" s="0" t="n">
        <v>0.273</v>
      </c>
    </row>
    <row r="684" customFormat="false" ht="13.8" hidden="true" customHeight="false" outlineLevel="0" collapsed="false">
      <c r="A684" s="0" t="s">
        <v>627</v>
      </c>
      <c r="B684" s="0" t="n">
        <v>17</v>
      </c>
      <c r="C684" s="0" t="n">
        <v>1.65</v>
      </c>
      <c r="D684" s="0" t="n">
        <v>0.281</v>
      </c>
    </row>
    <row r="685" customFormat="false" ht="13.8" hidden="true" customHeight="false" outlineLevel="0" collapsed="false">
      <c r="A685" s="0" t="s">
        <v>627</v>
      </c>
      <c r="B685" s="0" t="n">
        <v>17</v>
      </c>
      <c r="C685" s="0" t="n">
        <v>1.7</v>
      </c>
      <c r="D685" s="0" t="n">
        <v>0.29</v>
      </c>
    </row>
    <row r="686" customFormat="false" ht="13.8" hidden="true" customHeight="false" outlineLevel="0" collapsed="false">
      <c r="A686" s="0" t="s">
        <v>627</v>
      </c>
      <c r="B686" s="0" t="n">
        <v>17</v>
      </c>
      <c r="C686" s="0" t="n">
        <v>1.75</v>
      </c>
      <c r="D686" s="0" t="n">
        <v>0.298</v>
      </c>
    </row>
    <row r="687" customFormat="false" ht="13.8" hidden="true" customHeight="false" outlineLevel="0" collapsed="false">
      <c r="A687" s="0" t="s">
        <v>627</v>
      </c>
      <c r="B687" s="0" t="n">
        <v>17</v>
      </c>
      <c r="C687" s="0" t="n">
        <v>1.8</v>
      </c>
      <c r="D687" s="0" t="n">
        <v>0</v>
      </c>
    </row>
    <row r="688" customFormat="false" ht="13.8" hidden="true" customHeight="false" outlineLevel="0" collapsed="false">
      <c r="A688" s="0" t="s">
        <v>627</v>
      </c>
      <c r="B688" s="0" t="n">
        <v>17</v>
      </c>
      <c r="C688" s="0" t="n">
        <v>1.85</v>
      </c>
      <c r="D688" s="0" t="n">
        <v>0</v>
      </c>
    </row>
    <row r="689" customFormat="false" ht="13.8" hidden="true" customHeight="false" outlineLevel="0" collapsed="false">
      <c r="A689" s="0" t="s">
        <v>627</v>
      </c>
      <c r="B689" s="0" t="n">
        <v>17</v>
      </c>
      <c r="C689" s="0" t="n">
        <v>1.9</v>
      </c>
      <c r="D689" s="0" t="n">
        <v>0</v>
      </c>
    </row>
    <row r="690" customFormat="false" ht="13.8" hidden="true" customHeight="false" outlineLevel="0" collapsed="false">
      <c r="A690" s="0" t="s">
        <v>627</v>
      </c>
      <c r="B690" s="0" t="n">
        <v>17</v>
      </c>
      <c r="C690" s="0" t="n">
        <v>1.95</v>
      </c>
      <c r="D690" s="0" t="n">
        <v>0</v>
      </c>
    </row>
    <row r="691" customFormat="false" ht="13.8" hidden="true" customHeight="false" outlineLevel="0" collapsed="false">
      <c r="A691" s="0" t="s">
        <v>627</v>
      </c>
      <c r="B691" s="0" t="n">
        <v>17</v>
      </c>
      <c r="C691" s="0" t="n">
        <v>2</v>
      </c>
      <c r="D691" s="0" t="n">
        <v>0</v>
      </c>
    </row>
    <row r="692" customFormat="false" ht="13.8" hidden="true" customHeight="false" outlineLevel="0" collapsed="false">
      <c r="A692" s="0" t="s">
        <v>627</v>
      </c>
      <c r="B692" s="0" t="n">
        <v>17</v>
      </c>
      <c r="C692" s="0" t="n">
        <v>2.05</v>
      </c>
      <c r="D692" s="0" t="n">
        <v>0</v>
      </c>
    </row>
    <row r="693" customFormat="false" ht="13.8" hidden="true" customHeight="false" outlineLevel="0" collapsed="false">
      <c r="A693" s="0" t="s">
        <v>627</v>
      </c>
      <c r="B693" s="0" t="n">
        <v>17</v>
      </c>
      <c r="C693" s="0" t="n">
        <v>2.1</v>
      </c>
      <c r="D693" s="0" t="n">
        <v>0</v>
      </c>
    </row>
    <row r="694" customFormat="false" ht="13.8" hidden="true" customHeight="false" outlineLevel="0" collapsed="false">
      <c r="A694" s="0" t="s">
        <v>627</v>
      </c>
      <c r="B694" s="0" t="n">
        <v>17</v>
      </c>
      <c r="C694" s="0" t="n">
        <v>2.15</v>
      </c>
      <c r="D694" s="0" t="n">
        <v>0</v>
      </c>
    </row>
    <row r="695" customFormat="false" ht="13.8" hidden="true" customHeight="false" outlineLevel="0" collapsed="false">
      <c r="A695" s="0" t="s">
        <v>627</v>
      </c>
      <c r="B695" s="0" t="n">
        <v>17</v>
      </c>
      <c r="C695" s="0" t="n">
        <v>2.2</v>
      </c>
      <c r="D695" s="0" t="n">
        <v>0</v>
      </c>
    </row>
    <row r="696" customFormat="false" ht="13.8" hidden="true" customHeight="false" outlineLevel="0" collapsed="false">
      <c r="A696" s="0" t="s">
        <v>627</v>
      </c>
      <c r="B696" s="0" t="n">
        <v>17</v>
      </c>
      <c r="C696" s="0" t="n">
        <v>2.25</v>
      </c>
      <c r="D696" s="0" t="n">
        <v>0</v>
      </c>
    </row>
    <row r="697" customFormat="false" ht="13.8" hidden="true" customHeight="false" outlineLevel="0" collapsed="false">
      <c r="A697" s="0" t="s">
        <v>627</v>
      </c>
      <c r="B697" s="0" t="n">
        <v>17</v>
      </c>
      <c r="C697" s="0" t="n">
        <v>2.3</v>
      </c>
      <c r="D697" s="0" t="n">
        <v>0</v>
      </c>
    </row>
    <row r="698" customFormat="false" ht="13.8" hidden="true" customHeight="false" outlineLevel="0" collapsed="false">
      <c r="A698" s="0" t="s">
        <v>627</v>
      </c>
      <c r="B698" s="0" t="n">
        <v>17</v>
      </c>
      <c r="C698" s="0" t="n">
        <v>2.35</v>
      </c>
      <c r="D698" s="0" t="n">
        <v>0</v>
      </c>
    </row>
    <row r="699" customFormat="false" ht="13.8" hidden="true" customHeight="false" outlineLevel="0" collapsed="false">
      <c r="A699" s="0" t="s">
        <v>627</v>
      </c>
      <c r="B699" s="0" t="n">
        <v>17</v>
      </c>
      <c r="C699" s="0" t="n">
        <v>2.4</v>
      </c>
      <c r="D699" s="0" t="n">
        <v>0</v>
      </c>
    </row>
    <row r="700" customFormat="false" ht="13.8" hidden="true" customHeight="false" outlineLevel="0" collapsed="false">
      <c r="A700" s="0" t="s">
        <v>627</v>
      </c>
      <c r="B700" s="0" t="n">
        <v>17</v>
      </c>
      <c r="C700" s="0" t="n">
        <v>2.45</v>
      </c>
      <c r="D700" s="0" t="n">
        <v>0</v>
      </c>
    </row>
    <row r="701" customFormat="false" ht="13.8" hidden="true" customHeight="false" outlineLevel="0" collapsed="false">
      <c r="A701" s="0" t="s">
        <v>627</v>
      </c>
      <c r="B701" s="0" t="n">
        <v>17</v>
      </c>
      <c r="C701" s="0" t="n">
        <v>2.5</v>
      </c>
      <c r="D701" s="0" t="n">
        <v>0</v>
      </c>
    </row>
    <row r="702" customFormat="false" ht="13.8" hidden="true" customHeight="false" outlineLevel="0" collapsed="false">
      <c r="A702" s="0" t="s">
        <v>627</v>
      </c>
      <c r="B702" s="0" t="n">
        <v>17</v>
      </c>
      <c r="C702" s="0" t="n">
        <v>2.55</v>
      </c>
      <c r="D702" s="0" t="n">
        <v>0</v>
      </c>
    </row>
    <row r="703" customFormat="false" ht="13.8" hidden="true" customHeight="false" outlineLevel="0" collapsed="false">
      <c r="A703" s="0" t="s">
        <v>627</v>
      </c>
      <c r="B703" s="0" t="n">
        <v>17</v>
      </c>
      <c r="C703" s="0" t="n">
        <v>2.6</v>
      </c>
      <c r="D703" s="0" t="n">
        <v>0</v>
      </c>
    </row>
    <row r="704" customFormat="false" ht="13.8" hidden="true" customHeight="false" outlineLevel="0" collapsed="false">
      <c r="A704" s="0" t="s">
        <v>630</v>
      </c>
      <c r="B704" s="0" t="n">
        <v>10</v>
      </c>
      <c r="C704" s="0" t="n">
        <v>1.3</v>
      </c>
      <c r="D704" s="0" t="n">
        <v>0</v>
      </c>
    </row>
    <row r="705" customFormat="false" ht="13.8" hidden="true" customHeight="false" outlineLevel="0" collapsed="false">
      <c r="A705" s="0" t="s">
        <v>630</v>
      </c>
      <c r="B705" s="0" t="n">
        <v>10</v>
      </c>
      <c r="C705" s="0" t="n">
        <v>1.35</v>
      </c>
      <c r="D705" s="0" t="n">
        <v>0</v>
      </c>
    </row>
    <row r="706" customFormat="false" ht="13.8" hidden="true" customHeight="false" outlineLevel="0" collapsed="false">
      <c r="A706" s="0" t="s">
        <v>630</v>
      </c>
      <c r="B706" s="0" t="n">
        <v>10</v>
      </c>
      <c r="C706" s="0" t="n">
        <v>1.4</v>
      </c>
      <c r="D706" s="0" t="n">
        <v>0</v>
      </c>
    </row>
    <row r="707" customFormat="false" ht="13.8" hidden="true" customHeight="false" outlineLevel="0" collapsed="false">
      <c r="A707" s="0" t="s">
        <v>630</v>
      </c>
      <c r="B707" s="0" t="n">
        <v>10</v>
      </c>
      <c r="C707" s="0" t="n">
        <v>1.45</v>
      </c>
      <c r="D707" s="0" t="n">
        <v>0</v>
      </c>
    </row>
    <row r="708" customFormat="false" ht="13.8" hidden="true" customHeight="false" outlineLevel="0" collapsed="false">
      <c r="A708" s="0" t="s">
        <v>630</v>
      </c>
      <c r="B708" s="0" t="n">
        <v>10</v>
      </c>
      <c r="C708" s="0" t="n">
        <v>1.5</v>
      </c>
      <c r="D708" s="0" t="n">
        <v>0</v>
      </c>
    </row>
    <row r="709" customFormat="false" ht="13.8" hidden="true" customHeight="false" outlineLevel="0" collapsed="false">
      <c r="A709" s="0" t="s">
        <v>630</v>
      </c>
      <c r="B709" s="0" t="n">
        <v>10</v>
      </c>
      <c r="C709" s="0" t="n">
        <v>1.55</v>
      </c>
      <c r="D709" s="0" t="n">
        <v>0</v>
      </c>
    </row>
    <row r="710" customFormat="false" ht="13.8" hidden="true" customHeight="false" outlineLevel="0" collapsed="false">
      <c r="A710" s="0" t="s">
        <v>630</v>
      </c>
      <c r="B710" s="0" t="n">
        <v>10</v>
      </c>
      <c r="C710" s="0" t="n">
        <v>1.6</v>
      </c>
      <c r="D710" s="0" t="n">
        <v>0.136</v>
      </c>
    </row>
    <row r="711" customFormat="false" ht="13.8" hidden="true" customHeight="false" outlineLevel="0" collapsed="false">
      <c r="A711" s="0" t="s">
        <v>630</v>
      </c>
      <c r="B711" s="0" t="n">
        <v>10</v>
      </c>
      <c r="C711" s="0" t="n">
        <v>1.65</v>
      </c>
      <c r="D711" s="0" t="n">
        <v>0.141</v>
      </c>
    </row>
    <row r="712" customFormat="false" ht="13.8" hidden="true" customHeight="false" outlineLevel="0" collapsed="false">
      <c r="A712" s="0" t="s">
        <v>630</v>
      </c>
      <c r="B712" s="0" t="n">
        <v>10</v>
      </c>
      <c r="C712" s="0" t="n">
        <v>1.7</v>
      </c>
      <c r="D712" s="0" t="n">
        <v>0.145</v>
      </c>
    </row>
    <row r="713" customFormat="false" ht="13.8" hidden="true" customHeight="false" outlineLevel="0" collapsed="false">
      <c r="A713" s="0" t="s">
        <v>630</v>
      </c>
      <c r="B713" s="0" t="n">
        <v>10</v>
      </c>
      <c r="C713" s="0" t="n">
        <v>1.75</v>
      </c>
      <c r="D713" s="0" t="n">
        <v>0.149</v>
      </c>
    </row>
    <row r="714" customFormat="false" ht="13.8" hidden="true" customHeight="false" outlineLevel="0" collapsed="false">
      <c r="A714" s="0" t="s">
        <v>630</v>
      </c>
      <c r="B714" s="0" t="n">
        <v>10</v>
      </c>
      <c r="C714" s="0" t="n">
        <v>1.8</v>
      </c>
      <c r="D714" s="0" t="n">
        <v>0.163</v>
      </c>
    </row>
    <row r="715" customFormat="false" ht="13.8" hidden="true" customHeight="false" outlineLevel="0" collapsed="false">
      <c r="A715" s="0" t="s">
        <v>630</v>
      </c>
      <c r="B715" s="0" t="n">
        <v>10</v>
      </c>
      <c r="C715" s="0" t="n">
        <v>1.85</v>
      </c>
      <c r="D715" s="0" t="n">
        <v>0.168</v>
      </c>
    </row>
    <row r="716" customFormat="false" ht="13.8" hidden="true" customHeight="false" outlineLevel="0" collapsed="false">
      <c r="A716" s="0" t="s">
        <v>630</v>
      </c>
      <c r="B716" s="0" t="n">
        <v>10</v>
      </c>
      <c r="C716" s="0" t="n">
        <v>1.9</v>
      </c>
      <c r="D716" s="0" t="n">
        <v>0.172</v>
      </c>
    </row>
    <row r="717" customFormat="false" ht="13.8" hidden="true" customHeight="false" outlineLevel="0" collapsed="false">
      <c r="A717" s="0" t="s">
        <v>630</v>
      </c>
      <c r="B717" s="0" t="n">
        <v>10</v>
      </c>
      <c r="C717" s="0" t="n">
        <v>1.95</v>
      </c>
      <c r="D717" s="0" t="n">
        <v>0.177</v>
      </c>
    </row>
    <row r="718" customFormat="false" ht="13.8" hidden="true" customHeight="false" outlineLevel="0" collapsed="false">
      <c r="A718" s="0" t="s">
        <v>630</v>
      </c>
      <c r="B718" s="0" t="n">
        <v>10</v>
      </c>
      <c r="C718" s="0" t="n">
        <v>2</v>
      </c>
      <c r="D718" s="0" t="n">
        <v>0.192</v>
      </c>
    </row>
    <row r="719" customFormat="false" ht="13.8" hidden="true" customHeight="false" outlineLevel="0" collapsed="false">
      <c r="A719" s="0" t="s">
        <v>630</v>
      </c>
      <c r="B719" s="0" t="n">
        <v>10</v>
      </c>
      <c r="C719" s="0" t="n">
        <v>2.05</v>
      </c>
      <c r="D719" s="0" t="n">
        <v>0.197</v>
      </c>
    </row>
    <row r="720" customFormat="false" ht="13.8" hidden="true" customHeight="false" outlineLevel="0" collapsed="false">
      <c r="A720" s="0" t="s">
        <v>630</v>
      </c>
      <c r="B720" s="0" t="n">
        <v>10</v>
      </c>
      <c r="C720" s="0" t="n">
        <v>2.1</v>
      </c>
      <c r="D720" s="0" t="n">
        <v>0.202</v>
      </c>
    </row>
    <row r="721" customFormat="false" ht="13.8" hidden="true" customHeight="false" outlineLevel="0" collapsed="false">
      <c r="A721" s="0" t="s">
        <v>630</v>
      </c>
      <c r="B721" s="0" t="n">
        <v>10</v>
      </c>
      <c r="C721" s="0" t="n">
        <v>2.15</v>
      </c>
      <c r="D721" s="0" t="n">
        <v>0.206712902</v>
      </c>
    </row>
    <row r="722" customFormat="false" ht="13.8" hidden="true" customHeight="false" outlineLevel="0" collapsed="false">
      <c r="A722" s="0" t="s">
        <v>630</v>
      </c>
      <c r="B722" s="0" t="n">
        <v>10</v>
      </c>
      <c r="C722" s="0" t="n">
        <v>2.2</v>
      </c>
      <c r="D722" s="0" t="n">
        <v>0.189921701</v>
      </c>
    </row>
    <row r="723" customFormat="false" ht="13.8" hidden="true" customHeight="false" outlineLevel="0" collapsed="false">
      <c r="A723" s="0" t="s">
        <v>630</v>
      </c>
      <c r="B723" s="0" t="n">
        <v>10</v>
      </c>
      <c r="C723" s="0" t="n">
        <v>2.25</v>
      </c>
      <c r="D723" s="0" t="n">
        <v>0.194238103</v>
      </c>
    </row>
    <row r="724" customFormat="false" ht="13.8" hidden="true" customHeight="false" outlineLevel="0" collapsed="false">
      <c r="A724" s="0" t="s">
        <v>630</v>
      </c>
      <c r="B724" s="0" t="n">
        <v>10</v>
      </c>
      <c r="C724" s="0" t="n">
        <v>2.3</v>
      </c>
      <c r="D724" s="0" t="n">
        <v>0.198554506</v>
      </c>
    </row>
    <row r="725" customFormat="false" ht="13.8" hidden="true" customHeight="false" outlineLevel="0" collapsed="false">
      <c r="A725" s="0" t="s">
        <v>630</v>
      </c>
      <c r="B725" s="0" t="n">
        <v>10</v>
      </c>
      <c r="C725" s="0" t="n">
        <v>2.35</v>
      </c>
      <c r="D725" s="0" t="n">
        <v>0.202870908</v>
      </c>
    </row>
    <row r="726" customFormat="false" ht="13.8" hidden="true" customHeight="false" outlineLevel="0" collapsed="false">
      <c r="A726" s="0" t="s">
        <v>630</v>
      </c>
      <c r="B726" s="0" t="n">
        <v>10</v>
      </c>
      <c r="C726" s="0" t="n">
        <v>2.4</v>
      </c>
      <c r="D726" s="0" t="n">
        <v>0.20718731</v>
      </c>
    </row>
    <row r="727" customFormat="false" ht="13.8" hidden="true" customHeight="false" outlineLevel="0" collapsed="false">
      <c r="A727" s="0" t="s">
        <v>630</v>
      </c>
      <c r="B727" s="0" t="n">
        <v>10</v>
      </c>
      <c r="C727" s="0" t="n">
        <v>2.45</v>
      </c>
      <c r="D727" s="0" t="n">
        <v>0.211503713</v>
      </c>
    </row>
    <row r="728" customFormat="false" ht="13.8" hidden="true" customHeight="false" outlineLevel="0" collapsed="false">
      <c r="A728" s="0" t="s">
        <v>630</v>
      </c>
      <c r="B728" s="0" t="n">
        <v>10</v>
      </c>
      <c r="C728" s="0" t="n">
        <v>2.5</v>
      </c>
      <c r="D728" s="0" t="n">
        <v>0.215820115</v>
      </c>
    </row>
    <row r="729" customFormat="false" ht="13.8" hidden="true" customHeight="false" outlineLevel="0" collapsed="false">
      <c r="A729" s="0" t="s">
        <v>630</v>
      </c>
      <c r="B729" s="0" t="n">
        <v>10</v>
      </c>
      <c r="C729" s="0" t="n">
        <v>2.55</v>
      </c>
      <c r="D729" s="0" t="n">
        <v>0.220136517</v>
      </c>
    </row>
    <row r="730" customFormat="false" ht="13.8" hidden="true" customHeight="false" outlineLevel="0" collapsed="false">
      <c r="A730" s="0" t="s">
        <v>630</v>
      </c>
      <c r="B730" s="0" t="n">
        <v>10</v>
      </c>
      <c r="C730" s="0" t="n">
        <v>2.6</v>
      </c>
      <c r="D730" s="0" t="n">
        <v>0.224452919</v>
      </c>
    </row>
    <row r="731" customFormat="false" ht="13.8" hidden="true" customHeight="false" outlineLevel="0" collapsed="false">
      <c r="A731" s="0" t="s">
        <v>630</v>
      </c>
      <c r="B731" s="0" t="n">
        <v>17</v>
      </c>
      <c r="C731" s="0" t="n">
        <v>1.3</v>
      </c>
      <c r="D731" s="0" t="n">
        <v>0</v>
      </c>
    </row>
    <row r="732" customFormat="false" ht="13.8" hidden="true" customHeight="false" outlineLevel="0" collapsed="false">
      <c r="A732" s="0" t="s">
        <v>630</v>
      </c>
      <c r="B732" s="0" t="n">
        <v>17</v>
      </c>
      <c r="C732" s="0" t="n">
        <v>1.35</v>
      </c>
      <c r="D732" s="0" t="n">
        <v>0</v>
      </c>
    </row>
    <row r="733" customFormat="false" ht="13.8" hidden="true" customHeight="false" outlineLevel="0" collapsed="false">
      <c r="A733" s="0" t="s">
        <v>630</v>
      </c>
      <c r="B733" s="0" t="n">
        <v>17</v>
      </c>
      <c r="C733" s="0" t="n">
        <v>1.4</v>
      </c>
      <c r="D733" s="0" t="n">
        <v>0</v>
      </c>
    </row>
    <row r="734" customFormat="false" ht="13.8" hidden="true" customHeight="false" outlineLevel="0" collapsed="false">
      <c r="A734" s="0" t="s">
        <v>630</v>
      </c>
      <c r="B734" s="0" t="n">
        <v>17</v>
      </c>
      <c r="C734" s="0" t="n">
        <v>1.45</v>
      </c>
      <c r="D734" s="0" t="n">
        <v>0</v>
      </c>
    </row>
    <row r="735" customFormat="false" ht="13.8" hidden="true" customHeight="false" outlineLevel="0" collapsed="false">
      <c r="A735" s="0" t="s">
        <v>630</v>
      </c>
      <c r="B735" s="0" t="n">
        <v>17</v>
      </c>
      <c r="C735" s="0" t="n">
        <v>1.5</v>
      </c>
      <c r="D735" s="0" t="n">
        <v>0</v>
      </c>
    </row>
    <row r="736" customFormat="false" ht="13.8" hidden="true" customHeight="false" outlineLevel="0" collapsed="false">
      <c r="A736" s="0" t="s">
        <v>630</v>
      </c>
      <c r="B736" s="0" t="n">
        <v>17</v>
      </c>
      <c r="C736" s="0" t="n">
        <v>1.55</v>
      </c>
      <c r="D736" s="0" t="n">
        <v>0</v>
      </c>
    </row>
    <row r="737" customFormat="false" ht="13.8" hidden="true" customHeight="false" outlineLevel="0" collapsed="false">
      <c r="A737" s="0" t="s">
        <v>630</v>
      </c>
      <c r="B737" s="0" t="n">
        <v>17</v>
      </c>
      <c r="C737" s="0" t="n">
        <v>1.6</v>
      </c>
      <c r="D737" s="0" t="n">
        <v>0.273</v>
      </c>
    </row>
    <row r="738" customFormat="false" ht="13.8" hidden="true" customHeight="false" outlineLevel="0" collapsed="false">
      <c r="A738" s="0" t="s">
        <v>630</v>
      </c>
      <c r="B738" s="0" t="n">
        <v>17</v>
      </c>
      <c r="C738" s="0" t="n">
        <v>1.65</v>
      </c>
      <c r="D738" s="0" t="n">
        <v>0.281</v>
      </c>
    </row>
    <row r="739" customFormat="false" ht="13.8" hidden="true" customHeight="false" outlineLevel="0" collapsed="false">
      <c r="A739" s="0" t="s">
        <v>630</v>
      </c>
      <c r="B739" s="0" t="n">
        <v>17</v>
      </c>
      <c r="C739" s="0" t="n">
        <v>1.7</v>
      </c>
      <c r="D739" s="0" t="n">
        <v>0.29</v>
      </c>
    </row>
    <row r="740" customFormat="false" ht="13.8" hidden="true" customHeight="false" outlineLevel="0" collapsed="false">
      <c r="A740" s="0" t="s">
        <v>630</v>
      </c>
      <c r="B740" s="0" t="n">
        <v>17</v>
      </c>
      <c r="C740" s="0" t="n">
        <v>1.75</v>
      </c>
      <c r="D740" s="0" t="n">
        <v>0.298</v>
      </c>
    </row>
    <row r="741" customFormat="false" ht="13.8" hidden="true" customHeight="false" outlineLevel="0" collapsed="false">
      <c r="A741" s="0" t="s">
        <v>630</v>
      </c>
      <c r="B741" s="0" t="n">
        <v>17</v>
      </c>
      <c r="C741" s="0" t="n">
        <v>1.8</v>
      </c>
      <c r="D741" s="0" t="n">
        <v>0</v>
      </c>
    </row>
    <row r="742" customFormat="false" ht="13.8" hidden="true" customHeight="false" outlineLevel="0" collapsed="false">
      <c r="A742" s="0" t="s">
        <v>630</v>
      </c>
      <c r="B742" s="0" t="n">
        <v>17</v>
      </c>
      <c r="C742" s="0" t="n">
        <v>1.85</v>
      </c>
      <c r="D742" s="0" t="n">
        <v>0</v>
      </c>
    </row>
    <row r="743" customFormat="false" ht="13.8" hidden="true" customHeight="false" outlineLevel="0" collapsed="false">
      <c r="A743" s="0" t="s">
        <v>630</v>
      </c>
      <c r="B743" s="0" t="n">
        <v>17</v>
      </c>
      <c r="C743" s="0" t="n">
        <v>1.9</v>
      </c>
      <c r="D743" s="0" t="n">
        <v>0</v>
      </c>
    </row>
    <row r="744" customFormat="false" ht="13.8" hidden="true" customHeight="false" outlineLevel="0" collapsed="false">
      <c r="A744" s="0" t="s">
        <v>630</v>
      </c>
      <c r="B744" s="0" t="n">
        <v>17</v>
      </c>
      <c r="C744" s="0" t="n">
        <v>1.95</v>
      </c>
      <c r="D744" s="0" t="n">
        <v>0</v>
      </c>
    </row>
    <row r="745" customFormat="false" ht="13.8" hidden="true" customHeight="false" outlineLevel="0" collapsed="false">
      <c r="A745" s="0" t="s">
        <v>630</v>
      </c>
      <c r="B745" s="0" t="n">
        <v>17</v>
      </c>
      <c r="C745" s="0" t="n">
        <v>2</v>
      </c>
      <c r="D745" s="0" t="n">
        <v>0</v>
      </c>
    </row>
    <row r="746" customFormat="false" ht="13.8" hidden="true" customHeight="false" outlineLevel="0" collapsed="false">
      <c r="A746" s="0" t="s">
        <v>630</v>
      </c>
      <c r="B746" s="0" t="n">
        <v>17</v>
      </c>
      <c r="C746" s="0" t="n">
        <v>2.05</v>
      </c>
      <c r="D746" s="0" t="n">
        <v>0</v>
      </c>
    </row>
    <row r="747" customFormat="false" ht="13.8" hidden="true" customHeight="false" outlineLevel="0" collapsed="false">
      <c r="A747" s="0" t="s">
        <v>630</v>
      </c>
      <c r="B747" s="0" t="n">
        <v>17</v>
      </c>
      <c r="C747" s="0" t="n">
        <v>2.1</v>
      </c>
      <c r="D747" s="0" t="n">
        <v>0</v>
      </c>
    </row>
    <row r="748" customFormat="false" ht="13.8" hidden="true" customHeight="false" outlineLevel="0" collapsed="false">
      <c r="A748" s="0" t="s">
        <v>630</v>
      </c>
      <c r="B748" s="0" t="n">
        <v>17</v>
      </c>
      <c r="C748" s="0" t="n">
        <v>2.15</v>
      </c>
      <c r="D748" s="0" t="n">
        <v>0</v>
      </c>
    </row>
    <row r="749" customFormat="false" ht="13.8" hidden="true" customHeight="false" outlineLevel="0" collapsed="false">
      <c r="A749" s="0" t="s">
        <v>630</v>
      </c>
      <c r="B749" s="0" t="n">
        <v>17</v>
      </c>
      <c r="C749" s="0" t="n">
        <v>2.2</v>
      </c>
      <c r="D749" s="0" t="n">
        <v>0</v>
      </c>
    </row>
    <row r="750" customFormat="false" ht="13.8" hidden="true" customHeight="false" outlineLevel="0" collapsed="false">
      <c r="A750" s="0" t="s">
        <v>630</v>
      </c>
      <c r="B750" s="0" t="n">
        <v>17</v>
      </c>
      <c r="C750" s="0" t="n">
        <v>2.25</v>
      </c>
      <c r="D750" s="0" t="n">
        <v>0</v>
      </c>
    </row>
    <row r="751" customFormat="false" ht="13.8" hidden="true" customHeight="false" outlineLevel="0" collapsed="false">
      <c r="A751" s="0" t="s">
        <v>630</v>
      </c>
      <c r="B751" s="0" t="n">
        <v>17</v>
      </c>
      <c r="C751" s="0" t="n">
        <v>2.3</v>
      </c>
      <c r="D751" s="0" t="n">
        <v>0</v>
      </c>
    </row>
    <row r="752" customFormat="false" ht="13.8" hidden="true" customHeight="false" outlineLevel="0" collapsed="false">
      <c r="A752" s="0" t="s">
        <v>630</v>
      </c>
      <c r="B752" s="0" t="n">
        <v>17</v>
      </c>
      <c r="C752" s="0" t="n">
        <v>2.35</v>
      </c>
      <c r="D752" s="0" t="n">
        <v>0</v>
      </c>
    </row>
    <row r="753" customFormat="false" ht="13.8" hidden="true" customHeight="false" outlineLevel="0" collapsed="false">
      <c r="A753" s="0" t="s">
        <v>630</v>
      </c>
      <c r="B753" s="0" t="n">
        <v>17</v>
      </c>
      <c r="C753" s="0" t="n">
        <v>2.4</v>
      </c>
      <c r="D753" s="0" t="n">
        <v>0</v>
      </c>
    </row>
    <row r="754" customFormat="false" ht="13.8" hidden="true" customHeight="false" outlineLevel="0" collapsed="false">
      <c r="A754" s="0" t="s">
        <v>630</v>
      </c>
      <c r="B754" s="0" t="n">
        <v>17</v>
      </c>
      <c r="C754" s="0" t="n">
        <v>2.45</v>
      </c>
      <c r="D754" s="0" t="n">
        <v>0</v>
      </c>
    </row>
    <row r="755" customFormat="false" ht="13.8" hidden="true" customHeight="false" outlineLevel="0" collapsed="false">
      <c r="A755" s="0" t="s">
        <v>630</v>
      </c>
      <c r="B755" s="0" t="n">
        <v>17</v>
      </c>
      <c r="C755" s="0" t="n">
        <v>2.5</v>
      </c>
      <c r="D755" s="0" t="n">
        <v>0</v>
      </c>
    </row>
    <row r="756" customFormat="false" ht="13.8" hidden="true" customHeight="false" outlineLevel="0" collapsed="false">
      <c r="A756" s="0" t="s">
        <v>630</v>
      </c>
      <c r="B756" s="0" t="n">
        <v>17</v>
      </c>
      <c r="C756" s="0" t="n">
        <v>2.55</v>
      </c>
      <c r="D756" s="0" t="n">
        <v>0</v>
      </c>
    </row>
    <row r="757" customFormat="false" ht="13.8" hidden="true" customHeight="false" outlineLevel="0" collapsed="false">
      <c r="A757" s="0" t="s">
        <v>630</v>
      </c>
      <c r="B757" s="0" t="n">
        <v>17</v>
      </c>
      <c r="C757" s="0" t="n">
        <v>2.6</v>
      </c>
      <c r="D757" s="0" t="n">
        <v>0</v>
      </c>
    </row>
    <row r="758" customFormat="false" ht="13.8" hidden="true" customHeight="false" outlineLevel="0" collapsed="false">
      <c r="A758" s="0" t="s">
        <v>633</v>
      </c>
      <c r="B758" s="0" t="n">
        <v>13</v>
      </c>
      <c r="C758" s="0" t="n">
        <v>1.3</v>
      </c>
      <c r="D758" s="0" t="n">
        <v>0</v>
      </c>
    </row>
    <row r="759" customFormat="false" ht="13.8" hidden="true" customHeight="false" outlineLevel="0" collapsed="false">
      <c r="A759" s="0" t="s">
        <v>633</v>
      </c>
      <c r="B759" s="0" t="n">
        <v>13</v>
      </c>
      <c r="C759" s="0" t="n">
        <v>1.35</v>
      </c>
      <c r="D759" s="0" t="n">
        <v>0</v>
      </c>
    </row>
    <row r="760" customFormat="false" ht="13.8" hidden="true" customHeight="false" outlineLevel="0" collapsed="false">
      <c r="A760" s="0" t="s">
        <v>633</v>
      </c>
      <c r="B760" s="0" t="n">
        <v>13</v>
      </c>
      <c r="C760" s="0" t="n">
        <v>1.4</v>
      </c>
      <c r="D760" s="0" t="n">
        <v>0</v>
      </c>
    </row>
    <row r="761" customFormat="false" ht="13.8" hidden="true" customHeight="false" outlineLevel="0" collapsed="false">
      <c r="A761" s="0" t="s">
        <v>633</v>
      </c>
      <c r="B761" s="0" t="n">
        <v>13</v>
      </c>
      <c r="C761" s="0" t="n">
        <v>1.45</v>
      </c>
      <c r="D761" s="0" t="n">
        <v>0</v>
      </c>
    </row>
    <row r="762" customFormat="false" ht="13.8" hidden="true" customHeight="false" outlineLevel="0" collapsed="false">
      <c r="A762" s="0" t="s">
        <v>633</v>
      </c>
      <c r="B762" s="0" t="n">
        <v>13</v>
      </c>
      <c r="C762" s="0" t="n">
        <v>1.5</v>
      </c>
      <c r="D762" s="0" t="n">
        <v>0</v>
      </c>
    </row>
    <row r="763" customFormat="false" ht="13.8" hidden="true" customHeight="false" outlineLevel="0" collapsed="false">
      <c r="A763" s="0" t="s">
        <v>633</v>
      </c>
      <c r="B763" s="0" t="n">
        <v>13</v>
      </c>
      <c r="C763" s="0" t="n">
        <v>1.55</v>
      </c>
      <c r="D763" s="0" t="n">
        <v>0</v>
      </c>
    </row>
    <row r="764" customFormat="false" ht="13.8" hidden="true" customHeight="false" outlineLevel="0" collapsed="false">
      <c r="A764" s="0" t="s">
        <v>633</v>
      </c>
      <c r="B764" s="0" t="n">
        <v>13</v>
      </c>
      <c r="C764" s="0" t="n">
        <v>1.6</v>
      </c>
      <c r="D764" s="0" t="n">
        <v>0</v>
      </c>
    </row>
    <row r="765" customFormat="false" ht="13.8" hidden="true" customHeight="false" outlineLevel="0" collapsed="false">
      <c r="A765" s="0" t="s">
        <v>633</v>
      </c>
      <c r="B765" s="0" t="n">
        <v>13</v>
      </c>
      <c r="C765" s="0" t="n">
        <v>1.65</v>
      </c>
      <c r="D765" s="0" t="n">
        <v>0</v>
      </c>
    </row>
    <row r="766" customFormat="false" ht="13.8" hidden="true" customHeight="false" outlineLevel="0" collapsed="false">
      <c r="A766" s="0" t="s">
        <v>633</v>
      </c>
      <c r="B766" s="0" t="n">
        <v>13</v>
      </c>
      <c r="C766" s="0" t="n">
        <v>1.7</v>
      </c>
      <c r="D766" s="0" t="n">
        <v>0</v>
      </c>
    </row>
    <row r="767" customFormat="false" ht="13.8" hidden="true" customHeight="false" outlineLevel="0" collapsed="false">
      <c r="A767" s="0" t="s">
        <v>633</v>
      </c>
      <c r="B767" s="0" t="n">
        <v>13</v>
      </c>
      <c r="C767" s="0" t="n">
        <v>1.75</v>
      </c>
      <c r="D767" s="0" t="n">
        <v>0</v>
      </c>
    </row>
    <row r="768" customFormat="false" ht="13.8" hidden="true" customHeight="false" outlineLevel="0" collapsed="false">
      <c r="A768" s="0" t="s">
        <v>633</v>
      </c>
      <c r="B768" s="0" t="n">
        <v>13</v>
      </c>
      <c r="C768" s="0" t="n">
        <v>1.8</v>
      </c>
      <c r="D768" s="0" t="n">
        <v>0.327</v>
      </c>
    </row>
    <row r="769" customFormat="false" ht="13.8" hidden="true" customHeight="false" outlineLevel="0" collapsed="false">
      <c r="A769" s="0" t="s">
        <v>633</v>
      </c>
      <c r="B769" s="0" t="n">
        <v>13</v>
      </c>
      <c r="C769" s="0" t="n">
        <v>1.85</v>
      </c>
      <c r="D769" s="0" t="n">
        <v>0.336</v>
      </c>
    </row>
    <row r="770" customFormat="false" ht="13.8" hidden="true" customHeight="false" outlineLevel="0" collapsed="false">
      <c r="A770" s="0" t="s">
        <v>633</v>
      </c>
      <c r="B770" s="0" t="n">
        <v>13</v>
      </c>
      <c r="C770" s="0" t="n">
        <v>1.9</v>
      </c>
      <c r="D770" s="0" t="n">
        <v>0.345</v>
      </c>
    </row>
    <row r="771" customFormat="false" ht="13.8" hidden="true" customHeight="false" outlineLevel="0" collapsed="false">
      <c r="A771" s="0" t="s">
        <v>633</v>
      </c>
      <c r="B771" s="0" t="n">
        <v>13</v>
      </c>
      <c r="C771" s="0" t="n">
        <v>1.95</v>
      </c>
      <c r="D771" s="0" t="n">
        <v>0.354</v>
      </c>
    </row>
    <row r="772" customFormat="false" ht="13.8" hidden="true" customHeight="false" outlineLevel="0" collapsed="false">
      <c r="A772" s="0" t="s">
        <v>633</v>
      </c>
      <c r="B772" s="0" t="n">
        <v>13</v>
      </c>
      <c r="C772" s="0" t="n">
        <v>2</v>
      </c>
      <c r="D772" s="0" t="n">
        <v>0.384582143</v>
      </c>
    </row>
    <row r="773" customFormat="false" ht="13.8" hidden="true" customHeight="false" outlineLevel="0" collapsed="false">
      <c r="A773" s="0" t="s">
        <v>633</v>
      </c>
      <c r="B773" s="0" t="n">
        <v>13</v>
      </c>
      <c r="C773" s="0" t="n">
        <v>2.05</v>
      </c>
      <c r="D773" s="0" t="n">
        <v>0</v>
      </c>
    </row>
    <row r="774" customFormat="false" ht="13.8" hidden="true" customHeight="false" outlineLevel="0" collapsed="false">
      <c r="A774" s="0" t="s">
        <v>633</v>
      </c>
      <c r="B774" s="0" t="n">
        <v>13</v>
      </c>
      <c r="C774" s="0" t="n">
        <v>2.1</v>
      </c>
      <c r="D774" s="0" t="n">
        <v>0</v>
      </c>
    </row>
    <row r="775" customFormat="false" ht="13.8" hidden="true" customHeight="false" outlineLevel="0" collapsed="false">
      <c r="A775" s="0" t="s">
        <v>633</v>
      </c>
      <c r="B775" s="0" t="n">
        <v>13</v>
      </c>
      <c r="C775" s="0" t="n">
        <v>2.15</v>
      </c>
      <c r="D775" s="0" t="n">
        <v>0</v>
      </c>
    </row>
    <row r="776" customFormat="false" ht="13.8" hidden="true" customHeight="false" outlineLevel="0" collapsed="false">
      <c r="A776" s="0" t="s">
        <v>633</v>
      </c>
      <c r="B776" s="0" t="n">
        <v>13</v>
      </c>
      <c r="C776" s="0" t="n">
        <v>2.2</v>
      </c>
      <c r="D776" s="0" t="n">
        <v>0</v>
      </c>
    </row>
    <row r="777" customFormat="false" ht="13.8" hidden="true" customHeight="false" outlineLevel="0" collapsed="false">
      <c r="A777" s="0" t="s">
        <v>633</v>
      </c>
      <c r="B777" s="0" t="n">
        <v>13</v>
      </c>
      <c r="C777" s="0" t="n">
        <v>2.25</v>
      </c>
      <c r="D777" s="0" t="n">
        <v>0</v>
      </c>
    </row>
    <row r="778" customFormat="false" ht="13.8" hidden="true" customHeight="false" outlineLevel="0" collapsed="false">
      <c r="A778" s="0" t="s">
        <v>633</v>
      </c>
      <c r="B778" s="0" t="n">
        <v>13</v>
      </c>
      <c r="C778" s="0" t="n">
        <v>2.3</v>
      </c>
      <c r="D778" s="0" t="n">
        <v>0</v>
      </c>
    </row>
    <row r="779" customFormat="false" ht="13.8" hidden="true" customHeight="false" outlineLevel="0" collapsed="false">
      <c r="A779" s="0" t="s">
        <v>633</v>
      </c>
      <c r="B779" s="0" t="n">
        <v>13</v>
      </c>
      <c r="C779" s="0" t="n">
        <v>2.35</v>
      </c>
      <c r="D779" s="0" t="n">
        <v>0</v>
      </c>
    </row>
    <row r="780" customFormat="false" ht="13.8" hidden="true" customHeight="false" outlineLevel="0" collapsed="false">
      <c r="A780" s="0" t="s">
        <v>633</v>
      </c>
      <c r="B780" s="0" t="n">
        <v>13</v>
      </c>
      <c r="C780" s="0" t="n">
        <v>2.4</v>
      </c>
      <c r="D780" s="0" t="n">
        <v>0</v>
      </c>
    </row>
    <row r="781" customFormat="false" ht="13.8" hidden="true" customHeight="false" outlineLevel="0" collapsed="false">
      <c r="A781" s="0" t="s">
        <v>633</v>
      </c>
      <c r="B781" s="0" t="n">
        <v>13</v>
      </c>
      <c r="C781" s="0" t="n">
        <v>2.45</v>
      </c>
      <c r="D781" s="0" t="n">
        <v>0</v>
      </c>
    </row>
    <row r="782" customFormat="false" ht="13.8" hidden="true" customHeight="false" outlineLevel="0" collapsed="false">
      <c r="A782" s="0" t="s">
        <v>633</v>
      </c>
      <c r="B782" s="0" t="n">
        <v>13</v>
      </c>
      <c r="C782" s="0" t="n">
        <v>2.5</v>
      </c>
      <c r="D782" s="0" t="n">
        <v>0</v>
      </c>
    </row>
    <row r="783" customFormat="false" ht="13.8" hidden="true" customHeight="false" outlineLevel="0" collapsed="false">
      <c r="A783" s="0" t="s">
        <v>633</v>
      </c>
      <c r="B783" s="0" t="n">
        <v>13</v>
      </c>
      <c r="C783" s="0" t="n">
        <v>2.55</v>
      </c>
      <c r="D783" s="0" t="n">
        <v>0</v>
      </c>
    </row>
    <row r="784" customFormat="false" ht="13.8" hidden="true" customHeight="false" outlineLevel="0" collapsed="false">
      <c r="A784" s="0" t="s">
        <v>633</v>
      </c>
      <c r="B784" s="0" t="n">
        <v>13</v>
      </c>
      <c r="C784" s="0" t="n">
        <v>2.6</v>
      </c>
      <c r="D784" s="0" t="n">
        <v>0</v>
      </c>
    </row>
    <row r="785" customFormat="false" ht="13.8" hidden="true" customHeight="false" outlineLevel="0" collapsed="false">
      <c r="A785" s="0" t="s">
        <v>633</v>
      </c>
      <c r="B785" s="0" t="n">
        <v>20</v>
      </c>
      <c r="C785" s="0" t="n">
        <v>1.3</v>
      </c>
      <c r="D785" s="0" t="n">
        <v>0</v>
      </c>
    </row>
    <row r="786" customFormat="false" ht="13.8" hidden="true" customHeight="false" outlineLevel="0" collapsed="false">
      <c r="A786" s="0" t="s">
        <v>633</v>
      </c>
      <c r="B786" s="0" t="n">
        <v>20</v>
      </c>
      <c r="C786" s="0" t="n">
        <v>1.35</v>
      </c>
      <c r="D786" s="0" t="n">
        <v>0</v>
      </c>
    </row>
    <row r="787" customFormat="false" ht="13.8" hidden="true" customHeight="false" outlineLevel="0" collapsed="false">
      <c r="A787" s="0" t="s">
        <v>633</v>
      </c>
      <c r="B787" s="0" t="n">
        <v>20</v>
      </c>
      <c r="C787" s="0" t="n">
        <v>1.4</v>
      </c>
      <c r="D787" s="0" t="n">
        <v>0</v>
      </c>
    </row>
    <row r="788" customFormat="false" ht="13.8" hidden="true" customHeight="false" outlineLevel="0" collapsed="false">
      <c r="A788" s="0" t="s">
        <v>633</v>
      </c>
      <c r="B788" s="0" t="n">
        <v>20</v>
      </c>
      <c r="C788" s="0" t="n">
        <v>1.45</v>
      </c>
      <c r="D788" s="0" t="n">
        <v>0</v>
      </c>
    </row>
    <row r="789" customFormat="false" ht="13.8" hidden="true" customHeight="false" outlineLevel="0" collapsed="false">
      <c r="A789" s="0" t="s">
        <v>633</v>
      </c>
      <c r="B789" s="0" t="n">
        <v>20</v>
      </c>
      <c r="C789" s="0" t="n">
        <v>1.5</v>
      </c>
      <c r="D789" s="0" t="n">
        <v>0</v>
      </c>
    </row>
    <row r="790" customFormat="false" ht="13.8" hidden="true" customHeight="false" outlineLevel="0" collapsed="false">
      <c r="A790" s="0" t="s">
        <v>633</v>
      </c>
      <c r="B790" s="0" t="n">
        <v>20</v>
      </c>
      <c r="C790" s="0" t="n">
        <v>1.55</v>
      </c>
      <c r="D790" s="0" t="n">
        <v>0</v>
      </c>
    </row>
    <row r="791" customFormat="false" ht="13.8" hidden="true" customHeight="false" outlineLevel="0" collapsed="false">
      <c r="A791" s="0" t="s">
        <v>633</v>
      </c>
      <c r="B791" s="0" t="n">
        <v>20</v>
      </c>
      <c r="C791" s="0" t="n">
        <v>1.6</v>
      </c>
      <c r="D791" s="0" t="n">
        <v>0</v>
      </c>
    </row>
    <row r="792" customFormat="false" ht="13.8" hidden="true" customHeight="false" outlineLevel="0" collapsed="false">
      <c r="A792" s="0" t="s">
        <v>633</v>
      </c>
      <c r="B792" s="0" t="n">
        <v>20</v>
      </c>
      <c r="C792" s="0" t="n">
        <v>1.65</v>
      </c>
      <c r="D792" s="0" t="n">
        <v>0</v>
      </c>
    </row>
    <row r="793" customFormat="false" ht="13.8" hidden="true" customHeight="false" outlineLevel="0" collapsed="false">
      <c r="A793" s="0" t="s">
        <v>633</v>
      </c>
      <c r="B793" s="0" t="n">
        <v>20</v>
      </c>
      <c r="C793" s="0" t="n">
        <v>1.7</v>
      </c>
      <c r="D793" s="0" t="n">
        <v>0</v>
      </c>
    </row>
    <row r="794" customFormat="false" ht="13.8" hidden="true" customHeight="false" outlineLevel="0" collapsed="false">
      <c r="A794" s="0" t="s">
        <v>633</v>
      </c>
      <c r="B794" s="0" t="n">
        <v>20</v>
      </c>
      <c r="C794" s="0" t="n">
        <v>1.75</v>
      </c>
      <c r="D794" s="0" t="n">
        <v>0</v>
      </c>
    </row>
    <row r="795" customFormat="false" ht="13.8" hidden="true" customHeight="false" outlineLevel="0" collapsed="false">
      <c r="A795" s="0" t="s">
        <v>633</v>
      </c>
      <c r="B795" s="0" t="n">
        <v>20</v>
      </c>
      <c r="C795" s="0" t="n">
        <v>1.8</v>
      </c>
      <c r="D795" s="0" t="n">
        <v>0.326576202</v>
      </c>
    </row>
    <row r="796" customFormat="false" ht="13.8" hidden="true" customHeight="false" outlineLevel="0" collapsed="false">
      <c r="A796" s="0" t="s">
        <v>633</v>
      </c>
      <c r="B796" s="0" t="n">
        <v>20</v>
      </c>
      <c r="C796" s="0" t="n">
        <v>1.85</v>
      </c>
      <c r="D796" s="0" t="n">
        <v>0.335647763</v>
      </c>
    </row>
    <row r="797" customFormat="false" ht="13.8" hidden="true" customHeight="false" outlineLevel="0" collapsed="false">
      <c r="A797" s="0" t="s">
        <v>633</v>
      </c>
      <c r="B797" s="0" t="n">
        <v>20</v>
      </c>
      <c r="C797" s="0" t="n">
        <v>1.9</v>
      </c>
      <c r="D797" s="0" t="n">
        <v>0.344719324</v>
      </c>
    </row>
    <row r="798" customFormat="false" ht="13.8" hidden="true" customHeight="false" outlineLevel="0" collapsed="false">
      <c r="A798" s="0" t="s">
        <v>633</v>
      </c>
      <c r="B798" s="0" t="n">
        <v>20</v>
      </c>
      <c r="C798" s="0" t="n">
        <v>1.95</v>
      </c>
      <c r="D798" s="0" t="n">
        <v>0.353790885</v>
      </c>
    </row>
    <row r="799" customFormat="false" ht="13.8" hidden="true" customHeight="false" outlineLevel="0" collapsed="false">
      <c r="A799" s="0" t="s">
        <v>633</v>
      </c>
      <c r="B799" s="0" t="n">
        <v>20</v>
      </c>
      <c r="C799" s="0" t="n">
        <v>2</v>
      </c>
      <c r="D799" s="0" t="n">
        <v>0.384582143</v>
      </c>
    </row>
    <row r="800" customFormat="false" ht="13.8" hidden="true" customHeight="false" outlineLevel="0" collapsed="false">
      <c r="A800" s="0" t="s">
        <v>633</v>
      </c>
      <c r="B800" s="0" t="n">
        <v>20</v>
      </c>
      <c r="C800" s="0" t="n">
        <v>2.05</v>
      </c>
      <c r="D800" s="0" t="n">
        <v>0</v>
      </c>
    </row>
    <row r="801" customFormat="false" ht="13.8" hidden="true" customHeight="false" outlineLevel="0" collapsed="false">
      <c r="A801" s="0" t="s">
        <v>633</v>
      </c>
      <c r="B801" s="0" t="n">
        <v>20</v>
      </c>
      <c r="C801" s="0" t="n">
        <v>2.1</v>
      </c>
      <c r="D801" s="0" t="n">
        <v>0</v>
      </c>
    </row>
    <row r="802" customFormat="false" ht="13.8" hidden="true" customHeight="false" outlineLevel="0" collapsed="false">
      <c r="A802" s="0" t="s">
        <v>633</v>
      </c>
      <c r="B802" s="0" t="n">
        <v>20</v>
      </c>
      <c r="C802" s="0" t="n">
        <v>2.15</v>
      </c>
      <c r="D802" s="0" t="n">
        <v>0</v>
      </c>
    </row>
    <row r="803" customFormat="false" ht="13.8" hidden="true" customHeight="false" outlineLevel="0" collapsed="false">
      <c r="A803" s="0" t="s">
        <v>633</v>
      </c>
      <c r="B803" s="0" t="n">
        <v>20</v>
      </c>
      <c r="C803" s="0" t="n">
        <v>2.2</v>
      </c>
      <c r="D803" s="0" t="n">
        <v>0</v>
      </c>
    </row>
    <row r="804" customFormat="false" ht="13.8" hidden="true" customHeight="false" outlineLevel="0" collapsed="false">
      <c r="A804" s="0" t="s">
        <v>633</v>
      </c>
      <c r="B804" s="0" t="n">
        <v>20</v>
      </c>
      <c r="C804" s="0" t="n">
        <v>2.25</v>
      </c>
      <c r="D804" s="0" t="n">
        <v>0</v>
      </c>
    </row>
    <row r="805" customFormat="false" ht="13.8" hidden="true" customHeight="false" outlineLevel="0" collapsed="false">
      <c r="A805" s="0" t="s">
        <v>633</v>
      </c>
      <c r="B805" s="0" t="n">
        <v>20</v>
      </c>
      <c r="C805" s="0" t="n">
        <v>2.3</v>
      </c>
      <c r="D805" s="0" t="n">
        <v>0</v>
      </c>
    </row>
    <row r="806" customFormat="false" ht="13.8" hidden="true" customHeight="false" outlineLevel="0" collapsed="false">
      <c r="A806" s="0" t="s">
        <v>633</v>
      </c>
      <c r="B806" s="0" t="n">
        <v>20</v>
      </c>
      <c r="C806" s="0" t="n">
        <v>2.35</v>
      </c>
      <c r="D806" s="0" t="n">
        <v>0</v>
      </c>
    </row>
    <row r="807" customFormat="false" ht="13.8" hidden="true" customHeight="false" outlineLevel="0" collapsed="false">
      <c r="A807" s="0" t="s">
        <v>633</v>
      </c>
      <c r="B807" s="0" t="n">
        <v>20</v>
      </c>
      <c r="C807" s="0" t="n">
        <v>2.4</v>
      </c>
      <c r="D807" s="0" t="n">
        <v>0</v>
      </c>
    </row>
    <row r="808" customFormat="false" ht="13.8" hidden="true" customHeight="false" outlineLevel="0" collapsed="false">
      <c r="A808" s="0" t="s">
        <v>633</v>
      </c>
      <c r="B808" s="0" t="n">
        <v>20</v>
      </c>
      <c r="C808" s="0" t="n">
        <v>2.45</v>
      </c>
      <c r="D808" s="0" t="n">
        <v>0</v>
      </c>
    </row>
    <row r="809" customFormat="false" ht="13.8" hidden="true" customHeight="false" outlineLevel="0" collapsed="false">
      <c r="A809" s="0" t="s">
        <v>633</v>
      </c>
      <c r="B809" s="0" t="n">
        <v>20</v>
      </c>
      <c r="C809" s="0" t="n">
        <v>2.5</v>
      </c>
      <c r="D809" s="0" t="n">
        <v>0</v>
      </c>
    </row>
    <row r="810" customFormat="false" ht="13.8" hidden="true" customHeight="false" outlineLevel="0" collapsed="false">
      <c r="A810" s="0" t="s">
        <v>633</v>
      </c>
      <c r="B810" s="0" t="n">
        <v>20</v>
      </c>
      <c r="C810" s="0" t="n">
        <v>2.55</v>
      </c>
      <c r="D810" s="0" t="n">
        <v>0</v>
      </c>
    </row>
    <row r="811" customFormat="false" ht="13.8" hidden="true" customHeight="false" outlineLevel="0" collapsed="false">
      <c r="A811" s="0" t="s">
        <v>633</v>
      </c>
      <c r="B811" s="0" t="n">
        <v>20</v>
      </c>
      <c r="C811" s="0" t="n">
        <v>2.6</v>
      </c>
      <c r="D811" s="0" t="n">
        <v>0</v>
      </c>
    </row>
    <row r="812" customFormat="false" ht="13.8" hidden="true" customHeight="false" outlineLevel="0" collapsed="false">
      <c r="A812" s="0" t="s">
        <v>219</v>
      </c>
      <c r="B812" s="0" t="n">
        <v>13</v>
      </c>
      <c r="C812" s="0" t="n">
        <v>1.3</v>
      </c>
      <c r="D812" s="0" t="n">
        <v>0</v>
      </c>
    </row>
    <row r="813" customFormat="false" ht="13.8" hidden="true" customHeight="false" outlineLevel="0" collapsed="false">
      <c r="A813" s="0" t="s">
        <v>219</v>
      </c>
      <c r="B813" s="0" t="n">
        <v>13</v>
      </c>
      <c r="C813" s="0" t="n">
        <v>1.35</v>
      </c>
      <c r="D813" s="0" t="n">
        <v>0</v>
      </c>
    </row>
    <row r="814" customFormat="false" ht="13.8" hidden="true" customHeight="false" outlineLevel="0" collapsed="false">
      <c r="A814" s="0" t="s">
        <v>219</v>
      </c>
      <c r="B814" s="0" t="n">
        <v>13</v>
      </c>
      <c r="C814" s="0" t="n">
        <v>1.4</v>
      </c>
      <c r="D814" s="0" t="n">
        <v>0</v>
      </c>
    </row>
    <row r="815" customFormat="false" ht="13.8" hidden="true" customHeight="false" outlineLevel="0" collapsed="false">
      <c r="A815" s="0" t="s">
        <v>219</v>
      </c>
      <c r="B815" s="0" t="n">
        <v>13</v>
      </c>
      <c r="C815" s="0" t="n">
        <v>1.45</v>
      </c>
      <c r="D815" s="0" t="n">
        <v>0</v>
      </c>
    </row>
    <row r="816" customFormat="false" ht="13.8" hidden="true" customHeight="false" outlineLevel="0" collapsed="false">
      <c r="A816" s="0" t="s">
        <v>219</v>
      </c>
      <c r="B816" s="0" t="n">
        <v>13</v>
      </c>
      <c r="C816" s="0" t="n">
        <v>1.5</v>
      </c>
      <c r="D816" s="0" t="n">
        <v>0</v>
      </c>
    </row>
    <row r="817" customFormat="false" ht="13.8" hidden="true" customHeight="false" outlineLevel="0" collapsed="false">
      <c r="A817" s="0" t="s">
        <v>219</v>
      </c>
      <c r="B817" s="0" t="n">
        <v>13</v>
      </c>
      <c r="C817" s="0" t="n">
        <v>1.55</v>
      </c>
      <c r="D817" s="0" t="n">
        <v>0</v>
      </c>
    </row>
    <row r="818" customFormat="false" ht="13.8" hidden="true" customHeight="false" outlineLevel="0" collapsed="false">
      <c r="A818" s="0" t="s">
        <v>219</v>
      </c>
      <c r="B818" s="0" t="n">
        <v>13</v>
      </c>
      <c r="C818" s="0" t="n">
        <v>1.6</v>
      </c>
      <c r="D818" s="0" t="n">
        <v>0</v>
      </c>
    </row>
    <row r="819" customFormat="false" ht="13.8" hidden="true" customHeight="false" outlineLevel="0" collapsed="false">
      <c r="A819" s="0" t="s">
        <v>219</v>
      </c>
      <c r="B819" s="0" t="n">
        <v>13</v>
      </c>
      <c r="C819" s="0" t="n">
        <v>1.65</v>
      </c>
      <c r="D819" s="0" t="n">
        <v>0</v>
      </c>
    </row>
    <row r="820" customFormat="false" ht="13.8" hidden="true" customHeight="false" outlineLevel="0" collapsed="false">
      <c r="A820" s="0" t="s">
        <v>219</v>
      </c>
      <c r="B820" s="0" t="n">
        <v>13</v>
      </c>
      <c r="C820" s="0" t="n">
        <v>1.7</v>
      </c>
      <c r="D820" s="0" t="n">
        <v>0</v>
      </c>
    </row>
    <row r="821" customFormat="false" ht="13.8" hidden="true" customHeight="false" outlineLevel="0" collapsed="false">
      <c r="A821" s="0" t="s">
        <v>219</v>
      </c>
      <c r="B821" s="0" t="n">
        <v>13</v>
      </c>
      <c r="C821" s="0" t="n">
        <v>1.75</v>
      </c>
      <c r="D821" s="0" t="n">
        <v>0</v>
      </c>
    </row>
    <row r="822" customFormat="false" ht="13.8" hidden="true" customHeight="false" outlineLevel="0" collapsed="false">
      <c r="A822" s="0" t="s">
        <v>219</v>
      </c>
      <c r="B822" s="0" t="n">
        <v>13</v>
      </c>
      <c r="C822" s="0" t="n">
        <v>1.8</v>
      </c>
      <c r="D822" s="0" t="n">
        <v>0.327</v>
      </c>
    </row>
    <row r="823" customFormat="false" ht="13.8" hidden="true" customHeight="false" outlineLevel="0" collapsed="false">
      <c r="A823" s="0" t="s">
        <v>219</v>
      </c>
      <c r="B823" s="0" t="n">
        <v>13</v>
      </c>
      <c r="C823" s="0" t="n">
        <v>1.85</v>
      </c>
      <c r="D823" s="0" t="n">
        <v>0.336</v>
      </c>
    </row>
    <row r="824" customFormat="false" ht="13.8" hidden="true" customHeight="false" outlineLevel="0" collapsed="false">
      <c r="A824" s="0" t="s">
        <v>219</v>
      </c>
      <c r="B824" s="0" t="n">
        <v>13</v>
      </c>
      <c r="C824" s="0" t="n">
        <v>1.9</v>
      </c>
      <c r="D824" s="0" t="n">
        <v>0.345</v>
      </c>
    </row>
    <row r="825" customFormat="false" ht="13.8" hidden="true" customHeight="false" outlineLevel="0" collapsed="false">
      <c r="A825" s="0" t="s">
        <v>219</v>
      </c>
      <c r="B825" s="0" t="n">
        <v>13</v>
      </c>
      <c r="C825" s="0" t="n">
        <v>1.95</v>
      </c>
      <c r="D825" s="0" t="n">
        <v>0.354</v>
      </c>
    </row>
    <row r="826" customFormat="false" ht="13.8" hidden="true" customHeight="false" outlineLevel="0" collapsed="false">
      <c r="A826" s="0" t="s">
        <v>219</v>
      </c>
      <c r="B826" s="0" t="n">
        <v>13</v>
      </c>
      <c r="C826" s="0" t="n">
        <v>2</v>
      </c>
      <c r="D826" s="0" t="n">
        <v>0.384582143</v>
      </c>
    </row>
    <row r="827" customFormat="false" ht="13.8" hidden="true" customHeight="false" outlineLevel="0" collapsed="false">
      <c r="A827" s="0" t="s">
        <v>219</v>
      </c>
      <c r="B827" s="0" t="n">
        <v>13</v>
      </c>
      <c r="C827" s="0" t="n">
        <v>2.05</v>
      </c>
      <c r="D827" s="0" t="n">
        <v>0</v>
      </c>
    </row>
    <row r="828" customFormat="false" ht="13.8" hidden="true" customHeight="false" outlineLevel="0" collapsed="false">
      <c r="A828" s="0" t="s">
        <v>219</v>
      </c>
      <c r="B828" s="0" t="n">
        <v>13</v>
      </c>
      <c r="C828" s="0" t="n">
        <v>2.1</v>
      </c>
      <c r="D828" s="0" t="n">
        <v>0</v>
      </c>
    </row>
    <row r="829" customFormat="false" ht="13.8" hidden="true" customHeight="false" outlineLevel="0" collapsed="false">
      <c r="A829" s="0" t="s">
        <v>219</v>
      </c>
      <c r="B829" s="0" t="n">
        <v>13</v>
      </c>
      <c r="C829" s="0" t="n">
        <v>2.15</v>
      </c>
      <c r="D829" s="0" t="n">
        <v>0</v>
      </c>
    </row>
    <row r="830" customFormat="false" ht="13.8" hidden="true" customHeight="false" outlineLevel="0" collapsed="false">
      <c r="A830" s="0" t="s">
        <v>219</v>
      </c>
      <c r="B830" s="0" t="n">
        <v>13</v>
      </c>
      <c r="C830" s="0" t="n">
        <v>2.2</v>
      </c>
      <c r="D830" s="0" t="n">
        <v>0</v>
      </c>
    </row>
    <row r="831" customFormat="false" ht="13.8" hidden="true" customHeight="false" outlineLevel="0" collapsed="false">
      <c r="A831" s="0" t="s">
        <v>219</v>
      </c>
      <c r="B831" s="0" t="n">
        <v>13</v>
      </c>
      <c r="C831" s="0" t="n">
        <v>2.25</v>
      </c>
      <c r="D831" s="0" t="n">
        <v>0</v>
      </c>
    </row>
    <row r="832" customFormat="false" ht="13.8" hidden="true" customHeight="false" outlineLevel="0" collapsed="false">
      <c r="A832" s="0" t="s">
        <v>219</v>
      </c>
      <c r="B832" s="0" t="n">
        <v>13</v>
      </c>
      <c r="C832" s="0" t="n">
        <v>2.3</v>
      </c>
      <c r="D832" s="0" t="n">
        <v>0</v>
      </c>
    </row>
    <row r="833" customFormat="false" ht="13.8" hidden="true" customHeight="false" outlineLevel="0" collapsed="false">
      <c r="A833" s="0" t="s">
        <v>219</v>
      </c>
      <c r="B833" s="0" t="n">
        <v>13</v>
      </c>
      <c r="C833" s="0" t="n">
        <v>2.35</v>
      </c>
      <c r="D833" s="0" t="n">
        <v>0</v>
      </c>
    </row>
    <row r="834" customFormat="false" ht="13.8" hidden="true" customHeight="false" outlineLevel="0" collapsed="false">
      <c r="A834" s="0" t="s">
        <v>219</v>
      </c>
      <c r="B834" s="0" t="n">
        <v>13</v>
      </c>
      <c r="C834" s="0" t="n">
        <v>2.4</v>
      </c>
      <c r="D834" s="0" t="n">
        <v>0</v>
      </c>
    </row>
    <row r="835" customFormat="false" ht="13.8" hidden="true" customHeight="false" outlineLevel="0" collapsed="false">
      <c r="A835" s="0" t="s">
        <v>219</v>
      </c>
      <c r="B835" s="0" t="n">
        <v>13</v>
      </c>
      <c r="C835" s="0" t="n">
        <v>2.45</v>
      </c>
      <c r="D835" s="0" t="n">
        <v>0</v>
      </c>
    </row>
    <row r="836" customFormat="false" ht="13.8" hidden="true" customHeight="false" outlineLevel="0" collapsed="false">
      <c r="A836" s="0" t="s">
        <v>219</v>
      </c>
      <c r="B836" s="0" t="n">
        <v>13</v>
      </c>
      <c r="C836" s="0" t="n">
        <v>2.5</v>
      </c>
      <c r="D836" s="0" t="n">
        <v>0</v>
      </c>
    </row>
    <row r="837" customFormat="false" ht="13.8" hidden="true" customHeight="false" outlineLevel="0" collapsed="false">
      <c r="A837" s="0" t="s">
        <v>219</v>
      </c>
      <c r="B837" s="0" t="n">
        <v>13</v>
      </c>
      <c r="C837" s="0" t="n">
        <v>2.55</v>
      </c>
      <c r="D837" s="0" t="n">
        <v>0</v>
      </c>
    </row>
    <row r="838" customFormat="false" ht="13.8" hidden="true" customHeight="false" outlineLevel="0" collapsed="false">
      <c r="A838" s="0" t="s">
        <v>219</v>
      </c>
      <c r="B838" s="0" t="n">
        <v>13</v>
      </c>
      <c r="C838" s="0" t="n">
        <v>2.6</v>
      </c>
      <c r="D838" s="0" t="n">
        <v>0</v>
      </c>
    </row>
    <row r="839" customFormat="false" ht="13.8" hidden="true" customHeight="false" outlineLevel="0" collapsed="false">
      <c r="A839" s="0" t="s">
        <v>219</v>
      </c>
      <c r="B839" s="0" t="n">
        <v>20</v>
      </c>
      <c r="C839" s="0" t="n">
        <v>1.3</v>
      </c>
      <c r="D839" s="0" t="n">
        <v>0</v>
      </c>
    </row>
    <row r="840" customFormat="false" ht="13.8" hidden="true" customHeight="false" outlineLevel="0" collapsed="false">
      <c r="A840" s="0" t="s">
        <v>219</v>
      </c>
      <c r="B840" s="0" t="n">
        <v>20</v>
      </c>
      <c r="C840" s="0" t="n">
        <v>1.35</v>
      </c>
      <c r="D840" s="0" t="n">
        <v>0</v>
      </c>
    </row>
    <row r="841" customFormat="false" ht="13.8" hidden="true" customHeight="false" outlineLevel="0" collapsed="false">
      <c r="A841" s="0" t="s">
        <v>219</v>
      </c>
      <c r="B841" s="0" t="n">
        <v>20</v>
      </c>
      <c r="C841" s="0" t="n">
        <v>1.4</v>
      </c>
      <c r="D841" s="0" t="n">
        <v>0</v>
      </c>
    </row>
    <row r="842" customFormat="false" ht="13.8" hidden="true" customHeight="false" outlineLevel="0" collapsed="false">
      <c r="A842" s="0" t="s">
        <v>219</v>
      </c>
      <c r="B842" s="0" t="n">
        <v>20</v>
      </c>
      <c r="C842" s="0" t="n">
        <v>1.45</v>
      </c>
      <c r="D842" s="0" t="n">
        <v>0</v>
      </c>
    </row>
    <row r="843" customFormat="false" ht="13.8" hidden="true" customHeight="false" outlineLevel="0" collapsed="false">
      <c r="A843" s="0" t="s">
        <v>219</v>
      </c>
      <c r="B843" s="0" t="n">
        <v>20</v>
      </c>
      <c r="C843" s="0" t="n">
        <v>1.5</v>
      </c>
      <c r="D843" s="0" t="n">
        <v>0</v>
      </c>
    </row>
    <row r="844" customFormat="false" ht="13.8" hidden="true" customHeight="false" outlineLevel="0" collapsed="false">
      <c r="A844" s="0" t="s">
        <v>219</v>
      </c>
      <c r="B844" s="0" t="n">
        <v>20</v>
      </c>
      <c r="C844" s="0" t="n">
        <v>1.55</v>
      </c>
      <c r="D844" s="0" t="n">
        <v>0</v>
      </c>
    </row>
    <row r="845" customFormat="false" ht="13.8" hidden="true" customHeight="false" outlineLevel="0" collapsed="false">
      <c r="A845" s="0" t="s">
        <v>219</v>
      </c>
      <c r="B845" s="0" t="n">
        <v>20</v>
      </c>
      <c r="C845" s="0" t="n">
        <v>1.6</v>
      </c>
      <c r="D845" s="0" t="n">
        <v>0</v>
      </c>
    </row>
    <row r="846" customFormat="false" ht="13.8" hidden="true" customHeight="false" outlineLevel="0" collapsed="false">
      <c r="A846" s="0" t="s">
        <v>219</v>
      </c>
      <c r="B846" s="0" t="n">
        <v>20</v>
      </c>
      <c r="C846" s="0" t="n">
        <v>1.65</v>
      </c>
      <c r="D846" s="0" t="n">
        <v>0</v>
      </c>
    </row>
    <row r="847" customFormat="false" ht="13.8" hidden="true" customHeight="false" outlineLevel="0" collapsed="false">
      <c r="A847" s="0" t="s">
        <v>219</v>
      </c>
      <c r="B847" s="0" t="n">
        <v>20</v>
      </c>
      <c r="C847" s="0" t="n">
        <v>1.7</v>
      </c>
      <c r="D847" s="0" t="n">
        <v>0</v>
      </c>
    </row>
    <row r="848" customFormat="false" ht="13.8" hidden="true" customHeight="false" outlineLevel="0" collapsed="false">
      <c r="A848" s="0" t="s">
        <v>219</v>
      </c>
      <c r="B848" s="0" t="n">
        <v>20</v>
      </c>
      <c r="C848" s="0" t="n">
        <v>1.75</v>
      </c>
      <c r="D848" s="0" t="n">
        <v>0</v>
      </c>
    </row>
    <row r="849" customFormat="false" ht="13.8" hidden="true" customHeight="false" outlineLevel="0" collapsed="false">
      <c r="A849" s="0" t="s">
        <v>219</v>
      </c>
      <c r="B849" s="0" t="n">
        <v>20</v>
      </c>
      <c r="C849" s="0" t="n">
        <v>1.8</v>
      </c>
      <c r="D849" s="0" t="n">
        <v>0.326576202</v>
      </c>
    </row>
    <row r="850" customFormat="false" ht="13.8" hidden="true" customHeight="false" outlineLevel="0" collapsed="false">
      <c r="A850" s="0" t="s">
        <v>219</v>
      </c>
      <c r="B850" s="0" t="n">
        <v>20</v>
      </c>
      <c r="C850" s="0" t="n">
        <v>1.85</v>
      </c>
      <c r="D850" s="0" t="n">
        <v>0.335647763</v>
      </c>
    </row>
    <row r="851" customFormat="false" ht="13.8" hidden="true" customHeight="false" outlineLevel="0" collapsed="false">
      <c r="A851" s="0" t="s">
        <v>219</v>
      </c>
      <c r="B851" s="0" t="n">
        <v>20</v>
      </c>
      <c r="C851" s="0" t="n">
        <v>1.9</v>
      </c>
      <c r="D851" s="0" t="n">
        <v>0.344719324</v>
      </c>
    </row>
    <row r="852" customFormat="false" ht="13.8" hidden="true" customHeight="false" outlineLevel="0" collapsed="false">
      <c r="A852" s="0" t="s">
        <v>219</v>
      </c>
      <c r="B852" s="0" t="n">
        <v>20</v>
      </c>
      <c r="C852" s="0" t="n">
        <v>1.95</v>
      </c>
      <c r="D852" s="0" t="n">
        <v>0.353790885</v>
      </c>
    </row>
    <row r="853" customFormat="false" ht="13.8" hidden="true" customHeight="false" outlineLevel="0" collapsed="false">
      <c r="A853" s="0" t="s">
        <v>219</v>
      </c>
      <c r="B853" s="0" t="n">
        <v>20</v>
      </c>
      <c r="C853" s="0" t="n">
        <v>2</v>
      </c>
      <c r="D853" s="0" t="n">
        <v>0.384582143</v>
      </c>
    </row>
    <row r="854" customFormat="false" ht="13.8" hidden="true" customHeight="false" outlineLevel="0" collapsed="false">
      <c r="A854" s="0" t="s">
        <v>219</v>
      </c>
      <c r="B854" s="0" t="n">
        <v>20</v>
      </c>
      <c r="C854" s="0" t="n">
        <v>2.05</v>
      </c>
      <c r="D854" s="0" t="n">
        <v>0</v>
      </c>
    </row>
    <row r="855" customFormat="false" ht="13.8" hidden="true" customHeight="false" outlineLevel="0" collapsed="false">
      <c r="A855" s="0" t="s">
        <v>219</v>
      </c>
      <c r="B855" s="0" t="n">
        <v>20</v>
      </c>
      <c r="C855" s="0" t="n">
        <v>2.1</v>
      </c>
      <c r="D855" s="0" t="n">
        <v>0</v>
      </c>
    </row>
    <row r="856" customFormat="false" ht="13.8" hidden="true" customHeight="false" outlineLevel="0" collapsed="false">
      <c r="A856" s="0" t="s">
        <v>219</v>
      </c>
      <c r="B856" s="0" t="n">
        <v>20</v>
      </c>
      <c r="C856" s="0" t="n">
        <v>2.15</v>
      </c>
      <c r="D856" s="0" t="n">
        <v>0</v>
      </c>
    </row>
    <row r="857" customFormat="false" ht="13.8" hidden="true" customHeight="false" outlineLevel="0" collapsed="false">
      <c r="A857" s="0" t="s">
        <v>219</v>
      </c>
      <c r="B857" s="0" t="n">
        <v>20</v>
      </c>
      <c r="C857" s="0" t="n">
        <v>2.2</v>
      </c>
      <c r="D857" s="0" t="n">
        <v>0</v>
      </c>
    </row>
    <row r="858" customFormat="false" ht="13.8" hidden="true" customHeight="false" outlineLevel="0" collapsed="false">
      <c r="A858" s="0" t="s">
        <v>219</v>
      </c>
      <c r="B858" s="0" t="n">
        <v>20</v>
      </c>
      <c r="C858" s="0" t="n">
        <v>2.25</v>
      </c>
      <c r="D858" s="0" t="n">
        <v>0</v>
      </c>
    </row>
    <row r="859" customFormat="false" ht="13.8" hidden="true" customHeight="false" outlineLevel="0" collapsed="false">
      <c r="A859" s="0" t="s">
        <v>219</v>
      </c>
      <c r="B859" s="0" t="n">
        <v>20</v>
      </c>
      <c r="C859" s="0" t="n">
        <v>2.3</v>
      </c>
      <c r="D859" s="0" t="n">
        <v>0</v>
      </c>
    </row>
    <row r="860" customFormat="false" ht="13.8" hidden="true" customHeight="false" outlineLevel="0" collapsed="false">
      <c r="A860" s="0" t="s">
        <v>219</v>
      </c>
      <c r="B860" s="0" t="n">
        <v>20</v>
      </c>
      <c r="C860" s="0" t="n">
        <v>2.35</v>
      </c>
      <c r="D860" s="0" t="n">
        <v>0</v>
      </c>
    </row>
    <row r="861" customFormat="false" ht="13.8" hidden="true" customHeight="false" outlineLevel="0" collapsed="false">
      <c r="A861" s="0" t="s">
        <v>219</v>
      </c>
      <c r="B861" s="0" t="n">
        <v>20</v>
      </c>
      <c r="C861" s="0" t="n">
        <v>2.4</v>
      </c>
      <c r="D861" s="0" t="n">
        <v>0</v>
      </c>
    </row>
    <row r="862" customFormat="false" ht="13.8" hidden="true" customHeight="false" outlineLevel="0" collapsed="false">
      <c r="A862" s="0" t="s">
        <v>219</v>
      </c>
      <c r="B862" s="0" t="n">
        <v>20</v>
      </c>
      <c r="C862" s="0" t="n">
        <v>2.45</v>
      </c>
      <c r="D862" s="0" t="n">
        <v>0</v>
      </c>
    </row>
    <row r="863" customFormat="false" ht="13.8" hidden="true" customHeight="false" outlineLevel="0" collapsed="false">
      <c r="A863" s="0" t="s">
        <v>219</v>
      </c>
      <c r="B863" s="0" t="n">
        <v>20</v>
      </c>
      <c r="C863" s="0" t="n">
        <v>2.5</v>
      </c>
      <c r="D863" s="0" t="n">
        <v>0</v>
      </c>
    </row>
    <row r="864" customFormat="false" ht="13.8" hidden="true" customHeight="false" outlineLevel="0" collapsed="false">
      <c r="A864" s="0" t="s">
        <v>219</v>
      </c>
      <c r="B864" s="0" t="n">
        <v>20</v>
      </c>
      <c r="C864" s="0" t="n">
        <v>2.55</v>
      </c>
      <c r="D864" s="0" t="n">
        <v>0</v>
      </c>
    </row>
    <row r="865" customFormat="false" ht="13.8" hidden="true" customHeight="false" outlineLevel="0" collapsed="false">
      <c r="A865" s="0" t="s">
        <v>219</v>
      </c>
      <c r="B865" s="0" t="n">
        <v>20</v>
      </c>
      <c r="C865" s="0" t="n">
        <v>2.6</v>
      </c>
      <c r="D865" s="0" t="n">
        <v>0</v>
      </c>
    </row>
    <row r="866" customFormat="false" ht="13.8" hidden="true" customHeight="false" outlineLevel="0" collapsed="false">
      <c r="A866" s="0" t="s">
        <v>638</v>
      </c>
      <c r="B866" s="0" t="n">
        <v>12</v>
      </c>
      <c r="C866" s="0" t="n">
        <v>1.3</v>
      </c>
      <c r="D866" s="0" t="n">
        <v>0</v>
      </c>
    </row>
    <row r="867" customFormat="false" ht="13.8" hidden="true" customHeight="false" outlineLevel="0" collapsed="false">
      <c r="A867" s="0" t="s">
        <v>638</v>
      </c>
      <c r="B867" s="0" t="n">
        <v>12</v>
      </c>
      <c r="C867" s="0" t="n">
        <v>1.35</v>
      </c>
      <c r="D867" s="0" t="n">
        <v>0</v>
      </c>
    </row>
    <row r="868" customFormat="false" ht="13.8" hidden="true" customHeight="false" outlineLevel="0" collapsed="false">
      <c r="A868" s="0" t="s">
        <v>638</v>
      </c>
      <c r="B868" s="0" t="n">
        <v>12</v>
      </c>
      <c r="C868" s="0" t="n">
        <v>1.4</v>
      </c>
      <c r="D868" s="0" t="n">
        <v>0</v>
      </c>
    </row>
    <row r="869" customFormat="false" ht="13.8" hidden="true" customHeight="false" outlineLevel="0" collapsed="false">
      <c r="A869" s="0" t="s">
        <v>638</v>
      </c>
      <c r="B869" s="0" t="n">
        <v>12</v>
      </c>
      <c r="C869" s="0" t="n">
        <v>1.45</v>
      </c>
      <c r="D869" s="0" t="n">
        <v>0</v>
      </c>
    </row>
    <row r="870" customFormat="false" ht="13.8" hidden="true" customHeight="false" outlineLevel="0" collapsed="false">
      <c r="A870" s="0" t="s">
        <v>638</v>
      </c>
      <c r="B870" s="0" t="n">
        <v>12</v>
      </c>
      <c r="C870" s="0" t="n">
        <v>1.5</v>
      </c>
      <c r="D870" s="0" t="n">
        <v>0</v>
      </c>
    </row>
    <row r="871" customFormat="false" ht="13.8" hidden="true" customHeight="false" outlineLevel="0" collapsed="false">
      <c r="A871" s="0" t="s">
        <v>638</v>
      </c>
      <c r="B871" s="0" t="n">
        <v>12</v>
      </c>
      <c r="C871" s="0" t="n">
        <v>1.55</v>
      </c>
      <c r="D871" s="0" t="n">
        <v>0</v>
      </c>
    </row>
    <row r="872" customFormat="false" ht="13.8" hidden="true" customHeight="false" outlineLevel="0" collapsed="false">
      <c r="A872" s="0" t="s">
        <v>638</v>
      </c>
      <c r="B872" s="0" t="n">
        <v>12</v>
      </c>
      <c r="C872" s="0" t="n">
        <v>1.6</v>
      </c>
      <c r="D872" s="0" t="n">
        <v>0.273</v>
      </c>
    </row>
    <row r="873" customFormat="false" ht="13.8" hidden="true" customHeight="false" outlineLevel="0" collapsed="false">
      <c r="A873" s="0" t="s">
        <v>638</v>
      </c>
      <c r="B873" s="0" t="n">
        <v>12</v>
      </c>
      <c r="C873" s="0" t="n">
        <v>1.65</v>
      </c>
      <c r="D873" s="0" t="n">
        <v>0.281</v>
      </c>
    </row>
    <row r="874" customFormat="false" ht="13.8" hidden="true" customHeight="false" outlineLevel="0" collapsed="false">
      <c r="A874" s="0" t="s">
        <v>638</v>
      </c>
      <c r="B874" s="0" t="n">
        <v>12</v>
      </c>
      <c r="C874" s="0" t="n">
        <v>1.7</v>
      </c>
      <c r="D874" s="0" t="n">
        <v>0.29</v>
      </c>
    </row>
    <row r="875" customFormat="false" ht="13.8" hidden="true" customHeight="false" outlineLevel="0" collapsed="false">
      <c r="A875" s="0" t="s">
        <v>638</v>
      </c>
      <c r="B875" s="0" t="n">
        <v>12</v>
      </c>
      <c r="C875" s="0" t="n">
        <v>1.75</v>
      </c>
      <c r="D875" s="0" t="n">
        <v>0.298</v>
      </c>
    </row>
    <row r="876" customFormat="false" ht="13.8" hidden="true" customHeight="false" outlineLevel="0" collapsed="false">
      <c r="A876" s="0" t="s">
        <v>638</v>
      </c>
      <c r="B876" s="0" t="n">
        <v>12</v>
      </c>
      <c r="C876" s="0" t="n">
        <v>1.8</v>
      </c>
      <c r="D876" s="0" t="n">
        <v>0</v>
      </c>
    </row>
    <row r="877" customFormat="false" ht="13.8" hidden="true" customHeight="false" outlineLevel="0" collapsed="false">
      <c r="A877" s="0" t="s">
        <v>638</v>
      </c>
      <c r="B877" s="0" t="n">
        <v>12</v>
      </c>
      <c r="C877" s="0" t="n">
        <v>1.85</v>
      </c>
      <c r="D877" s="0" t="n">
        <v>0</v>
      </c>
    </row>
    <row r="878" customFormat="false" ht="13.8" hidden="true" customHeight="false" outlineLevel="0" collapsed="false">
      <c r="A878" s="0" t="s">
        <v>638</v>
      </c>
      <c r="B878" s="0" t="n">
        <v>12</v>
      </c>
      <c r="C878" s="0" t="n">
        <v>1.9</v>
      </c>
      <c r="D878" s="0" t="n">
        <v>0</v>
      </c>
    </row>
    <row r="879" customFormat="false" ht="13.8" hidden="true" customHeight="false" outlineLevel="0" collapsed="false">
      <c r="A879" s="0" t="s">
        <v>638</v>
      </c>
      <c r="B879" s="0" t="n">
        <v>12</v>
      </c>
      <c r="C879" s="0" t="n">
        <v>1.95</v>
      </c>
      <c r="D879" s="0" t="n">
        <v>0</v>
      </c>
    </row>
    <row r="880" customFormat="false" ht="13.8" hidden="true" customHeight="false" outlineLevel="0" collapsed="false">
      <c r="A880" s="0" t="s">
        <v>638</v>
      </c>
      <c r="B880" s="0" t="n">
        <v>12</v>
      </c>
      <c r="C880" s="0" t="n">
        <v>2</v>
      </c>
      <c r="D880" s="0" t="n">
        <v>0</v>
      </c>
    </row>
    <row r="881" customFormat="false" ht="13.8" hidden="true" customHeight="false" outlineLevel="0" collapsed="false">
      <c r="A881" s="0" t="s">
        <v>638</v>
      </c>
      <c r="B881" s="0" t="n">
        <v>12</v>
      </c>
      <c r="C881" s="0" t="n">
        <v>2.05</v>
      </c>
      <c r="D881" s="0" t="n">
        <v>0</v>
      </c>
    </row>
    <row r="882" customFormat="false" ht="13.8" hidden="true" customHeight="false" outlineLevel="0" collapsed="false">
      <c r="A882" s="0" t="s">
        <v>638</v>
      </c>
      <c r="B882" s="0" t="n">
        <v>12</v>
      </c>
      <c r="C882" s="0" t="n">
        <v>2.1</v>
      </c>
      <c r="D882" s="0" t="n">
        <v>0</v>
      </c>
    </row>
    <row r="883" customFormat="false" ht="13.8" hidden="true" customHeight="false" outlineLevel="0" collapsed="false">
      <c r="A883" s="0" t="s">
        <v>638</v>
      </c>
      <c r="B883" s="0" t="n">
        <v>12</v>
      </c>
      <c r="C883" s="0" t="n">
        <v>2.15</v>
      </c>
      <c r="D883" s="0" t="n">
        <v>0</v>
      </c>
    </row>
    <row r="884" customFormat="false" ht="13.8" hidden="true" customHeight="false" outlineLevel="0" collapsed="false">
      <c r="A884" s="0" t="s">
        <v>638</v>
      </c>
      <c r="B884" s="0" t="n">
        <v>12</v>
      </c>
      <c r="C884" s="0" t="n">
        <v>2.2</v>
      </c>
      <c r="D884" s="0" t="n">
        <v>0</v>
      </c>
    </row>
    <row r="885" customFormat="false" ht="13.8" hidden="true" customHeight="false" outlineLevel="0" collapsed="false">
      <c r="A885" s="0" t="s">
        <v>638</v>
      </c>
      <c r="B885" s="0" t="n">
        <v>12</v>
      </c>
      <c r="C885" s="0" t="n">
        <v>2.25</v>
      </c>
      <c r="D885" s="0" t="n">
        <v>0</v>
      </c>
    </row>
    <row r="886" customFormat="false" ht="13.8" hidden="true" customHeight="false" outlineLevel="0" collapsed="false">
      <c r="A886" s="0" t="s">
        <v>638</v>
      </c>
      <c r="B886" s="0" t="n">
        <v>12</v>
      </c>
      <c r="C886" s="0" t="n">
        <v>2.3</v>
      </c>
      <c r="D886" s="0" t="n">
        <v>0</v>
      </c>
    </row>
    <row r="887" customFormat="false" ht="13.8" hidden="true" customHeight="false" outlineLevel="0" collapsed="false">
      <c r="A887" s="0" t="s">
        <v>638</v>
      </c>
      <c r="B887" s="0" t="n">
        <v>12</v>
      </c>
      <c r="C887" s="0" t="n">
        <v>2.35</v>
      </c>
      <c r="D887" s="0" t="n">
        <v>0</v>
      </c>
    </row>
    <row r="888" customFormat="false" ht="13.8" hidden="true" customHeight="false" outlineLevel="0" collapsed="false">
      <c r="A888" s="0" t="s">
        <v>638</v>
      </c>
      <c r="B888" s="0" t="n">
        <v>12</v>
      </c>
      <c r="C888" s="0" t="n">
        <v>2.4</v>
      </c>
      <c r="D888" s="0" t="n">
        <v>0</v>
      </c>
    </row>
    <row r="889" customFormat="false" ht="13.8" hidden="true" customHeight="false" outlineLevel="0" collapsed="false">
      <c r="A889" s="0" t="s">
        <v>638</v>
      </c>
      <c r="B889" s="0" t="n">
        <v>12</v>
      </c>
      <c r="C889" s="0" t="n">
        <v>2.45</v>
      </c>
      <c r="D889" s="0" t="n">
        <v>0</v>
      </c>
    </row>
    <row r="890" customFormat="false" ht="13.8" hidden="true" customHeight="false" outlineLevel="0" collapsed="false">
      <c r="A890" s="0" t="s">
        <v>638</v>
      </c>
      <c r="B890" s="0" t="n">
        <v>12</v>
      </c>
      <c r="C890" s="0" t="n">
        <v>2.5</v>
      </c>
      <c r="D890" s="0" t="n">
        <v>0</v>
      </c>
    </row>
    <row r="891" customFormat="false" ht="13.8" hidden="true" customHeight="false" outlineLevel="0" collapsed="false">
      <c r="A891" s="0" t="s">
        <v>638</v>
      </c>
      <c r="B891" s="0" t="n">
        <v>12</v>
      </c>
      <c r="C891" s="0" t="n">
        <v>2.55</v>
      </c>
      <c r="D891" s="0" t="n">
        <v>0</v>
      </c>
    </row>
    <row r="892" customFormat="false" ht="13.8" hidden="true" customHeight="false" outlineLevel="0" collapsed="false">
      <c r="A892" s="0" t="s">
        <v>638</v>
      </c>
      <c r="B892" s="0" t="n">
        <v>12</v>
      </c>
      <c r="C892" s="0" t="n">
        <v>2.6</v>
      </c>
      <c r="D892" s="0" t="n">
        <v>0</v>
      </c>
    </row>
    <row r="893" customFormat="false" ht="13.8" hidden="true" customHeight="false" outlineLevel="0" collapsed="false">
      <c r="A893" s="0" t="s">
        <v>638</v>
      </c>
      <c r="B893" s="0" t="n">
        <v>19</v>
      </c>
      <c r="C893" s="0" t="n">
        <v>1.3</v>
      </c>
      <c r="D893" s="0" t="n">
        <v>0</v>
      </c>
    </row>
    <row r="894" customFormat="false" ht="13.8" hidden="true" customHeight="false" outlineLevel="0" collapsed="false">
      <c r="A894" s="0" t="s">
        <v>638</v>
      </c>
      <c r="B894" s="0" t="n">
        <v>19</v>
      </c>
      <c r="C894" s="0" t="n">
        <v>1.35</v>
      </c>
      <c r="D894" s="0" t="n">
        <v>0</v>
      </c>
    </row>
    <row r="895" customFormat="false" ht="13.8" hidden="true" customHeight="false" outlineLevel="0" collapsed="false">
      <c r="A895" s="0" t="s">
        <v>638</v>
      </c>
      <c r="B895" s="0" t="n">
        <v>19</v>
      </c>
      <c r="C895" s="0" t="n">
        <v>1.4</v>
      </c>
      <c r="D895" s="0" t="n">
        <v>0</v>
      </c>
    </row>
    <row r="896" customFormat="false" ht="13.8" hidden="true" customHeight="false" outlineLevel="0" collapsed="false">
      <c r="A896" s="0" t="s">
        <v>638</v>
      </c>
      <c r="B896" s="0" t="n">
        <v>19</v>
      </c>
      <c r="C896" s="0" t="n">
        <v>1.45</v>
      </c>
      <c r="D896" s="0" t="n">
        <v>0</v>
      </c>
    </row>
    <row r="897" customFormat="false" ht="13.8" hidden="true" customHeight="false" outlineLevel="0" collapsed="false">
      <c r="A897" s="0" t="s">
        <v>638</v>
      </c>
      <c r="B897" s="0" t="n">
        <v>19</v>
      </c>
      <c r="C897" s="0" t="n">
        <v>1.5</v>
      </c>
      <c r="D897" s="0" t="n">
        <v>0</v>
      </c>
    </row>
    <row r="898" customFormat="false" ht="13.8" hidden="true" customHeight="false" outlineLevel="0" collapsed="false">
      <c r="A898" s="0" t="s">
        <v>638</v>
      </c>
      <c r="B898" s="0" t="n">
        <v>19</v>
      </c>
      <c r="C898" s="0" t="n">
        <v>1.55</v>
      </c>
      <c r="D898" s="0" t="n">
        <v>0</v>
      </c>
    </row>
    <row r="899" customFormat="false" ht="13.8" hidden="true" customHeight="false" outlineLevel="0" collapsed="false">
      <c r="A899" s="0" t="s">
        <v>638</v>
      </c>
      <c r="B899" s="0" t="n">
        <v>19</v>
      </c>
      <c r="C899" s="0" t="n">
        <v>1.6</v>
      </c>
      <c r="D899" s="0" t="n">
        <v>0.273</v>
      </c>
    </row>
    <row r="900" customFormat="false" ht="13.8" hidden="true" customHeight="false" outlineLevel="0" collapsed="false">
      <c r="A900" s="0" t="s">
        <v>638</v>
      </c>
      <c r="B900" s="0" t="n">
        <v>19</v>
      </c>
      <c r="C900" s="0" t="n">
        <v>1.65</v>
      </c>
      <c r="D900" s="0" t="n">
        <v>0.281</v>
      </c>
    </row>
    <row r="901" customFormat="false" ht="13.8" hidden="true" customHeight="false" outlineLevel="0" collapsed="false">
      <c r="A901" s="0" t="s">
        <v>638</v>
      </c>
      <c r="B901" s="0" t="n">
        <v>19</v>
      </c>
      <c r="C901" s="0" t="n">
        <v>1.7</v>
      </c>
      <c r="D901" s="0" t="n">
        <v>0.29</v>
      </c>
    </row>
    <row r="902" customFormat="false" ht="13.8" hidden="true" customHeight="false" outlineLevel="0" collapsed="false">
      <c r="A902" s="0" t="s">
        <v>638</v>
      </c>
      <c r="B902" s="0" t="n">
        <v>19</v>
      </c>
      <c r="C902" s="0" t="n">
        <v>1.75</v>
      </c>
      <c r="D902" s="0" t="n">
        <v>0.298</v>
      </c>
    </row>
    <row r="903" customFormat="false" ht="13.8" hidden="true" customHeight="false" outlineLevel="0" collapsed="false">
      <c r="A903" s="0" t="s">
        <v>638</v>
      </c>
      <c r="B903" s="0" t="n">
        <v>19</v>
      </c>
      <c r="C903" s="0" t="n">
        <v>1.8</v>
      </c>
      <c r="D903" s="0" t="n">
        <v>0</v>
      </c>
    </row>
    <row r="904" customFormat="false" ht="13.8" hidden="true" customHeight="false" outlineLevel="0" collapsed="false">
      <c r="A904" s="0" t="s">
        <v>638</v>
      </c>
      <c r="B904" s="0" t="n">
        <v>19</v>
      </c>
      <c r="C904" s="0" t="n">
        <v>1.85</v>
      </c>
      <c r="D904" s="0" t="n">
        <v>0</v>
      </c>
    </row>
    <row r="905" customFormat="false" ht="13.8" hidden="true" customHeight="false" outlineLevel="0" collapsed="false">
      <c r="A905" s="0" t="s">
        <v>638</v>
      </c>
      <c r="B905" s="0" t="n">
        <v>19</v>
      </c>
      <c r="C905" s="0" t="n">
        <v>1.9</v>
      </c>
      <c r="D905" s="0" t="n">
        <v>0</v>
      </c>
    </row>
    <row r="906" customFormat="false" ht="13.8" hidden="true" customHeight="false" outlineLevel="0" collapsed="false">
      <c r="A906" s="0" t="s">
        <v>638</v>
      </c>
      <c r="B906" s="0" t="n">
        <v>19</v>
      </c>
      <c r="C906" s="0" t="n">
        <v>1.95</v>
      </c>
      <c r="D906" s="0" t="n">
        <v>0</v>
      </c>
    </row>
    <row r="907" customFormat="false" ht="13.8" hidden="true" customHeight="false" outlineLevel="0" collapsed="false">
      <c r="A907" s="0" t="s">
        <v>638</v>
      </c>
      <c r="B907" s="0" t="n">
        <v>19</v>
      </c>
      <c r="C907" s="0" t="n">
        <v>2</v>
      </c>
      <c r="D907" s="0" t="n">
        <v>0</v>
      </c>
    </row>
    <row r="908" customFormat="false" ht="13.8" hidden="true" customHeight="false" outlineLevel="0" collapsed="false">
      <c r="A908" s="0" t="s">
        <v>638</v>
      </c>
      <c r="B908" s="0" t="n">
        <v>19</v>
      </c>
      <c r="C908" s="0" t="n">
        <v>2.05</v>
      </c>
      <c r="D908" s="0" t="n">
        <v>0</v>
      </c>
    </row>
    <row r="909" customFormat="false" ht="13.8" hidden="true" customHeight="false" outlineLevel="0" collapsed="false">
      <c r="A909" s="0" t="s">
        <v>638</v>
      </c>
      <c r="B909" s="0" t="n">
        <v>19</v>
      </c>
      <c r="C909" s="0" t="n">
        <v>2.1</v>
      </c>
      <c r="D909" s="0" t="n">
        <v>0</v>
      </c>
    </row>
    <row r="910" customFormat="false" ht="13.8" hidden="true" customHeight="false" outlineLevel="0" collapsed="false">
      <c r="A910" s="0" t="s">
        <v>638</v>
      </c>
      <c r="B910" s="0" t="n">
        <v>19</v>
      </c>
      <c r="C910" s="0" t="n">
        <v>2.15</v>
      </c>
      <c r="D910" s="0" t="n">
        <v>0</v>
      </c>
    </row>
    <row r="911" customFormat="false" ht="13.8" hidden="true" customHeight="false" outlineLevel="0" collapsed="false">
      <c r="A911" s="0" t="s">
        <v>638</v>
      </c>
      <c r="B911" s="0" t="n">
        <v>19</v>
      </c>
      <c r="C911" s="0" t="n">
        <v>2.2</v>
      </c>
      <c r="D911" s="0" t="n">
        <v>0</v>
      </c>
    </row>
    <row r="912" customFormat="false" ht="13.8" hidden="true" customHeight="false" outlineLevel="0" collapsed="false">
      <c r="A912" s="0" t="s">
        <v>638</v>
      </c>
      <c r="B912" s="0" t="n">
        <v>19</v>
      </c>
      <c r="C912" s="0" t="n">
        <v>2.25</v>
      </c>
      <c r="D912" s="0" t="n">
        <v>0</v>
      </c>
    </row>
    <row r="913" customFormat="false" ht="13.8" hidden="true" customHeight="false" outlineLevel="0" collapsed="false">
      <c r="A913" s="0" t="s">
        <v>638</v>
      </c>
      <c r="B913" s="0" t="n">
        <v>19</v>
      </c>
      <c r="C913" s="0" t="n">
        <v>2.3</v>
      </c>
      <c r="D913" s="0" t="n">
        <v>0</v>
      </c>
    </row>
    <row r="914" customFormat="false" ht="13.8" hidden="true" customHeight="false" outlineLevel="0" collapsed="false">
      <c r="A914" s="0" t="s">
        <v>638</v>
      </c>
      <c r="B914" s="0" t="n">
        <v>19</v>
      </c>
      <c r="C914" s="0" t="n">
        <v>2.35</v>
      </c>
      <c r="D914" s="0" t="n">
        <v>0</v>
      </c>
    </row>
    <row r="915" customFormat="false" ht="13.8" hidden="true" customHeight="false" outlineLevel="0" collapsed="false">
      <c r="A915" s="0" t="s">
        <v>638</v>
      </c>
      <c r="B915" s="0" t="n">
        <v>19</v>
      </c>
      <c r="C915" s="0" t="n">
        <v>2.4</v>
      </c>
      <c r="D915" s="0" t="n">
        <v>0</v>
      </c>
    </row>
    <row r="916" customFormat="false" ht="13.8" hidden="true" customHeight="false" outlineLevel="0" collapsed="false">
      <c r="A916" s="0" t="s">
        <v>638</v>
      </c>
      <c r="B916" s="0" t="n">
        <v>19</v>
      </c>
      <c r="C916" s="0" t="n">
        <v>2.45</v>
      </c>
      <c r="D916" s="0" t="n">
        <v>0</v>
      </c>
    </row>
    <row r="917" customFormat="false" ht="13.8" hidden="true" customHeight="false" outlineLevel="0" collapsed="false">
      <c r="A917" s="0" t="s">
        <v>638</v>
      </c>
      <c r="B917" s="0" t="n">
        <v>19</v>
      </c>
      <c r="C917" s="0" t="n">
        <v>2.5</v>
      </c>
      <c r="D917" s="0" t="n">
        <v>0</v>
      </c>
    </row>
    <row r="918" customFormat="false" ht="13.8" hidden="true" customHeight="false" outlineLevel="0" collapsed="false">
      <c r="A918" s="0" t="s">
        <v>638</v>
      </c>
      <c r="B918" s="0" t="n">
        <v>19</v>
      </c>
      <c r="C918" s="0" t="n">
        <v>2.55</v>
      </c>
      <c r="D918" s="0" t="n">
        <v>0</v>
      </c>
    </row>
    <row r="919" customFormat="false" ht="13.8" hidden="true" customHeight="false" outlineLevel="0" collapsed="false">
      <c r="A919" s="0" t="s">
        <v>638</v>
      </c>
      <c r="B919" s="0" t="n">
        <v>19</v>
      </c>
      <c r="C919" s="0" t="n">
        <v>2.6</v>
      </c>
      <c r="D919" s="0" t="n">
        <v>0</v>
      </c>
    </row>
    <row r="920" customFormat="false" ht="13.8" hidden="true" customHeight="false" outlineLevel="0" collapsed="false">
      <c r="A920" s="0" t="s">
        <v>220</v>
      </c>
      <c r="B920" s="0" t="n">
        <v>12</v>
      </c>
      <c r="C920" s="0" t="n">
        <v>1.3</v>
      </c>
      <c r="D920" s="0" t="n">
        <v>0</v>
      </c>
    </row>
    <row r="921" customFormat="false" ht="13.8" hidden="true" customHeight="false" outlineLevel="0" collapsed="false">
      <c r="A921" s="0" t="s">
        <v>220</v>
      </c>
      <c r="B921" s="0" t="n">
        <v>12</v>
      </c>
      <c r="C921" s="0" t="n">
        <v>1.35</v>
      </c>
      <c r="D921" s="0" t="n">
        <v>0</v>
      </c>
    </row>
    <row r="922" customFormat="false" ht="13.8" hidden="true" customHeight="false" outlineLevel="0" collapsed="false">
      <c r="A922" s="0" t="s">
        <v>220</v>
      </c>
      <c r="B922" s="0" t="n">
        <v>12</v>
      </c>
      <c r="C922" s="0" t="n">
        <v>1.4</v>
      </c>
      <c r="D922" s="0" t="n">
        <v>0</v>
      </c>
    </row>
    <row r="923" customFormat="false" ht="13.8" hidden="true" customHeight="false" outlineLevel="0" collapsed="false">
      <c r="A923" s="0" t="s">
        <v>220</v>
      </c>
      <c r="B923" s="0" t="n">
        <v>12</v>
      </c>
      <c r="C923" s="0" t="n">
        <v>1.45</v>
      </c>
      <c r="D923" s="0" t="n">
        <v>0</v>
      </c>
    </row>
    <row r="924" customFormat="false" ht="13.8" hidden="true" customHeight="false" outlineLevel="0" collapsed="false">
      <c r="A924" s="0" t="s">
        <v>220</v>
      </c>
      <c r="B924" s="0" t="n">
        <v>12</v>
      </c>
      <c r="C924" s="0" t="n">
        <v>1.5</v>
      </c>
      <c r="D924" s="0" t="n">
        <v>0</v>
      </c>
    </row>
    <row r="925" customFormat="false" ht="13.8" hidden="true" customHeight="false" outlineLevel="0" collapsed="false">
      <c r="A925" s="0" t="s">
        <v>220</v>
      </c>
      <c r="B925" s="0" t="n">
        <v>12</v>
      </c>
      <c r="C925" s="0" t="n">
        <v>1.55</v>
      </c>
      <c r="D925" s="0" t="n">
        <v>0</v>
      </c>
    </row>
    <row r="926" customFormat="false" ht="13.8" hidden="true" customHeight="false" outlineLevel="0" collapsed="false">
      <c r="A926" s="0" t="s">
        <v>220</v>
      </c>
      <c r="B926" s="0" t="n">
        <v>12</v>
      </c>
      <c r="C926" s="0" t="n">
        <v>1.6</v>
      </c>
      <c r="D926" s="0" t="n">
        <v>0.273</v>
      </c>
    </row>
    <row r="927" customFormat="false" ht="13.8" hidden="true" customHeight="false" outlineLevel="0" collapsed="false">
      <c r="A927" s="0" t="s">
        <v>220</v>
      </c>
      <c r="B927" s="0" t="n">
        <v>12</v>
      </c>
      <c r="C927" s="0" t="n">
        <v>1.65</v>
      </c>
      <c r="D927" s="0" t="n">
        <v>0.281</v>
      </c>
    </row>
    <row r="928" customFormat="false" ht="13.8" hidden="true" customHeight="false" outlineLevel="0" collapsed="false">
      <c r="A928" s="0" t="s">
        <v>220</v>
      </c>
      <c r="B928" s="0" t="n">
        <v>12</v>
      </c>
      <c r="C928" s="0" t="n">
        <v>1.7</v>
      </c>
      <c r="D928" s="0" t="n">
        <v>0.289971338</v>
      </c>
    </row>
    <row r="929" customFormat="false" ht="13.8" hidden="true" customHeight="false" outlineLevel="0" collapsed="false">
      <c r="A929" s="0" t="s">
        <v>220</v>
      </c>
      <c r="B929" s="0" t="n">
        <v>12</v>
      </c>
      <c r="C929" s="0" t="n">
        <v>1.75</v>
      </c>
      <c r="D929" s="0" t="n">
        <v>0.298499907</v>
      </c>
    </row>
    <row r="930" customFormat="false" ht="13.8" hidden="true" customHeight="false" outlineLevel="0" collapsed="false">
      <c r="A930" s="0" t="s">
        <v>220</v>
      </c>
      <c r="B930" s="0" t="n">
        <v>12</v>
      </c>
      <c r="C930" s="0" t="n">
        <v>1.8</v>
      </c>
      <c r="D930" s="0" t="n">
        <v>0</v>
      </c>
    </row>
    <row r="931" customFormat="false" ht="13.8" hidden="true" customHeight="false" outlineLevel="0" collapsed="false">
      <c r="A931" s="0" t="s">
        <v>220</v>
      </c>
      <c r="B931" s="0" t="n">
        <v>12</v>
      </c>
      <c r="C931" s="0" t="n">
        <v>1.85</v>
      </c>
      <c r="D931" s="0" t="n">
        <v>0</v>
      </c>
    </row>
    <row r="932" customFormat="false" ht="13.8" hidden="true" customHeight="false" outlineLevel="0" collapsed="false">
      <c r="A932" s="0" t="s">
        <v>220</v>
      </c>
      <c r="B932" s="0" t="n">
        <v>12</v>
      </c>
      <c r="C932" s="0" t="n">
        <v>1.9</v>
      </c>
      <c r="D932" s="0" t="n">
        <v>0</v>
      </c>
    </row>
    <row r="933" customFormat="false" ht="13.8" hidden="true" customHeight="false" outlineLevel="0" collapsed="false">
      <c r="A933" s="0" t="s">
        <v>220</v>
      </c>
      <c r="B933" s="0" t="n">
        <v>12</v>
      </c>
      <c r="C933" s="0" t="n">
        <v>1.95</v>
      </c>
      <c r="D933" s="0" t="n">
        <v>0</v>
      </c>
    </row>
    <row r="934" customFormat="false" ht="13.8" hidden="true" customHeight="false" outlineLevel="0" collapsed="false">
      <c r="A934" s="0" t="s">
        <v>220</v>
      </c>
      <c r="B934" s="0" t="n">
        <v>12</v>
      </c>
      <c r="C934" s="0" t="n">
        <v>2</v>
      </c>
      <c r="D934" s="0" t="n">
        <v>0</v>
      </c>
    </row>
    <row r="935" customFormat="false" ht="13.8" hidden="true" customHeight="false" outlineLevel="0" collapsed="false">
      <c r="A935" s="0" t="s">
        <v>220</v>
      </c>
      <c r="B935" s="0" t="n">
        <v>12</v>
      </c>
      <c r="C935" s="0" t="n">
        <v>2.05</v>
      </c>
      <c r="D935" s="0" t="n">
        <v>0</v>
      </c>
    </row>
    <row r="936" customFormat="false" ht="13.8" hidden="true" customHeight="false" outlineLevel="0" collapsed="false">
      <c r="A936" s="0" t="s">
        <v>220</v>
      </c>
      <c r="B936" s="0" t="n">
        <v>12</v>
      </c>
      <c r="C936" s="0" t="n">
        <v>2.1</v>
      </c>
      <c r="D936" s="0" t="n">
        <v>0</v>
      </c>
    </row>
    <row r="937" customFormat="false" ht="13.8" hidden="true" customHeight="false" outlineLevel="0" collapsed="false">
      <c r="A937" s="0" t="s">
        <v>220</v>
      </c>
      <c r="B937" s="0" t="n">
        <v>12</v>
      </c>
      <c r="C937" s="0" t="n">
        <v>2.15</v>
      </c>
      <c r="D937" s="0" t="n">
        <v>0</v>
      </c>
    </row>
    <row r="938" customFormat="false" ht="13.8" hidden="true" customHeight="false" outlineLevel="0" collapsed="false">
      <c r="A938" s="0" t="s">
        <v>220</v>
      </c>
      <c r="B938" s="0" t="n">
        <v>12</v>
      </c>
      <c r="C938" s="0" t="n">
        <v>2.2</v>
      </c>
      <c r="D938" s="0" t="n">
        <v>0</v>
      </c>
    </row>
    <row r="939" customFormat="false" ht="13.8" hidden="true" customHeight="false" outlineLevel="0" collapsed="false">
      <c r="A939" s="0" t="s">
        <v>220</v>
      </c>
      <c r="B939" s="0" t="n">
        <v>12</v>
      </c>
      <c r="C939" s="0" t="n">
        <v>2.25</v>
      </c>
      <c r="D939" s="0" t="n">
        <v>0</v>
      </c>
    </row>
    <row r="940" customFormat="false" ht="13.8" hidden="true" customHeight="false" outlineLevel="0" collapsed="false">
      <c r="A940" s="0" t="s">
        <v>220</v>
      </c>
      <c r="B940" s="0" t="n">
        <v>12</v>
      </c>
      <c r="C940" s="0" t="n">
        <v>2.3</v>
      </c>
      <c r="D940" s="0" t="n">
        <v>0</v>
      </c>
    </row>
    <row r="941" customFormat="false" ht="13.8" hidden="true" customHeight="false" outlineLevel="0" collapsed="false">
      <c r="A941" s="0" t="s">
        <v>220</v>
      </c>
      <c r="B941" s="0" t="n">
        <v>12</v>
      </c>
      <c r="C941" s="0" t="n">
        <v>2.35</v>
      </c>
      <c r="D941" s="0" t="n">
        <v>0</v>
      </c>
    </row>
    <row r="942" customFormat="false" ht="13.8" hidden="true" customHeight="false" outlineLevel="0" collapsed="false">
      <c r="A942" s="0" t="s">
        <v>220</v>
      </c>
      <c r="B942" s="0" t="n">
        <v>12</v>
      </c>
      <c r="C942" s="0" t="n">
        <v>2.4</v>
      </c>
      <c r="D942" s="0" t="n">
        <v>0</v>
      </c>
    </row>
    <row r="943" customFormat="false" ht="13.8" hidden="true" customHeight="false" outlineLevel="0" collapsed="false">
      <c r="A943" s="0" t="s">
        <v>220</v>
      </c>
      <c r="B943" s="0" t="n">
        <v>12</v>
      </c>
      <c r="C943" s="0" t="n">
        <v>2.45</v>
      </c>
      <c r="D943" s="0" t="n">
        <v>0</v>
      </c>
    </row>
    <row r="944" customFormat="false" ht="13.8" hidden="true" customHeight="false" outlineLevel="0" collapsed="false">
      <c r="A944" s="0" t="s">
        <v>220</v>
      </c>
      <c r="B944" s="0" t="n">
        <v>12</v>
      </c>
      <c r="C944" s="0" t="n">
        <v>2.5</v>
      </c>
      <c r="D944" s="0" t="n">
        <v>0</v>
      </c>
    </row>
    <row r="945" customFormat="false" ht="13.8" hidden="true" customHeight="false" outlineLevel="0" collapsed="false">
      <c r="A945" s="0" t="s">
        <v>220</v>
      </c>
      <c r="B945" s="0" t="n">
        <v>12</v>
      </c>
      <c r="C945" s="0" t="n">
        <v>2.55</v>
      </c>
      <c r="D945" s="0" t="n">
        <v>0</v>
      </c>
    </row>
    <row r="946" customFormat="false" ht="13.8" hidden="true" customHeight="false" outlineLevel="0" collapsed="false">
      <c r="A946" s="0" t="s">
        <v>220</v>
      </c>
      <c r="B946" s="0" t="n">
        <v>12</v>
      </c>
      <c r="C946" s="0" t="n">
        <v>2.6</v>
      </c>
      <c r="D946" s="0" t="n">
        <v>0</v>
      </c>
    </row>
    <row r="947" customFormat="false" ht="13.8" hidden="true" customHeight="false" outlineLevel="0" collapsed="false">
      <c r="A947" s="0" t="s">
        <v>220</v>
      </c>
      <c r="B947" s="0" t="n">
        <v>19</v>
      </c>
      <c r="C947" s="0" t="n">
        <v>1.3</v>
      </c>
      <c r="D947" s="0" t="n">
        <v>0</v>
      </c>
    </row>
    <row r="948" customFormat="false" ht="13.8" hidden="true" customHeight="false" outlineLevel="0" collapsed="false">
      <c r="A948" s="0" t="s">
        <v>220</v>
      </c>
      <c r="B948" s="0" t="n">
        <v>19</v>
      </c>
      <c r="C948" s="0" t="n">
        <v>1.35</v>
      </c>
      <c r="D948" s="0" t="n">
        <v>0</v>
      </c>
    </row>
    <row r="949" customFormat="false" ht="13.8" hidden="true" customHeight="false" outlineLevel="0" collapsed="false">
      <c r="A949" s="0" t="s">
        <v>220</v>
      </c>
      <c r="B949" s="0" t="n">
        <v>19</v>
      </c>
      <c r="C949" s="0" t="n">
        <v>1.4</v>
      </c>
      <c r="D949" s="0" t="n">
        <v>0</v>
      </c>
    </row>
    <row r="950" customFormat="false" ht="13.8" hidden="true" customHeight="false" outlineLevel="0" collapsed="false">
      <c r="A950" s="0" t="s">
        <v>220</v>
      </c>
      <c r="B950" s="0" t="n">
        <v>19</v>
      </c>
      <c r="C950" s="0" t="n">
        <v>1.45</v>
      </c>
      <c r="D950" s="0" t="n">
        <v>0</v>
      </c>
    </row>
    <row r="951" customFormat="false" ht="13.8" hidden="true" customHeight="false" outlineLevel="0" collapsed="false">
      <c r="A951" s="0" t="s">
        <v>220</v>
      </c>
      <c r="B951" s="0" t="n">
        <v>19</v>
      </c>
      <c r="C951" s="0" t="n">
        <v>1.5</v>
      </c>
      <c r="D951" s="0" t="n">
        <v>0</v>
      </c>
    </row>
    <row r="952" customFormat="false" ht="13.8" hidden="true" customHeight="false" outlineLevel="0" collapsed="false">
      <c r="A952" s="0" t="s">
        <v>220</v>
      </c>
      <c r="B952" s="0" t="n">
        <v>19</v>
      </c>
      <c r="C952" s="0" t="n">
        <v>1.55</v>
      </c>
      <c r="D952" s="0" t="n">
        <v>0</v>
      </c>
    </row>
    <row r="953" customFormat="false" ht="13.8" hidden="true" customHeight="false" outlineLevel="0" collapsed="false">
      <c r="A953" s="0" t="s">
        <v>220</v>
      </c>
      <c r="B953" s="0" t="n">
        <v>19</v>
      </c>
      <c r="C953" s="0" t="n">
        <v>1.6</v>
      </c>
      <c r="D953" s="0" t="n">
        <v>0.273</v>
      </c>
    </row>
    <row r="954" customFormat="false" ht="13.8" hidden="true" customHeight="false" outlineLevel="0" collapsed="false">
      <c r="A954" s="0" t="s">
        <v>220</v>
      </c>
      <c r="B954" s="0" t="n">
        <v>19</v>
      </c>
      <c r="C954" s="0" t="n">
        <v>1.65</v>
      </c>
      <c r="D954" s="0" t="n">
        <v>0.281</v>
      </c>
    </row>
    <row r="955" customFormat="false" ht="13.8" hidden="true" customHeight="false" outlineLevel="0" collapsed="false">
      <c r="A955" s="0" t="s">
        <v>220</v>
      </c>
      <c r="B955" s="0" t="n">
        <v>19</v>
      </c>
      <c r="C955" s="0" t="n">
        <v>1.7</v>
      </c>
      <c r="D955" s="0" t="n">
        <v>0.29</v>
      </c>
    </row>
    <row r="956" customFormat="false" ht="13.8" hidden="true" customHeight="false" outlineLevel="0" collapsed="false">
      <c r="A956" s="0" t="s">
        <v>220</v>
      </c>
      <c r="B956" s="0" t="n">
        <v>19</v>
      </c>
      <c r="C956" s="0" t="n">
        <v>1.75</v>
      </c>
      <c r="D956" s="0" t="n">
        <v>0.298</v>
      </c>
    </row>
    <row r="957" customFormat="false" ht="13.8" hidden="true" customHeight="false" outlineLevel="0" collapsed="false">
      <c r="A957" s="0" t="s">
        <v>220</v>
      </c>
      <c r="B957" s="0" t="n">
        <v>19</v>
      </c>
      <c r="C957" s="0" t="n">
        <v>1.8</v>
      </c>
      <c r="D957" s="0" t="n">
        <v>0</v>
      </c>
    </row>
    <row r="958" customFormat="false" ht="13.8" hidden="true" customHeight="false" outlineLevel="0" collapsed="false">
      <c r="A958" s="0" t="s">
        <v>220</v>
      </c>
      <c r="B958" s="0" t="n">
        <v>19</v>
      </c>
      <c r="C958" s="0" t="n">
        <v>1.85</v>
      </c>
      <c r="D958" s="0" t="n">
        <v>0</v>
      </c>
    </row>
    <row r="959" customFormat="false" ht="13.8" hidden="true" customHeight="false" outlineLevel="0" collapsed="false">
      <c r="A959" s="0" t="s">
        <v>220</v>
      </c>
      <c r="B959" s="0" t="n">
        <v>19</v>
      </c>
      <c r="C959" s="0" t="n">
        <v>1.9</v>
      </c>
      <c r="D959" s="0" t="n">
        <v>0</v>
      </c>
    </row>
    <row r="960" customFormat="false" ht="13.8" hidden="true" customHeight="false" outlineLevel="0" collapsed="false">
      <c r="A960" s="0" t="s">
        <v>220</v>
      </c>
      <c r="B960" s="0" t="n">
        <v>19</v>
      </c>
      <c r="C960" s="0" t="n">
        <v>1.95</v>
      </c>
      <c r="D960" s="0" t="n">
        <v>0</v>
      </c>
    </row>
    <row r="961" customFormat="false" ht="13.8" hidden="true" customHeight="false" outlineLevel="0" collapsed="false">
      <c r="A961" s="0" t="s">
        <v>220</v>
      </c>
      <c r="B961" s="0" t="n">
        <v>19</v>
      </c>
      <c r="C961" s="0" t="n">
        <v>2</v>
      </c>
      <c r="D961" s="0" t="n">
        <v>0</v>
      </c>
    </row>
    <row r="962" customFormat="false" ht="13.8" hidden="true" customHeight="false" outlineLevel="0" collapsed="false">
      <c r="A962" s="0" t="s">
        <v>220</v>
      </c>
      <c r="B962" s="0" t="n">
        <v>19</v>
      </c>
      <c r="C962" s="0" t="n">
        <v>2.05</v>
      </c>
      <c r="D962" s="0" t="n">
        <v>0</v>
      </c>
    </row>
    <row r="963" customFormat="false" ht="13.8" hidden="true" customHeight="false" outlineLevel="0" collapsed="false">
      <c r="A963" s="0" t="s">
        <v>220</v>
      </c>
      <c r="B963" s="0" t="n">
        <v>19</v>
      </c>
      <c r="C963" s="0" t="n">
        <v>2.1</v>
      </c>
      <c r="D963" s="0" t="n">
        <v>0</v>
      </c>
    </row>
    <row r="964" customFormat="false" ht="13.8" hidden="true" customHeight="false" outlineLevel="0" collapsed="false">
      <c r="A964" s="0" t="s">
        <v>220</v>
      </c>
      <c r="B964" s="0" t="n">
        <v>19</v>
      </c>
      <c r="C964" s="0" t="n">
        <v>2.15</v>
      </c>
      <c r="D964" s="0" t="n">
        <v>0</v>
      </c>
    </row>
    <row r="965" customFormat="false" ht="13.8" hidden="true" customHeight="false" outlineLevel="0" collapsed="false">
      <c r="A965" s="0" t="s">
        <v>220</v>
      </c>
      <c r="B965" s="0" t="n">
        <v>19</v>
      </c>
      <c r="C965" s="0" t="n">
        <v>2.2</v>
      </c>
      <c r="D965" s="0" t="n">
        <v>0</v>
      </c>
    </row>
    <row r="966" customFormat="false" ht="13.8" hidden="true" customHeight="false" outlineLevel="0" collapsed="false">
      <c r="A966" s="0" t="s">
        <v>220</v>
      </c>
      <c r="B966" s="0" t="n">
        <v>19</v>
      </c>
      <c r="C966" s="0" t="n">
        <v>2.25</v>
      </c>
      <c r="D966" s="0" t="n">
        <v>0</v>
      </c>
    </row>
    <row r="967" customFormat="false" ht="13.8" hidden="true" customHeight="false" outlineLevel="0" collapsed="false">
      <c r="A967" s="0" t="s">
        <v>220</v>
      </c>
      <c r="B967" s="0" t="n">
        <v>19</v>
      </c>
      <c r="C967" s="0" t="n">
        <v>2.3</v>
      </c>
      <c r="D967" s="0" t="n">
        <v>0</v>
      </c>
    </row>
    <row r="968" customFormat="false" ht="13.8" hidden="true" customHeight="false" outlineLevel="0" collapsed="false">
      <c r="A968" s="0" t="s">
        <v>220</v>
      </c>
      <c r="B968" s="0" t="n">
        <v>19</v>
      </c>
      <c r="C968" s="0" t="n">
        <v>2.35</v>
      </c>
      <c r="D968" s="0" t="n">
        <v>0</v>
      </c>
    </row>
    <row r="969" customFormat="false" ht="13.8" hidden="true" customHeight="false" outlineLevel="0" collapsed="false">
      <c r="A969" s="0" t="s">
        <v>220</v>
      </c>
      <c r="B969" s="0" t="n">
        <v>19</v>
      </c>
      <c r="C969" s="0" t="n">
        <v>2.4</v>
      </c>
      <c r="D969" s="0" t="n">
        <v>0</v>
      </c>
    </row>
    <row r="970" customFormat="false" ht="13.8" hidden="true" customHeight="false" outlineLevel="0" collapsed="false">
      <c r="A970" s="0" t="s">
        <v>220</v>
      </c>
      <c r="B970" s="0" t="n">
        <v>19</v>
      </c>
      <c r="C970" s="0" t="n">
        <v>2.45</v>
      </c>
      <c r="D970" s="0" t="n">
        <v>0</v>
      </c>
    </row>
    <row r="971" customFormat="false" ht="13.8" hidden="true" customHeight="false" outlineLevel="0" collapsed="false">
      <c r="A971" s="0" t="s">
        <v>220</v>
      </c>
      <c r="B971" s="0" t="n">
        <v>19</v>
      </c>
      <c r="C971" s="0" t="n">
        <v>2.5</v>
      </c>
      <c r="D971" s="0" t="n">
        <v>0</v>
      </c>
    </row>
    <row r="972" customFormat="false" ht="13.8" hidden="true" customHeight="false" outlineLevel="0" collapsed="false">
      <c r="A972" s="0" t="s">
        <v>220</v>
      </c>
      <c r="B972" s="0" t="n">
        <v>19</v>
      </c>
      <c r="C972" s="0" t="n">
        <v>2.55</v>
      </c>
      <c r="D972" s="0" t="n">
        <v>0</v>
      </c>
    </row>
    <row r="973" customFormat="false" ht="13.8" hidden="true" customHeight="false" outlineLevel="0" collapsed="false">
      <c r="A973" s="0" t="s">
        <v>220</v>
      </c>
      <c r="B973" s="0" t="n">
        <v>19</v>
      </c>
      <c r="C973" s="0" t="n">
        <v>2.6</v>
      </c>
      <c r="D973" s="0" t="n">
        <v>0</v>
      </c>
    </row>
    <row r="974" customFormat="false" ht="13.8" hidden="true" customHeight="false" outlineLevel="0" collapsed="false">
      <c r="A974" s="0" t="s">
        <v>221</v>
      </c>
      <c r="B974" s="0" t="n">
        <v>12</v>
      </c>
      <c r="C974" s="0" t="n">
        <v>1.3</v>
      </c>
      <c r="D974" s="0" t="n">
        <v>0</v>
      </c>
    </row>
    <row r="975" customFormat="false" ht="13.8" hidden="true" customHeight="false" outlineLevel="0" collapsed="false">
      <c r="A975" s="0" t="s">
        <v>221</v>
      </c>
      <c r="B975" s="0" t="n">
        <v>12</v>
      </c>
      <c r="C975" s="0" t="n">
        <v>1.35</v>
      </c>
      <c r="D975" s="0" t="n">
        <v>0</v>
      </c>
    </row>
    <row r="976" customFormat="false" ht="13.8" hidden="true" customHeight="false" outlineLevel="0" collapsed="false">
      <c r="A976" s="0" t="s">
        <v>221</v>
      </c>
      <c r="B976" s="0" t="n">
        <v>12</v>
      </c>
      <c r="C976" s="0" t="n">
        <v>1.4</v>
      </c>
      <c r="D976" s="0" t="n">
        <v>0</v>
      </c>
    </row>
    <row r="977" customFormat="false" ht="13.8" hidden="true" customHeight="false" outlineLevel="0" collapsed="false">
      <c r="A977" s="0" t="s">
        <v>221</v>
      </c>
      <c r="B977" s="0" t="n">
        <v>12</v>
      </c>
      <c r="C977" s="0" t="n">
        <v>1.45</v>
      </c>
      <c r="D977" s="0" t="n">
        <v>0</v>
      </c>
    </row>
    <row r="978" customFormat="false" ht="13.8" hidden="true" customHeight="false" outlineLevel="0" collapsed="false">
      <c r="A978" s="0" t="s">
        <v>221</v>
      </c>
      <c r="B978" s="0" t="n">
        <v>12</v>
      </c>
      <c r="C978" s="0" t="n">
        <v>1.5</v>
      </c>
      <c r="D978" s="0" t="n">
        <v>0</v>
      </c>
    </row>
    <row r="979" customFormat="false" ht="13.8" hidden="true" customHeight="false" outlineLevel="0" collapsed="false">
      <c r="A979" s="0" t="s">
        <v>221</v>
      </c>
      <c r="B979" s="0" t="n">
        <v>12</v>
      </c>
      <c r="C979" s="0" t="n">
        <v>1.55</v>
      </c>
      <c r="D979" s="0" t="n">
        <v>0</v>
      </c>
    </row>
    <row r="980" customFormat="false" ht="13.8" hidden="true" customHeight="false" outlineLevel="0" collapsed="false">
      <c r="A980" s="0" t="s">
        <v>221</v>
      </c>
      <c r="B980" s="0" t="n">
        <v>12</v>
      </c>
      <c r="C980" s="0" t="n">
        <v>1.6</v>
      </c>
      <c r="D980" s="0" t="n">
        <v>0.273</v>
      </c>
    </row>
    <row r="981" customFormat="false" ht="13.8" hidden="true" customHeight="false" outlineLevel="0" collapsed="false">
      <c r="A981" s="0" t="s">
        <v>221</v>
      </c>
      <c r="B981" s="0" t="n">
        <v>12</v>
      </c>
      <c r="C981" s="0" t="n">
        <v>1.65</v>
      </c>
      <c r="D981" s="0" t="n">
        <v>0.281</v>
      </c>
    </row>
    <row r="982" customFormat="false" ht="13.8" hidden="true" customHeight="false" outlineLevel="0" collapsed="false">
      <c r="A982" s="0" t="s">
        <v>221</v>
      </c>
      <c r="B982" s="0" t="n">
        <v>12</v>
      </c>
      <c r="C982" s="0" t="n">
        <v>1.7</v>
      </c>
      <c r="D982" s="0" t="n">
        <v>0.29</v>
      </c>
    </row>
    <row r="983" customFormat="false" ht="13.8" hidden="true" customHeight="false" outlineLevel="0" collapsed="false">
      <c r="A983" s="0" t="s">
        <v>221</v>
      </c>
      <c r="B983" s="0" t="n">
        <v>12</v>
      </c>
      <c r="C983" s="0" t="n">
        <v>1.75</v>
      </c>
      <c r="D983" s="0" t="n">
        <v>0.298</v>
      </c>
    </row>
    <row r="984" customFormat="false" ht="13.8" hidden="true" customHeight="false" outlineLevel="0" collapsed="false">
      <c r="A984" s="0" t="s">
        <v>221</v>
      </c>
      <c r="B984" s="0" t="n">
        <v>12</v>
      </c>
      <c r="C984" s="0" t="n">
        <v>1.8</v>
      </c>
      <c r="D984" s="0" t="n">
        <v>0</v>
      </c>
    </row>
    <row r="985" customFormat="false" ht="13.8" hidden="true" customHeight="false" outlineLevel="0" collapsed="false">
      <c r="A985" s="0" t="s">
        <v>221</v>
      </c>
      <c r="B985" s="0" t="n">
        <v>12</v>
      </c>
      <c r="C985" s="0" t="n">
        <v>1.85</v>
      </c>
      <c r="D985" s="0" t="n">
        <v>0</v>
      </c>
    </row>
    <row r="986" customFormat="false" ht="13.8" hidden="true" customHeight="false" outlineLevel="0" collapsed="false">
      <c r="A986" s="0" t="s">
        <v>221</v>
      </c>
      <c r="B986" s="0" t="n">
        <v>12</v>
      </c>
      <c r="C986" s="0" t="n">
        <v>1.9</v>
      </c>
      <c r="D986" s="0" t="n">
        <v>0</v>
      </c>
    </row>
    <row r="987" customFormat="false" ht="13.8" hidden="true" customHeight="false" outlineLevel="0" collapsed="false">
      <c r="A987" s="0" t="s">
        <v>221</v>
      </c>
      <c r="B987" s="0" t="n">
        <v>12</v>
      </c>
      <c r="C987" s="0" t="n">
        <v>1.95</v>
      </c>
      <c r="D987" s="0" t="n">
        <v>0</v>
      </c>
    </row>
    <row r="988" customFormat="false" ht="13.8" hidden="true" customHeight="false" outlineLevel="0" collapsed="false">
      <c r="A988" s="0" t="s">
        <v>221</v>
      </c>
      <c r="B988" s="0" t="n">
        <v>12</v>
      </c>
      <c r="C988" s="0" t="n">
        <v>2</v>
      </c>
      <c r="D988" s="0" t="n">
        <v>0</v>
      </c>
    </row>
    <row r="989" customFormat="false" ht="13.8" hidden="true" customHeight="false" outlineLevel="0" collapsed="false">
      <c r="A989" s="0" t="s">
        <v>221</v>
      </c>
      <c r="B989" s="0" t="n">
        <v>12</v>
      </c>
      <c r="C989" s="0" t="n">
        <v>2.05</v>
      </c>
      <c r="D989" s="0" t="n">
        <v>0</v>
      </c>
    </row>
    <row r="990" customFormat="false" ht="13.8" hidden="true" customHeight="false" outlineLevel="0" collapsed="false">
      <c r="A990" s="0" t="s">
        <v>221</v>
      </c>
      <c r="B990" s="0" t="n">
        <v>12</v>
      </c>
      <c r="C990" s="0" t="n">
        <v>2.1</v>
      </c>
      <c r="D990" s="0" t="n">
        <v>0</v>
      </c>
    </row>
    <row r="991" customFormat="false" ht="13.8" hidden="true" customHeight="false" outlineLevel="0" collapsed="false">
      <c r="A991" s="0" t="s">
        <v>221</v>
      </c>
      <c r="B991" s="0" t="n">
        <v>12</v>
      </c>
      <c r="C991" s="0" t="n">
        <v>2.15</v>
      </c>
      <c r="D991" s="0" t="n">
        <v>0</v>
      </c>
    </row>
    <row r="992" customFormat="false" ht="13.8" hidden="true" customHeight="false" outlineLevel="0" collapsed="false">
      <c r="A992" s="0" t="s">
        <v>221</v>
      </c>
      <c r="B992" s="0" t="n">
        <v>12</v>
      </c>
      <c r="C992" s="0" t="n">
        <v>2.2</v>
      </c>
      <c r="D992" s="0" t="n">
        <v>0</v>
      </c>
    </row>
    <row r="993" customFormat="false" ht="13.8" hidden="true" customHeight="false" outlineLevel="0" collapsed="false">
      <c r="A993" s="0" t="s">
        <v>221</v>
      </c>
      <c r="B993" s="0" t="n">
        <v>12</v>
      </c>
      <c r="C993" s="0" t="n">
        <v>2.25</v>
      </c>
      <c r="D993" s="0" t="n">
        <v>0</v>
      </c>
    </row>
    <row r="994" customFormat="false" ht="13.8" hidden="true" customHeight="false" outlineLevel="0" collapsed="false">
      <c r="A994" s="0" t="s">
        <v>221</v>
      </c>
      <c r="B994" s="0" t="n">
        <v>12</v>
      </c>
      <c r="C994" s="0" t="n">
        <v>2.3</v>
      </c>
      <c r="D994" s="0" t="n">
        <v>0</v>
      </c>
    </row>
    <row r="995" customFormat="false" ht="13.8" hidden="true" customHeight="false" outlineLevel="0" collapsed="false">
      <c r="A995" s="0" t="s">
        <v>221</v>
      </c>
      <c r="B995" s="0" t="n">
        <v>12</v>
      </c>
      <c r="C995" s="0" t="n">
        <v>2.35</v>
      </c>
      <c r="D995" s="0" t="n">
        <v>0</v>
      </c>
    </row>
    <row r="996" customFormat="false" ht="13.8" hidden="true" customHeight="false" outlineLevel="0" collapsed="false">
      <c r="A996" s="0" t="s">
        <v>221</v>
      </c>
      <c r="B996" s="0" t="n">
        <v>12</v>
      </c>
      <c r="C996" s="0" t="n">
        <v>2.4</v>
      </c>
      <c r="D996" s="0" t="n">
        <v>0</v>
      </c>
    </row>
    <row r="997" customFormat="false" ht="13.8" hidden="true" customHeight="false" outlineLevel="0" collapsed="false">
      <c r="A997" s="0" t="s">
        <v>221</v>
      </c>
      <c r="B997" s="0" t="n">
        <v>12</v>
      </c>
      <c r="C997" s="0" t="n">
        <v>2.45</v>
      </c>
      <c r="D997" s="0" t="n">
        <v>0</v>
      </c>
    </row>
    <row r="998" customFormat="false" ht="13.8" hidden="true" customHeight="false" outlineLevel="0" collapsed="false">
      <c r="A998" s="0" t="s">
        <v>221</v>
      </c>
      <c r="B998" s="0" t="n">
        <v>12</v>
      </c>
      <c r="C998" s="0" t="n">
        <v>2.5</v>
      </c>
      <c r="D998" s="0" t="n">
        <v>0</v>
      </c>
    </row>
    <row r="999" customFormat="false" ht="13.8" hidden="true" customHeight="false" outlineLevel="0" collapsed="false">
      <c r="A999" s="0" t="s">
        <v>221</v>
      </c>
      <c r="B999" s="0" t="n">
        <v>12</v>
      </c>
      <c r="C999" s="0" t="n">
        <v>2.55</v>
      </c>
      <c r="D999" s="0" t="n">
        <v>0</v>
      </c>
    </row>
    <row r="1000" customFormat="false" ht="13.8" hidden="true" customHeight="false" outlineLevel="0" collapsed="false">
      <c r="A1000" s="0" t="s">
        <v>221</v>
      </c>
      <c r="B1000" s="0" t="n">
        <v>12</v>
      </c>
      <c r="C1000" s="0" t="n">
        <v>2.6</v>
      </c>
      <c r="D1000" s="0" t="n">
        <v>0</v>
      </c>
    </row>
    <row r="1001" customFormat="false" ht="13.8" hidden="true" customHeight="false" outlineLevel="0" collapsed="false">
      <c r="A1001" s="0" t="s">
        <v>221</v>
      </c>
      <c r="B1001" s="0" t="n">
        <v>19</v>
      </c>
      <c r="C1001" s="0" t="n">
        <v>1.3</v>
      </c>
      <c r="D1001" s="0" t="n">
        <v>0</v>
      </c>
    </row>
    <row r="1002" customFormat="false" ht="13.8" hidden="true" customHeight="false" outlineLevel="0" collapsed="false">
      <c r="A1002" s="0" t="s">
        <v>221</v>
      </c>
      <c r="B1002" s="0" t="n">
        <v>19</v>
      </c>
      <c r="C1002" s="0" t="n">
        <v>1.35</v>
      </c>
      <c r="D1002" s="0" t="n">
        <v>0</v>
      </c>
    </row>
    <row r="1003" customFormat="false" ht="13.8" hidden="true" customHeight="false" outlineLevel="0" collapsed="false">
      <c r="A1003" s="0" t="s">
        <v>221</v>
      </c>
      <c r="B1003" s="0" t="n">
        <v>19</v>
      </c>
      <c r="C1003" s="0" t="n">
        <v>1.4</v>
      </c>
      <c r="D1003" s="0" t="n">
        <v>0</v>
      </c>
    </row>
    <row r="1004" customFormat="false" ht="13.8" hidden="true" customHeight="false" outlineLevel="0" collapsed="false">
      <c r="A1004" s="0" t="s">
        <v>221</v>
      </c>
      <c r="B1004" s="0" t="n">
        <v>19</v>
      </c>
      <c r="C1004" s="0" t="n">
        <v>1.45</v>
      </c>
      <c r="D1004" s="0" t="n">
        <v>0</v>
      </c>
    </row>
    <row r="1005" customFormat="false" ht="13.8" hidden="true" customHeight="false" outlineLevel="0" collapsed="false">
      <c r="A1005" s="0" t="s">
        <v>221</v>
      </c>
      <c r="B1005" s="0" t="n">
        <v>19</v>
      </c>
      <c r="C1005" s="0" t="n">
        <v>1.5</v>
      </c>
      <c r="D1005" s="0" t="n">
        <v>0</v>
      </c>
    </row>
    <row r="1006" customFormat="false" ht="13.8" hidden="true" customHeight="false" outlineLevel="0" collapsed="false">
      <c r="A1006" s="0" t="s">
        <v>221</v>
      </c>
      <c r="B1006" s="0" t="n">
        <v>19</v>
      </c>
      <c r="C1006" s="0" t="n">
        <v>1.55</v>
      </c>
      <c r="D1006" s="0" t="n">
        <v>0</v>
      </c>
    </row>
    <row r="1007" customFormat="false" ht="13.8" hidden="true" customHeight="false" outlineLevel="0" collapsed="false">
      <c r="A1007" s="0" t="s">
        <v>221</v>
      </c>
      <c r="B1007" s="0" t="n">
        <v>19</v>
      </c>
      <c r="C1007" s="0" t="n">
        <v>1.6</v>
      </c>
      <c r="D1007" s="0" t="n">
        <v>0.273</v>
      </c>
    </row>
    <row r="1008" customFormat="false" ht="13.8" hidden="true" customHeight="false" outlineLevel="0" collapsed="false">
      <c r="A1008" s="0" t="s">
        <v>221</v>
      </c>
      <c r="B1008" s="0" t="n">
        <v>19</v>
      </c>
      <c r="C1008" s="0" t="n">
        <v>1.65</v>
      </c>
      <c r="D1008" s="0" t="n">
        <v>0.281</v>
      </c>
    </row>
    <row r="1009" customFormat="false" ht="13.8" hidden="true" customHeight="false" outlineLevel="0" collapsed="false">
      <c r="A1009" s="0" t="s">
        <v>221</v>
      </c>
      <c r="B1009" s="0" t="n">
        <v>19</v>
      </c>
      <c r="C1009" s="0" t="n">
        <v>1.7</v>
      </c>
      <c r="D1009" s="0" t="n">
        <v>0.29</v>
      </c>
    </row>
    <row r="1010" customFormat="false" ht="13.8" hidden="true" customHeight="false" outlineLevel="0" collapsed="false">
      <c r="A1010" s="0" t="s">
        <v>221</v>
      </c>
      <c r="B1010" s="0" t="n">
        <v>19</v>
      </c>
      <c r="C1010" s="0" t="n">
        <v>1.75</v>
      </c>
      <c r="D1010" s="0" t="n">
        <v>0.298</v>
      </c>
    </row>
    <row r="1011" customFormat="false" ht="13.8" hidden="true" customHeight="false" outlineLevel="0" collapsed="false">
      <c r="A1011" s="0" t="s">
        <v>221</v>
      </c>
      <c r="B1011" s="0" t="n">
        <v>19</v>
      </c>
      <c r="C1011" s="0" t="n">
        <v>1.8</v>
      </c>
      <c r="D1011" s="0" t="n">
        <v>0</v>
      </c>
    </row>
    <row r="1012" customFormat="false" ht="13.8" hidden="true" customHeight="false" outlineLevel="0" collapsed="false">
      <c r="A1012" s="0" t="s">
        <v>221</v>
      </c>
      <c r="B1012" s="0" t="n">
        <v>19</v>
      </c>
      <c r="C1012" s="0" t="n">
        <v>1.85</v>
      </c>
      <c r="D1012" s="0" t="n">
        <v>0</v>
      </c>
    </row>
    <row r="1013" customFormat="false" ht="13.8" hidden="true" customHeight="false" outlineLevel="0" collapsed="false">
      <c r="A1013" s="0" t="s">
        <v>221</v>
      </c>
      <c r="B1013" s="0" t="n">
        <v>19</v>
      </c>
      <c r="C1013" s="0" t="n">
        <v>1.9</v>
      </c>
      <c r="D1013" s="0" t="n">
        <v>0</v>
      </c>
    </row>
    <row r="1014" customFormat="false" ht="13.8" hidden="true" customHeight="false" outlineLevel="0" collapsed="false">
      <c r="A1014" s="0" t="s">
        <v>221</v>
      </c>
      <c r="B1014" s="0" t="n">
        <v>19</v>
      </c>
      <c r="C1014" s="0" t="n">
        <v>1.95</v>
      </c>
      <c r="D1014" s="0" t="n">
        <v>0</v>
      </c>
    </row>
    <row r="1015" customFormat="false" ht="13.8" hidden="true" customHeight="false" outlineLevel="0" collapsed="false">
      <c r="A1015" s="0" t="s">
        <v>221</v>
      </c>
      <c r="B1015" s="0" t="n">
        <v>19</v>
      </c>
      <c r="C1015" s="0" t="n">
        <v>2</v>
      </c>
      <c r="D1015" s="0" t="n">
        <v>0</v>
      </c>
    </row>
    <row r="1016" customFormat="false" ht="13.8" hidden="true" customHeight="false" outlineLevel="0" collapsed="false">
      <c r="A1016" s="0" t="s">
        <v>221</v>
      </c>
      <c r="B1016" s="0" t="n">
        <v>19</v>
      </c>
      <c r="C1016" s="0" t="n">
        <v>2.05</v>
      </c>
      <c r="D1016" s="0" t="n">
        <v>0</v>
      </c>
    </row>
    <row r="1017" customFormat="false" ht="13.8" hidden="true" customHeight="false" outlineLevel="0" collapsed="false">
      <c r="A1017" s="0" t="s">
        <v>221</v>
      </c>
      <c r="B1017" s="0" t="n">
        <v>19</v>
      </c>
      <c r="C1017" s="0" t="n">
        <v>2.1</v>
      </c>
      <c r="D1017" s="0" t="n">
        <v>0</v>
      </c>
    </row>
    <row r="1018" customFormat="false" ht="13.8" hidden="true" customHeight="false" outlineLevel="0" collapsed="false">
      <c r="A1018" s="0" t="s">
        <v>221</v>
      </c>
      <c r="B1018" s="0" t="n">
        <v>19</v>
      </c>
      <c r="C1018" s="0" t="n">
        <v>2.15</v>
      </c>
      <c r="D1018" s="0" t="n">
        <v>0</v>
      </c>
    </row>
    <row r="1019" customFormat="false" ht="13.8" hidden="true" customHeight="false" outlineLevel="0" collapsed="false">
      <c r="A1019" s="0" t="s">
        <v>221</v>
      </c>
      <c r="B1019" s="0" t="n">
        <v>19</v>
      </c>
      <c r="C1019" s="0" t="n">
        <v>2.2</v>
      </c>
      <c r="D1019" s="0" t="n">
        <v>0</v>
      </c>
    </row>
    <row r="1020" customFormat="false" ht="13.8" hidden="true" customHeight="false" outlineLevel="0" collapsed="false">
      <c r="A1020" s="0" t="s">
        <v>221</v>
      </c>
      <c r="B1020" s="0" t="n">
        <v>19</v>
      </c>
      <c r="C1020" s="0" t="n">
        <v>2.25</v>
      </c>
      <c r="D1020" s="0" t="n">
        <v>0</v>
      </c>
    </row>
    <row r="1021" customFormat="false" ht="13.8" hidden="true" customHeight="false" outlineLevel="0" collapsed="false">
      <c r="A1021" s="0" t="s">
        <v>221</v>
      </c>
      <c r="B1021" s="0" t="n">
        <v>19</v>
      </c>
      <c r="C1021" s="0" t="n">
        <v>2.3</v>
      </c>
      <c r="D1021" s="0" t="n">
        <v>0</v>
      </c>
    </row>
    <row r="1022" customFormat="false" ht="13.8" hidden="true" customHeight="false" outlineLevel="0" collapsed="false">
      <c r="A1022" s="0" t="s">
        <v>221</v>
      </c>
      <c r="B1022" s="0" t="n">
        <v>19</v>
      </c>
      <c r="C1022" s="0" t="n">
        <v>2.35</v>
      </c>
      <c r="D1022" s="0" t="n">
        <v>0</v>
      </c>
    </row>
    <row r="1023" customFormat="false" ht="13.8" hidden="true" customHeight="false" outlineLevel="0" collapsed="false">
      <c r="A1023" s="0" t="s">
        <v>221</v>
      </c>
      <c r="B1023" s="0" t="n">
        <v>19</v>
      </c>
      <c r="C1023" s="0" t="n">
        <v>2.4</v>
      </c>
      <c r="D1023" s="0" t="n">
        <v>0</v>
      </c>
    </row>
    <row r="1024" customFormat="false" ht="13.8" hidden="true" customHeight="false" outlineLevel="0" collapsed="false">
      <c r="A1024" s="0" t="s">
        <v>221</v>
      </c>
      <c r="B1024" s="0" t="n">
        <v>19</v>
      </c>
      <c r="C1024" s="0" t="n">
        <v>2.45</v>
      </c>
      <c r="D1024" s="0" t="n">
        <v>0</v>
      </c>
    </row>
    <row r="1025" customFormat="false" ht="13.8" hidden="true" customHeight="false" outlineLevel="0" collapsed="false">
      <c r="A1025" s="0" t="s">
        <v>221</v>
      </c>
      <c r="B1025" s="0" t="n">
        <v>19</v>
      </c>
      <c r="C1025" s="0" t="n">
        <v>2.5</v>
      </c>
      <c r="D1025" s="0" t="n">
        <v>0</v>
      </c>
    </row>
    <row r="1026" customFormat="false" ht="13.8" hidden="true" customHeight="false" outlineLevel="0" collapsed="false">
      <c r="A1026" s="0" t="s">
        <v>221</v>
      </c>
      <c r="B1026" s="0" t="n">
        <v>19</v>
      </c>
      <c r="C1026" s="0" t="n">
        <v>2.55</v>
      </c>
      <c r="D1026" s="0" t="n">
        <v>0</v>
      </c>
    </row>
    <row r="1027" customFormat="false" ht="13.8" hidden="true" customHeight="false" outlineLevel="0" collapsed="false">
      <c r="A1027" s="0" t="s">
        <v>221</v>
      </c>
      <c r="B1027" s="0" t="n">
        <v>19</v>
      </c>
      <c r="C1027" s="0" t="n">
        <v>2.6</v>
      </c>
      <c r="D1027" s="0" t="n">
        <v>0</v>
      </c>
    </row>
    <row r="1028" customFormat="false" ht="13.8" hidden="true" customHeight="false" outlineLevel="0" collapsed="false">
      <c r="A1028" s="0" t="s">
        <v>645</v>
      </c>
      <c r="B1028" s="0" t="n">
        <v>12</v>
      </c>
      <c r="C1028" s="0" t="n">
        <v>1.3</v>
      </c>
      <c r="D1028" s="0" t="n">
        <v>0</v>
      </c>
    </row>
    <row r="1029" customFormat="false" ht="13.8" hidden="true" customHeight="false" outlineLevel="0" collapsed="false">
      <c r="A1029" s="0" t="s">
        <v>645</v>
      </c>
      <c r="B1029" s="0" t="n">
        <v>12</v>
      </c>
      <c r="C1029" s="0" t="n">
        <v>1.35</v>
      </c>
      <c r="D1029" s="0" t="n">
        <v>0</v>
      </c>
    </row>
    <row r="1030" customFormat="false" ht="13.8" hidden="true" customHeight="false" outlineLevel="0" collapsed="false">
      <c r="A1030" s="0" t="s">
        <v>645</v>
      </c>
      <c r="B1030" s="0" t="n">
        <v>12</v>
      </c>
      <c r="C1030" s="0" t="n">
        <v>1.4</v>
      </c>
      <c r="D1030" s="0" t="n">
        <v>0</v>
      </c>
    </row>
    <row r="1031" customFormat="false" ht="13.8" hidden="true" customHeight="false" outlineLevel="0" collapsed="false">
      <c r="A1031" s="0" t="s">
        <v>645</v>
      </c>
      <c r="B1031" s="0" t="n">
        <v>12</v>
      </c>
      <c r="C1031" s="0" t="n">
        <v>1.45</v>
      </c>
      <c r="D1031" s="0" t="n">
        <v>0</v>
      </c>
    </row>
    <row r="1032" customFormat="false" ht="13.8" hidden="true" customHeight="false" outlineLevel="0" collapsed="false">
      <c r="A1032" s="0" t="s">
        <v>645</v>
      </c>
      <c r="B1032" s="0" t="n">
        <v>12</v>
      </c>
      <c r="C1032" s="0" t="n">
        <v>1.5</v>
      </c>
      <c r="D1032" s="0" t="n">
        <v>0</v>
      </c>
    </row>
    <row r="1033" customFormat="false" ht="13.8" hidden="true" customHeight="false" outlineLevel="0" collapsed="false">
      <c r="A1033" s="0" t="s">
        <v>645</v>
      </c>
      <c r="B1033" s="0" t="n">
        <v>12</v>
      </c>
      <c r="C1033" s="0" t="n">
        <v>1.55</v>
      </c>
      <c r="D1033" s="0" t="n">
        <v>0</v>
      </c>
    </row>
    <row r="1034" customFormat="false" ht="13.8" hidden="true" customHeight="false" outlineLevel="0" collapsed="false">
      <c r="A1034" s="0" t="s">
        <v>645</v>
      </c>
      <c r="B1034" s="0" t="n">
        <v>12</v>
      </c>
      <c r="C1034" s="0" t="n">
        <v>1.6</v>
      </c>
      <c r="D1034" s="0" t="n">
        <v>0.273</v>
      </c>
    </row>
    <row r="1035" customFormat="false" ht="13.8" hidden="true" customHeight="false" outlineLevel="0" collapsed="false">
      <c r="A1035" s="0" t="s">
        <v>645</v>
      </c>
      <c r="B1035" s="0" t="n">
        <v>12</v>
      </c>
      <c r="C1035" s="0" t="n">
        <v>1.65</v>
      </c>
      <c r="D1035" s="0" t="n">
        <v>0.281</v>
      </c>
    </row>
    <row r="1036" customFormat="false" ht="13.8" hidden="true" customHeight="false" outlineLevel="0" collapsed="false">
      <c r="A1036" s="0" t="s">
        <v>645</v>
      </c>
      <c r="B1036" s="0" t="n">
        <v>12</v>
      </c>
      <c r="C1036" s="0" t="n">
        <v>1.7</v>
      </c>
      <c r="D1036" s="0" t="n">
        <v>0.289971338</v>
      </c>
    </row>
    <row r="1037" customFormat="false" ht="13.8" hidden="true" customHeight="false" outlineLevel="0" collapsed="false">
      <c r="A1037" s="0" t="s">
        <v>645</v>
      </c>
      <c r="B1037" s="0" t="n">
        <v>12</v>
      </c>
      <c r="C1037" s="0" t="n">
        <v>1.75</v>
      </c>
      <c r="D1037" s="0" t="n">
        <v>0.298499907</v>
      </c>
    </row>
    <row r="1038" customFormat="false" ht="13.8" hidden="true" customHeight="false" outlineLevel="0" collapsed="false">
      <c r="A1038" s="0" t="s">
        <v>645</v>
      </c>
      <c r="B1038" s="0" t="n">
        <v>12</v>
      </c>
      <c r="C1038" s="0" t="n">
        <v>1.8</v>
      </c>
      <c r="D1038" s="0" t="n">
        <v>0</v>
      </c>
    </row>
    <row r="1039" customFormat="false" ht="13.8" hidden="true" customHeight="false" outlineLevel="0" collapsed="false">
      <c r="A1039" s="0" t="s">
        <v>645</v>
      </c>
      <c r="B1039" s="0" t="n">
        <v>12</v>
      </c>
      <c r="C1039" s="0" t="n">
        <v>1.85</v>
      </c>
      <c r="D1039" s="0" t="n">
        <v>0</v>
      </c>
    </row>
    <row r="1040" customFormat="false" ht="13.8" hidden="true" customHeight="false" outlineLevel="0" collapsed="false">
      <c r="A1040" s="0" t="s">
        <v>645</v>
      </c>
      <c r="B1040" s="0" t="n">
        <v>12</v>
      </c>
      <c r="C1040" s="0" t="n">
        <v>1.9</v>
      </c>
      <c r="D1040" s="0" t="n">
        <v>0</v>
      </c>
    </row>
    <row r="1041" customFormat="false" ht="13.8" hidden="true" customHeight="false" outlineLevel="0" collapsed="false">
      <c r="A1041" s="0" t="s">
        <v>645</v>
      </c>
      <c r="B1041" s="0" t="n">
        <v>12</v>
      </c>
      <c r="C1041" s="0" t="n">
        <v>1.95</v>
      </c>
      <c r="D1041" s="0" t="n">
        <v>0</v>
      </c>
    </row>
    <row r="1042" customFormat="false" ht="13.8" hidden="true" customHeight="false" outlineLevel="0" collapsed="false">
      <c r="A1042" s="0" t="s">
        <v>645</v>
      </c>
      <c r="B1042" s="0" t="n">
        <v>12</v>
      </c>
      <c r="C1042" s="0" t="n">
        <v>2</v>
      </c>
      <c r="D1042" s="0" t="n">
        <v>0</v>
      </c>
    </row>
    <row r="1043" customFormat="false" ht="13.8" hidden="true" customHeight="false" outlineLevel="0" collapsed="false">
      <c r="A1043" s="0" t="s">
        <v>645</v>
      </c>
      <c r="B1043" s="0" t="n">
        <v>12</v>
      </c>
      <c r="C1043" s="0" t="n">
        <v>2.05</v>
      </c>
      <c r="D1043" s="0" t="n">
        <v>0</v>
      </c>
    </row>
    <row r="1044" customFormat="false" ht="13.8" hidden="true" customHeight="false" outlineLevel="0" collapsed="false">
      <c r="A1044" s="0" t="s">
        <v>645</v>
      </c>
      <c r="B1044" s="0" t="n">
        <v>12</v>
      </c>
      <c r="C1044" s="0" t="n">
        <v>2.1</v>
      </c>
      <c r="D1044" s="0" t="n">
        <v>0</v>
      </c>
    </row>
    <row r="1045" customFormat="false" ht="13.8" hidden="true" customHeight="false" outlineLevel="0" collapsed="false">
      <c r="A1045" s="0" t="s">
        <v>645</v>
      </c>
      <c r="B1045" s="0" t="n">
        <v>12</v>
      </c>
      <c r="C1045" s="0" t="n">
        <v>2.15</v>
      </c>
      <c r="D1045" s="0" t="n">
        <v>0</v>
      </c>
    </row>
    <row r="1046" customFormat="false" ht="13.8" hidden="true" customHeight="false" outlineLevel="0" collapsed="false">
      <c r="A1046" s="0" t="s">
        <v>645</v>
      </c>
      <c r="B1046" s="0" t="n">
        <v>12</v>
      </c>
      <c r="C1046" s="0" t="n">
        <v>2.2</v>
      </c>
      <c r="D1046" s="0" t="n">
        <v>0</v>
      </c>
    </row>
    <row r="1047" customFormat="false" ht="13.8" hidden="true" customHeight="false" outlineLevel="0" collapsed="false">
      <c r="A1047" s="0" t="s">
        <v>645</v>
      </c>
      <c r="B1047" s="0" t="n">
        <v>12</v>
      </c>
      <c r="C1047" s="0" t="n">
        <v>2.25</v>
      </c>
      <c r="D1047" s="0" t="n">
        <v>0</v>
      </c>
    </row>
    <row r="1048" customFormat="false" ht="13.8" hidden="true" customHeight="false" outlineLevel="0" collapsed="false">
      <c r="A1048" s="0" t="s">
        <v>645</v>
      </c>
      <c r="B1048" s="0" t="n">
        <v>12</v>
      </c>
      <c r="C1048" s="0" t="n">
        <v>2.3</v>
      </c>
      <c r="D1048" s="0" t="n">
        <v>0</v>
      </c>
    </row>
    <row r="1049" customFormat="false" ht="13.8" hidden="true" customHeight="false" outlineLevel="0" collapsed="false">
      <c r="A1049" s="0" t="s">
        <v>645</v>
      </c>
      <c r="B1049" s="0" t="n">
        <v>12</v>
      </c>
      <c r="C1049" s="0" t="n">
        <v>2.35</v>
      </c>
      <c r="D1049" s="0" t="n">
        <v>0</v>
      </c>
    </row>
    <row r="1050" customFormat="false" ht="13.8" hidden="true" customHeight="false" outlineLevel="0" collapsed="false">
      <c r="A1050" s="0" t="s">
        <v>645</v>
      </c>
      <c r="B1050" s="0" t="n">
        <v>12</v>
      </c>
      <c r="C1050" s="0" t="n">
        <v>2.4</v>
      </c>
      <c r="D1050" s="0" t="n">
        <v>0</v>
      </c>
    </row>
    <row r="1051" customFormat="false" ht="13.8" hidden="true" customHeight="false" outlineLevel="0" collapsed="false">
      <c r="A1051" s="0" t="s">
        <v>645</v>
      </c>
      <c r="B1051" s="0" t="n">
        <v>12</v>
      </c>
      <c r="C1051" s="0" t="n">
        <v>2.45</v>
      </c>
      <c r="D1051" s="0" t="n">
        <v>0</v>
      </c>
    </row>
    <row r="1052" customFormat="false" ht="13.8" hidden="true" customHeight="false" outlineLevel="0" collapsed="false">
      <c r="A1052" s="0" t="s">
        <v>645</v>
      </c>
      <c r="B1052" s="0" t="n">
        <v>12</v>
      </c>
      <c r="C1052" s="0" t="n">
        <v>2.5</v>
      </c>
      <c r="D1052" s="0" t="n">
        <v>0</v>
      </c>
    </row>
    <row r="1053" customFormat="false" ht="13.8" hidden="true" customHeight="false" outlineLevel="0" collapsed="false">
      <c r="A1053" s="0" t="s">
        <v>645</v>
      </c>
      <c r="B1053" s="0" t="n">
        <v>12</v>
      </c>
      <c r="C1053" s="0" t="n">
        <v>2.55</v>
      </c>
      <c r="D1053" s="0" t="n">
        <v>0</v>
      </c>
    </row>
    <row r="1054" customFormat="false" ht="13.8" hidden="true" customHeight="false" outlineLevel="0" collapsed="false">
      <c r="A1054" s="0" t="s">
        <v>645</v>
      </c>
      <c r="B1054" s="0" t="n">
        <v>12</v>
      </c>
      <c r="C1054" s="0" t="n">
        <v>2.6</v>
      </c>
      <c r="D1054" s="0" t="n">
        <v>0</v>
      </c>
    </row>
    <row r="1055" customFormat="false" ht="13.8" hidden="true" customHeight="false" outlineLevel="0" collapsed="false">
      <c r="A1055" s="0" t="s">
        <v>645</v>
      </c>
      <c r="B1055" s="0" t="n">
        <v>19</v>
      </c>
      <c r="C1055" s="0" t="n">
        <v>1.3</v>
      </c>
      <c r="D1055" s="0" t="n">
        <v>0</v>
      </c>
    </row>
    <row r="1056" customFormat="false" ht="13.8" hidden="true" customHeight="false" outlineLevel="0" collapsed="false">
      <c r="A1056" s="0" t="s">
        <v>645</v>
      </c>
      <c r="B1056" s="0" t="n">
        <v>19</v>
      </c>
      <c r="C1056" s="0" t="n">
        <v>1.35</v>
      </c>
      <c r="D1056" s="0" t="n">
        <v>0</v>
      </c>
    </row>
    <row r="1057" customFormat="false" ht="13.8" hidden="true" customHeight="false" outlineLevel="0" collapsed="false">
      <c r="A1057" s="0" t="s">
        <v>645</v>
      </c>
      <c r="B1057" s="0" t="n">
        <v>19</v>
      </c>
      <c r="C1057" s="0" t="n">
        <v>1.4</v>
      </c>
      <c r="D1057" s="0" t="n">
        <v>0</v>
      </c>
    </row>
    <row r="1058" customFormat="false" ht="13.8" hidden="true" customHeight="false" outlineLevel="0" collapsed="false">
      <c r="A1058" s="0" t="s">
        <v>645</v>
      </c>
      <c r="B1058" s="0" t="n">
        <v>19</v>
      </c>
      <c r="C1058" s="0" t="n">
        <v>1.45</v>
      </c>
      <c r="D1058" s="0" t="n">
        <v>0</v>
      </c>
    </row>
    <row r="1059" customFormat="false" ht="13.8" hidden="true" customHeight="false" outlineLevel="0" collapsed="false">
      <c r="A1059" s="0" t="s">
        <v>645</v>
      </c>
      <c r="B1059" s="0" t="n">
        <v>19</v>
      </c>
      <c r="C1059" s="0" t="n">
        <v>1.5</v>
      </c>
      <c r="D1059" s="0" t="n">
        <v>0</v>
      </c>
    </row>
    <row r="1060" customFormat="false" ht="13.8" hidden="true" customHeight="false" outlineLevel="0" collapsed="false">
      <c r="A1060" s="0" t="s">
        <v>645</v>
      </c>
      <c r="B1060" s="0" t="n">
        <v>19</v>
      </c>
      <c r="C1060" s="0" t="n">
        <v>1.55</v>
      </c>
      <c r="D1060" s="0" t="n">
        <v>0</v>
      </c>
    </row>
    <row r="1061" customFormat="false" ht="13.8" hidden="true" customHeight="false" outlineLevel="0" collapsed="false">
      <c r="A1061" s="0" t="s">
        <v>645</v>
      </c>
      <c r="B1061" s="0" t="n">
        <v>19</v>
      </c>
      <c r="C1061" s="0" t="n">
        <v>1.6</v>
      </c>
      <c r="D1061" s="0" t="n">
        <v>0.273</v>
      </c>
    </row>
    <row r="1062" customFormat="false" ht="13.8" hidden="true" customHeight="false" outlineLevel="0" collapsed="false">
      <c r="A1062" s="0" t="s">
        <v>645</v>
      </c>
      <c r="B1062" s="0" t="n">
        <v>19</v>
      </c>
      <c r="C1062" s="0" t="n">
        <v>1.65</v>
      </c>
      <c r="D1062" s="0" t="n">
        <v>0.281</v>
      </c>
    </row>
    <row r="1063" customFormat="false" ht="13.8" hidden="true" customHeight="false" outlineLevel="0" collapsed="false">
      <c r="A1063" s="0" t="s">
        <v>645</v>
      </c>
      <c r="B1063" s="0" t="n">
        <v>19</v>
      </c>
      <c r="C1063" s="0" t="n">
        <v>1.7</v>
      </c>
      <c r="D1063" s="0" t="n">
        <v>0.29</v>
      </c>
    </row>
    <row r="1064" customFormat="false" ht="13.8" hidden="true" customHeight="false" outlineLevel="0" collapsed="false">
      <c r="A1064" s="0" t="s">
        <v>645</v>
      </c>
      <c r="B1064" s="0" t="n">
        <v>19</v>
      </c>
      <c r="C1064" s="0" t="n">
        <v>1.75</v>
      </c>
      <c r="D1064" s="0" t="n">
        <v>0.298</v>
      </c>
    </row>
    <row r="1065" customFormat="false" ht="13.8" hidden="true" customHeight="false" outlineLevel="0" collapsed="false">
      <c r="A1065" s="0" t="s">
        <v>645</v>
      </c>
      <c r="B1065" s="0" t="n">
        <v>19</v>
      </c>
      <c r="C1065" s="0" t="n">
        <v>1.8</v>
      </c>
      <c r="D1065" s="0" t="n">
        <v>0</v>
      </c>
    </row>
    <row r="1066" customFormat="false" ht="13.8" hidden="true" customHeight="false" outlineLevel="0" collapsed="false">
      <c r="A1066" s="0" t="s">
        <v>645</v>
      </c>
      <c r="B1066" s="0" t="n">
        <v>19</v>
      </c>
      <c r="C1066" s="0" t="n">
        <v>1.85</v>
      </c>
      <c r="D1066" s="0" t="n">
        <v>0</v>
      </c>
    </row>
    <row r="1067" customFormat="false" ht="13.8" hidden="true" customHeight="false" outlineLevel="0" collapsed="false">
      <c r="A1067" s="0" t="s">
        <v>645</v>
      </c>
      <c r="B1067" s="0" t="n">
        <v>19</v>
      </c>
      <c r="C1067" s="0" t="n">
        <v>1.9</v>
      </c>
      <c r="D1067" s="0" t="n">
        <v>0</v>
      </c>
    </row>
    <row r="1068" customFormat="false" ht="13.8" hidden="true" customHeight="false" outlineLevel="0" collapsed="false">
      <c r="A1068" s="0" t="s">
        <v>645</v>
      </c>
      <c r="B1068" s="0" t="n">
        <v>19</v>
      </c>
      <c r="C1068" s="0" t="n">
        <v>1.95</v>
      </c>
      <c r="D1068" s="0" t="n">
        <v>0</v>
      </c>
    </row>
    <row r="1069" customFormat="false" ht="13.8" hidden="true" customHeight="false" outlineLevel="0" collapsed="false">
      <c r="A1069" s="0" t="s">
        <v>645</v>
      </c>
      <c r="B1069" s="0" t="n">
        <v>19</v>
      </c>
      <c r="C1069" s="0" t="n">
        <v>2</v>
      </c>
      <c r="D1069" s="0" t="n">
        <v>0</v>
      </c>
    </row>
    <row r="1070" customFormat="false" ht="13.8" hidden="true" customHeight="false" outlineLevel="0" collapsed="false">
      <c r="A1070" s="0" t="s">
        <v>645</v>
      </c>
      <c r="B1070" s="0" t="n">
        <v>19</v>
      </c>
      <c r="C1070" s="0" t="n">
        <v>2.05</v>
      </c>
      <c r="D1070" s="0" t="n">
        <v>0</v>
      </c>
    </row>
    <row r="1071" customFormat="false" ht="13.8" hidden="true" customHeight="false" outlineLevel="0" collapsed="false">
      <c r="A1071" s="0" t="s">
        <v>645</v>
      </c>
      <c r="B1071" s="0" t="n">
        <v>19</v>
      </c>
      <c r="C1071" s="0" t="n">
        <v>2.1</v>
      </c>
      <c r="D1071" s="0" t="n">
        <v>0</v>
      </c>
    </row>
    <row r="1072" customFormat="false" ht="13.8" hidden="true" customHeight="false" outlineLevel="0" collapsed="false">
      <c r="A1072" s="0" t="s">
        <v>645</v>
      </c>
      <c r="B1072" s="0" t="n">
        <v>19</v>
      </c>
      <c r="C1072" s="0" t="n">
        <v>2.15</v>
      </c>
      <c r="D1072" s="0" t="n">
        <v>0</v>
      </c>
    </row>
    <row r="1073" customFormat="false" ht="13.8" hidden="true" customHeight="false" outlineLevel="0" collapsed="false">
      <c r="A1073" s="0" t="s">
        <v>645</v>
      </c>
      <c r="B1073" s="0" t="n">
        <v>19</v>
      </c>
      <c r="C1073" s="0" t="n">
        <v>2.2</v>
      </c>
      <c r="D1073" s="0" t="n">
        <v>0</v>
      </c>
    </row>
    <row r="1074" customFormat="false" ht="13.8" hidden="true" customHeight="false" outlineLevel="0" collapsed="false">
      <c r="A1074" s="0" t="s">
        <v>645</v>
      </c>
      <c r="B1074" s="0" t="n">
        <v>19</v>
      </c>
      <c r="C1074" s="0" t="n">
        <v>2.25</v>
      </c>
      <c r="D1074" s="0" t="n">
        <v>0</v>
      </c>
    </row>
    <row r="1075" customFormat="false" ht="13.8" hidden="true" customHeight="false" outlineLevel="0" collapsed="false">
      <c r="A1075" s="0" t="s">
        <v>645</v>
      </c>
      <c r="B1075" s="0" t="n">
        <v>19</v>
      </c>
      <c r="C1075" s="0" t="n">
        <v>2.3</v>
      </c>
      <c r="D1075" s="0" t="n">
        <v>0</v>
      </c>
    </row>
    <row r="1076" customFormat="false" ht="13.8" hidden="true" customHeight="false" outlineLevel="0" collapsed="false">
      <c r="A1076" s="0" t="s">
        <v>645</v>
      </c>
      <c r="B1076" s="0" t="n">
        <v>19</v>
      </c>
      <c r="C1076" s="0" t="n">
        <v>2.35</v>
      </c>
      <c r="D1076" s="0" t="n">
        <v>0</v>
      </c>
    </row>
    <row r="1077" customFormat="false" ht="13.8" hidden="true" customHeight="false" outlineLevel="0" collapsed="false">
      <c r="A1077" s="0" t="s">
        <v>645</v>
      </c>
      <c r="B1077" s="0" t="n">
        <v>19</v>
      </c>
      <c r="C1077" s="0" t="n">
        <v>2.4</v>
      </c>
      <c r="D1077" s="0" t="n">
        <v>0</v>
      </c>
    </row>
    <row r="1078" customFormat="false" ht="13.8" hidden="true" customHeight="false" outlineLevel="0" collapsed="false">
      <c r="A1078" s="0" t="s">
        <v>645</v>
      </c>
      <c r="B1078" s="0" t="n">
        <v>19</v>
      </c>
      <c r="C1078" s="0" t="n">
        <v>2.45</v>
      </c>
      <c r="D1078" s="0" t="n">
        <v>0</v>
      </c>
    </row>
    <row r="1079" customFormat="false" ht="13.8" hidden="true" customHeight="false" outlineLevel="0" collapsed="false">
      <c r="A1079" s="0" t="s">
        <v>645</v>
      </c>
      <c r="B1079" s="0" t="n">
        <v>19</v>
      </c>
      <c r="C1079" s="0" t="n">
        <v>2.5</v>
      </c>
      <c r="D1079" s="0" t="n">
        <v>0</v>
      </c>
    </row>
    <row r="1080" customFormat="false" ht="13.8" hidden="true" customHeight="false" outlineLevel="0" collapsed="false">
      <c r="A1080" s="0" t="s">
        <v>645</v>
      </c>
      <c r="B1080" s="0" t="n">
        <v>19</v>
      </c>
      <c r="C1080" s="0" t="n">
        <v>2.55</v>
      </c>
      <c r="D1080" s="0" t="n">
        <v>0</v>
      </c>
    </row>
    <row r="1081" customFormat="false" ht="13.8" hidden="true" customHeight="false" outlineLevel="0" collapsed="false">
      <c r="A1081" s="0" t="s">
        <v>645</v>
      </c>
      <c r="B1081" s="0" t="n">
        <v>19</v>
      </c>
      <c r="C1081" s="0" t="n">
        <v>2.6</v>
      </c>
      <c r="D1081" s="0" t="n">
        <v>0</v>
      </c>
    </row>
    <row r="1082" customFormat="false" ht="13.8" hidden="true" customHeight="false" outlineLevel="0" collapsed="false">
      <c r="A1082" s="0" t="s">
        <v>222</v>
      </c>
      <c r="B1082" s="0" t="n">
        <v>12</v>
      </c>
      <c r="C1082" s="0" t="n">
        <v>1.3</v>
      </c>
      <c r="D1082" s="0" t="n">
        <v>0</v>
      </c>
    </row>
    <row r="1083" customFormat="false" ht="13.8" hidden="true" customHeight="false" outlineLevel="0" collapsed="false">
      <c r="A1083" s="0" t="s">
        <v>222</v>
      </c>
      <c r="B1083" s="0" t="n">
        <v>12</v>
      </c>
      <c r="C1083" s="0" t="n">
        <v>1.35</v>
      </c>
      <c r="D1083" s="0" t="n">
        <v>0</v>
      </c>
    </row>
    <row r="1084" customFormat="false" ht="13.8" hidden="true" customHeight="false" outlineLevel="0" collapsed="false">
      <c r="A1084" s="0" t="s">
        <v>222</v>
      </c>
      <c r="B1084" s="0" t="n">
        <v>12</v>
      </c>
      <c r="C1084" s="0" t="n">
        <v>1.4</v>
      </c>
      <c r="D1084" s="0" t="n">
        <v>0</v>
      </c>
    </row>
    <row r="1085" customFormat="false" ht="13.8" hidden="true" customHeight="false" outlineLevel="0" collapsed="false">
      <c r="A1085" s="0" t="s">
        <v>222</v>
      </c>
      <c r="B1085" s="0" t="n">
        <v>12</v>
      </c>
      <c r="C1085" s="0" t="n">
        <v>1.45</v>
      </c>
      <c r="D1085" s="0" t="n">
        <v>0</v>
      </c>
    </row>
    <row r="1086" customFormat="false" ht="13.8" hidden="true" customHeight="false" outlineLevel="0" collapsed="false">
      <c r="A1086" s="0" t="s">
        <v>222</v>
      </c>
      <c r="B1086" s="0" t="n">
        <v>12</v>
      </c>
      <c r="C1086" s="0" t="n">
        <v>1.5</v>
      </c>
      <c r="D1086" s="0" t="n">
        <v>0</v>
      </c>
    </row>
    <row r="1087" customFormat="false" ht="13.8" hidden="true" customHeight="false" outlineLevel="0" collapsed="false">
      <c r="A1087" s="0" t="s">
        <v>222</v>
      </c>
      <c r="B1087" s="0" t="n">
        <v>12</v>
      </c>
      <c r="C1087" s="0" t="n">
        <v>1.55</v>
      </c>
      <c r="D1087" s="0" t="n">
        <v>0</v>
      </c>
    </row>
    <row r="1088" customFormat="false" ht="13.8" hidden="true" customHeight="false" outlineLevel="0" collapsed="false">
      <c r="A1088" s="0" t="s">
        <v>222</v>
      </c>
      <c r="B1088" s="0" t="n">
        <v>12</v>
      </c>
      <c r="C1088" s="0" t="n">
        <v>1.6</v>
      </c>
      <c r="D1088" s="0" t="n">
        <v>0.273</v>
      </c>
    </row>
    <row r="1089" customFormat="false" ht="13.8" hidden="true" customHeight="false" outlineLevel="0" collapsed="false">
      <c r="A1089" s="0" t="s">
        <v>222</v>
      </c>
      <c r="B1089" s="0" t="n">
        <v>12</v>
      </c>
      <c r="C1089" s="0" t="n">
        <v>1.65</v>
      </c>
      <c r="D1089" s="0" t="n">
        <v>0.281</v>
      </c>
    </row>
    <row r="1090" customFormat="false" ht="13.8" hidden="true" customHeight="false" outlineLevel="0" collapsed="false">
      <c r="A1090" s="0" t="s">
        <v>222</v>
      </c>
      <c r="B1090" s="0" t="n">
        <v>12</v>
      </c>
      <c r="C1090" s="0" t="n">
        <v>1.7</v>
      </c>
      <c r="D1090" s="0" t="n">
        <v>0.289971338</v>
      </c>
    </row>
    <row r="1091" customFormat="false" ht="13.8" hidden="true" customHeight="false" outlineLevel="0" collapsed="false">
      <c r="A1091" s="0" t="s">
        <v>222</v>
      </c>
      <c r="B1091" s="0" t="n">
        <v>12</v>
      </c>
      <c r="C1091" s="0" t="n">
        <v>1.75</v>
      </c>
      <c r="D1091" s="0" t="n">
        <v>0.298499907</v>
      </c>
    </row>
    <row r="1092" customFormat="false" ht="13.8" hidden="true" customHeight="false" outlineLevel="0" collapsed="false">
      <c r="A1092" s="0" t="s">
        <v>222</v>
      </c>
      <c r="B1092" s="0" t="n">
        <v>12</v>
      </c>
      <c r="C1092" s="0" t="n">
        <v>1.8</v>
      </c>
      <c r="D1092" s="0" t="n">
        <v>0</v>
      </c>
    </row>
    <row r="1093" customFormat="false" ht="13.8" hidden="true" customHeight="false" outlineLevel="0" collapsed="false">
      <c r="A1093" s="0" t="s">
        <v>222</v>
      </c>
      <c r="B1093" s="0" t="n">
        <v>12</v>
      </c>
      <c r="C1093" s="0" t="n">
        <v>1.85</v>
      </c>
      <c r="D1093" s="0" t="n">
        <v>0</v>
      </c>
    </row>
    <row r="1094" customFormat="false" ht="13.8" hidden="true" customHeight="false" outlineLevel="0" collapsed="false">
      <c r="A1094" s="0" t="s">
        <v>222</v>
      </c>
      <c r="B1094" s="0" t="n">
        <v>12</v>
      </c>
      <c r="C1094" s="0" t="n">
        <v>1.9</v>
      </c>
      <c r="D1094" s="0" t="n">
        <v>0</v>
      </c>
    </row>
    <row r="1095" customFormat="false" ht="13.8" hidden="true" customHeight="false" outlineLevel="0" collapsed="false">
      <c r="A1095" s="0" t="s">
        <v>222</v>
      </c>
      <c r="B1095" s="0" t="n">
        <v>12</v>
      </c>
      <c r="C1095" s="0" t="n">
        <v>1.95</v>
      </c>
      <c r="D1095" s="0" t="n">
        <v>0</v>
      </c>
    </row>
    <row r="1096" customFormat="false" ht="13.8" hidden="true" customHeight="false" outlineLevel="0" collapsed="false">
      <c r="A1096" s="0" t="s">
        <v>222</v>
      </c>
      <c r="B1096" s="0" t="n">
        <v>12</v>
      </c>
      <c r="C1096" s="0" t="n">
        <v>2</v>
      </c>
      <c r="D1096" s="0" t="n">
        <v>0</v>
      </c>
    </row>
    <row r="1097" customFormat="false" ht="13.8" hidden="true" customHeight="false" outlineLevel="0" collapsed="false">
      <c r="A1097" s="0" t="s">
        <v>222</v>
      </c>
      <c r="B1097" s="0" t="n">
        <v>12</v>
      </c>
      <c r="C1097" s="0" t="n">
        <v>2.05</v>
      </c>
      <c r="D1097" s="0" t="n">
        <v>0</v>
      </c>
    </row>
    <row r="1098" customFormat="false" ht="13.8" hidden="true" customHeight="false" outlineLevel="0" collapsed="false">
      <c r="A1098" s="0" t="s">
        <v>222</v>
      </c>
      <c r="B1098" s="0" t="n">
        <v>12</v>
      </c>
      <c r="C1098" s="0" t="n">
        <v>2.1</v>
      </c>
      <c r="D1098" s="0" t="n">
        <v>0</v>
      </c>
    </row>
    <row r="1099" customFormat="false" ht="13.8" hidden="true" customHeight="false" outlineLevel="0" collapsed="false">
      <c r="A1099" s="0" t="s">
        <v>222</v>
      </c>
      <c r="B1099" s="0" t="n">
        <v>12</v>
      </c>
      <c r="C1099" s="0" t="n">
        <v>2.15</v>
      </c>
      <c r="D1099" s="0" t="n">
        <v>0</v>
      </c>
    </row>
    <row r="1100" customFormat="false" ht="13.8" hidden="true" customHeight="false" outlineLevel="0" collapsed="false">
      <c r="A1100" s="0" t="s">
        <v>222</v>
      </c>
      <c r="B1100" s="0" t="n">
        <v>12</v>
      </c>
      <c r="C1100" s="0" t="n">
        <v>2.2</v>
      </c>
      <c r="D1100" s="0" t="n">
        <v>0</v>
      </c>
    </row>
    <row r="1101" customFormat="false" ht="13.8" hidden="true" customHeight="false" outlineLevel="0" collapsed="false">
      <c r="A1101" s="0" t="s">
        <v>222</v>
      </c>
      <c r="B1101" s="0" t="n">
        <v>12</v>
      </c>
      <c r="C1101" s="0" t="n">
        <v>2.25</v>
      </c>
      <c r="D1101" s="0" t="n">
        <v>0</v>
      </c>
    </row>
    <row r="1102" customFormat="false" ht="13.8" hidden="true" customHeight="false" outlineLevel="0" collapsed="false">
      <c r="A1102" s="0" t="s">
        <v>222</v>
      </c>
      <c r="B1102" s="0" t="n">
        <v>12</v>
      </c>
      <c r="C1102" s="0" t="n">
        <v>2.3</v>
      </c>
      <c r="D1102" s="0" t="n">
        <v>0</v>
      </c>
    </row>
    <row r="1103" customFormat="false" ht="13.8" hidden="true" customHeight="false" outlineLevel="0" collapsed="false">
      <c r="A1103" s="0" t="s">
        <v>222</v>
      </c>
      <c r="B1103" s="0" t="n">
        <v>12</v>
      </c>
      <c r="C1103" s="0" t="n">
        <v>2.35</v>
      </c>
      <c r="D1103" s="0" t="n">
        <v>0</v>
      </c>
    </row>
    <row r="1104" customFormat="false" ht="13.8" hidden="true" customHeight="false" outlineLevel="0" collapsed="false">
      <c r="A1104" s="0" t="s">
        <v>222</v>
      </c>
      <c r="B1104" s="0" t="n">
        <v>12</v>
      </c>
      <c r="C1104" s="0" t="n">
        <v>2.4</v>
      </c>
      <c r="D1104" s="0" t="n">
        <v>0</v>
      </c>
    </row>
    <row r="1105" customFormat="false" ht="13.8" hidden="true" customHeight="false" outlineLevel="0" collapsed="false">
      <c r="A1105" s="0" t="s">
        <v>222</v>
      </c>
      <c r="B1105" s="0" t="n">
        <v>12</v>
      </c>
      <c r="C1105" s="0" t="n">
        <v>2.45</v>
      </c>
      <c r="D1105" s="0" t="n">
        <v>0</v>
      </c>
    </row>
    <row r="1106" customFormat="false" ht="13.8" hidden="true" customHeight="false" outlineLevel="0" collapsed="false">
      <c r="A1106" s="0" t="s">
        <v>222</v>
      </c>
      <c r="B1106" s="0" t="n">
        <v>12</v>
      </c>
      <c r="C1106" s="0" t="n">
        <v>2.5</v>
      </c>
      <c r="D1106" s="0" t="n">
        <v>0</v>
      </c>
    </row>
    <row r="1107" customFormat="false" ht="13.8" hidden="true" customHeight="false" outlineLevel="0" collapsed="false">
      <c r="A1107" s="0" t="s">
        <v>222</v>
      </c>
      <c r="B1107" s="0" t="n">
        <v>12</v>
      </c>
      <c r="C1107" s="0" t="n">
        <v>2.55</v>
      </c>
      <c r="D1107" s="0" t="n">
        <v>0</v>
      </c>
    </row>
    <row r="1108" customFormat="false" ht="13.8" hidden="true" customHeight="false" outlineLevel="0" collapsed="false">
      <c r="A1108" s="0" t="s">
        <v>222</v>
      </c>
      <c r="B1108" s="0" t="n">
        <v>12</v>
      </c>
      <c r="C1108" s="0" t="n">
        <v>2.6</v>
      </c>
      <c r="D1108" s="0" t="n">
        <v>0</v>
      </c>
    </row>
    <row r="1109" customFormat="false" ht="13.8" hidden="true" customHeight="false" outlineLevel="0" collapsed="false">
      <c r="A1109" s="0" t="s">
        <v>222</v>
      </c>
      <c r="B1109" s="0" t="n">
        <v>19</v>
      </c>
      <c r="C1109" s="0" t="n">
        <v>1.3</v>
      </c>
      <c r="D1109" s="0" t="n">
        <v>0</v>
      </c>
    </row>
    <row r="1110" customFormat="false" ht="13.8" hidden="true" customHeight="false" outlineLevel="0" collapsed="false">
      <c r="A1110" s="0" t="s">
        <v>222</v>
      </c>
      <c r="B1110" s="0" t="n">
        <v>19</v>
      </c>
      <c r="C1110" s="0" t="n">
        <v>1.35</v>
      </c>
      <c r="D1110" s="0" t="n">
        <v>0</v>
      </c>
    </row>
    <row r="1111" customFormat="false" ht="13.8" hidden="true" customHeight="false" outlineLevel="0" collapsed="false">
      <c r="A1111" s="0" t="s">
        <v>222</v>
      </c>
      <c r="B1111" s="0" t="n">
        <v>19</v>
      </c>
      <c r="C1111" s="0" t="n">
        <v>1.4</v>
      </c>
      <c r="D1111" s="0" t="n">
        <v>0</v>
      </c>
    </row>
    <row r="1112" customFormat="false" ht="13.8" hidden="true" customHeight="false" outlineLevel="0" collapsed="false">
      <c r="A1112" s="0" t="s">
        <v>222</v>
      </c>
      <c r="B1112" s="0" t="n">
        <v>19</v>
      </c>
      <c r="C1112" s="0" t="n">
        <v>1.45</v>
      </c>
      <c r="D1112" s="0" t="n">
        <v>0</v>
      </c>
    </row>
    <row r="1113" customFormat="false" ht="13.8" hidden="true" customHeight="false" outlineLevel="0" collapsed="false">
      <c r="A1113" s="0" t="s">
        <v>222</v>
      </c>
      <c r="B1113" s="0" t="n">
        <v>19</v>
      </c>
      <c r="C1113" s="0" t="n">
        <v>1.5</v>
      </c>
      <c r="D1113" s="0" t="n">
        <v>0</v>
      </c>
    </row>
    <row r="1114" customFormat="false" ht="13.8" hidden="true" customHeight="false" outlineLevel="0" collapsed="false">
      <c r="A1114" s="0" t="s">
        <v>222</v>
      </c>
      <c r="B1114" s="0" t="n">
        <v>19</v>
      </c>
      <c r="C1114" s="0" t="n">
        <v>1.55</v>
      </c>
      <c r="D1114" s="0" t="n">
        <v>0</v>
      </c>
    </row>
    <row r="1115" customFormat="false" ht="13.8" hidden="true" customHeight="false" outlineLevel="0" collapsed="false">
      <c r="A1115" s="0" t="s">
        <v>222</v>
      </c>
      <c r="B1115" s="0" t="n">
        <v>19</v>
      </c>
      <c r="C1115" s="0" t="n">
        <v>1.6</v>
      </c>
      <c r="D1115" s="0" t="n">
        <v>0.273</v>
      </c>
    </row>
    <row r="1116" customFormat="false" ht="13.8" hidden="true" customHeight="false" outlineLevel="0" collapsed="false">
      <c r="A1116" s="0" t="s">
        <v>222</v>
      </c>
      <c r="B1116" s="0" t="n">
        <v>19</v>
      </c>
      <c r="C1116" s="0" t="n">
        <v>1.65</v>
      </c>
      <c r="D1116" s="0" t="n">
        <v>0.281</v>
      </c>
    </row>
    <row r="1117" customFormat="false" ht="13.8" hidden="true" customHeight="false" outlineLevel="0" collapsed="false">
      <c r="A1117" s="0" t="s">
        <v>222</v>
      </c>
      <c r="B1117" s="0" t="n">
        <v>19</v>
      </c>
      <c r="C1117" s="0" t="n">
        <v>1.7</v>
      </c>
      <c r="D1117" s="0" t="n">
        <v>0.29</v>
      </c>
    </row>
    <row r="1118" customFormat="false" ht="13.8" hidden="true" customHeight="false" outlineLevel="0" collapsed="false">
      <c r="A1118" s="0" t="s">
        <v>222</v>
      </c>
      <c r="B1118" s="0" t="n">
        <v>19</v>
      </c>
      <c r="C1118" s="0" t="n">
        <v>1.75</v>
      </c>
      <c r="D1118" s="0" t="n">
        <v>0.298</v>
      </c>
    </row>
    <row r="1119" customFormat="false" ht="13.8" hidden="true" customHeight="false" outlineLevel="0" collapsed="false">
      <c r="A1119" s="0" t="s">
        <v>222</v>
      </c>
      <c r="B1119" s="0" t="n">
        <v>19</v>
      </c>
      <c r="C1119" s="0" t="n">
        <v>1.8</v>
      </c>
      <c r="D1119" s="0" t="n">
        <v>0</v>
      </c>
    </row>
    <row r="1120" customFormat="false" ht="13.8" hidden="true" customHeight="false" outlineLevel="0" collapsed="false">
      <c r="A1120" s="0" t="s">
        <v>222</v>
      </c>
      <c r="B1120" s="0" t="n">
        <v>19</v>
      </c>
      <c r="C1120" s="0" t="n">
        <v>1.85</v>
      </c>
      <c r="D1120" s="0" t="n">
        <v>0</v>
      </c>
    </row>
    <row r="1121" customFormat="false" ht="13.8" hidden="true" customHeight="false" outlineLevel="0" collapsed="false">
      <c r="A1121" s="0" t="s">
        <v>222</v>
      </c>
      <c r="B1121" s="0" t="n">
        <v>19</v>
      </c>
      <c r="C1121" s="0" t="n">
        <v>1.9</v>
      </c>
      <c r="D1121" s="0" t="n">
        <v>0</v>
      </c>
    </row>
    <row r="1122" customFormat="false" ht="13.8" hidden="true" customHeight="false" outlineLevel="0" collapsed="false">
      <c r="A1122" s="0" t="s">
        <v>222</v>
      </c>
      <c r="B1122" s="0" t="n">
        <v>19</v>
      </c>
      <c r="C1122" s="0" t="n">
        <v>1.95</v>
      </c>
      <c r="D1122" s="0" t="n">
        <v>0</v>
      </c>
    </row>
    <row r="1123" customFormat="false" ht="13.8" hidden="true" customHeight="false" outlineLevel="0" collapsed="false">
      <c r="A1123" s="0" t="s">
        <v>222</v>
      </c>
      <c r="B1123" s="0" t="n">
        <v>19</v>
      </c>
      <c r="C1123" s="0" t="n">
        <v>2</v>
      </c>
      <c r="D1123" s="0" t="n">
        <v>0</v>
      </c>
    </row>
    <row r="1124" customFormat="false" ht="13.8" hidden="true" customHeight="false" outlineLevel="0" collapsed="false">
      <c r="A1124" s="0" t="s">
        <v>222</v>
      </c>
      <c r="B1124" s="0" t="n">
        <v>19</v>
      </c>
      <c r="C1124" s="0" t="n">
        <v>2.05</v>
      </c>
      <c r="D1124" s="0" t="n">
        <v>0</v>
      </c>
    </row>
    <row r="1125" customFormat="false" ht="13.8" hidden="true" customHeight="false" outlineLevel="0" collapsed="false">
      <c r="A1125" s="0" t="s">
        <v>222</v>
      </c>
      <c r="B1125" s="0" t="n">
        <v>19</v>
      </c>
      <c r="C1125" s="0" t="n">
        <v>2.1</v>
      </c>
      <c r="D1125" s="0" t="n">
        <v>0</v>
      </c>
    </row>
    <row r="1126" customFormat="false" ht="13.8" hidden="true" customHeight="false" outlineLevel="0" collapsed="false">
      <c r="A1126" s="0" t="s">
        <v>222</v>
      </c>
      <c r="B1126" s="0" t="n">
        <v>19</v>
      </c>
      <c r="C1126" s="0" t="n">
        <v>2.15</v>
      </c>
      <c r="D1126" s="0" t="n">
        <v>0</v>
      </c>
    </row>
    <row r="1127" customFormat="false" ht="13.8" hidden="true" customHeight="false" outlineLevel="0" collapsed="false">
      <c r="A1127" s="0" t="s">
        <v>222</v>
      </c>
      <c r="B1127" s="0" t="n">
        <v>19</v>
      </c>
      <c r="C1127" s="0" t="n">
        <v>2.2</v>
      </c>
      <c r="D1127" s="0" t="n">
        <v>0</v>
      </c>
    </row>
    <row r="1128" customFormat="false" ht="13.8" hidden="true" customHeight="false" outlineLevel="0" collapsed="false">
      <c r="A1128" s="0" t="s">
        <v>222</v>
      </c>
      <c r="B1128" s="0" t="n">
        <v>19</v>
      </c>
      <c r="C1128" s="0" t="n">
        <v>2.25</v>
      </c>
      <c r="D1128" s="0" t="n">
        <v>0</v>
      </c>
    </row>
    <row r="1129" customFormat="false" ht="13.8" hidden="true" customHeight="false" outlineLevel="0" collapsed="false">
      <c r="A1129" s="0" t="s">
        <v>222</v>
      </c>
      <c r="B1129" s="0" t="n">
        <v>19</v>
      </c>
      <c r="C1129" s="0" t="n">
        <v>2.3</v>
      </c>
      <c r="D1129" s="0" t="n">
        <v>0</v>
      </c>
    </row>
    <row r="1130" customFormat="false" ht="13.8" hidden="true" customHeight="false" outlineLevel="0" collapsed="false">
      <c r="A1130" s="0" t="s">
        <v>222</v>
      </c>
      <c r="B1130" s="0" t="n">
        <v>19</v>
      </c>
      <c r="C1130" s="0" t="n">
        <v>2.35</v>
      </c>
      <c r="D1130" s="0" t="n">
        <v>0</v>
      </c>
    </row>
    <row r="1131" customFormat="false" ht="13.8" hidden="true" customHeight="false" outlineLevel="0" collapsed="false">
      <c r="A1131" s="0" t="s">
        <v>222</v>
      </c>
      <c r="B1131" s="0" t="n">
        <v>19</v>
      </c>
      <c r="C1131" s="0" t="n">
        <v>2.4</v>
      </c>
      <c r="D1131" s="0" t="n">
        <v>0</v>
      </c>
    </row>
    <row r="1132" customFormat="false" ht="13.8" hidden="true" customHeight="false" outlineLevel="0" collapsed="false">
      <c r="A1132" s="0" t="s">
        <v>222</v>
      </c>
      <c r="B1132" s="0" t="n">
        <v>19</v>
      </c>
      <c r="C1132" s="0" t="n">
        <v>2.45</v>
      </c>
      <c r="D1132" s="0" t="n">
        <v>0</v>
      </c>
    </row>
    <row r="1133" customFormat="false" ht="13.8" hidden="true" customHeight="false" outlineLevel="0" collapsed="false">
      <c r="A1133" s="0" t="s">
        <v>222</v>
      </c>
      <c r="B1133" s="0" t="n">
        <v>19</v>
      </c>
      <c r="C1133" s="0" t="n">
        <v>2.5</v>
      </c>
      <c r="D1133" s="0" t="n">
        <v>0</v>
      </c>
    </row>
    <row r="1134" customFormat="false" ht="13.8" hidden="true" customHeight="false" outlineLevel="0" collapsed="false">
      <c r="A1134" s="0" t="s">
        <v>222</v>
      </c>
      <c r="B1134" s="0" t="n">
        <v>19</v>
      </c>
      <c r="C1134" s="0" t="n">
        <v>2.55</v>
      </c>
      <c r="D1134" s="0" t="n">
        <v>0</v>
      </c>
    </row>
    <row r="1135" customFormat="false" ht="13.8" hidden="true" customHeight="false" outlineLevel="0" collapsed="false">
      <c r="A1135" s="0" t="s">
        <v>222</v>
      </c>
      <c r="B1135" s="0" t="n">
        <v>19</v>
      </c>
      <c r="C1135" s="0" t="n">
        <v>2.6</v>
      </c>
      <c r="D1135" s="0" t="n">
        <v>0</v>
      </c>
    </row>
    <row r="1136" customFormat="false" ht="13.8" hidden="true" customHeight="false" outlineLevel="0" collapsed="false">
      <c r="A1136" s="0" t="s">
        <v>650</v>
      </c>
      <c r="B1136" s="0" t="n">
        <v>10</v>
      </c>
      <c r="C1136" s="0" t="n">
        <v>1.3</v>
      </c>
      <c r="D1136" s="0" t="n">
        <v>0</v>
      </c>
    </row>
    <row r="1137" customFormat="false" ht="13.8" hidden="true" customHeight="false" outlineLevel="0" collapsed="false">
      <c r="A1137" s="0" t="s">
        <v>650</v>
      </c>
      <c r="B1137" s="0" t="n">
        <v>10</v>
      </c>
      <c r="C1137" s="0" t="n">
        <v>1.35</v>
      </c>
      <c r="D1137" s="0" t="n">
        <v>0</v>
      </c>
    </row>
    <row r="1138" customFormat="false" ht="13.8" hidden="true" customHeight="false" outlineLevel="0" collapsed="false">
      <c r="A1138" s="0" t="s">
        <v>650</v>
      </c>
      <c r="B1138" s="0" t="n">
        <v>10</v>
      </c>
      <c r="C1138" s="0" t="n">
        <v>1.4</v>
      </c>
      <c r="D1138" s="0" t="n">
        <v>0</v>
      </c>
    </row>
    <row r="1139" customFormat="false" ht="13.8" hidden="true" customHeight="false" outlineLevel="0" collapsed="false">
      <c r="A1139" s="0" t="s">
        <v>650</v>
      </c>
      <c r="B1139" s="0" t="n">
        <v>10</v>
      </c>
      <c r="C1139" s="0" t="n">
        <v>1.45</v>
      </c>
      <c r="D1139" s="0" t="n">
        <v>0</v>
      </c>
    </row>
    <row r="1140" customFormat="false" ht="13.8" hidden="true" customHeight="false" outlineLevel="0" collapsed="false">
      <c r="A1140" s="0" t="s">
        <v>650</v>
      </c>
      <c r="B1140" s="0" t="n">
        <v>10</v>
      </c>
      <c r="C1140" s="0" t="n">
        <v>1.5</v>
      </c>
      <c r="D1140" s="0" t="n">
        <v>0</v>
      </c>
    </row>
    <row r="1141" customFormat="false" ht="13.8" hidden="true" customHeight="false" outlineLevel="0" collapsed="false">
      <c r="A1141" s="0" t="s">
        <v>650</v>
      </c>
      <c r="B1141" s="0" t="n">
        <v>10</v>
      </c>
      <c r="C1141" s="0" t="n">
        <v>1.55</v>
      </c>
      <c r="D1141" s="0" t="n">
        <v>0</v>
      </c>
    </row>
    <row r="1142" customFormat="false" ht="13.8" hidden="true" customHeight="false" outlineLevel="0" collapsed="false">
      <c r="A1142" s="0" t="s">
        <v>650</v>
      </c>
      <c r="B1142" s="0" t="n">
        <v>10</v>
      </c>
      <c r="C1142" s="0" t="n">
        <v>1.6</v>
      </c>
      <c r="D1142" s="0" t="n">
        <v>0.136</v>
      </c>
    </row>
    <row r="1143" customFormat="false" ht="13.8" hidden="true" customHeight="false" outlineLevel="0" collapsed="false">
      <c r="A1143" s="0" t="s">
        <v>650</v>
      </c>
      <c r="B1143" s="0" t="n">
        <v>10</v>
      </c>
      <c r="C1143" s="0" t="n">
        <v>1.65</v>
      </c>
      <c r="D1143" s="0" t="n">
        <v>0.141</v>
      </c>
    </row>
    <row r="1144" customFormat="false" ht="13.8" hidden="true" customHeight="false" outlineLevel="0" collapsed="false">
      <c r="A1144" s="0" t="s">
        <v>650</v>
      </c>
      <c r="B1144" s="0" t="n">
        <v>10</v>
      </c>
      <c r="C1144" s="0" t="n">
        <v>1.7</v>
      </c>
      <c r="D1144" s="0" t="n">
        <v>0.145</v>
      </c>
    </row>
    <row r="1145" customFormat="false" ht="13.8" hidden="true" customHeight="false" outlineLevel="0" collapsed="false">
      <c r="A1145" s="0" t="s">
        <v>650</v>
      </c>
      <c r="B1145" s="0" t="n">
        <v>10</v>
      </c>
      <c r="C1145" s="0" t="n">
        <v>1.75</v>
      </c>
      <c r="D1145" s="0" t="n">
        <v>0.149</v>
      </c>
    </row>
    <row r="1146" customFormat="false" ht="13.8" hidden="true" customHeight="false" outlineLevel="0" collapsed="false">
      <c r="A1146" s="0" t="s">
        <v>650</v>
      </c>
      <c r="B1146" s="0" t="n">
        <v>10</v>
      </c>
      <c r="C1146" s="0" t="n">
        <v>1.8</v>
      </c>
      <c r="D1146" s="0" t="n">
        <v>0.163</v>
      </c>
    </row>
    <row r="1147" customFormat="false" ht="13.8" hidden="true" customHeight="false" outlineLevel="0" collapsed="false">
      <c r="A1147" s="0" t="s">
        <v>650</v>
      </c>
      <c r="B1147" s="0" t="n">
        <v>10</v>
      </c>
      <c r="C1147" s="0" t="n">
        <v>1.85</v>
      </c>
      <c r="D1147" s="0" t="n">
        <v>0.168</v>
      </c>
    </row>
    <row r="1148" customFormat="false" ht="13.8" hidden="true" customHeight="false" outlineLevel="0" collapsed="false">
      <c r="A1148" s="0" t="s">
        <v>650</v>
      </c>
      <c r="B1148" s="0" t="n">
        <v>10</v>
      </c>
      <c r="C1148" s="0" t="n">
        <v>1.9</v>
      </c>
      <c r="D1148" s="0" t="n">
        <v>0.172</v>
      </c>
    </row>
    <row r="1149" customFormat="false" ht="13.8" hidden="true" customHeight="false" outlineLevel="0" collapsed="false">
      <c r="A1149" s="0" t="s">
        <v>650</v>
      </c>
      <c r="B1149" s="0" t="n">
        <v>10</v>
      </c>
      <c r="C1149" s="0" t="n">
        <v>1.95</v>
      </c>
      <c r="D1149" s="0" t="n">
        <v>0.177</v>
      </c>
    </row>
    <row r="1150" customFormat="false" ht="13.8" hidden="true" customHeight="false" outlineLevel="0" collapsed="false">
      <c r="A1150" s="0" t="s">
        <v>650</v>
      </c>
      <c r="B1150" s="0" t="n">
        <v>10</v>
      </c>
      <c r="C1150" s="0" t="n">
        <v>2</v>
      </c>
      <c r="D1150" s="0" t="n">
        <v>0.192</v>
      </c>
    </row>
    <row r="1151" customFormat="false" ht="13.8" hidden="true" customHeight="false" outlineLevel="0" collapsed="false">
      <c r="A1151" s="0" t="s">
        <v>650</v>
      </c>
      <c r="B1151" s="0" t="n">
        <v>10</v>
      </c>
      <c r="C1151" s="0" t="n">
        <v>2.05</v>
      </c>
      <c r="D1151" s="0" t="n">
        <v>0.197</v>
      </c>
    </row>
    <row r="1152" customFormat="false" ht="13.8" hidden="true" customHeight="false" outlineLevel="0" collapsed="false">
      <c r="A1152" s="0" t="s">
        <v>650</v>
      </c>
      <c r="B1152" s="0" t="n">
        <v>10</v>
      </c>
      <c r="C1152" s="0" t="n">
        <v>2.1</v>
      </c>
      <c r="D1152" s="0" t="n">
        <v>0.202</v>
      </c>
    </row>
    <row r="1153" customFormat="false" ht="13.8" hidden="true" customHeight="false" outlineLevel="0" collapsed="false">
      <c r="A1153" s="0" t="s">
        <v>650</v>
      </c>
      <c r="B1153" s="0" t="n">
        <v>10</v>
      </c>
      <c r="C1153" s="0" t="n">
        <v>2.15</v>
      </c>
      <c r="D1153" s="0" t="n">
        <v>0.206712902</v>
      </c>
    </row>
    <row r="1154" customFormat="false" ht="13.8" hidden="true" customHeight="false" outlineLevel="0" collapsed="false">
      <c r="A1154" s="0" t="s">
        <v>650</v>
      </c>
      <c r="B1154" s="0" t="n">
        <v>10</v>
      </c>
      <c r="C1154" s="0" t="n">
        <v>2.2</v>
      </c>
      <c r="D1154" s="0" t="n">
        <v>0.189921701</v>
      </c>
    </row>
    <row r="1155" customFormat="false" ht="13.8" hidden="true" customHeight="false" outlineLevel="0" collapsed="false">
      <c r="A1155" s="0" t="s">
        <v>650</v>
      </c>
      <c r="B1155" s="0" t="n">
        <v>10</v>
      </c>
      <c r="C1155" s="0" t="n">
        <v>2.25</v>
      </c>
      <c r="D1155" s="0" t="n">
        <v>0.194238103</v>
      </c>
    </row>
    <row r="1156" customFormat="false" ht="13.8" hidden="true" customHeight="false" outlineLevel="0" collapsed="false">
      <c r="A1156" s="0" t="s">
        <v>650</v>
      </c>
      <c r="B1156" s="0" t="n">
        <v>10</v>
      </c>
      <c r="C1156" s="0" t="n">
        <v>2.3</v>
      </c>
      <c r="D1156" s="0" t="n">
        <v>0.198554506</v>
      </c>
    </row>
    <row r="1157" customFormat="false" ht="13.8" hidden="true" customHeight="false" outlineLevel="0" collapsed="false">
      <c r="A1157" s="0" t="s">
        <v>650</v>
      </c>
      <c r="B1157" s="0" t="n">
        <v>10</v>
      </c>
      <c r="C1157" s="0" t="n">
        <v>2.35</v>
      </c>
      <c r="D1157" s="0" t="n">
        <v>0.202870908</v>
      </c>
    </row>
    <row r="1158" customFormat="false" ht="13.8" hidden="true" customHeight="false" outlineLevel="0" collapsed="false">
      <c r="A1158" s="0" t="s">
        <v>650</v>
      </c>
      <c r="B1158" s="0" t="n">
        <v>10</v>
      </c>
      <c r="C1158" s="0" t="n">
        <v>2.4</v>
      </c>
      <c r="D1158" s="0" t="n">
        <v>0.20718731</v>
      </c>
    </row>
    <row r="1159" customFormat="false" ht="13.8" hidden="true" customHeight="false" outlineLevel="0" collapsed="false">
      <c r="A1159" s="0" t="s">
        <v>650</v>
      </c>
      <c r="B1159" s="0" t="n">
        <v>10</v>
      </c>
      <c r="C1159" s="0" t="n">
        <v>2.45</v>
      </c>
      <c r="D1159" s="0" t="n">
        <v>0.211503713</v>
      </c>
    </row>
    <row r="1160" customFormat="false" ht="13.8" hidden="true" customHeight="false" outlineLevel="0" collapsed="false">
      <c r="A1160" s="0" t="s">
        <v>650</v>
      </c>
      <c r="B1160" s="0" t="n">
        <v>10</v>
      </c>
      <c r="C1160" s="0" t="n">
        <v>2.5</v>
      </c>
      <c r="D1160" s="0" t="n">
        <v>0.215820115</v>
      </c>
    </row>
    <row r="1161" customFormat="false" ht="13.8" hidden="true" customHeight="false" outlineLevel="0" collapsed="false">
      <c r="A1161" s="0" t="s">
        <v>650</v>
      </c>
      <c r="B1161" s="0" t="n">
        <v>10</v>
      </c>
      <c r="C1161" s="0" t="n">
        <v>2.55</v>
      </c>
      <c r="D1161" s="0" t="n">
        <v>0.220136517</v>
      </c>
    </row>
    <row r="1162" customFormat="false" ht="13.8" hidden="true" customHeight="false" outlineLevel="0" collapsed="false">
      <c r="A1162" s="0" t="s">
        <v>650</v>
      </c>
      <c r="B1162" s="0" t="n">
        <v>10</v>
      </c>
      <c r="C1162" s="0" t="n">
        <v>2.6</v>
      </c>
      <c r="D1162" s="0" t="n">
        <v>0.224452919</v>
      </c>
    </row>
    <row r="1163" customFormat="false" ht="13.8" hidden="true" customHeight="false" outlineLevel="0" collapsed="false">
      <c r="A1163" s="0" t="s">
        <v>650</v>
      </c>
      <c r="B1163" s="0" t="n">
        <v>17</v>
      </c>
      <c r="C1163" s="0" t="n">
        <v>1.3</v>
      </c>
      <c r="D1163" s="0" t="n">
        <v>0</v>
      </c>
    </row>
    <row r="1164" customFormat="false" ht="13.8" hidden="true" customHeight="false" outlineLevel="0" collapsed="false">
      <c r="A1164" s="0" t="s">
        <v>650</v>
      </c>
      <c r="B1164" s="0" t="n">
        <v>17</v>
      </c>
      <c r="C1164" s="0" t="n">
        <v>1.35</v>
      </c>
      <c r="D1164" s="0" t="n">
        <v>0</v>
      </c>
    </row>
    <row r="1165" customFormat="false" ht="13.8" hidden="true" customHeight="false" outlineLevel="0" collapsed="false">
      <c r="A1165" s="0" t="s">
        <v>650</v>
      </c>
      <c r="B1165" s="0" t="n">
        <v>17</v>
      </c>
      <c r="C1165" s="0" t="n">
        <v>1.4</v>
      </c>
      <c r="D1165" s="0" t="n">
        <v>0</v>
      </c>
    </row>
    <row r="1166" customFormat="false" ht="13.8" hidden="true" customHeight="false" outlineLevel="0" collapsed="false">
      <c r="A1166" s="0" t="s">
        <v>650</v>
      </c>
      <c r="B1166" s="0" t="n">
        <v>17</v>
      </c>
      <c r="C1166" s="0" t="n">
        <v>1.45</v>
      </c>
      <c r="D1166" s="0" t="n">
        <v>0</v>
      </c>
    </row>
    <row r="1167" customFormat="false" ht="13.8" hidden="true" customHeight="false" outlineLevel="0" collapsed="false">
      <c r="A1167" s="0" t="s">
        <v>650</v>
      </c>
      <c r="B1167" s="0" t="n">
        <v>17</v>
      </c>
      <c r="C1167" s="0" t="n">
        <v>1.5</v>
      </c>
      <c r="D1167" s="0" t="n">
        <v>0</v>
      </c>
    </row>
    <row r="1168" customFormat="false" ht="13.8" hidden="true" customHeight="false" outlineLevel="0" collapsed="false">
      <c r="A1168" s="0" t="s">
        <v>650</v>
      </c>
      <c r="B1168" s="0" t="n">
        <v>17</v>
      </c>
      <c r="C1168" s="0" t="n">
        <v>1.55</v>
      </c>
      <c r="D1168" s="0" t="n">
        <v>0</v>
      </c>
    </row>
    <row r="1169" customFormat="false" ht="13.8" hidden="true" customHeight="false" outlineLevel="0" collapsed="false">
      <c r="A1169" s="0" t="s">
        <v>650</v>
      </c>
      <c r="B1169" s="0" t="n">
        <v>17</v>
      </c>
      <c r="C1169" s="0" t="n">
        <v>1.6</v>
      </c>
      <c r="D1169" s="0" t="n">
        <v>0.136</v>
      </c>
    </row>
    <row r="1170" customFormat="false" ht="13.8" hidden="true" customHeight="false" outlineLevel="0" collapsed="false">
      <c r="A1170" s="0" t="s">
        <v>650</v>
      </c>
      <c r="B1170" s="0" t="n">
        <v>17</v>
      </c>
      <c r="C1170" s="0" t="n">
        <v>1.65</v>
      </c>
      <c r="D1170" s="0" t="n">
        <v>0.141</v>
      </c>
    </row>
    <row r="1171" customFormat="false" ht="13.8" hidden="true" customHeight="false" outlineLevel="0" collapsed="false">
      <c r="A1171" s="0" t="s">
        <v>650</v>
      </c>
      <c r="B1171" s="0" t="n">
        <v>17</v>
      </c>
      <c r="C1171" s="0" t="n">
        <v>1.7</v>
      </c>
      <c r="D1171" s="0" t="n">
        <v>0.145</v>
      </c>
    </row>
    <row r="1172" customFormat="false" ht="13.8" hidden="true" customHeight="false" outlineLevel="0" collapsed="false">
      <c r="A1172" s="0" t="s">
        <v>650</v>
      </c>
      <c r="B1172" s="0" t="n">
        <v>17</v>
      </c>
      <c r="C1172" s="0" t="n">
        <v>1.75</v>
      </c>
      <c r="D1172" s="0" t="n">
        <v>0.149</v>
      </c>
    </row>
    <row r="1173" customFormat="false" ht="13.8" hidden="true" customHeight="false" outlineLevel="0" collapsed="false">
      <c r="A1173" s="0" t="s">
        <v>650</v>
      </c>
      <c r="B1173" s="0" t="n">
        <v>17</v>
      </c>
      <c r="C1173" s="0" t="n">
        <v>1.8</v>
      </c>
      <c r="D1173" s="0" t="n">
        <v>0.163</v>
      </c>
    </row>
    <row r="1174" customFormat="false" ht="13.8" hidden="true" customHeight="false" outlineLevel="0" collapsed="false">
      <c r="A1174" s="0" t="s">
        <v>650</v>
      </c>
      <c r="B1174" s="0" t="n">
        <v>17</v>
      </c>
      <c r="C1174" s="0" t="n">
        <v>1.85</v>
      </c>
      <c r="D1174" s="0" t="n">
        <v>0.168</v>
      </c>
    </row>
    <row r="1175" customFormat="false" ht="13.8" hidden="true" customHeight="false" outlineLevel="0" collapsed="false">
      <c r="A1175" s="0" t="s">
        <v>650</v>
      </c>
      <c r="B1175" s="0" t="n">
        <v>17</v>
      </c>
      <c r="C1175" s="0" t="n">
        <v>1.9</v>
      </c>
      <c r="D1175" s="0" t="n">
        <v>0.172</v>
      </c>
    </row>
    <row r="1176" customFormat="false" ht="13.8" hidden="true" customHeight="false" outlineLevel="0" collapsed="false">
      <c r="A1176" s="0" t="s">
        <v>650</v>
      </c>
      <c r="B1176" s="0" t="n">
        <v>17</v>
      </c>
      <c r="C1176" s="0" t="n">
        <v>1.95</v>
      </c>
      <c r="D1176" s="0" t="n">
        <v>0.177</v>
      </c>
    </row>
    <row r="1177" customFormat="false" ht="13.8" hidden="true" customHeight="false" outlineLevel="0" collapsed="false">
      <c r="A1177" s="0" t="s">
        <v>650</v>
      </c>
      <c r="B1177" s="0" t="n">
        <v>17</v>
      </c>
      <c r="C1177" s="0" t="n">
        <v>2</v>
      </c>
      <c r="D1177" s="0" t="n">
        <v>0.192</v>
      </c>
    </row>
    <row r="1178" customFormat="false" ht="13.8" hidden="true" customHeight="false" outlineLevel="0" collapsed="false">
      <c r="A1178" s="0" t="s">
        <v>650</v>
      </c>
      <c r="B1178" s="0" t="n">
        <v>17</v>
      </c>
      <c r="C1178" s="0" t="n">
        <v>2.05</v>
      </c>
      <c r="D1178" s="0" t="n">
        <v>0.197</v>
      </c>
    </row>
    <row r="1179" customFormat="false" ht="13.8" hidden="true" customHeight="false" outlineLevel="0" collapsed="false">
      <c r="A1179" s="0" t="s">
        <v>650</v>
      </c>
      <c r="B1179" s="0" t="n">
        <v>17</v>
      </c>
      <c r="C1179" s="0" t="n">
        <v>2.1</v>
      </c>
      <c r="D1179" s="0" t="n">
        <v>0.202</v>
      </c>
    </row>
    <row r="1180" customFormat="false" ht="13.8" hidden="true" customHeight="false" outlineLevel="0" collapsed="false">
      <c r="A1180" s="0" t="s">
        <v>650</v>
      </c>
      <c r="B1180" s="0" t="n">
        <v>17</v>
      </c>
      <c r="C1180" s="0" t="n">
        <v>2.15</v>
      </c>
      <c r="D1180" s="0" t="n">
        <v>0.206712902</v>
      </c>
    </row>
    <row r="1181" customFormat="false" ht="13.8" hidden="true" customHeight="false" outlineLevel="0" collapsed="false">
      <c r="A1181" s="0" t="s">
        <v>650</v>
      </c>
      <c r="B1181" s="0" t="n">
        <v>17</v>
      </c>
      <c r="C1181" s="0" t="n">
        <v>2.2</v>
      </c>
      <c r="D1181" s="0" t="n">
        <v>0.189921701</v>
      </c>
    </row>
    <row r="1182" customFormat="false" ht="13.8" hidden="true" customHeight="false" outlineLevel="0" collapsed="false">
      <c r="A1182" s="0" t="s">
        <v>650</v>
      </c>
      <c r="B1182" s="0" t="n">
        <v>17</v>
      </c>
      <c r="C1182" s="0" t="n">
        <v>2.25</v>
      </c>
      <c r="D1182" s="0" t="n">
        <v>0.194238103</v>
      </c>
    </row>
    <row r="1183" customFormat="false" ht="13.8" hidden="true" customHeight="false" outlineLevel="0" collapsed="false">
      <c r="A1183" s="0" t="s">
        <v>650</v>
      </c>
      <c r="B1183" s="0" t="n">
        <v>17</v>
      </c>
      <c r="C1183" s="0" t="n">
        <v>2.3</v>
      </c>
      <c r="D1183" s="0" t="n">
        <v>0.198554506</v>
      </c>
    </row>
    <row r="1184" customFormat="false" ht="13.8" hidden="true" customHeight="false" outlineLevel="0" collapsed="false">
      <c r="A1184" s="0" t="s">
        <v>650</v>
      </c>
      <c r="B1184" s="0" t="n">
        <v>17</v>
      </c>
      <c r="C1184" s="0" t="n">
        <v>2.35</v>
      </c>
      <c r="D1184" s="0" t="n">
        <v>0.202870908</v>
      </c>
    </row>
    <row r="1185" customFormat="false" ht="13.8" hidden="true" customHeight="false" outlineLevel="0" collapsed="false">
      <c r="A1185" s="0" t="s">
        <v>650</v>
      </c>
      <c r="B1185" s="0" t="n">
        <v>17</v>
      </c>
      <c r="C1185" s="0" t="n">
        <v>2.4</v>
      </c>
      <c r="D1185" s="0" t="n">
        <v>0.20718731</v>
      </c>
    </row>
    <row r="1186" customFormat="false" ht="13.8" hidden="true" customHeight="false" outlineLevel="0" collapsed="false">
      <c r="A1186" s="0" t="s">
        <v>650</v>
      </c>
      <c r="B1186" s="0" t="n">
        <v>17</v>
      </c>
      <c r="C1186" s="0" t="n">
        <v>2.45</v>
      </c>
      <c r="D1186" s="0" t="n">
        <v>0.211503713</v>
      </c>
    </row>
    <row r="1187" customFormat="false" ht="13.8" hidden="true" customHeight="false" outlineLevel="0" collapsed="false">
      <c r="A1187" s="0" t="s">
        <v>650</v>
      </c>
      <c r="B1187" s="0" t="n">
        <v>17</v>
      </c>
      <c r="C1187" s="0" t="n">
        <v>2.5</v>
      </c>
      <c r="D1187" s="0" t="n">
        <v>0.215820115</v>
      </c>
    </row>
    <row r="1188" customFormat="false" ht="13.8" hidden="true" customHeight="false" outlineLevel="0" collapsed="false">
      <c r="A1188" s="0" t="s">
        <v>650</v>
      </c>
      <c r="B1188" s="0" t="n">
        <v>17</v>
      </c>
      <c r="C1188" s="0" t="n">
        <v>2.55</v>
      </c>
      <c r="D1188" s="0" t="n">
        <v>0.220136517</v>
      </c>
    </row>
    <row r="1189" customFormat="false" ht="13.8" hidden="true" customHeight="false" outlineLevel="0" collapsed="false">
      <c r="A1189" s="0" t="s">
        <v>650</v>
      </c>
      <c r="B1189" s="0" t="n">
        <v>17</v>
      </c>
      <c r="C1189" s="0" t="n">
        <v>2.6</v>
      </c>
      <c r="D1189" s="0" t="n">
        <v>0.224452919</v>
      </c>
    </row>
    <row r="1190" customFormat="false" ht="13.8" hidden="true" customHeight="false" outlineLevel="0" collapsed="false">
      <c r="A1190" s="0" t="s">
        <v>121</v>
      </c>
      <c r="B1190" s="0" t="n">
        <v>10</v>
      </c>
      <c r="C1190" s="0" t="n">
        <v>1.3</v>
      </c>
      <c r="D1190" s="0" t="n">
        <v>0</v>
      </c>
    </row>
    <row r="1191" customFormat="false" ht="13.8" hidden="true" customHeight="false" outlineLevel="0" collapsed="false">
      <c r="A1191" s="0" t="s">
        <v>121</v>
      </c>
      <c r="B1191" s="0" t="n">
        <v>10</v>
      </c>
      <c r="C1191" s="0" t="n">
        <v>1.35</v>
      </c>
      <c r="D1191" s="0" t="n">
        <v>0</v>
      </c>
    </row>
    <row r="1192" customFormat="false" ht="13.8" hidden="true" customHeight="false" outlineLevel="0" collapsed="false">
      <c r="A1192" s="0" t="s">
        <v>121</v>
      </c>
      <c r="B1192" s="0" t="n">
        <v>10</v>
      </c>
      <c r="C1192" s="0" t="n">
        <v>1.4</v>
      </c>
      <c r="D1192" s="0" t="n">
        <v>0</v>
      </c>
    </row>
    <row r="1193" customFormat="false" ht="13.8" hidden="true" customHeight="false" outlineLevel="0" collapsed="false">
      <c r="A1193" s="0" t="s">
        <v>121</v>
      </c>
      <c r="B1193" s="0" t="n">
        <v>10</v>
      </c>
      <c r="C1193" s="0" t="n">
        <v>1.45</v>
      </c>
      <c r="D1193" s="0" t="n">
        <v>0</v>
      </c>
    </row>
    <row r="1194" customFormat="false" ht="13.8" hidden="true" customHeight="false" outlineLevel="0" collapsed="false">
      <c r="A1194" s="0" t="s">
        <v>121</v>
      </c>
      <c r="B1194" s="0" t="n">
        <v>10</v>
      </c>
      <c r="C1194" s="0" t="n">
        <v>1.5</v>
      </c>
      <c r="D1194" s="0" t="n">
        <v>0</v>
      </c>
    </row>
    <row r="1195" customFormat="false" ht="13.8" hidden="true" customHeight="false" outlineLevel="0" collapsed="false">
      <c r="A1195" s="0" t="s">
        <v>121</v>
      </c>
      <c r="B1195" s="0" t="n">
        <v>10</v>
      </c>
      <c r="C1195" s="0" t="n">
        <v>1.55</v>
      </c>
      <c r="D1195" s="0" t="n">
        <v>0</v>
      </c>
    </row>
    <row r="1196" customFormat="false" ht="13.8" hidden="true" customHeight="false" outlineLevel="0" collapsed="false">
      <c r="A1196" s="0" t="s">
        <v>121</v>
      </c>
      <c r="B1196" s="0" t="n">
        <v>10</v>
      </c>
      <c r="C1196" s="0" t="n">
        <v>1.6</v>
      </c>
      <c r="D1196" s="0" t="n">
        <v>0.136</v>
      </c>
    </row>
    <row r="1197" customFormat="false" ht="13.8" hidden="true" customHeight="false" outlineLevel="0" collapsed="false">
      <c r="A1197" s="0" t="s">
        <v>121</v>
      </c>
      <c r="B1197" s="0" t="n">
        <v>10</v>
      </c>
      <c r="C1197" s="0" t="n">
        <v>1.65</v>
      </c>
      <c r="D1197" s="0" t="n">
        <v>0.141</v>
      </c>
    </row>
    <row r="1198" customFormat="false" ht="13.8" hidden="true" customHeight="false" outlineLevel="0" collapsed="false">
      <c r="A1198" s="0" t="s">
        <v>121</v>
      </c>
      <c r="B1198" s="0" t="n">
        <v>10</v>
      </c>
      <c r="C1198" s="0" t="n">
        <v>1.7</v>
      </c>
      <c r="D1198" s="0" t="n">
        <v>0.145</v>
      </c>
    </row>
    <row r="1199" customFormat="false" ht="13.8" hidden="true" customHeight="false" outlineLevel="0" collapsed="false">
      <c r="A1199" s="0" t="s">
        <v>121</v>
      </c>
      <c r="B1199" s="0" t="n">
        <v>10</v>
      </c>
      <c r="C1199" s="0" t="n">
        <v>1.75</v>
      </c>
      <c r="D1199" s="0" t="n">
        <v>0.149</v>
      </c>
    </row>
    <row r="1200" customFormat="false" ht="13.8" hidden="true" customHeight="false" outlineLevel="0" collapsed="false">
      <c r="A1200" s="0" t="s">
        <v>121</v>
      </c>
      <c r="B1200" s="0" t="n">
        <v>10</v>
      </c>
      <c r="C1200" s="0" t="n">
        <v>1.8</v>
      </c>
      <c r="D1200" s="0" t="n">
        <v>0.163</v>
      </c>
    </row>
    <row r="1201" customFormat="false" ht="13.8" hidden="true" customHeight="false" outlineLevel="0" collapsed="false">
      <c r="A1201" s="0" t="s">
        <v>121</v>
      </c>
      <c r="B1201" s="0" t="n">
        <v>10</v>
      </c>
      <c r="C1201" s="0" t="n">
        <v>1.85</v>
      </c>
      <c r="D1201" s="0" t="n">
        <v>0.168</v>
      </c>
    </row>
    <row r="1202" customFormat="false" ht="13.8" hidden="true" customHeight="false" outlineLevel="0" collapsed="false">
      <c r="A1202" s="0" t="s">
        <v>121</v>
      </c>
      <c r="B1202" s="0" t="n">
        <v>10</v>
      </c>
      <c r="C1202" s="0" t="n">
        <v>1.9</v>
      </c>
      <c r="D1202" s="0" t="n">
        <v>0.172</v>
      </c>
    </row>
    <row r="1203" customFormat="false" ht="13.8" hidden="true" customHeight="false" outlineLevel="0" collapsed="false">
      <c r="A1203" s="0" t="s">
        <v>121</v>
      </c>
      <c r="B1203" s="0" t="n">
        <v>10</v>
      </c>
      <c r="C1203" s="0" t="n">
        <v>1.95</v>
      </c>
      <c r="D1203" s="0" t="n">
        <v>0.177</v>
      </c>
    </row>
    <row r="1204" customFormat="false" ht="13.8" hidden="true" customHeight="false" outlineLevel="0" collapsed="false">
      <c r="A1204" s="0" t="s">
        <v>121</v>
      </c>
      <c r="B1204" s="0" t="n">
        <v>10</v>
      </c>
      <c r="C1204" s="0" t="n">
        <v>2</v>
      </c>
      <c r="D1204" s="0" t="n">
        <v>0.192</v>
      </c>
    </row>
    <row r="1205" customFormat="false" ht="13.8" hidden="true" customHeight="false" outlineLevel="0" collapsed="false">
      <c r="A1205" s="0" t="s">
        <v>121</v>
      </c>
      <c r="B1205" s="0" t="n">
        <v>10</v>
      </c>
      <c r="C1205" s="0" t="n">
        <v>2.05</v>
      </c>
      <c r="D1205" s="0" t="n">
        <v>0.197</v>
      </c>
    </row>
    <row r="1206" customFormat="false" ht="13.8" hidden="true" customHeight="false" outlineLevel="0" collapsed="false">
      <c r="A1206" s="0" t="s">
        <v>121</v>
      </c>
      <c r="B1206" s="0" t="n">
        <v>10</v>
      </c>
      <c r="C1206" s="0" t="n">
        <v>2.1</v>
      </c>
      <c r="D1206" s="0" t="n">
        <v>0.202</v>
      </c>
    </row>
    <row r="1207" customFormat="false" ht="13.8" hidden="true" customHeight="false" outlineLevel="0" collapsed="false">
      <c r="A1207" s="0" t="s">
        <v>121</v>
      </c>
      <c r="B1207" s="0" t="n">
        <v>10</v>
      </c>
      <c r="C1207" s="0" t="n">
        <v>2.15</v>
      </c>
      <c r="D1207" s="0" t="n">
        <v>0.206712902</v>
      </c>
    </row>
    <row r="1208" customFormat="false" ht="13.8" hidden="true" customHeight="false" outlineLevel="0" collapsed="false">
      <c r="A1208" s="0" t="s">
        <v>121</v>
      </c>
      <c r="B1208" s="0" t="n">
        <v>10</v>
      </c>
      <c r="C1208" s="0" t="n">
        <v>2.2</v>
      </c>
      <c r="D1208" s="0" t="n">
        <v>0.189921701</v>
      </c>
    </row>
    <row r="1209" customFormat="false" ht="13.8" hidden="true" customHeight="false" outlineLevel="0" collapsed="false">
      <c r="A1209" s="0" t="s">
        <v>121</v>
      </c>
      <c r="B1209" s="0" t="n">
        <v>10</v>
      </c>
      <c r="C1209" s="0" t="n">
        <v>2.25</v>
      </c>
      <c r="D1209" s="0" t="n">
        <v>0.194238103</v>
      </c>
    </row>
    <row r="1210" customFormat="false" ht="13.8" hidden="true" customHeight="false" outlineLevel="0" collapsed="false">
      <c r="A1210" s="0" t="s">
        <v>121</v>
      </c>
      <c r="B1210" s="0" t="n">
        <v>10</v>
      </c>
      <c r="C1210" s="0" t="n">
        <v>2.3</v>
      </c>
      <c r="D1210" s="0" t="n">
        <v>0.198554506</v>
      </c>
    </row>
    <row r="1211" customFormat="false" ht="13.8" hidden="true" customHeight="false" outlineLevel="0" collapsed="false">
      <c r="A1211" s="0" t="s">
        <v>121</v>
      </c>
      <c r="B1211" s="0" t="n">
        <v>10</v>
      </c>
      <c r="C1211" s="0" t="n">
        <v>2.35</v>
      </c>
      <c r="D1211" s="0" t="n">
        <v>0.202870908</v>
      </c>
    </row>
    <row r="1212" customFormat="false" ht="13.8" hidden="true" customHeight="false" outlineLevel="0" collapsed="false">
      <c r="A1212" s="0" t="s">
        <v>121</v>
      </c>
      <c r="B1212" s="0" t="n">
        <v>10</v>
      </c>
      <c r="C1212" s="0" t="n">
        <v>2.4</v>
      </c>
      <c r="D1212" s="0" t="n">
        <v>0.20718731</v>
      </c>
    </row>
    <row r="1213" customFormat="false" ht="13.8" hidden="true" customHeight="false" outlineLevel="0" collapsed="false">
      <c r="A1213" s="0" t="s">
        <v>121</v>
      </c>
      <c r="B1213" s="0" t="n">
        <v>10</v>
      </c>
      <c r="C1213" s="0" t="n">
        <v>2.45</v>
      </c>
      <c r="D1213" s="0" t="n">
        <v>0.211503713</v>
      </c>
    </row>
    <row r="1214" customFormat="false" ht="13.8" hidden="true" customHeight="false" outlineLevel="0" collapsed="false">
      <c r="A1214" s="0" t="s">
        <v>121</v>
      </c>
      <c r="B1214" s="0" t="n">
        <v>10</v>
      </c>
      <c r="C1214" s="0" t="n">
        <v>2.5</v>
      </c>
      <c r="D1214" s="0" t="n">
        <v>0.215820115</v>
      </c>
    </row>
    <row r="1215" customFormat="false" ht="13.8" hidden="true" customHeight="false" outlineLevel="0" collapsed="false">
      <c r="A1215" s="0" t="s">
        <v>121</v>
      </c>
      <c r="B1215" s="0" t="n">
        <v>10</v>
      </c>
      <c r="C1215" s="0" t="n">
        <v>2.55</v>
      </c>
      <c r="D1215" s="0" t="n">
        <v>0.220136517</v>
      </c>
    </row>
    <row r="1216" customFormat="false" ht="13.8" hidden="true" customHeight="false" outlineLevel="0" collapsed="false">
      <c r="A1216" s="0" t="s">
        <v>121</v>
      </c>
      <c r="B1216" s="0" t="n">
        <v>10</v>
      </c>
      <c r="C1216" s="0" t="n">
        <v>2.6</v>
      </c>
      <c r="D1216" s="0" t="n">
        <v>0.224452919</v>
      </c>
    </row>
    <row r="1217" customFormat="false" ht="13.8" hidden="true" customHeight="false" outlineLevel="0" collapsed="false">
      <c r="A1217" s="0" t="s">
        <v>121</v>
      </c>
      <c r="B1217" s="0" t="n">
        <v>17</v>
      </c>
      <c r="C1217" s="0" t="n">
        <v>1.3</v>
      </c>
      <c r="D1217" s="0" t="n">
        <v>0</v>
      </c>
    </row>
    <row r="1218" customFormat="false" ht="13.8" hidden="true" customHeight="false" outlineLevel="0" collapsed="false">
      <c r="A1218" s="0" t="s">
        <v>121</v>
      </c>
      <c r="B1218" s="0" t="n">
        <v>17</v>
      </c>
      <c r="C1218" s="0" t="n">
        <v>1.35</v>
      </c>
      <c r="D1218" s="0" t="n">
        <v>0</v>
      </c>
    </row>
    <row r="1219" customFormat="false" ht="13.8" hidden="true" customHeight="false" outlineLevel="0" collapsed="false">
      <c r="A1219" s="0" t="s">
        <v>121</v>
      </c>
      <c r="B1219" s="0" t="n">
        <v>17</v>
      </c>
      <c r="C1219" s="0" t="n">
        <v>1.4</v>
      </c>
      <c r="D1219" s="0" t="n">
        <v>0</v>
      </c>
    </row>
    <row r="1220" customFormat="false" ht="13.8" hidden="true" customHeight="false" outlineLevel="0" collapsed="false">
      <c r="A1220" s="0" t="s">
        <v>121</v>
      </c>
      <c r="B1220" s="0" t="n">
        <v>17</v>
      </c>
      <c r="C1220" s="0" t="n">
        <v>1.45</v>
      </c>
      <c r="D1220" s="0" t="n">
        <v>0</v>
      </c>
    </row>
    <row r="1221" customFormat="false" ht="13.8" hidden="true" customHeight="false" outlineLevel="0" collapsed="false">
      <c r="A1221" s="0" t="s">
        <v>121</v>
      </c>
      <c r="B1221" s="0" t="n">
        <v>17</v>
      </c>
      <c r="C1221" s="0" t="n">
        <v>1.5</v>
      </c>
      <c r="D1221" s="0" t="n">
        <v>0</v>
      </c>
    </row>
    <row r="1222" customFormat="false" ht="13.8" hidden="true" customHeight="false" outlineLevel="0" collapsed="false">
      <c r="A1222" s="0" t="s">
        <v>121</v>
      </c>
      <c r="B1222" s="0" t="n">
        <v>17</v>
      </c>
      <c r="C1222" s="0" t="n">
        <v>1.55</v>
      </c>
      <c r="D1222" s="0" t="n">
        <v>0</v>
      </c>
    </row>
    <row r="1223" customFormat="false" ht="13.8" hidden="true" customHeight="false" outlineLevel="0" collapsed="false">
      <c r="A1223" s="0" t="s">
        <v>121</v>
      </c>
      <c r="B1223" s="0" t="n">
        <v>17</v>
      </c>
      <c r="C1223" s="0" t="n">
        <v>1.6</v>
      </c>
      <c r="D1223" s="0" t="n">
        <v>0.136</v>
      </c>
    </row>
    <row r="1224" customFormat="false" ht="13.8" hidden="true" customHeight="false" outlineLevel="0" collapsed="false">
      <c r="A1224" s="0" t="s">
        <v>121</v>
      </c>
      <c r="B1224" s="0" t="n">
        <v>17</v>
      </c>
      <c r="C1224" s="0" t="n">
        <v>1.65</v>
      </c>
      <c r="D1224" s="0" t="n">
        <v>0.141</v>
      </c>
    </row>
    <row r="1225" customFormat="false" ht="13.8" hidden="true" customHeight="false" outlineLevel="0" collapsed="false">
      <c r="A1225" s="0" t="s">
        <v>121</v>
      </c>
      <c r="B1225" s="0" t="n">
        <v>17</v>
      </c>
      <c r="C1225" s="0" t="n">
        <v>1.7</v>
      </c>
      <c r="D1225" s="0" t="n">
        <v>0.145</v>
      </c>
    </row>
    <row r="1226" customFormat="false" ht="13.8" hidden="true" customHeight="false" outlineLevel="0" collapsed="false">
      <c r="A1226" s="0" t="s">
        <v>121</v>
      </c>
      <c r="B1226" s="0" t="n">
        <v>17</v>
      </c>
      <c r="C1226" s="0" t="n">
        <v>1.75</v>
      </c>
      <c r="D1226" s="0" t="n">
        <v>0.149</v>
      </c>
    </row>
    <row r="1227" customFormat="false" ht="13.8" hidden="true" customHeight="false" outlineLevel="0" collapsed="false">
      <c r="A1227" s="0" t="s">
        <v>121</v>
      </c>
      <c r="B1227" s="0" t="n">
        <v>17</v>
      </c>
      <c r="C1227" s="0" t="n">
        <v>1.8</v>
      </c>
      <c r="D1227" s="0" t="n">
        <v>0.163</v>
      </c>
    </row>
    <row r="1228" customFormat="false" ht="13.8" hidden="true" customHeight="false" outlineLevel="0" collapsed="false">
      <c r="A1228" s="0" t="s">
        <v>121</v>
      </c>
      <c r="B1228" s="0" t="n">
        <v>17</v>
      </c>
      <c r="C1228" s="0" t="n">
        <v>1.85</v>
      </c>
      <c r="D1228" s="0" t="n">
        <v>0.168</v>
      </c>
    </row>
    <row r="1229" customFormat="false" ht="13.8" hidden="true" customHeight="false" outlineLevel="0" collapsed="false">
      <c r="A1229" s="0" t="s">
        <v>121</v>
      </c>
      <c r="B1229" s="0" t="n">
        <v>17</v>
      </c>
      <c r="C1229" s="0" t="n">
        <v>1.9</v>
      </c>
      <c r="D1229" s="0" t="n">
        <v>0.172</v>
      </c>
    </row>
    <row r="1230" customFormat="false" ht="13.8" hidden="true" customHeight="false" outlineLevel="0" collapsed="false">
      <c r="A1230" s="0" t="s">
        <v>121</v>
      </c>
      <c r="B1230" s="0" t="n">
        <v>17</v>
      </c>
      <c r="C1230" s="0" t="n">
        <v>1.95</v>
      </c>
      <c r="D1230" s="0" t="n">
        <v>0.177</v>
      </c>
    </row>
    <row r="1231" customFormat="false" ht="13.8" hidden="true" customHeight="false" outlineLevel="0" collapsed="false">
      <c r="A1231" s="0" t="s">
        <v>121</v>
      </c>
      <c r="B1231" s="0" t="n">
        <v>17</v>
      </c>
      <c r="C1231" s="0" t="n">
        <v>2</v>
      </c>
      <c r="D1231" s="0" t="n">
        <v>0.192</v>
      </c>
    </row>
    <row r="1232" customFormat="false" ht="13.8" hidden="true" customHeight="false" outlineLevel="0" collapsed="false">
      <c r="A1232" s="0" t="s">
        <v>121</v>
      </c>
      <c r="B1232" s="0" t="n">
        <v>17</v>
      </c>
      <c r="C1232" s="0" t="n">
        <v>2.05</v>
      </c>
      <c r="D1232" s="0" t="n">
        <v>0.197</v>
      </c>
    </row>
    <row r="1233" customFormat="false" ht="13.8" hidden="true" customHeight="false" outlineLevel="0" collapsed="false">
      <c r="A1233" s="0" t="s">
        <v>121</v>
      </c>
      <c r="B1233" s="0" t="n">
        <v>17</v>
      </c>
      <c r="C1233" s="0" t="n">
        <v>2.1</v>
      </c>
      <c r="D1233" s="0" t="n">
        <v>0.202</v>
      </c>
    </row>
    <row r="1234" customFormat="false" ht="13.8" hidden="true" customHeight="false" outlineLevel="0" collapsed="false">
      <c r="A1234" s="0" t="s">
        <v>121</v>
      </c>
      <c r="B1234" s="0" t="n">
        <v>17</v>
      </c>
      <c r="C1234" s="0" t="n">
        <v>2.15</v>
      </c>
      <c r="D1234" s="0" t="n">
        <v>0.206712902</v>
      </c>
    </row>
    <row r="1235" customFormat="false" ht="13.8" hidden="true" customHeight="false" outlineLevel="0" collapsed="false">
      <c r="A1235" s="0" t="s">
        <v>121</v>
      </c>
      <c r="B1235" s="0" t="n">
        <v>17</v>
      </c>
      <c r="C1235" s="0" t="n">
        <v>2.2</v>
      </c>
      <c r="D1235" s="0" t="n">
        <v>0.189921701</v>
      </c>
    </row>
    <row r="1236" customFormat="false" ht="13.8" hidden="true" customHeight="false" outlineLevel="0" collapsed="false">
      <c r="A1236" s="0" t="s">
        <v>121</v>
      </c>
      <c r="B1236" s="0" t="n">
        <v>17</v>
      </c>
      <c r="C1236" s="0" t="n">
        <v>2.25</v>
      </c>
      <c r="D1236" s="0" t="n">
        <v>0.194238103</v>
      </c>
    </row>
    <row r="1237" customFormat="false" ht="13.8" hidden="true" customHeight="false" outlineLevel="0" collapsed="false">
      <c r="A1237" s="0" t="s">
        <v>121</v>
      </c>
      <c r="B1237" s="0" t="n">
        <v>17</v>
      </c>
      <c r="C1237" s="0" t="n">
        <v>2.3</v>
      </c>
      <c r="D1237" s="0" t="n">
        <v>0.198554506</v>
      </c>
    </row>
    <row r="1238" customFormat="false" ht="13.8" hidden="true" customHeight="false" outlineLevel="0" collapsed="false">
      <c r="A1238" s="0" t="s">
        <v>121</v>
      </c>
      <c r="B1238" s="0" t="n">
        <v>17</v>
      </c>
      <c r="C1238" s="0" t="n">
        <v>2.35</v>
      </c>
      <c r="D1238" s="0" t="n">
        <v>0.202870908</v>
      </c>
    </row>
    <row r="1239" customFormat="false" ht="13.8" hidden="true" customHeight="false" outlineLevel="0" collapsed="false">
      <c r="A1239" s="0" t="s">
        <v>121</v>
      </c>
      <c r="B1239" s="0" t="n">
        <v>17</v>
      </c>
      <c r="C1239" s="0" t="n">
        <v>2.4</v>
      </c>
      <c r="D1239" s="0" t="n">
        <v>0.20718731</v>
      </c>
    </row>
    <row r="1240" customFormat="false" ht="13.8" hidden="true" customHeight="false" outlineLevel="0" collapsed="false">
      <c r="A1240" s="0" t="s">
        <v>121</v>
      </c>
      <c r="B1240" s="0" t="n">
        <v>17</v>
      </c>
      <c r="C1240" s="0" t="n">
        <v>2.45</v>
      </c>
      <c r="D1240" s="0" t="n">
        <v>0.211503713</v>
      </c>
    </row>
    <row r="1241" customFormat="false" ht="13.8" hidden="true" customHeight="false" outlineLevel="0" collapsed="false">
      <c r="A1241" s="0" t="s">
        <v>121</v>
      </c>
      <c r="B1241" s="0" t="n">
        <v>17</v>
      </c>
      <c r="C1241" s="0" t="n">
        <v>2.5</v>
      </c>
      <c r="D1241" s="0" t="n">
        <v>0.215820115</v>
      </c>
    </row>
    <row r="1242" customFormat="false" ht="13.8" hidden="true" customHeight="false" outlineLevel="0" collapsed="false">
      <c r="A1242" s="0" t="s">
        <v>121</v>
      </c>
      <c r="B1242" s="0" t="n">
        <v>17</v>
      </c>
      <c r="C1242" s="0" t="n">
        <v>2.55</v>
      </c>
      <c r="D1242" s="0" t="n">
        <v>0.220136517</v>
      </c>
    </row>
    <row r="1243" customFormat="false" ht="13.8" hidden="true" customHeight="false" outlineLevel="0" collapsed="false">
      <c r="A1243" s="0" t="s">
        <v>121</v>
      </c>
      <c r="B1243" s="0" t="n">
        <v>17</v>
      </c>
      <c r="C1243" s="0" t="n">
        <v>2.6</v>
      </c>
      <c r="D1243" s="0" t="n">
        <v>0.224452919</v>
      </c>
    </row>
    <row r="1244" customFormat="false" ht="13.8" hidden="true" customHeight="false" outlineLevel="0" collapsed="false">
      <c r="A1244" s="0" t="s">
        <v>223</v>
      </c>
      <c r="B1244" s="0" t="n">
        <v>10</v>
      </c>
      <c r="C1244" s="0" t="n">
        <v>1.3</v>
      </c>
      <c r="D1244" s="0" t="n">
        <v>0</v>
      </c>
    </row>
    <row r="1245" customFormat="false" ht="13.8" hidden="true" customHeight="false" outlineLevel="0" collapsed="false">
      <c r="A1245" s="0" t="s">
        <v>223</v>
      </c>
      <c r="B1245" s="0" t="n">
        <v>10</v>
      </c>
      <c r="C1245" s="0" t="n">
        <v>1.35</v>
      </c>
      <c r="D1245" s="0" t="n">
        <v>0</v>
      </c>
    </row>
    <row r="1246" customFormat="false" ht="13.8" hidden="true" customHeight="false" outlineLevel="0" collapsed="false">
      <c r="A1246" s="0" t="s">
        <v>223</v>
      </c>
      <c r="B1246" s="0" t="n">
        <v>10</v>
      </c>
      <c r="C1246" s="0" t="n">
        <v>1.4</v>
      </c>
      <c r="D1246" s="0" t="n">
        <v>0</v>
      </c>
    </row>
    <row r="1247" customFormat="false" ht="13.8" hidden="true" customHeight="false" outlineLevel="0" collapsed="false">
      <c r="A1247" s="0" t="s">
        <v>223</v>
      </c>
      <c r="B1247" s="0" t="n">
        <v>10</v>
      </c>
      <c r="C1247" s="0" t="n">
        <v>1.45</v>
      </c>
      <c r="D1247" s="0" t="n">
        <v>0</v>
      </c>
    </row>
    <row r="1248" customFormat="false" ht="13.8" hidden="true" customHeight="false" outlineLevel="0" collapsed="false">
      <c r="A1248" s="0" t="s">
        <v>223</v>
      </c>
      <c r="B1248" s="0" t="n">
        <v>10</v>
      </c>
      <c r="C1248" s="0" t="n">
        <v>1.5</v>
      </c>
      <c r="D1248" s="0" t="n">
        <v>0</v>
      </c>
    </row>
    <row r="1249" customFormat="false" ht="13.8" hidden="true" customHeight="false" outlineLevel="0" collapsed="false">
      <c r="A1249" s="0" t="s">
        <v>223</v>
      </c>
      <c r="B1249" s="0" t="n">
        <v>10</v>
      </c>
      <c r="C1249" s="0" t="n">
        <v>1.55</v>
      </c>
      <c r="D1249" s="0" t="n">
        <v>0</v>
      </c>
    </row>
    <row r="1250" customFormat="false" ht="13.8" hidden="true" customHeight="false" outlineLevel="0" collapsed="false">
      <c r="A1250" s="0" t="s">
        <v>223</v>
      </c>
      <c r="B1250" s="0" t="n">
        <v>10</v>
      </c>
      <c r="C1250" s="0" t="n">
        <v>1.6</v>
      </c>
      <c r="D1250" s="0" t="n">
        <v>0.136</v>
      </c>
    </row>
    <row r="1251" customFormat="false" ht="13.8" hidden="true" customHeight="false" outlineLevel="0" collapsed="false">
      <c r="A1251" s="0" t="s">
        <v>223</v>
      </c>
      <c r="B1251" s="0" t="n">
        <v>10</v>
      </c>
      <c r="C1251" s="0" t="n">
        <v>1.65</v>
      </c>
      <c r="D1251" s="0" t="n">
        <v>0.141</v>
      </c>
    </row>
    <row r="1252" customFormat="false" ht="13.8" hidden="true" customHeight="false" outlineLevel="0" collapsed="false">
      <c r="A1252" s="0" t="s">
        <v>223</v>
      </c>
      <c r="B1252" s="0" t="n">
        <v>10</v>
      </c>
      <c r="C1252" s="0" t="n">
        <v>1.7</v>
      </c>
      <c r="D1252" s="0" t="n">
        <v>0.145</v>
      </c>
    </row>
    <row r="1253" customFormat="false" ht="13.8" hidden="true" customHeight="false" outlineLevel="0" collapsed="false">
      <c r="A1253" s="0" t="s">
        <v>223</v>
      </c>
      <c r="B1253" s="0" t="n">
        <v>10</v>
      </c>
      <c r="C1253" s="0" t="n">
        <v>1.75</v>
      </c>
      <c r="D1253" s="0" t="n">
        <v>0.149</v>
      </c>
    </row>
    <row r="1254" customFormat="false" ht="13.8" hidden="true" customHeight="false" outlineLevel="0" collapsed="false">
      <c r="A1254" s="0" t="s">
        <v>223</v>
      </c>
      <c r="B1254" s="0" t="n">
        <v>10</v>
      </c>
      <c r="C1254" s="0" t="n">
        <v>1.8</v>
      </c>
      <c r="D1254" s="0" t="n">
        <v>0.163</v>
      </c>
    </row>
    <row r="1255" customFormat="false" ht="13.8" hidden="true" customHeight="false" outlineLevel="0" collapsed="false">
      <c r="A1255" s="0" t="s">
        <v>223</v>
      </c>
      <c r="B1255" s="0" t="n">
        <v>10</v>
      </c>
      <c r="C1255" s="0" t="n">
        <v>1.85</v>
      </c>
      <c r="D1255" s="0" t="n">
        <v>0.168</v>
      </c>
    </row>
    <row r="1256" customFormat="false" ht="13.8" hidden="true" customHeight="false" outlineLevel="0" collapsed="false">
      <c r="A1256" s="0" t="s">
        <v>223</v>
      </c>
      <c r="B1256" s="0" t="n">
        <v>10</v>
      </c>
      <c r="C1256" s="0" t="n">
        <v>1.9</v>
      </c>
      <c r="D1256" s="0" t="n">
        <v>0.172</v>
      </c>
    </row>
    <row r="1257" customFormat="false" ht="13.8" hidden="true" customHeight="false" outlineLevel="0" collapsed="false">
      <c r="A1257" s="0" t="s">
        <v>223</v>
      </c>
      <c r="B1257" s="0" t="n">
        <v>10</v>
      </c>
      <c r="C1257" s="0" t="n">
        <v>1.95</v>
      </c>
      <c r="D1257" s="0" t="n">
        <v>0.177</v>
      </c>
    </row>
    <row r="1258" customFormat="false" ht="13.8" hidden="true" customHeight="false" outlineLevel="0" collapsed="false">
      <c r="A1258" s="0" t="s">
        <v>223</v>
      </c>
      <c r="B1258" s="0" t="n">
        <v>10</v>
      </c>
      <c r="C1258" s="0" t="n">
        <v>2</v>
      </c>
      <c r="D1258" s="0" t="n">
        <v>0.192</v>
      </c>
    </row>
    <row r="1259" customFormat="false" ht="13.8" hidden="true" customHeight="false" outlineLevel="0" collapsed="false">
      <c r="A1259" s="0" t="s">
        <v>223</v>
      </c>
      <c r="B1259" s="0" t="n">
        <v>10</v>
      </c>
      <c r="C1259" s="0" t="n">
        <v>2.05</v>
      </c>
      <c r="D1259" s="0" t="n">
        <v>0.197</v>
      </c>
    </row>
    <row r="1260" customFormat="false" ht="13.8" hidden="true" customHeight="false" outlineLevel="0" collapsed="false">
      <c r="A1260" s="0" t="s">
        <v>223</v>
      </c>
      <c r="B1260" s="0" t="n">
        <v>10</v>
      </c>
      <c r="C1260" s="0" t="n">
        <v>2.1</v>
      </c>
      <c r="D1260" s="0" t="n">
        <v>0.202</v>
      </c>
    </row>
    <row r="1261" customFormat="false" ht="13.8" hidden="true" customHeight="false" outlineLevel="0" collapsed="false">
      <c r="A1261" s="0" t="s">
        <v>223</v>
      </c>
      <c r="B1261" s="0" t="n">
        <v>10</v>
      </c>
      <c r="C1261" s="0" t="n">
        <v>2.15</v>
      </c>
      <c r="D1261" s="0" t="n">
        <v>0.206712902</v>
      </c>
    </row>
    <row r="1262" customFormat="false" ht="13.8" hidden="true" customHeight="false" outlineLevel="0" collapsed="false">
      <c r="A1262" s="0" t="s">
        <v>223</v>
      </c>
      <c r="B1262" s="0" t="n">
        <v>10</v>
      </c>
      <c r="C1262" s="0" t="n">
        <v>2.2</v>
      </c>
      <c r="D1262" s="0" t="n">
        <v>0.189921701</v>
      </c>
    </row>
    <row r="1263" customFormat="false" ht="13.8" hidden="true" customHeight="false" outlineLevel="0" collapsed="false">
      <c r="A1263" s="0" t="s">
        <v>223</v>
      </c>
      <c r="B1263" s="0" t="n">
        <v>10</v>
      </c>
      <c r="C1263" s="0" t="n">
        <v>2.25</v>
      </c>
      <c r="D1263" s="0" t="n">
        <v>0.194238103</v>
      </c>
    </row>
    <row r="1264" customFormat="false" ht="13.8" hidden="true" customHeight="false" outlineLevel="0" collapsed="false">
      <c r="A1264" s="0" t="s">
        <v>223</v>
      </c>
      <c r="B1264" s="0" t="n">
        <v>10</v>
      </c>
      <c r="C1264" s="0" t="n">
        <v>2.3</v>
      </c>
      <c r="D1264" s="0" t="n">
        <v>0.198554506</v>
      </c>
    </row>
    <row r="1265" customFormat="false" ht="13.8" hidden="true" customHeight="false" outlineLevel="0" collapsed="false">
      <c r="A1265" s="0" t="s">
        <v>223</v>
      </c>
      <c r="B1265" s="0" t="n">
        <v>10</v>
      </c>
      <c r="C1265" s="0" t="n">
        <v>2.35</v>
      </c>
      <c r="D1265" s="0" t="n">
        <v>0.202870908</v>
      </c>
    </row>
    <row r="1266" customFormat="false" ht="13.8" hidden="true" customHeight="false" outlineLevel="0" collapsed="false">
      <c r="A1266" s="0" t="s">
        <v>223</v>
      </c>
      <c r="B1266" s="0" t="n">
        <v>10</v>
      </c>
      <c r="C1266" s="0" t="n">
        <v>2.4</v>
      </c>
      <c r="D1266" s="0" t="n">
        <v>0.20718731</v>
      </c>
    </row>
    <row r="1267" customFormat="false" ht="13.8" hidden="true" customHeight="false" outlineLevel="0" collapsed="false">
      <c r="A1267" s="0" t="s">
        <v>223</v>
      </c>
      <c r="B1267" s="0" t="n">
        <v>10</v>
      </c>
      <c r="C1267" s="0" t="n">
        <v>2.45</v>
      </c>
      <c r="D1267" s="0" t="n">
        <v>0.211503713</v>
      </c>
    </row>
    <row r="1268" customFormat="false" ht="13.8" hidden="true" customHeight="false" outlineLevel="0" collapsed="false">
      <c r="A1268" s="0" t="s">
        <v>223</v>
      </c>
      <c r="B1268" s="0" t="n">
        <v>10</v>
      </c>
      <c r="C1268" s="0" t="n">
        <v>2.5</v>
      </c>
      <c r="D1268" s="0" t="n">
        <v>0.215820115</v>
      </c>
    </row>
    <row r="1269" customFormat="false" ht="13.8" hidden="true" customHeight="false" outlineLevel="0" collapsed="false">
      <c r="A1269" s="0" t="s">
        <v>223</v>
      </c>
      <c r="B1269" s="0" t="n">
        <v>10</v>
      </c>
      <c r="C1269" s="0" t="n">
        <v>2.55</v>
      </c>
      <c r="D1269" s="0" t="n">
        <v>0.220136517</v>
      </c>
    </row>
    <row r="1270" customFormat="false" ht="13.8" hidden="true" customHeight="false" outlineLevel="0" collapsed="false">
      <c r="A1270" s="0" t="s">
        <v>223</v>
      </c>
      <c r="B1270" s="0" t="n">
        <v>10</v>
      </c>
      <c r="C1270" s="0" t="n">
        <v>2.6</v>
      </c>
      <c r="D1270" s="0" t="n">
        <v>0.224452919</v>
      </c>
    </row>
    <row r="1271" customFormat="false" ht="13.8" hidden="true" customHeight="false" outlineLevel="0" collapsed="false">
      <c r="A1271" s="0" t="s">
        <v>223</v>
      </c>
      <c r="B1271" s="0" t="n">
        <v>17</v>
      </c>
      <c r="C1271" s="0" t="n">
        <v>1.3</v>
      </c>
      <c r="D1271" s="0" t="n">
        <v>0</v>
      </c>
    </row>
    <row r="1272" customFormat="false" ht="13.8" hidden="true" customHeight="false" outlineLevel="0" collapsed="false">
      <c r="A1272" s="0" t="s">
        <v>223</v>
      </c>
      <c r="B1272" s="0" t="n">
        <v>17</v>
      </c>
      <c r="C1272" s="0" t="n">
        <v>1.35</v>
      </c>
      <c r="D1272" s="0" t="n">
        <v>0</v>
      </c>
    </row>
    <row r="1273" customFormat="false" ht="13.8" hidden="true" customHeight="false" outlineLevel="0" collapsed="false">
      <c r="A1273" s="0" t="s">
        <v>223</v>
      </c>
      <c r="B1273" s="0" t="n">
        <v>17</v>
      </c>
      <c r="C1273" s="0" t="n">
        <v>1.4</v>
      </c>
      <c r="D1273" s="0" t="n">
        <v>0</v>
      </c>
    </row>
    <row r="1274" customFormat="false" ht="13.8" hidden="true" customHeight="false" outlineLevel="0" collapsed="false">
      <c r="A1274" s="0" t="s">
        <v>223</v>
      </c>
      <c r="B1274" s="0" t="n">
        <v>17</v>
      </c>
      <c r="C1274" s="0" t="n">
        <v>1.45</v>
      </c>
      <c r="D1274" s="0" t="n">
        <v>0</v>
      </c>
    </row>
    <row r="1275" customFormat="false" ht="13.8" hidden="true" customHeight="false" outlineLevel="0" collapsed="false">
      <c r="A1275" s="0" t="s">
        <v>223</v>
      </c>
      <c r="B1275" s="0" t="n">
        <v>17</v>
      </c>
      <c r="C1275" s="0" t="n">
        <v>1.5</v>
      </c>
      <c r="D1275" s="0" t="n">
        <v>0</v>
      </c>
    </row>
    <row r="1276" customFormat="false" ht="13.8" hidden="true" customHeight="false" outlineLevel="0" collapsed="false">
      <c r="A1276" s="0" t="s">
        <v>223</v>
      </c>
      <c r="B1276" s="0" t="n">
        <v>17</v>
      </c>
      <c r="C1276" s="0" t="n">
        <v>1.55</v>
      </c>
      <c r="D1276" s="0" t="n">
        <v>0</v>
      </c>
    </row>
    <row r="1277" customFormat="false" ht="13.8" hidden="true" customHeight="false" outlineLevel="0" collapsed="false">
      <c r="A1277" s="0" t="s">
        <v>223</v>
      </c>
      <c r="B1277" s="0" t="n">
        <v>17</v>
      </c>
      <c r="C1277" s="0" t="n">
        <v>1.6</v>
      </c>
      <c r="D1277" s="0" t="n">
        <v>0.136</v>
      </c>
    </row>
    <row r="1278" customFormat="false" ht="13.8" hidden="true" customHeight="false" outlineLevel="0" collapsed="false">
      <c r="A1278" s="0" t="s">
        <v>223</v>
      </c>
      <c r="B1278" s="0" t="n">
        <v>17</v>
      </c>
      <c r="C1278" s="0" t="n">
        <v>1.65</v>
      </c>
      <c r="D1278" s="0" t="n">
        <v>0.141</v>
      </c>
    </row>
    <row r="1279" customFormat="false" ht="13.8" hidden="true" customHeight="false" outlineLevel="0" collapsed="false">
      <c r="A1279" s="0" t="s">
        <v>223</v>
      </c>
      <c r="B1279" s="0" t="n">
        <v>17</v>
      </c>
      <c r="C1279" s="0" t="n">
        <v>1.7</v>
      </c>
      <c r="D1279" s="0" t="n">
        <v>0.145</v>
      </c>
    </row>
    <row r="1280" customFormat="false" ht="13.8" hidden="true" customHeight="false" outlineLevel="0" collapsed="false">
      <c r="A1280" s="0" t="s">
        <v>223</v>
      </c>
      <c r="B1280" s="0" t="n">
        <v>17</v>
      </c>
      <c r="C1280" s="0" t="n">
        <v>1.75</v>
      </c>
      <c r="D1280" s="0" t="n">
        <v>0.149</v>
      </c>
    </row>
    <row r="1281" customFormat="false" ht="13.8" hidden="true" customHeight="false" outlineLevel="0" collapsed="false">
      <c r="A1281" s="0" t="s">
        <v>223</v>
      </c>
      <c r="B1281" s="0" t="n">
        <v>17</v>
      </c>
      <c r="C1281" s="0" t="n">
        <v>1.8</v>
      </c>
      <c r="D1281" s="0" t="n">
        <v>0.163</v>
      </c>
    </row>
    <row r="1282" customFormat="false" ht="13.8" hidden="true" customHeight="false" outlineLevel="0" collapsed="false">
      <c r="A1282" s="0" t="s">
        <v>223</v>
      </c>
      <c r="B1282" s="0" t="n">
        <v>17</v>
      </c>
      <c r="C1282" s="0" t="n">
        <v>1.85</v>
      </c>
      <c r="D1282" s="0" t="n">
        <v>0.168</v>
      </c>
    </row>
    <row r="1283" customFormat="false" ht="13.8" hidden="true" customHeight="false" outlineLevel="0" collapsed="false">
      <c r="A1283" s="0" t="s">
        <v>223</v>
      </c>
      <c r="B1283" s="0" t="n">
        <v>17</v>
      </c>
      <c r="C1283" s="0" t="n">
        <v>1.9</v>
      </c>
      <c r="D1283" s="0" t="n">
        <v>0.172</v>
      </c>
    </row>
    <row r="1284" customFormat="false" ht="13.8" hidden="true" customHeight="false" outlineLevel="0" collapsed="false">
      <c r="A1284" s="0" t="s">
        <v>223</v>
      </c>
      <c r="B1284" s="0" t="n">
        <v>17</v>
      </c>
      <c r="C1284" s="0" t="n">
        <v>1.95</v>
      </c>
      <c r="D1284" s="0" t="n">
        <v>0.177</v>
      </c>
    </row>
    <row r="1285" customFormat="false" ht="13.8" hidden="true" customHeight="false" outlineLevel="0" collapsed="false">
      <c r="A1285" s="0" t="s">
        <v>223</v>
      </c>
      <c r="B1285" s="0" t="n">
        <v>17</v>
      </c>
      <c r="C1285" s="0" t="n">
        <v>2</v>
      </c>
      <c r="D1285" s="0" t="n">
        <v>0.192</v>
      </c>
    </row>
    <row r="1286" customFormat="false" ht="13.8" hidden="true" customHeight="false" outlineLevel="0" collapsed="false">
      <c r="A1286" s="0" t="s">
        <v>223</v>
      </c>
      <c r="B1286" s="0" t="n">
        <v>17</v>
      </c>
      <c r="C1286" s="0" t="n">
        <v>2.05</v>
      </c>
      <c r="D1286" s="0" t="n">
        <v>0.197</v>
      </c>
    </row>
    <row r="1287" customFormat="false" ht="13.8" hidden="true" customHeight="false" outlineLevel="0" collapsed="false">
      <c r="A1287" s="0" t="s">
        <v>223</v>
      </c>
      <c r="B1287" s="0" t="n">
        <v>17</v>
      </c>
      <c r="C1287" s="0" t="n">
        <v>2.1</v>
      </c>
      <c r="D1287" s="0" t="n">
        <v>0.202</v>
      </c>
    </row>
    <row r="1288" customFormat="false" ht="13.8" hidden="true" customHeight="false" outlineLevel="0" collapsed="false">
      <c r="A1288" s="0" t="s">
        <v>223</v>
      </c>
      <c r="B1288" s="0" t="n">
        <v>17</v>
      </c>
      <c r="C1288" s="0" t="n">
        <v>2.15</v>
      </c>
      <c r="D1288" s="0" t="n">
        <v>0.206712902</v>
      </c>
    </row>
    <row r="1289" customFormat="false" ht="13.8" hidden="true" customHeight="false" outlineLevel="0" collapsed="false">
      <c r="A1289" s="0" t="s">
        <v>223</v>
      </c>
      <c r="B1289" s="0" t="n">
        <v>17</v>
      </c>
      <c r="C1289" s="0" t="n">
        <v>2.2</v>
      </c>
      <c r="D1289" s="0" t="n">
        <v>0.189921701</v>
      </c>
    </row>
    <row r="1290" customFormat="false" ht="13.8" hidden="true" customHeight="false" outlineLevel="0" collapsed="false">
      <c r="A1290" s="0" t="s">
        <v>223</v>
      </c>
      <c r="B1290" s="0" t="n">
        <v>17</v>
      </c>
      <c r="C1290" s="0" t="n">
        <v>2.25</v>
      </c>
      <c r="D1290" s="0" t="n">
        <v>0.194238103</v>
      </c>
    </row>
    <row r="1291" customFormat="false" ht="13.8" hidden="true" customHeight="false" outlineLevel="0" collapsed="false">
      <c r="A1291" s="0" t="s">
        <v>223</v>
      </c>
      <c r="B1291" s="0" t="n">
        <v>17</v>
      </c>
      <c r="C1291" s="0" t="n">
        <v>2.3</v>
      </c>
      <c r="D1291" s="0" t="n">
        <v>0.198554506</v>
      </c>
    </row>
    <row r="1292" customFormat="false" ht="13.8" hidden="true" customHeight="false" outlineLevel="0" collapsed="false">
      <c r="A1292" s="0" t="s">
        <v>223</v>
      </c>
      <c r="B1292" s="0" t="n">
        <v>17</v>
      </c>
      <c r="C1292" s="0" t="n">
        <v>2.35</v>
      </c>
      <c r="D1292" s="0" t="n">
        <v>0.202870908</v>
      </c>
    </row>
    <row r="1293" customFormat="false" ht="13.8" hidden="true" customHeight="false" outlineLevel="0" collapsed="false">
      <c r="A1293" s="0" t="s">
        <v>223</v>
      </c>
      <c r="B1293" s="0" t="n">
        <v>17</v>
      </c>
      <c r="C1293" s="0" t="n">
        <v>2.4</v>
      </c>
      <c r="D1293" s="0" t="n">
        <v>0.20718731</v>
      </c>
    </row>
    <row r="1294" customFormat="false" ht="13.8" hidden="true" customHeight="false" outlineLevel="0" collapsed="false">
      <c r="A1294" s="0" t="s">
        <v>223</v>
      </c>
      <c r="B1294" s="0" t="n">
        <v>17</v>
      </c>
      <c r="C1294" s="0" t="n">
        <v>2.45</v>
      </c>
      <c r="D1294" s="0" t="n">
        <v>0.211503713</v>
      </c>
    </row>
    <row r="1295" customFormat="false" ht="13.8" hidden="true" customHeight="false" outlineLevel="0" collapsed="false">
      <c r="A1295" s="0" t="s">
        <v>223</v>
      </c>
      <c r="B1295" s="0" t="n">
        <v>17</v>
      </c>
      <c r="C1295" s="0" t="n">
        <v>2.5</v>
      </c>
      <c r="D1295" s="0" t="n">
        <v>0.215820115</v>
      </c>
    </row>
    <row r="1296" customFormat="false" ht="13.8" hidden="true" customHeight="false" outlineLevel="0" collapsed="false">
      <c r="A1296" s="0" t="s">
        <v>223</v>
      </c>
      <c r="B1296" s="0" t="n">
        <v>17</v>
      </c>
      <c r="C1296" s="0" t="n">
        <v>2.55</v>
      </c>
      <c r="D1296" s="0" t="n">
        <v>0.220136517</v>
      </c>
    </row>
    <row r="1297" customFormat="false" ht="13.8" hidden="true" customHeight="false" outlineLevel="0" collapsed="false">
      <c r="A1297" s="0" t="s">
        <v>223</v>
      </c>
      <c r="B1297" s="0" t="n">
        <v>17</v>
      </c>
      <c r="C1297" s="0" t="n">
        <v>2.6</v>
      </c>
      <c r="D1297" s="0" t="n">
        <v>0.224452919</v>
      </c>
    </row>
    <row r="1298" customFormat="false" ht="13.8" hidden="true" customHeight="false" outlineLevel="0" collapsed="false">
      <c r="A1298" s="0" t="s">
        <v>657</v>
      </c>
      <c r="B1298" s="0" t="n">
        <v>10</v>
      </c>
      <c r="C1298" s="0" t="n">
        <v>1.3</v>
      </c>
      <c r="D1298" s="0" t="n">
        <v>0</v>
      </c>
    </row>
    <row r="1299" customFormat="false" ht="13.8" hidden="true" customHeight="false" outlineLevel="0" collapsed="false">
      <c r="A1299" s="0" t="s">
        <v>657</v>
      </c>
      <c r="B1299" s="0" t="n">
        <v>10</v>
      </c>
      <c r="C1299" s="0" t="n">
        <v>1.35</v>
      </c>
      <c r="D1299" s="0" t="n">
        <v>0</v>
      </c>
    </row>
    <row r="1300" customFormat="false" ht="13.8" hidden="true" customHeight="false" outlineLevel="0" collapsed="false">
      <c r="A1300" s="0" t="s">
        <v>657</v>
      </c>
      <c r="B1300" s="0" t="n">
        <v>10</v>
      </c>
      <c r="C1300" s="0" t="n">
        <v>1.4</v>
      </c>
      <c r="D1300" s="0" t="n">
        <v>0</v>
      </c>
    </row>
    <row r="1301" customFormat="false" ht="13.8" hidden="true" customHeight="false" outlineLevel="0" collapsed="false">
      <c r="A1301" s="0" t="s">
        <v>657</v>
      </c>
      <c r="B1301" s="0" t="n">
        <v>10</v>
      </c>
      <c r="C1301" s="0" t="n">
        <v>1.45</v>
      </c>
      <c r="D1301" s="0" t="n">
        <v>0</v>
      </c>
    </row>
    <row r="1302" customFormat="false" ht="13.8" hidden="true" customHeight="false" outlineLevel="0" collapsed="false">
      <c r="A1302" s="0" t="s">
        <v>657</v>
      </c>
      <c r="B1302" s="0" t="n">
        <v>10</v>
      </c>
      <c r="C1302" s="0" t="n">
        <v>1.5</v>
      </c>
      <c r="D1302" s="0" t="n">
        <v>0</v>
      </c>
    </row>
    <row r="1303" customFormat="false" ht="13.8" hidden="true" customHeight="false" outlineLevel="0" collapsed="false">
      <c r="A1303" s="0" t="s">
        <v>657</v>
      </c>
      <c r="B1303" s="0" t="n">
        <v>10</v>
      </c>
      <c r="C1303" s="0" t="n">
        <v>1.55</v>
      </c>
      <c r="D1303" s="0" t="n">
        <v>0</v>
      </c>
    </row>
    <row r="1304" customFormat="false" ht="13.8" hidden="true" customHeight="false" outlineLevel="0" collapsed="false">
      <c r="A1304" s="0" t="s">
        <v>657</v>
      </c>
      <c r="B1304" s="0" t="n">
        <v>10</v>
      </c>
      <c r="C1304" s="0" t="n">
        <v>1.6</v>
      </c>
      <c r="D1304" s="0" t="n">
        <v>0.136</v>
      </c>
    </row>
    <row r="1305" customFormat="false" ht="13.8" hidden="true" customHeight="false" outlineLevel="0" collapsed="false">
      <c r="A1305" s="0" t="s">
        <v>657</v>
      </c>
      <c r="B1305" s="0" t="n">
        <v>10</v>
      </c>
      <c r="C1305" s="0" t="n">
        <v>1.65</v>
      </c>
      <c r="D1305" s="0" t="n">
        <v>0.141</v>
      </c>
    </row>
    <row r="1306" customFormat="false" ht="13.8" hidden="true" customHeight="false" outlineLevel="0" collapsed="false">
      <c r="A1306" s="0" t="s">
        <v>657</v>
      </c>
      <c r="B1306" s="0" t="n">
        <v>10</v>
      </c>
      <c r="C1306" s="0" t="n">
        <v>1.7</v>
      </c>
      <c r="D1306" s="0" t="n">
        <v>0.145</v>
      </c>
    </row>
    <row r="1307" customFormat="false" ht="13.8" hidden="true" customHeight="false" outlineLevel="0" collapsed="false">
      <c r="A1307" s="0" t="s">
        <v>657</v>
      </c>
      <c r="B1307" s="0" t="n">
        <v>10</v>
      </c>
      <c r="C1307" s="0" t="n">
        <v>1.75</v>
      </c>
      <c r="D1307" s="0" t="n">
        <v>0.149</v>
      </c>
    </row>
    <row r="1308" customFormat="false" ht="13.8" hidden="true" customHeight="false" outlineLevel="0" collapsed="false">
      <c r="A1308" s="0" t="s">
        <v>657</v>
      </c>
      <c r="B1308" s="0" t="n">
        <v>10</v>
      </c>
      <c r="C1308" s="0" t="n">
        <v>1.8</v>
      </c>
      <c r="D1308" s="0" t="n">
        <v>0.163</v>
      </c>
    </row>
    <row r="1309" customFormat="false" ht="13.8" hidden="true" customHeight="false" outlineLevel="0" collapsed="false">
      <c r="A1309" s="0" t="s">
        <v>657</v>
      </c>
      <c r="B1309" s="0" t="n">
        <v>10</v>
      </c>
      <c r="C1309" s="0" t="n">
        <v>1.85</v>
      </c>
      <c r="D1309" s="0" t="n">
        <v>0.168</v>
      </c>
    </row>
    <row r="1310" customFormat="false" ht="13.8" hidden="true" customHeight="false" outlineLevel="0" collapsed="false">
      <c r="A1310" s="0" t="s">
        <v>657</v>
      </c>
      <c r="B1310" s="0" t="n">
        <v>10</v>
      </c>
      <c r="C1310" s="0" t="n">
        <v>1.9</v>
      </c>
      <c r="D1310" s="0" t="n">
        <v>0.172</v>
      </c>
    </row>
    <row r="1311" customFormat="false" ht="13.8" hidden="true" customHeight="false" outlineLevel="0" collapsed="false">
      <c r="A1311" s="0" t="s">
        <v>657</v>
      </c>
      <c r="B1311" s="0" t="n">
        <v>10</v>
      </c>
      <c r="C1311" s="0" t="n">
        <v>1.95</v>
      </c>
      <c r="D1311" s="0" t="n">
        <v>0.177</v>
      </c>
    </row>
    <row r="1312" customFormat="false" ht="13.8" hidden="true" customHeight="false" outlineLevel="0" collapsed="false">
      <c r="A1312" s="0" t="s">
        <v>657</v>
      </c>
      <c r="B1312" s="0" t="n">
        <v>10</v>
      </c>
      <c r="C1312" s="0" t="n">
        <v>2</v>
      </c>
      <c r="D1312" s="0" t="n">
        <v>0.192</v>
      </c>
    </row>
    <row r="1313" customFormat="false" ht="13.8" hidden="true" customHeight="false" outlineLevel="0" collapsed="false">
      <c r="A1313" s="0" t="s">
        <v>657</v>
      </c>
      <c r="B1313" s="0" t="n">
        <v>10</v>
      </c>
      <c r="C1313" s="0" t="n">
        <v>2.05</v>
      </c>
      <c r="D1313" s="0" t="n">
        <v>0.197</v>
      </c>
    </row>
    <row r="1314" customFormat="false" ht="13.8" hidden="true" customHeight="false" outlineLevel="0" collapsed="false">
      <c r="A1314" s="0" t="s">
        <v>657</v>
      </c>
      <c r="B1314" s="0" t="n">
        <v>10</v>
      </c>
      <c r="C1314" s="0" t="n">
        <v>2.1</v>
      </c>
      <c r="D1314" s="0" t="n">
        <v>0.202</v>
      </c>
    </row>
    <row r="1315" customFormat="false" ht="13.8" hidden="true" customHeight="false" outlineLevel="0" collapsed="false">
      <c r="A1315" s="0" t="s">
        <v>657</v>
      </c>
      <c r="B1315" s="0" t="n">
        <v>10</v>
      </c>
      <c r="C1315" s="0" t="n">
        <v>2.15</v>
      </c>
      <c r="D1315" s="0" t="n">
        <v>0.206712902</v>
      </c>
    </row>
    <row r="1316" customFormat="false" ht="13.8" hidden="true" customHeight="false" outlineLevel="0" collapsed="false">
      <c r="A1316" s="0" t="s">
        <v>657</v>
      </c>
      <c r="B1316" s="0" t="n">
        <v>10</v>
      </c>
      <c r="C1316" s="0" t="n">
        <v>2.2</v>
      </c>
      <c r="D1316" s="0" t="n">
        <v>0.189921701</v>
      </c>
    </row>
    <row r="1317" customFormat="false" ht="13.8" hidden="true" customHeight="false" outlineLevel="0" collapsed="false">
      <c r="A1317" s="0" t="s">
        <v>657</v>
      </c>
      <c r="B1317" s="0" t="n">
        <v>10</v>
      </c>
      <c r="C1317" s="0" t="n">
        <v>2.25</v>
      </c>
      <c r="D1317" s="0" t="n">
        <v>0.194238103</v>
      </c>
    </row>
    <row r="1318" customFormat="false" ht="13.8" hidden="true" customHeight="false" outlineLevel="0" collapsed="false">
      <c r="A1318" s="0" t="s">
        <v>657</v>
      </c>
      <c r="B1318" s="0" t="n">
        <v>10</v>
      </c>
      <c r="C1318" s="0" t="n">
        <v>2.3</v>
      </c>
      <c r="D1318" s="0" t="n">
        <v>0.198554506</v>
      </c>
    </row>
    <row r="1319" customFormat="false" ht="13.8" hidden="true" customHeight="false" outlineLevel="0" collapsed="false">
      <c r="A1319" s="0" t="s">
        <v>657</v>
      </c>
      <c r="B1319" s="0" t="n">
        <v>10</v>
      </c>
      <c r="C1319" s="0" t="n">
        <v>2.35</v>
      </c>
      <c r="D1319" s="0" t="n">
        <v>0.202870908</v>
      </c>
    </row>
    <row r="1320" customFormat="false" ht="13.8" hidden="true" customHeight="false" outlineLevel="0" collapsed="false">
      <c r="A1320" s="0" t="s">
        <v>657</v>
      </c>
      <c r="B1320" s="0" t="n">
        <v>10</v>
      </c>
      <c r="C1320" s="0" t="n">
        <v>2.4</v>
      </c>
      <c r="D1320" s="0" t="n">
        <v>0.20718731</v>
      </c>
    </row>
    <row r="1321" customFormat="false" ht="13.8" hidden="true" customHeight="false" outlineLevel="0" collapsed="false">
      <c r="A1321" s="0" t="s">
        <v>657</v>
      </c>
      <c r="B1321" s="0" t="n">
        <v>10</v>
      </c>
      <c r="C1321" s="0" t="n">
        <v>2.45</v>
      </c>
      <c r="D1321" s="0" t="n">
        <v>0.211503713</v>
      </c>
    </row>
    <row r="1322" customFormat="false" ht="13.8" hidden="true" customHeight="false" outlineLevel="0" collapsed="false">
      <c r="A1322" s="0" t="s">
        <v>657</v>
      </c>
      <c r="B1322" s="0" t="n">
        <v>10</v>
      </c>
      <c r="C1322" s="0" t="n">
        <v>2.5</v>
      </c>
      <c r="D1322" s="0" t="n">
        <v>0.215820115</v>
      </c>
    </row>
    <row r="1323" customFormat="false" ht="13.8" hidden="true" customHeight="false" outlineLevel="0" collapsed="false">
      <c r="A1323" s="0" t="s">
        <v>657</v>
      </c>
      <c r="B1323" s="0" t="n">
        <v>10</v>
      </c>
      <c r="C1323" s="0" t="n">
        <v>2.55</v>
      </c>
      <c r="D1323" s="0" t="n">
        <v>0.220136517</v>
      </c>
    </row>
    <row r="1324" customFormat="false" ht="13.8" hidden="true" customHeight="false" outlineLevel="0" collapsed="false">
      <c r="A1324" s="0" t="s">
        <v>657</v>
      </c>
      <c r="B1324" s="0" t="n">
        <v>10</v>
      </c>
      <c r="C1324" s="0" t="n">
        <v>2.6</v>
      </c>
      <c r="D1324" s="0" t="n">
        <v>0.224452919</v>
      </c>
    </row>
    <row r="1325" customFormat="false" ht="13.8" hidden="true" customHeight="false" outlineLevel="0" collapsed="false">
      <c r="A1325" s="0" t="s">
        <v>657</v>
      </c>
      <c r="B1325" s="0" t="n">
        <v>17</v>
      </c>
      <c r="C1325" s="0" t="n">
        <v>1.3</v>
      </c>
      <c r="D1325" s="0" t="n">
        <v>0</v>
      </c>
    </row>
    <row r="1326" customFormat="false" ht="13.8" hidden="true" customHeight="false" outlineLevel="0" collapsed="false">
      <c r="A1326" s="0" t="s">
        <v>657</v>
      </c>
      <c r="B1326" s="0" t="n">
        <v>17</v>
      </c>
      <c r="C1326" s="0" t="n">
        <v>1.35</v>
      </c>
      <c r="D1326" s="0" t="n">
        <v>0</v>
      </c>
    </row>
    <row r="1327" customFormat="false" ht="13.8" hidden="true" customHeight="false" outlineLevel="0" collapsed="false">
      <c r="A1327" s="0" t="s">
        <v>657</v>
      </c>
      <c r="B1327" s="0" t="n">
        <v>17</v>
      </c>
      <c r="C1327" s="0" t="n">
        <v>1.4</v>
      </c>
      <c r="D1327" s="0" t="n">
        <v>0</v>
      </c>
    </row>
    <row r="1328" customFormat="false" ht="13.8" hidden="true" customHeight="false" outlineLevel="0" collapsed="false">
      <c r="A1328" s="0" t="s">
        <v>657</v>
      </c>
      <c r="B1328" s="0" t="n">
        <v>17</v>
      </c>
      <c r="C1328" s="0" t="n">
        <v>1.45</v>
      </c>
      <c r="D1328" s="0" t="n">
        <v>0</v>
      </c>
    </row>
    <row r="1329" customFormat="false" ht="13.8" hidden="true" customHeight="false" outlineLevel="0" collapsed="false">
      <c r="A1329" s="0" t="s">
        <v>657</v>
      </c>
      <c r="B1329" s="0" t="n">
        <v>17</v>
      </c>
      <c r="C1329" s="0" t="n">
        <v>1.5</v>
      </c>
      <c r="D1329" s="0" t="n">
        <v>0</v>
      </c>
    </row>
    <row r="1330" customFormat="false" ht="13.8" hidden="true" customHeight="false" outlineLevel="0" collapsed="false">
      <c r="A1330" s="0" t="s">
        <v>657</v>
      </c>
      <c r="B1330" s="0" t="n">
        <v>17</v>
      </c>
      <c r="C1330" s="0" t="n">
        <v>1.55</v>
      </c>
      <c r="D1330" s="0" t="n">
        <v>0</v>
      </c>
    </row>
    <row r="1331" customFormat="false" ht="13.8" hidden="true" customHeight="false" outlineLevel="0" collapsed="false">
      <c r="A1331" s="0" t="s">
        <v>657</v>
      </c>
      <c r="B1331" s="0" t="n">
        <v>17</v>
      </c>
      <c r="C1331" s="0" t="n">
        <v>1.6</v>
      </c>
      <c r="D1331" s="0" t="n">
        <v>0.136</v>
      </c>
    </row>
    <row r="1332" customFormat="false" ht="13.8" hidden="true" customHeight="false" outlineLevel="0" collapsed="false">
      <c r="A1332" s="0" t="s">
        <v>657</v>
      </c>
      <c r="B1332" s="0" t="n">
        <v>17</v>
      </c>
      <c r="C1332" s="0" t="n">
        <v>1.65</v>
      </c>
      <c r="D1332" s="0" t="n">
        <v>0.141</v>
      </c>
    </row>
    <row r="1333" customFormat="false" ht="13.8" hidden="true" customHeight="false" outlineLevel="0" collapsed="false">
      <c r="A1333" s="0" t="s">
        <v>657</v>
      </c>
      <c r="B1333" s="0" t="n">
        <v>17</v>
      </c>
      <c r="C1333" s="0" t="n">
        <v>1.7</v>
      </c>
      <c r="D1333" s="0" t="n">
        <v>0.145</v>
      </c>
    </row>
    <row r="1334" customFormat="false" ht="13.8" hidden="true" customHeight="false" outlineLevel="0" collapsed="false">
      <c r="A1334" s="0" t="s">
        <v>657</v>
      </c>
      <c r="B1334" s="0" t="n">
        <v>17</v>
      </c>
      <c r="C1334" s="0" t="n">
        <v>1.75</v>
      </c>
      <c r="D1334" s="0" t="n">
        <v>0.149</v>
      </c>
    </row>
    <row r="1335" customFormat="false" ht="13.8" hidden="true" customHeight="false" outlineLevel="0" collapsed="false">
      <c r="A1335" s="0" t="s">
        <v>657</v>
      </c>
      <c r="B1335" s="0" t="n">
        <v>17</v>
      </c>
      <c r="C1335" s="0" t="n">
        <v>1.8</v>
      </c>
      <c r="D1335" s="0" t="n">
        <v>0.163</v>
      </c>
    </row>
    <row r="1336" customFormat="false" ht="13.8" hidden="true" customHeight="false" outlineLevel="0" collapsed="false">
      <c r="A1336" s="0" t="s">
        <v>657</v>
      </c>
      <c r="B1336" s="0" t="n">
        <v>17</v>
      </c>
      <c r="C1336" s="0" t="n">
        <v>1.85</v>
      </c>
      <c r="D1336" s="0" t="n">
        <v>0.168</v>
      </c>
    </row>
    <row r="1337" customFormat="false" ht="13.8" hidden="true" customHeight="false" outlineLevel="0" collapsed="false">
      <c r="A1337" s="0" t="s">
        <v>657</v>
      </c>
      <c r="B1337" s="0" t="n">
        <v>17</v>
      </c>
      <c r="C1337" s="0" t="n">
        <v>1.9</v>
      </c>
      <c r="D1337" s="0" t="n">
        <v>0.172</v>
      </c>
    </row>
    <row r="1338" customFormat="false" ht="13.8" hidden="true" customHeight="false" outlineLevel="0" collapsed="false">
      <c r="A1338" s="0" t="s">
        <v>657</v>
      </c>
      <c r="B1338" s="0" t="n">
        <v>17</v>
      </c>
      <c r="C1338" s="0" t="n">
        <v>1.95</v>
      </c>
      <c r="D1338" s="0" t="n">
        <v>0.177</v>
      </c>
    </row>
    <row r="1339" customFormat="false" ht="13.8" hidden="true" customHeight="false" outlineLevel="0" collapsed="false">
      <c r="A1339" s="0" t="s">
        <v>657</v>
      </c>
      <c r="B1339" s="0" t="n">
        <v>17</v>
      </c>
      <c r="C1339" s="0" t="n">
        <v>2</v>
      </c>
      <c r="D1339" s="0" t="n">
        <v>0.192</v>
      </c>
    </row>
    <row r="1340" customFormat="false" ht="13.8" hidden="true" customHeight="false" outlineLevel="0" collapsed="false">
      <c r="A1340" s="0" t="s">
        <v>657</v>
      </c>
      <c r="B1340" s="0" t="n">
        <v>17</v>
      </c>
      <c r="C1340" s="0" t="n">
        <v>2.05</v>
      </c>
      <c r="D1340" s="0" t="n">
        <v>0.197</v>
      </c>
    </row>
    <row r="1341" customFormat="false" ht="13.8" hidden="true" customHeight="false" outlineLevel="0" collapsed="false">
      <c r="A1341" s="0" t="s">
        <v>657</v>
      </c>
      <c r="B1341" s="0" t="n">
        <v>17</v>
      </c>
      <c r="C1341" s="0" t="n">
        <v>2.1</v>
      </c>
      <c r="D1341" s="0" t="n">
        <v>0.202</v>
      </c>
    </row>
    <row r="1342" customFormat="false" ht="13.8" hidden="true" customHeight="false" outlineLevel="0" collapsed="false">
      <c r="A1342" s="0" t="s">
        <v>657</v>
      </c>
      <c r="B1342" s="0" t="n">
        <v>17</v>
      </c>
      <c r="C1342" s="0" t="n">
        <v>2.15</v>
      </c>
      <c r="D1342" s="0" t="n">
        <v>0.206712902</v>
      </c>
    </row>
    <row r="1343" customFormat="false" ht="13.8" hidden="true" customHeight="false" outlineLevel="0" collapsed="false">
      <c r="A1343" s="0" t="s">
        <v>657</v>
      </c>
      <c r="B1343" s="0" t="n">
        <v>17</v>
      </c>
      <c r="C1343" s="0" t="n">
        <v>2.2</v>
      </c>
      <c r="D1343" s="0" t="n">
        <v>0.189921701</v>
      </c>
    </row>
    <row r="1344" customFormat="false" ht="13.8" hidden="true" customHeight="false" outlineLevel="0" collapsed="false">
      <c r="A1344" s="0" t="s">
        <v>657</v>
      </c>
      <c r="B1344" s="0" t="n">
        <v>17</v>
      </c>
      <c r="C1344" s="0" t="n">
        <v>2.25</v>
      </c>
      <c r="D1344" s="0" t="n">
        <v>0.194238103</v>
      </c>
    </row>
    <row r="1345" customFormat="false" ht="13.8" hidden="true" customHeight="false" outlineLevel="0" collapsed="false">
      <c r="A1345" s="0" t="s">
        <v>657</v>
      </c>
      <c r="B1345" s="0" t="n">
        <v>17</v>
      </c>
      <c r="C1345" s="0" t="n">
        <v>2.3</v>
      </c>
      <c r="D1345" s="0" t="n">
        <v>0.198554506</v>
      </c>
    </row>
    <row r="1346" customFormat="false" ht="13.8" hidden="true" customHeight="false" outlineLevel="0" collapsed="false">
      <c r="A1346" s="0" t="s">
        <v>657</v>
      </c>
      <c r="B1346" s="0" t="n">
        <v>17</v>
      </c>
      <c r="C1346" s="0" t="n">
        <v>2.35</v>
      </c>
      <c r="D1346" s="0" t="n">
        <v>0.202870908</v>
      </c>
    </row>
    <row r="1347" customFormat="false" ht="13.8" hidden="true" customHeight="false" outlineLevel="0" collapsed="false">
      <c r="A1347" s="0" t="s">
        <v>657</v>
      </c>
      <c r="B1347" s="0" t="n">
        <v>17</v>
      </c>
      <c r="C1347" s="0" t="n">
        <v>2.4</v>
      </c>
      <c r="D1347" s="0" t="n">
        <v>0.20718731</v>
      </c>
    </row>
    <row r="1348" customFormat="false" ht="13.8" hidden="true" customHeight="false" outlineLevel="0" collapsed="false">
      <c r="A1348" s="0" t="s">
        <v>657</v>
      </c>
      <c r="B1348" s="0" t="n">
        <v>17</v>
      </c>
      <c r="C1348" s="0" t="n">
        <v>2.45</v>
      </c>
      <c r="D1348" s="0" t="n">
        <v>0.211503713</v>
      </c>
    </row>
    <row r="1349" customFormat="false" ht="13.8" hidden="true" customHeight="false" outlineLevel="0" collapsed="false">
      <c r="A1349" s="0" t="s">
        <v>657</v>
      </c>
      <c r="B1349" s="0" t="n">
        <v>17</v>
      </c>
      <c r="C1349" s="0" t="n">
        <v>2.5</v>
      </c>
      <c r="D1349" s="0" t="n">
        <v>0.215820115</v>
      </c>
    </row>
    <row r="1350" customFormat="false" ht="13.8" hidden="true" customHeight="false" outlineLevel="0" collapsed="false">
      <c r="A1350" s="0" t="s">
        <v>657</v>
      </c>
      <c r="B1350" s="0" t="n">
        <v>17</v>
      </c>
      <c r="C1350" s="0" t="n">
        <v>2.55</v>
      </c>
      <c r="D1350" s="0" t="n">
        <v>0.220136517</v>
      </c>
    </row>
    <row r="1351" customFormat="false" ht="13.8" hidden="true" customHeight="false" outlineLevel="0" collapsed="false">
      <c r="A1351" s="0" t="s">
        <v>657</v>
      </c>
      <c r="B1351" s="0" t="n">
        <v>17</v>
      </c>
      <c r="C1351" s="0" t="n">
        <v>2.6</v>
      </c>
      <c r="D1351" s="0" t="n">
        <v>0.224452919</v>
      </c>
    </row>
    <row r="1352" customFormat="false" ht="13.8" hidden="true" customHeight="false" outlineLevel="0" collapsed="false">
      <c r="A1352" s="0" t="s">
        <v>660</v>
      </c>
      <c r="B1352" s="0" t="n">
        <v>10</v>
      </c>
      <c r="C1352" s="0" t="n">
        <v>1.3</v>
      </c>
      <c r="D1352" s="0" t="n">
        <v>0</v>
      </c>
    </row>
    <row r="1353" customFormat="false" ht="13.8" hidden="true" customHeight="false" outlineLevel="0" collapsed="false">
      <c r="A1353" s="0" t="s">
        <v>660</v>
      </c>
      <c r="B1353" s="0" t="n">
        <v>10</v>
      </c>
      <c r="C1353" s="0" t="n">
        <v>1.35</v>
      </c>
      <c r="D1353" s="0" t="n">
        <v>0</v>
      </c>
    </row>
    <row r="1354" customFormat="false" ht="13.8" hidden="true" customHeight="false" outlineLevel="0" collapsed="false">
      <c r="A1354" s="0" t="s">
        <v>660</v>
      </c>
      <c r="B1354" s="0" t="n">
        <v>10</v>
      </c>
      <c r="C1354" s="0" t="n">
        <v>1.4</v>
      </c>
      <c r="D1354" s="0" t="n">
        <v>0</v>
      </c>
    </row>
    <row r="1355" customFormat="false" ht="13.8" hidden="true" customHeight="false" outlineLevel="0" collapsed="false">
      <c r="A1355" s="0" t="s">
        <v>660</v>
      </c>
      <c r="B1355" s="0" t="n">
        <v>10</v>
      </c>
      <c r="C1355" s="0" t="n">
        <v>1.45</v>
      </c>
      <c r="D1355" s="0" t="n">
        <v>0</v>
      </c>
    </row>
    <row r="1356" customFormat="false" ht="13.8" hidden="true" customHeight="false" outlineLevel="0" collapsed="false">
      <c r="A1356" s="0" t="s">
        <v>660</v>
      </c>
      <c r="B1356" s="0" t="n">
        <v>10</v>
      </c>
      <c r="C1356" s="0" t="n">
        <v>1.5</v>
      </c>
      <c r="D1356" s="0" t="n">
        <v>0</v>
      </c>
    </row>
    <row r="1357" customFormat="false" ht="13.8" hidden="true" customHeight="false" outlineLevel="0" collapsed="false">
      <c r="A1357" s="0" t="s">
        <v>660</v>
      </c>
      <c r="B1357" s="0" t="n">
        <v>10</v>
      </c>
      <c r="C1357" s="0" t="n">
        <v>1.55</v>
      </c>
      <c r="D1357" s="0" t="n">
        <v>0</v>
      </c>
    </row>
    <row r="1358" customFormat="false" ht="13.8" hidden="true" customHeight="false" outlineLevel="0" collapsed="false">
      <c r="A1358" s="0" t="s">
        <v>660</v>
      </c>
      <c r="B1358" s="0" t="n">
        <v>10</v>
      </c>
      <c r="C1358" s="0" t="n">
        <v>1.6</v>
      </c>
      <c r="D1358" s="0" t="n">
        <v>0.136</v>
      </c>
    </row>
    <row r="1359" customFormat="false" ht="13.8" hidden="true" customHeight="false" outlineLevel="0" collapsed="false">
      <c r="A1359" s="0" t="s">
        <v>660</v>
      </c>
      <c r="B1359" s="0" t="n">
        <v>10</v>
      </c>
      <c r="C1359" s="0" t="n">
        <v>1.65</v>
      </c>
      <c r="D1359" s="0" t="n">
        <v>0.141</v>
      </c>
    </row>
    <row r="1360" customFormat="false" ht="13.8" hidden="true" customHeight="false" outlineLevel="0" collapsed="false">
      <c r="A1360" s="0" t="s">
        <v>660</v>
      </c>
      <c r="B1360" s="0" t="n">
        <v>10</v>
      </c>
      <c r="C1360" s="0" t="n">
        <v>1.7</v>
      </c>
      <c r="D1360" s="0" t="n">
        <v>0.145</v>
      </c>
    </row>
    <row r="1361" customFormat="false" ht="13.8" hidden="true" customHeight="false" outlineLevel="0" collapsed="false">
      <c r="A1361" s="0" t="s">
        <v>660</v>
      </c>
      <c r="B1361" s="0" t="n">
        <v>10</v>
      </c>
      <c r="C1361" s="0" t="n">
        <v>1.75</v>
      </c>
      <c r="D1361" s="0" t="n">
        <v>0.149</v>
      </c>
    </row>
    <row r="1362" customFormat="false" ht="13.8" hidden="true" customHeight="false" outlineLevel="0" collapsed="false">
      <c r="A1362" s="0" t="s">
        <v>660</v>
      </c>
      <c r="B1362" s="0" t="n">
        <v>10</v>
      </c>
      <c r="C1362" s="0" t="n">
        <v>1.8</v>
      </c>
      <c r="D1362" s="0" t="n">
        <v>0.163</v>
      </c>
    </row>
    <row r="1363" customFormat="false" ht="13.8" hidden="true" customHeight="false" outlineLevel="0" collapsed="false">
      <c r="A1363" s="0" t="s">
        <v>660</v>
      </c>
      <c r="B1363" s="0" t="n">
        <v>10</v>
      </c>
      <c r="C1363" s="0" t="n">
        <v>1.85</v>
      </c>
      <c r="D1363" s="0" t="n">
        <v>0.168</v>
      </c>
    </row>
    <row r="1364" customFormat="false" ht="13.8" hidden="true" customHeight="false" outlineLevel="0" collapsed="false">
      <c r="A1364" s="0" t="s">
        <v>660</v>
      </c>
      <c r="B1364" s="0" t="n">
        <v>10</v>
      </c>
      <c r="C1364" s="0" t="n">
        <v>1.9</v>
      </c>
      <c r="D1364" s="0" t="n">
        <v>0.172</v>
      </c>
    </row>
    <row r="1365" customFormat="false" ht="13.8" hidden="true" customHeight="false" outlineLevel="0" collapsed="false">
      <c r="A1365" s="0" t="s">
        <v>660</v>
      </c>
      <c r="B1365" s="0" t="n">
        <v>10</v>
      </c>
      <c r="C1365" s="0" t="n">
        <v>1.95</v>
      </c>
      <c r="D1365" s="0" t="n">
        <v>0.177</v>
      </c>
    </row>
    <row r="1366" customFormat="false" ht="13.8" hidden="true" customHeight="false" outlineLevel="0" collapsed="false">
      <c r="A1366" s="0" t="s">
        <v>660</v>
      </c>
      <c r="B1366" s="0" t="n">
        <v>10</v>
      </c>
      <c r="C1366" s="0" t="n">
        <v>2</v>
      </c>
      <c r="D1366" s="0" t="n">
        <v>0.192</v>
      </c>
    </row>
    <row r="1367" customFormat="false" ht="13.8" hidden="true" customHeight="false" outlineLevel="0" collapsed="false">
      <c r="A1367" s="0" t="s">
        <v>660</v>
      </c>
      <c r="B1367" s="0" t="n">
        <v>10</v>
      </c>
      <c r="C1367" s="0" t="n">
        <v>2.05</v>
      </c>
      <c r="D1367" s="0" t="n">
        <v>0.197</v>
      </c>
    </row>
    <row r="1368" customFormat="false" ht="13.8" hidden="true" customHeight="false" outlineLevel="0" collapsed="false">
      <c r="A1368" s="0" t="s">
        <v>660</v>
      </c>
      <c r="B1368" s="0" t="n">
        <v>10</v>
      </c>
      <c r="C1368" s="0" t="n">
        <v>2.1</v>
      </c>
      <c r="D1368" s="0" t="n">
        <v>0.202</v>
      </c>
    </row>
    <row r="1369" customFormat="false" ht="13.8" hidden="true" customHeight="false" outlineLevel="0" collapsed="false">
      <c r="A1369" s="0" t="s">
        <v>660</v>
      </c>
      <c r="B1369" s="0" t="n">
        <v>10</v>
      </c>
      <c r="C1369" s="0" t="n">
        <v>2.15</v>
      </c>
      <c r="D1369" s="0" t="n">
        <v>0.206712902</v>
      </c>
    </row>
    <row r="1370" customFormat="false" ht="13.8" hidden="true" customHeight="false" outlineLevel="0" collapsed="false">
      <c r="A1370" s="0" t="s">
        <v>660</v>
      </c>
      <c r="B1370" s="0" t="n">
        <v>10</v>
      </c>
      <c r="C1370" s="0" t="n">
        <v>2.2</v>
      </c>
      <c r="D1370" s="0" t="n">
        <v>0.189921701</v>
      </c>
    </row>
    <row r="1371" customFormat="false" ht="13.8" hidden="true" customHeight="false" outlineLevel="0" collapsed="false">
      <c r="A1371" s="0" t="s">
        <v>660</v>
      </c>
      <c r="B1371" s="0" t="n">
        <v>10</v>
      </c>
      <c r="C1371" s="0" t="n">
        <v>2.25</v>
      </c>
      <c r="D1371" s="0" t="n">
        <v>0.194238103</v>
      </c>
    </row>
    <row r="1372" customFormat="false" ht="13.8" hidden="true" customHeight="false" outlineLevel="0" collapsed="false">
      <c r="A1372" s="0" t="s">
        <v>660</v>
      </c>
      <c r="B1372" s="0" t="n">
        <v>10</v>
      </c>
      <c r="C1372" s="0" t="n">
        <v>2.3</v>
      </c>
      <c r="D1372" s="0" t="n">
        <v>0.198554506</v>
      </c>
    </row>
    <row r="1373" customFormat="false" ht="13.8" hidden="true" customHeight="false" outlineLevel="0" collapsed="false">
      <c r="A1373" s="0" t="s">
        <v>660</v>
      </c>
      <c r="B1373" s="0" t="n">
        <v>10</v>
      </c>
      <c r="C1373" s="0" t="n">
        <v>2.35</v>
      </c>
      <c r="D1373" s="0" t="n">
        <v>0.202870908</v>
      </c>
    </row>
    <row r="1374" customFormat="false" ht="13.8" hidden="true" customHeight="false" outlineLevel="0" collapsed="false">
      <c r="A1374" s="0" t="s">
        <v>660</v>
      </c>
      <c r="B1374" s="0" t="n">
        <v>10</v>
      </c>
      <c r="C1374" s="0" t="n">
        <v>2.4</v>
      </c>
      <c r="D1374" s="0" t="n">
        <v>0.20718731</v>
      </c>
    </row>
    <row r="1375" customFormat="false" ht="13.8" hidden="true" customHeight="false" outlineLevel="0" collapsed="false">
      <c r="A1375" s="0" t="s">
        <v>660</v>
      </c>
      <c r="B1375" s="0" t="n">
        <v>10</v>
      </c>
      <c r="C1375" s="0" t="n">
        <v>2.45</v>
      </c>
      <c r="D1375" s="0" t="n">
        <v>0.211503713</v>
      </c>
    </row>
    <row r="1376" customFormat="false" ht="13.8" hidden="true" customHeight="false" outlineLevel="0" collapsed="false">
      <c r="A1376" s="0" t="s">
        <v>660</v>
      </c>
      <c r="B1376" s="0" t="n">
        <v>10</v>
      </c>
      <c r="C1376" s="0" t="n">
        <v>2.5</v>
      </c>
      <c r="D1376" s="0" t="n">
        <v>0.215820115</v>
      </c>
    </row>
    <row r="1377" customFormat="false" ht="13.8" hidden="true" customHeight="false" outlineLevel="0" collapsed="false">
      <c r="A1377" s="0" t="s">
        <v>660</v>
      </c>
      <c r="B1377" s="0" t="n">
        <v>10</v>
      </c>
      <c r="C1377" s="0" t="n">
        <v>2.55</v>
      </c>
      <c r="D1377" s="0" t="n">
        <v>0.220136517</v>
      </c>
    </row>
    <row r="1378" customFormat="false" ht="13.8" hidden="true" customHeight="false" outlineLevel="0" collapsed="false">
      <c r="A1378" s="0" t="s">
        <v>660</v>
      </c>
      <c r="B1378" s="0" t="n">
        <v>10</v>
      </c>
      <c r="C1378" s="0" t="n">
        <v>2.6</v>
      </c>
      <c r="D1378" s="0" t="n">
        <v>0.224452919</v>
      </c>
    </row>
    <row r="1379" customFormat="false" ht="13.8" hidden="true" customHeight="false" outlineLevel="0" collapsed="false">
      <c r="A1379" s="0" t="s">
        <v>660</v>
      </c>
      <c r="B1379" s="0" t="n">
        <v>17</v>
      </c>
      <c r="C1379" s="0" t="n">
        <v>1.3</v>
      </c>
      <c r="D1379" s="0" t="n">
        <v>0</v>
      </c>
    </row>
    <row r="1380" customFormat="false" ht="13.8" hidden="true" customHeight="false" outlineLevel="0" collapsed="false">
      <c r="A1380" s="0" t="s">
        <v>660</v>
      </c>
      <c r="B1380" s="0" t="n">
        <v>17</v>
      </c>
      <c r="C1380" s="0" t="n">
        <v>1.35</v>
      </c>
      <c r="D1380" s="0" t="n">
        <v>0</v>
      </c>
    </row>
    <row r="1381" customFormat="false" ht="13.8" hidden="true" customHeight="false" outlineLevel="0" collapsed="false">
      <c r="A1381" s="0" t="s">
        <v>660</v>
      </c>
      <c r="B1381" s="0" t="n">
        <v>17</v>
      </c>
      <c r="C1381" s="0" t="n">
        <v>1.4</v>
      </c>
      <c r="D1381" s="0" t="n">
        <v>0</v>
      </c>
    </row>
    <row r="1382" customFormat="false" ht="13.8" hidden="true" customHeight="false" outlineLevel="0" collapsed="false">
      <c r="A1382" s="0" t="s">
        <v>660</v>
      </c>
      <c r="B1382" s="0" t="n">
        <v>17</v>
      </c>
      <c r="C1382" s="0" t="n">
        <v>1.45</v>
      </c>
      <c r="D1382" s="0" t="n">
        <v>0</v>
      </c>
    </row>
    <row r="1383" customFormat="false" ht="13.8" hidden="true" customHeight="false" outlineLevel="0" collapsed="false">
      <c r="A1383" s="0" t="s">
        <v>660</v>
      </c>
      <c r="B1383" s="0" t="n">
        <v>17</v>
      </c>
      <c r="C1383" s="0" t="n">
        <v>1.5</v>
      </c>
      <c r="D1383" s="0" t="n">
        <v>0</v>
      </c>
    </row>
    <row r="1384" customFormat="false" ht="13.8" hidden="true" customHeight="false" outlineLevel="0" collapsed="false">
      <c r="A1384" s="0" t="s">
        <v>660</v>
      </c>
      <c r="B1384" s="0" t="n">
        <v>17</v>
      </c>
      <c r="C1384" s="0" t="n">
        <v>1.55</v>
      </c>
      <c r="D1384" s="0" t="n">
        <v>0</v>
      </c>
    </row>
    <row r="1385" customFormat="false" ht="13.8" hidden="true" customHeight="false" outlineLevel="0" collapsed="false">
      <c r="A1385" s="0" t="s">
        <v>660</v>
      </c>
      <c r="B1385" s="0" t="n">
        <v>17</v>
      </c>
      <c r="C1385" s="0" t="n">
        <v>1.6</v>
      </c>
      <c r="D1385" s="0" t="n">
        <v>0.136</v>
      </c>
    </row>
    <row r="1386" customFormat="false" ht="13.8" hidden="true" customHeight="false" outlineLevel="0" collapsed="false">
      <c r="A1386" s="0" t="s">
        <v>660</v>
      </c>
      <c r="B1386" s="0" t="n">
        <v>17</v>
      </c>
      <c r="C1386" s="0" t="n">
        <v>1.65</v>
      </c>
      <c r="D1386" s="0" t="n">
        <v>0.141</v>
      </c>
    </row>
    <row r="1387" customFormat="false" ht="13.8" hidden="true" customHeight="false" outlineLevel="0" collapsed="false">
      <c r="A1387" s="0" t="s">
        <v>660</v>
      </c>
      <c r="B1387" s="0" t="n">
        <v>17</v>
      </c>
      <c r="C1387" s="0" t="n">
        <v>1.7</v>
      </c>
      <c r="D1387" s="0" t="n">
        <v>0.145</v>
      </c>
    </row>
    <row r="1388" customFormat="false" ht="13.8" hidden="true" customHeight="false" outlineLevel="0" collapsed="false">
      <c r="A1388" s="0" t="s">
        <v>660</v>
      </c>
      <c r="B1388" s="0" t="n">
        <v>17</v>
      </c>
      <c r="C1388" s="0" t="n">
        <v>1.75</v>
      </c>
      <c r="D1388" s="0" t="n">
        <v>0.149</v>
      </c>
    </row>
    <row r="1389" customFormat="false" ht="13.8" hidden="true" customHeight="false" outlineLevel="0" collapsed="false">
      <c r="A1389" s="0" t="s">
        <v>660</v>
      </c>
      <c r="B1389" s="0" t="n">
        <v>17</v>
      </c>
      <c r="C1389" s="0" t="n">
        <v>1.8</v>
      </c>
      <c r="D1389" s="0" t="n">
        <v>0.163</v>
      </c>
    </row>
    <row r="1390" customFormat="false" ht="13.8" hidden="true" customHeight="false" outlineLevel="0" collapsed="false">
      <c r="A1390" s="0" t="s">
        <v>660</v>
      </c>
      <c r="B1390" s="0" t="n">
        <v>17</v>
      </c>
      <c r="C1390" s="0" t="n">
        <v>1.85</v>
      </c>
      <c r="D1390" s="0" t="n">
        <v>0.168</v>
      </c>
    </row>
    <row r="1391" customFormat="false" ht="13.8" hidden="true" customHeight="false" outlineLevel="0" collapsed="false">
      <c r="A1391" s="0" t="s">
        <v>660</v>
      </c>
      <c r="B1391" s="0" t="n">
        <v>17</v>
      </c>
      <c r="C1391" s="0" t="n">
        <v>1.9</v>
      </c>
      <c r="D1391" s="0" t="n">
        <v>0.172</v>
      </c>
    </row>
    <row r="1392" customFormat="false" ht="13.8" hidden="true" customHeight="false" outlineLevel="0" collapsed="false">
      <c r="A1392" s="0" t="s">
        <v>660</v>
      </c>
      <c r="B1392" s="0" t="n">
        <v>17</v>
      </c>
      <c r="C1392" s="0" t="n">
        <v>1.95</v>
      </c>
      <c r="D1392" s="0" t="n">
        <v>0.177</v>
      </c>
    </row>
    <row r="1393" customFormat="false" ht="13.8" hidden="true" customHeight="false" outlineLevel="0" collapsed="false">
      <c r="A1393" s="0" t="s">
        <v>660</v>
      </c>
      <c r="B1393" s="0" t="n">
        <v>17</v>
      </c>
      <c r="C1393" s="0" t="n">
        <v>2</v>
      </c>
      <c r="D1393" s="0" t="n">
        <v>0.192</v>
      </c>
    </row>
    <row r="1394" customFormat="false" ht="13.8" hidden="true" customHeight="false" outlineLevel="0" collapsed="false">
      <c r="A1394" s="0" t="s">
        <v>660</v>
      </c>
      <c r="B1394" s="0" t="n">
        <v>17</v>
      </c>
      <c r="C1394" s="0" t="n">
        <v>2.05</v>
      </c>
      <c r="D1394" s="0" t="n">
        <v>0.197</v>
      </c>
    </row>
    <row r="1395" customFormat="false" ht="13.8" hidden="true" customHeight="false" outlineLevel="0" collapsed="false">
      <c r="A1395" s="0" t="s">
        <v>660</v>
      </c>
      <c r="B1395" s="0" t="n">
        <v>17</v>
      </c>
      <c r="C1395" s="0" t="n">
        <v>2.1</v>
      </c>
      <c r="D1395" s="0" t="n">
        <v>0.202</v>
      </c>
    </row>
    <row r="1396" customFormat="false" ht="13.8" hidden="true" customHeight="false" outlineLevel="0" collapsed="false">
      <c r="A1396" s="0" t="s">
        <v>660</v>
      </c>
      <c r="B1396" s="0" t="n">
        <v>17</v>
      </c>
      <c r="C1396" s="0" t="n">
        <v>2.15</v>
      </c>
      <c r="D1396" s="0" t="n">
        <v>0.206712902</v>
      </c>
    </row>
    <row r="1397" customFormat="false" ht="13.8" hidden="true" customHeight="false" outlineLevel="0" collapsed="false">
      <c r="A1397" s="0" t="s">
        <v>660</v>
      </c>
      <c r="B1397" s="0" t="n">
        <v>17</v>
      </c>
      <c r="C1397" s="0" t="n">
        <v>2.2</v>
      </c>
      <c r="D1397" s="0" t="n">
        <v>0.189921701</v>
      </c>
    </row>
    <row r="1398" customFormat="false" ht="13.8" hidden="true" customHeight="false" outlineLevel="0" collapsed="false">
      <c r="A1398" s="0" t="s">
        <v>660</v>
      </c>
      <c r="B1398" s="0" t="n">
        <v>17</v>
      </c>
      <c r="C1398" s="0" t="n">
        <v>2.25</v>
      </c>
      <c r="D1398" s="0" t="n">
        <v>0.194238103</v>
      </c>
    </row>
    <row r="1399" customFormat="false" ht="13.8" hidden="true" customHeight="false" outlineLevel="0" collapsed="false">
      <c r="A1399" s="0" t="s">
        <v>660</v>
      </c>
      <c r="B1399" s="0" t="n">
        <v>17</v>
      </c>
      <c r="C1399" s="0" t="n">
        <v>2.3</v>
      </c>
      <c r="D1399" s="0" t="n">
        <v>0.198554506</v>
      </c>
    </row>
    <row r="1400" customFormat="false" ht="13.8" hidden="true" customHeight="false" outlineLevel="0" collapsed="false">
      <c r="A1400" s="0" t="s">
        <v>660</v>
      </c>
      <c r="B1400" s="0" t="n">
        <v>17</v>
      </c>
      <c r="C1400" s="0" t="n">
        <v>2.35</v>
      </c>
      <c r="D1400" s="0" t="n">
        <v>0.202870908</v>
      </c>
    </row>
    <row r="1401" customFormat="false" ht="13.8" hidden="true" customHeight="false" outlineLevel="0" collapsed="false">
      <c r="A1401" s="0" t="s">
        <v>660</v>
      </c>
      <c r="B1401" s="0" t="n">
        <v>17</v>
      </c>
      <c r="C1401" s="0" t="n">
        <v>2.4</v>
      </c>
      <c r="D1401" s="0" t="n">
        <v>0.20718731</v>
      </c>
    </row>
    <row r="1402" customFormat="false" ht="13.8" hidden="true" customHeight="false" outlineLevel="0" collapsed="false">
      <c r="A1402" s="0" t="s">
        <v>660</v>
      </c>
      <c r="B1402" s="0" t="n">
        <v>17</v>
      </c>
      <c r="C1402" s="0" t="n">
        <v>2.45</v>
      </c>
      <c r="D1402" s="0" t="n">
        <v>0.211503713</v>
      </c>
    </row>
    <row r="1403" customFormat="false" ht="13.8" hidden="true" customHeight="false" outlineLevel="0" collapsed="false">
      <c r="A1403" s="0" t="s">
        <v>660</v>
      </c>
      <c r="B1403" s="0" t="n">
        <v>17</v>
      </c>
      <c r="C1403" s="0" t="n">
        <v>2.5</v>
      </c>
      <c r="D1403" s="0" t="n">
        <v>0.215820115</v>
      </c>
    </row>
    <row r="1404" customFormat="false" ht="13.8" hidden="true" customHeight="false" outlineLevel="0" collapsed="false">
      <c r="A1404" s="0" t="s">
        <v>660</v>
      </c>
      <c r="B1404" s="0" t="n">
        <v>17</v>
      </c>
      <c r="C1404" s="0" t="n">
        <v>2.55</v>
      </c>
      <c r="D1404" s="0" t="n">
        <v>0.220136517</v>
      </c>
    </row>
    <row r="1405" customFormat="false" ht="13.8" hidden="true" customHeight="false" outlineLevel="0" collapsed="false">
      <c r="A1405" s="0" t="s">
        <v>660</v>
      </c>
      <c r="B1405" s="0" t="n">
        <v>17</v>
      </c>
      <c r="C1405" s="0" t="n">
        <v>2.6</v>
      </c>
      <c r="D1405" s="0" t="n">
        <v>0.224452919</v>
      </c>
    </row>
    <row r="1406" customFormat="false" ht="13.8" hidden="true" customHeight="false" outlineLevel="0" collapsed="false">
      <c r="A1406" s="0" t="s">
        <v>664</v>
      </c>
      <c r="B1406" s="0" t="n">
        <v>10</v>
      </c>
      <c r="C1406" s="0" t="n">
        <v>1.3</v>
      </c>
      <c r="D1406" s="0" t="n">
        <v>0</v>
      </c>
    </row>
    <row r="1407" customFormat="false" ht="13.8" hidden="true" customHeight="false" outlineLevel="0" collapsed="false">
      <c r="A1407" s="0" t="s">
        <v>664</v>
      </c>
      <c r="B1407" s="0" t="n">
        <v>10</v>
      </c>
      <c r="C1407" s="0" t="n">
        <v>1.35</v>
      </c>
      <c r="D1407" s="0" t="n">
        <v>0</v>
      </c>
    </row>
    <row r="1408" customFormat="false" ht="13.8" hidden="true" customHeight="false" outlineLevel="0" collapsed="false">
      <c r="A1408" s="0" t="s">
        <v>664</v>
      </c>
      <c r="B1408" s="0" t="n">
        <v>10</v>
      </c>
      <c r="C1408" s="0" t="n">
        <v>1.4</v>
      </c>
      <c r="D1408" s="0" t="n">
        <v>0</v>
      </c>
    </row>
    <row r="1409" customFormat="false" ht="13.8" hidden="true" customHeight="false" outlineLevel="0" collapsed="false">
      <c r="A1409" s="0" t="s">
        <v>664</v>
      </c>
      <c r="B1409" s="0" t="n">
        <v>10</v>
      </c>
      <c r="C1409" s="0" t="n">
        <v>1.45</v>
      </c>
      <c r="D1409" s="0" t="n">
        <v>0</v>
      </c>
    </row>
    <row r="1410" customFormat="false" ht="13.8" hidden="true" customHeight="false" outlineLevel="0" collapsed="false">
      <c r="A1410" s="0" t="s">
        <v>664</v>
      </c>
      <c r="B1410" s="0" t="n">
        <v>10</v>
      </c>
      <c r="C1410" s="0" t="n">
        <v>1.5</v>
      </c>
      <c r="D1410" s="0" t="n">
        <v>0</v>
      </c>
    </row>
    <row r="1411" customFormat="false" ht="13.8" hidden="true" customHeight="false" outlineLevel="0" collapsed="false">
      <c r="A1411" s="0" t="s">
        <v>664</v>
      </c>
      <c r="B1411" s="0" t="n">
        <v>10</v>
      </c>
      <c r="C1411" s="0" t="n">
        <v>1.55</v>
      </c>
      <c r="D1411" s="0" t="n">
        <v>0</v>
      </c>
    </row>
    <row r="1412" customFormat="false" ht="13.8" hidden="true" customHeight="false" outlineLevel="0" collapsed="false">
      <c r="A1412" s="0" t="s">
        <v>664</v>
      </c>
      <c r="B1412" s="0" t="n">
        <v>10</v>
      </c>
      <c r="C1412" s="0" t="n">
        <v>1.6</v>
      </c>
      <c r="D1412" s="0" t="n">
        <v>0.136</v>
      </c>
    </row>
    <row r="1413" customFormat="false" ht="13.8" hidden="true" customHeight="false" outlineLevel="0" collapsed="false">
      <c r="A1413" s="0" t="s">
        <v>664</v>
      </c>
      <c r="B1413" s="0" t="n">
        <v>10</v>
      </c>
      <c r="C1413" s="0" t="n">
        <v>1.65</v>
      </c>
      <c r="D1413" s="0" t="n">
        <v>0.141</v>
      </c>
    </row>
    <row r="1414" customFormat="false" ht="13.8" hidden="true" customHeight="false" outlineLevel="0" collapsed="false">
      <c r="A1414" s="0" t="s">
        <v>664</v>
      </c>
      <c r="B1414" s="0" t="n">
        <v>10</v>
      </c>
      <c r="C1414" s="0" t="n">
        <v>1.7</v>
      </c>
      <c r="D1414" s="0" t="n">
        <v>0.145</v>
      </c>
    </row>
    <row r="1415" customFormat="false" ht="13.8" hidden="true" customHeight="false" outlineLevel="0" collapsed="false">
      <c r="A1415" s="0" t="s">
        <v>664</v>
      </c>
      <c r="B1415" s="0" t="n">
        <v>10</v>
      </c>
      <c r="C1415" s="0" t="n">
        <v>1.75</v>
      </c>
      <c r="D1415" s="0" t="n">
        <v>0.149</v>
      </c>
    </row>
    <row r="1416" customFormat="false" ht="13.8" hidden="true" customHeight="false" outlineLevel="0" collapsed="false">
      <c r="A1416" s="0" t="s">
        <v>664</v>
      </c>
      <c r="B1416" s="0" t="n">
        <v>10</v>
      </c>
      <c r="C1416" s="0" t="n">
        <v>1.8</v>
      </c>
      <c r="D1416" s="0" t="n">
        <v>0.163</v>
      </c>
    </row>
    <row r="1417" customFormat="false" ht="13.8" hidden="true" customHeight="false" outlineLevel="0" collapsed="false">
      <c r="A1417" s="0" t="s">
        <v>664</v>
      </c>
      <c r="B1417" s="0" t="n">
        <v>10</v>
      </c>
      <c r="C1417" s="0" t="n">
        <v>1.85</v>
      </c>
      <c r="D1417" s="0" t="n">
        <v>0.168</v>
      </c>
    </row>
    <row r="1418" customFormat="false" ht="13.8" hidden="true" customHeight="false" outlineLevel="0" collapsed="false">
      <c r="A1418" s="0" t="s">
        <v>664</v>
      </c>
      <c r="B1418" s="0" t="n">
        <v>10</v>
      </c>
      <c r="C1418" s="0" t="n">
        <v>1.9</v>
      </c>
      <c r="D1418" s="0" t="n">
        <v>0.172</v>
      </c>
    </row>
    <row r="1419" customFormat="false" ht="13.8" hidden="true" customHeight="false" outlineLevel="0" collapsed="false">
      <c r="A1419" s="0" t="s">
        <v>664</v>
      </c>
      <c r="B1419" s="0" t="n">
        <v>10</v>
      </c>
      <c r="C1419" s="0" t="n">
        <v>1.95</v>
      </c>
      <c r="D1419" s="0" t="n">
        <v>0.177</v>
      </c>
    </row>
    <row r="1420" customFormat="false" ht="13.8" hidden="true" customHeight="false" outlineLevel="0" collapsed="false">
      <c r="A1420" s="0" t="s">
        <v>664</v>
      </c>
      <c r="B1420" s="0" t="n">
        <v>10</v>
      </c>
      <c r="C1420" s="0" t="n">
        <v>2</v>
      </c>
      <c r="D1420" s="0" t="n">
        <v>0.192</v>
      </c>
    </row>
    <row r="1421" customFormat="false" ht="13.8" hidden="true" customHeight="false" outlineLevel="0" collapsed="false">
      <c r="A1421" s="0" t="s">
        <v>664</v>
      </c>
      <c r="B1421" s="0" t="n">
        <v>10</v>
      </c>
      <c r="C1421" s="0" t="n">
        <v>2.05</v>
      </c>
      <c r="D1421" s="0" t="n">
        <v>0.197</v>
      </c>
    </row>
    <row r="1422" customFormat="false" ht="13.8" hidden="true" customHeight="false" outlineLevel="0" collapsed="false">
      <c r="A1422" s="0" t="s">
        <v>664</v>
      </c>
      <c r="B1422" s="0" t="n">
        <v>10</v>
      </c>
      <c r="C1422" s="0" t="n">
        <v>2.1</v>
      </c>
      <c r="D1422" s="0" t="n">
        <v>0.202</v>
      </c>
    </row>
    <row r="1423" customFormat="false" ht="13.8" hidden="true" customHeight="false" outlineLevel="0" collapsed="false">
      <c r="A1423" s="0" t="s">
        <v>664</v>
      </c>
      <c r="B1423" s="0" t="n">
        <v>10</v>
      </c>
      <c r="C1423" s="0" t="n">
        <v>2.15</v>
      </c>
      <c r="D1423" s="0" t="n">
        <v>0.206712902</v>
      </c>
    </row>
    <row r="1424" customFormat="false" ht="13.8" hidden="true" customHeight="false" outlineLevel="0" collapsed="false">
      <c r="A1424" s="0" t="s">
        <v>664</v>
      </c>
      <c r="B1424" s="0" t="n">
        <v>10</v>
      </c>
      <c r="C1424" s="0" t="n">
        <v>2.2</v>
      </c>
      <c r="D1424" s="0" t="n">
        <v>0.189921701</v>
      </c>
    </row>
    <row r="1425" customFormat="false" ht="13.8" hidden="true" customHeight="false" outlineLevel="0" collapsed="false">
      <c r="A1425" s="0" t="s">
        <v>664</v>
      </c>
      <c r="B1425" s="0" t="n">
        <v>10</v>
      </c>
      <c r="C1425" s="0" t="n">
        <v>2.25</v>
      </c>
      <c r="D1425" s="0" t="n">
        <v>0.194238103</v>
      </c>
    </row>
    <row r="1426" customFormat="false" ht="13.8" hidden="true" customHeight="false" outlineLevel="0" collapsed="false">
      <c r="A1426" s="0" t="s">
        <v>664</v>
      </c>
      <c r="B1426" s="0" t="n">
        <v>10</v>
      </c>
      <c r="C1426" s="0" t="n">
        <v>2.3</v>
      </c>
      <c r="D1426" s="0" t="n">
        <v>0.198554506</v>
      </c>
    </row>
    <row r="1427" customFormat="false" ht="13.8" hidden="true" customHeight="false" outlineLevel="0" collapsed="false">
      <c r="A1427" s="0" t="s">
        <v>664</v>
      </c>
      <c r="B1427" s="0" t="n">
        <v>10</v>
      </c>
      <c r="C1427" s="0" t="n">
        <v>2.35</v>
      </c>
      <c r="D1427" s="0" t="n">
        <v>0.202870908</v>
      </c>
    </row>
    <row r="1428" customFormat="false" ht="13.8" hidden="true" customHeight="false" outlineLevel="0" collapsed="false">
      <c r="A1428" s="0" t="s">
        <v>664</v>
      </c>
      <c r="B1428" s="0" t="n">
        <v>10</v>
      </c>
      <c r="C1428" s="0" t="n">
        <v>2.4</v>
      </c>
      <c r="D1428" s="0" t="n">
        <v>0.20718731</v>
      </c>
    </row>
    <row r="1429" customFormat="false" ht="13.8" hidden="true" customHeight="false" outlineLevel="0" collapsed="false">
      <c r="A1429" s="0" t="s">
        <v>664</v>
      </c>
      <c r="B1429" s="0" t="n">
        <v>10</v>
      </c>
      <c r="C1429" s="0" t="n">
        <v>2.45</v>
      </c>
      <c r="D1429" s="0" t="n">
        <v>0.211503713</v>
      </c>
    </row>
    <row r="1430" customFormat="false" ht="13.8" hidden="true" customHeight="false" outlineLevel="0" collapsed="false">
      <c r="A1430" s="0" t="s">
        <v>664</v>
      </c>
      <c r="B1430" s="0" t="n">
        <v>10</v>
      </c>
      <c r="C1430" s="0" t="n">
        <v>2.5</v>
      </c>
      <c r="D1430" s="0" t="n">
        <v>0.215820115</v>
      </c>
    </row>
    <row r="1431" customFormat="false" ht="13.8" hidden="true" customHeight="false" outlineLevel="0" collapsed="false">
      <c r="A1431" s="0" t="s">
        <v>664</v>
      </c>
      <c r="B1431" s="0" t="n">
        <v>10</v>
      </c>
      <c r="C1431" s="0" t="n">
        <v>2.55</v>
      </c>
      <c r="D1431" s="0" t="n">
        <v>0.220136517</v>
      </c>
    </row>
    <row r="1432" customFormat="false" ht="13.8" hidden="true" customHeight="false" outlineLevel="0" collapsed="false">
      <c r="A1432" s="0" t="s">
        <v>664</v>
      </c>
      <c r="B1432" s="0" t="n">
        <v>10</v>
      </c>
      <c r="C1432" s="0" t="n">
        <v>2.6</v>
      </c>
      <c r="D1432" s="0" t="n">
        <v>0.224452919</v>
      </c>
    </row>
    <row r="1433" customFormat="false" ht="13.8" hidden="true" customHeight="false" outlineLevel="0" collapsed="false">
      <c r="A1433" s="0" t="s">
        <v>664</v>
      </c>
      <c r="B1433" s="0" t="n">
        <v>17</v>
      </c>
      <c r="C1433" s="0" t="n">
        <v>1.3</v>
      </c>
      <c r="D1433" s="0" t="n">
        <v>0</v>
      </c>
    </row>
    <row r="1434" customFormat="false" ht="13.8" hidden="true" customHeight="false" outlineLevel="0" collapsed="false">
      <c r="A1434" s="0" t="s">
        <v>664</v>
      </c>
      <c r="B1434" s="0" t="n">
        <v>17</v>
      </c>
      <c r="C1434" s="0" t="n">
        <v>1.35</v>
      </c>
      <c r="D1434" s="0" t="n">
        <v>0</v>
      </c>
    </row>
    <row r="1435" customFormat="false" ht="13.8" hidden="true" customHeight="false" outlineLevel="0" collapsed="false">
      <c r="A1435" s="0" t="s">
        <v>664</v>
      </c>
      <c r="B1435" s="0" t="n">
        <v>17</v>
      </c>
      <c r="C1435" s="0" t="n">
        <v>1.4</v>
      </c>
      <c r="D1435" s="0" t="n">
        <v>0</v>
      </c>
    </row>
    <row r="1436" customFormat="false" ht="13.8" hidden="true" customHeight="false" outlineLevel="0" collapsed="false">
      <c r="A1436" s="0" t="s">
        <v>664</v>
      </c>
      <c r="B1436" s="0" t="n">
        <v>17</v>
      </c>
      <c r="C1436" s="0" t="n">
        <v>1.45</v>
      </c>
      <c r="D1436" s="0" t="n">
        <v>0</v>
      </c>
    </row>
    <row r="1437" customFormat="false" ht="13.8" hidden="true" customHeight="false" outlineLevel="0" collapsed="false">
      <c r="A1437" s="0" t="s">
        <v>664</v>
      </c>
      <c r="B1437" s="0" t="n">
        <v>17</v>
      </c>
      <c r="C1437" s="0" t="n">
        <v>1.5</v>
      </c>
      <c r="D1437" s="0" t="n">
        <v>0</v>
      </c>
    </row>
    <row r="1438" customFormat="false" ht="13.8" hidden="true" customHeight="false" outlineLevel="0" collapsed="false">
      <c r="A1438" s="0" t="s">
        <v>664</v>
      </c>
      <c r="B1438" s="0" t="n">
        <v>17</v>
      </c>
      <c r="C1438" s="0" t="n">
        <v>1.55</v>
      </c>
      <c r="D1438" s="0" t="n">
        <v>0</v>
      </c>
    </row>
    <row r="1439" customFormat="false" ht="13.8" hidden="true" customHeight="false" outlineLevel="0" collapsed="false">
      <c r="A1439" s="0" t="s">
        <v>664</v>
      </c>
      <c r="B1439" s="0" t="n">
        <v>17</v>
      </c>
      <c r="C1439" s="0" t="n">
        <v>1.6</v>
      </c>
      <c r="D1439" s="0" t="n">
        <v>0.136</v>
      </c>
    </row>
    <row r="1440" customFormat="false" ht="13.8" hidden="true" customHeight="false" outlineLevel="0" collapsed="false">
      <c r="A1440" s="0" t="s">
        <v>664</v>
      </c>
      <c r="B1440" s="0" t="n">
        <v>17</v>
      </c>
      <c r="C1440" s="0" t="n">
        <v>1.65</v>
      </c>
      <c r="D1440" s="0" t="n">
        <v>0.141</v>
      </c>
    </row>
    <row r="1441" customFormat="false" ht="13.8" hidden="true" customHeight="false" outlineLevel="0" collapsed="false">
      <c r="A1441" s="0" t="s">
        <v>664</v>
      </c>
      <c r="B1441" s="0" t="n">
        <v>17</v>
      </c>
      <c r="C1441" s="0" t="n">
        <v>1.7</v>
      </c>
      <c r="D1441" s="0" t="n">
        <v>0.145</v>
      </c>
    </row>
    <row r="1442" customFormat="false" ht="13.8" hidden="true" customHeight="false" outlineLevel="0" collapsed="false">
      <c r="A1442" s="0" t="s">
        <v>664</v>
      </c>
      <c r="B1442" s="0" t="n">
        <v>17</v>
      </c>
      <c r="C1442" s="0" t="n">
        <v>1.75</v>
      </c>
      <c r="D1442" s="0" t="n">
        <v>0.149</v>
      </c>
    </row>
    <row r="1443" customFormat="false" ht="13.8" hidden="true" customHeight="false" outlineLevel="0" collapsed="false">
      <c r="A1443" s="0" t="s">
        <v>664</v>
      </c>
      <c r="B1443" s="0" t="n">
        <v>17</v>
      </c>
      <c r="C1443" s="0" t="n">
        <v>1.8</v>
      </c>
      <c r="D1443" s="0" t="n">
        <v>0.163</v>
      </c>
    </row>
    <row r="1444" customFormat="false" ht="13.8" hidden="true" customHeight="false" outlineLevel="0" collapsed="false">
      <c r="A1444" s="0" t="s">
        <v>664</v>
      </c>
      <c r="B1444" s="0" t="n">
        <v>17</v>
      </c>
      <c r="C1444" s="0" t="n">
        <v>1.85</v>
      </c>
      <c r="D1444" s="0" t="n">
        <v>0.168</v>
      </c>
    </row>
    <row r="1445" customFormat="false" ht="13.8" hidden="true" customHeight="false" outlineLevel="0" collapsed="false">
      <c r="A1445" s="0" t="s">
        <v>664</v>
      </c>
      <c r="B1445" s="0" t="n">
        <v>17</v>
      </c>
      <c r="C1445" s="0" t="n">
        <v>1.9</v>
      </c>
      <c r="D1445" s="0" t="n">
        <v>0.172</v>
      </c>
    </row>
    <row r="1446" customFormat="false" ht="13.8" hidden="true" customHeight="false" outlineLevel="0" collapsed="false">
      <c r="A1446" s="0" t="s">
        <v>664</v>
      </c>
      <c r="B1446" s="0" t="n">
        <v>17</v>
      </c>
      <c r="C1446" s="0" t="n">
        <v>1.95</v>
      </c>
      <c r="D1446" s="0" t="n">
        <v>0.177</v>
      </c>
    </row>
    <row r="1447" customFormat="false" ht="13.8" hidden="true" customHeight="false" outlineLevel="0" collapsed="false">
      <c r="A1447" s="0" t="s">
        <v>664</v>
      </c>
      <c r="B1447" s="0" t="n">
        <v>17</v>
      </c>
      <c r="C1447" s="0" t="n">
        <v>2</v>
      </c>
      <c r="D1447" s="0" t="n">
        <v>0.192</v>
      </c>
    </row>
    <row r="1448" customFormat="false" ht="13.8" hidden="true" customHeight="false" outlineLevel="0" collapsed="false">
      <c r="A1448" s="0" t="s">
        <v>664</v>
      </c>
      <c r="B1448" s="0" t="n">
        <v>17</v>
      </c>
      <c r="C1448" s="0" t="n">
        <v>2.05</v>
      </c>
      <c r="D1448" s="0" t="n">
        <v>0.197</v>
      </c>
    </row>
    <row r="1449" customFormat="false" ht="13.8" hidden="true" customHeight="false" outlineLevel="0" collapsed="false">
      <c r="A1449" s="0" t="s">
        <v>664</v>
      </c>
      <c r="B1449" s="0" t="n">
        <v>17</v>
      </c>
      <c r="C1449" s="0" t="n">
        <v>2.1</v>
      </c>
      <c r="D1449" s="0" t="n">
        <v>0.202</v>
      </c>
    </row>
    <row r="1450" customFormat="false" ht="13.8" hidden="true" customHeight="false" outlineLevel="0" collapsed="false">
      <c r="A1450" s="0" t="s">
        <v>664</v>
      </c>
      <c r="B1450" s="0" t="n">
        <v>17</v>
      </c>
      <c r="C1450" s="0" t="n">
        <v>2.15</v>
      </c>
      <c r="D1450" s="0" t="n">
        <v>0.206712902</v>
      </c>
    </row>
    <row r="1451" customFormat="false" ht="13.8" hidden="true" customHeight="false" outlineLevel="0" collapsed="false">
      <c r="A1451" s="0" t="s">
        <v>664</v>
      </c>
      <c r="B1451" s="0" t="n">
        <v>17</v>
      </c>
      <c r="C1451" s="0" t="n">
        <v>2.2</v>
      </c>
      <c r="D1451" s="0" t="n">
        <v>0.189921701</v>
      </c>
    </row>
    <row r="1452" customFormat="false" ht="13.8" hidden="true" customHeight="false" outlineLevel="0" collapsed="false">
      <c r="A1452" s="0" t="s">
        <v>664</v>
      </c>
      <c r="B1452" s="0" t="n">
        <v>17</v>
      </c>
      <c r="C1452" s="0" t="n">
        <v>2.25</v>
      </c>
      <c r="D1452" s="0" t="n">
        <v>0.194238103</v>
      </c>
    </row>
    <row r="1453" customFormat="false" ht="13.8" hidden="true" customHeight="false" outlineLevel="0" collapsed="false">
      <c r="A1453" s="0" t="s">
        <v>664</v>
      </c>
      <c r="B1453" s="0" t="n">
        <v>17</v>
      </c>
      <c r="C1453" s="0" t="n">
        <v>2.3</v>
      </c>
      <c r="D1453" s="0" t="n">
        <v>0.198554506</v>
      </c>
    </row>
    <row r="1454" customFormat="false" ht="13.8" hidden="true" customHeight="false" outlineLevel="0" collapsed="false">
      <c r="A1454" s="0" t="s">
        <v>664</v>
      </c>
      <c r="B1454" s="0" t="n">
        <v>17</v>
      </c>
      <c r="C1454" s="0" t="n">
        <v>2.35</v>
      </c>
      <c r="D1454" s="0" t="n">
        <v>0.202870908</v>
      </c>
    </row>
    <row r="1455" customFormat="false" ht="13.8" hidden="true" customHeight="false" outlineLevel="0" collapsed="false">
      <c r="A1455" s="0" t="s">
        <v>664</v>
      </c>
      <c r="B1455" s="0" t="n">
        <v>17</v>
      </c>
      <c r="C1455" s="0" t="n">
        <v>2.4</v>
      </c>
      <c r="D1455" s="0" t="n">
        <v>0.20718731</v>
      </c>
    </row>
    <row r="1456" customFormat="false" ht="13.8" hidden="true" customHeight="false" outlineLevel="0" collapsed="false">
      <c r="A1456" s="0" t="s">
        <v>664</v>
      </c>
      <c r="B1456" s="0" t="n">
        <v>17</v>
      </c>
      <c r="C1456" s="0" t="n">
        <v>2.45</v>
      </c>
      <c r="D1456" s="0" t="n">
        <v>0.211503713</v>
      </c>
    </row>
    <row r="1457" customFormat="false" ht="13.8" hidden="true" customHeight="false" outlineLevel="0" collapsed="false">
      <c r="A1457" s="0" t="s">
        <v>664</v>
      </c>
      <c r="B1457" s="0" t="n">
        <v>17</v>
      </c>
      <c r="C1457" s="0" t="n">
        <v>2.5</v>
      </c>
      <c r="D1457" s="0" t="n">
        <v>0.215820115</v>
      </c>
    </row>
    <row r="1458" customFormat="false" ht="13.8" hidden="true" customHeight="false" outlineLevel="0" collapsed="false">
      <c r="A1458" s="0" t="s">
        <v>664</v>
      </c>
      <c r="B1458" s="0" t="n">
        <v>17</v>
      </c>
      <c r="C1458" s="0" t="n">
        <v>2.55</v>
      </c>
      <c r="D1458" s="0" t="n">
        <v>0.220136517</v>
      </c>
    </row>
    <row r="1459" customFormat="false" ht="13.8" hidden="true" customHeight="false" outlineLevel="0" collapsed="false">
      <c r="A1459" s="0" t="s">
        <v>664</v>
      </c>
      <c r="B1459" s="0" t="n">
        <v>17</v>
      </c>
      <c r="C1459" s="0" t="n">
        <v>2.6</v>
      </c>
      <c r="D1459" s="0" t="n">
        <v>0.224452919</v>
      </c>
    </row>
    <row r="1460" customFormat="false" ht="13.8" hidden="true" customHeight="false" outlineLevel="0" collapsed="false">
      <c r="A1460" s="0" t="s">
        <v>667</v>
      </c>
      <c r="B1460" s="0" t="n">
        <v>13</v>
      </c>
      <c r="C1460" s="0" t="n">
        <v>1.3</v>
      </c>
      <c r="D1460" s="0" t="n">
        <v>0</v>
      </c>
    </row>
    <row r="1461" customFormat="false" ht="13.8" hidden="true" customHeight="false" outlineLevel="0" collapsed="false">
      <c r="A1461" s="0" t="s">
        <v>667</v>
      </c>
      <c r="B1461" s="0" t="n">
        <v>13</v>
      </c>
      <c r="C1461" s="0" t="n">
        <v>1.35</v>
      </c>
      <c r="D1461" s="0" t="n">
        <v>0</v>
      </c>
    </row>
    <row r="1462" customFormat="false" ht="13.8" hidden="true" customHeight="false" outlineLevel="0" collapsed="false">
      <c r="A1462" s="0" t="s">
        <v>667</v>
      </c>
      <c r="B1462" s="0" t="n">
        <v>13</v>
      </c>
      <c r="C1462" s="0" t="n">
        <v>1.4</v>
      </c>
      <c r="D1462" s="0" t="n">
        <v>0</v>
      </c>
    </row>
    <row r="1463" customFormat="false" ht="13.8" hidden="true" customHeight="false" outlineLevel="0" collapsed="false">
      <c r="A1463" s="0" t="s">
        <v>667</v>
      </c>
      <c r="B1463" s="0" t="n">
        <v>13</v>
      </c>
      <c r="C1463" s="0" t="n">
        <v>1.45</v>
      </c>
      <c r="D1463" s="0" t="n">
        <v>0</v>
      </c>
    </row>
    <row r="1464" customFormat="false" ht="13.8" hidden="true" customHeight="false" outlineLevel="0" collapsed="false">
      <c r="A1464" s="0" t="s">
        <v>667</v>
      </c>
      <c r="B1464" s="0" t="n">
        <v>13</v>
      </c>
      <c r="C1464" s="0" t="n">
        <v>1.5</v>
      </c>
      <c r="D1464" s="0" t="n">
        <v>0</v>
      </c>
    </row>
    <row r="1465" customFormat="false" ht="13.8" hidden="true" customHeight="false" outlineLevel="0" collapsed="false">
      <c r="A1465" s="0" t="s">
        <v>667</v>
      </c>
      <c r="B1465" s="0" t="n">
        <v>13</v>
      </c>
      <c r="C1465" s="0" t="n">
        <v>1.55</v>
      </c>
      <c r="D1465" s="0" t="n">
        <v>0</v>
      </c>
    </row>
    <row r="1466" customFormat="false" ht="13.8" hidden="true" customHeight="false" outlineLevel="0" collapsed="false">
      <c r="A1466" s="0" t="s">
        <v>667</v>
      </c>
      <c r="B1466" s="0" t="n">
        <v>13</v>
      </c>
      <c r="C1466" s="0" t="n">
        <v>1.6</v>
      </c>
      <c r="D1466" s="0" t="n">
        <v>0.2729142</v>
      </c>
    </row>
    <row r="1467" customFormat="false" ht="13.8" hidden="true" customHeight="false" outlineLevel="0" collapsed="false">
      <c r="A1467" s="0" t="s">
        <v>667</v>
      </c>
      <c r="B1467" s="0" t="n">
        <v>13</v>
      </c>
      <c r="C1467" s="0" t="n">
        <v>1.65</v>
      </c>
      <c r="D1467" s="0" t="n">
        <v>0.281442769</v>
      </c>
    </row>
    <row r="1468" customFormat="false" ht="13.8" hidden="true" customHeight="false" outlineLevel="0" collapsed="false">
      <c r="A1468" s="0" t="s">
        <v>667</v>
      </c>
      <c r="B1468" s="0" t="n">
        <v>13</v>
      </c>
      <c r="C1468" s="0" t="n">
        <v>1.7</v>
      </c>
      <c r="D1468" s="0" t="n">
        <v>0.289971338</v>
      </c>
    </row>
    <row r="1469" customFormat="false" ht="13.8" hidden="true" customHeight="false" outlineLevel="0" collapsed="false">
      <c r="A1469" s="0" t="s">
        <v>667</v>
      </c>
      <c r="B1469" s="0" t="n">
        <v>13</v>
      </c>
      <c r="C1469" s="0" t="n">
        <v>1.75</v>
      </c>
      <c r="D1469" s="0" t="n">
        <v>0.298499907</v>
      </c>
    </row>
    <row r="1470" customFormat="false" ht="13.8" hidden="true" customHeight="false" outlineLevel="0" collapsed="false">
      <c r="A1470" s="0" t="s">
        <v>667</v>
      </c>
      <c r="B1470" s="0" t="n">
        <v>13</v>
      </c>
      <c r="C1470" s="0" t="n">
        <v>1.8</v>
      </c>
      <c r="D1470" s="0" t="n">
        <v>0</v>
      </c>
    </row>
    <row r="1471" customFormat="false" ht="13.8" hidden="true" customHeight="false" outlineLevel="0" collapsed="false">
      <c r="A1471" s="0" t="s">
        <v>667</v>
      </c>
      <c r="B1471" s="0" t="n">
        <v>13</v>
      </c>
      <c r="C1471" s="0" t="n">
        <v>1.85</v>
      </c>
      <c r="D1471" s="0" t="n">
        <v>0</v>
      </c>
    </row>
    <row r="1472" customFormat="false" ht="13.8" hidden="true" customHeight="false" outlineLevel="0" collapsed="false">
      <c r="A1472" s="0" t="s">
        <v>667</v>
      </c>
      <c r="B1472" s="0" t="n">
        <v>13</v>
      </c>
      <c r="C1472" s="0" t="n">
        <v>1.9</v>
      </c>
      <c r="D1472" s="0" t="n">
        <v>0</v>
      </c>
    </row>
    <row r="1473" customFormat="false" ht="13.8" hidden="true" customHeight="false" outlineLevel="0" collapsed="false">
      <c r="A1473" s="0" t="s">
        <v>667</v>
      </c>
      <c r="B1473" s="0" t="n">
        <v>13</v>
      </c>
      <c r="C1473" s="0" t="n">
        <v>1.95</v>
      </c>
      <c r="D1473" s="0" t="n">
        <v>0</v>
      </c>
    </row>
    <row r="1474" customFormat="false" ht="13.8" hidden="true" customHeight="false" outlineLevel="0" collapsed="false">
      <c r="A1474" s="0" t="s">
        <v>667</v>
      </c>
      <c r="B1474" s="0" t="n">
        <v>13</v>
      </c>
      <c r="C1474" s="0" t="n">
        <v>2</v>
      </c>
      <c r="D1474" s="0" t="n">
        <v>0</v>
      </c>
    </row>
    <row r="1475" customFormat="false" ht="13.8" hidden="true" customHeight="false" outlineLevel="0" collapsed="false">
      <c r="A1475" s="0" t="s">
        <v>667</v>
      </c>
      <c r="B1475" s="0" t="n">
        <v>13</v>
      </c>
      <c r="C1475" s="0" t="n">
        <v>2.05</v>
      </c>
      <c r="D1475" s="0" t="n">
        <v>0</v>
      </c>
    </row>
    <row r="1476" customFormat="false" ht="13.8" hidden="true" customHeight="false" outlineLevel="0" collapsed="false">
      <c r="A1476" s="0" t="s">
        <v>667</v>
      </c>
      <c r="B1476" s="0" t="n">
        <v>13</v>
      </c>
      <c r="C1476" s="0" t="n">
        <v>2.1</v>
      </c>
      <c r="D1476" s="0" t="n">
        <v>0</v>
      </c>
    </row>
    <row r="1477" customFormat="false" ht="13.8" hidden="true" customHeight="false" outlineLevel="0" collapsed="false">
      <c r="A1477" s="0" t="s">
        <v>667</v>
      </c>
      <c r="B1477" s="0" t="n">
        <v>13</v>
      </c>
      <c r="C1477" s="0" t="n">
        <v>2.15</v>
      </c>
      <c r="D1477" s="0" t="n">
        <v>0</v>
      </c>
    </row>
    <row r="1478" customFormat="false" ht="13.8" hidden="true" customHeight="false" outlineLevel="0" collapsed="false">
      <c r="A1478" s="0" t="s">
        <v>667</v>
      </c>
      <c r="B1478" s="0" t="n">
        <v>13</v>
      </c>
      <c r="C1478" s="0" t="n">
        <v>2.2</v>
      </c>
      <c r="D1478" s="0" t="n">
        <v>0</v>
      </c>
    </row>
    <row r="1479" customFormat="false" ht="13.8" hidden="true" customHeight="false" outlineLevel="0" collapsed="false">
      <c r="A1479" s="0" t="s">
        <v>667</v>
      </c>
      <c r="B1479" s="0" t="n">
        <v>13</v>
      </c>
      <c r="C1479" s="0" t="n">
        <v>2.25</v>
      </c>
      <c r="D1479" s="0" t="n">
        <v>0</v>
      </c>
    </row>
    <row r="1480" customFormat="false" ht="13.8" hidden="true" customHeight="false" outlineLevel="0" collapsed="false">
      <c r="A1480" s="0" t="s">
        <v>667</v>
      </c>
      <c r="B1480" s="0" t="n">
        <v>13</v>
      </c>
      <c r="C1480" s="0" t="n">
        <v>2.3</v>
      </c>
      <c r="D1480" s="0" t="n">
        <v>0</v>
      </c>
    </row>
    <row r="1481" customFormat="false" ht="13.8" hidden="true" customHeight="false" outlineLevel="0" collapsed="false">
      <c r="A1481" s="0" t="s">
        <v>667</v>
      </c>
      <c r="B1481" s="0" t="n">
        <v>13</v>
      </c>
      <c r="C1481" s="0" t="n">
        <v>2.35</v>
      </c>
      <c r="D1481" s="0" t="n">
        <v>0</v>
      </c>
    </row>
    <row r="1482" customFormat="false" ht="13.8" hidden="true" customHeight="false" outlineLevel="0" collapsed="false">
      <c r="A1482" s="0" t="s">
        <v>667</v>
      </c>
      <c r="B1482" s="0" t="n">
        <v>13</v>
      </c>
      <c r="C1482" s="0" t="n">
        <v>2.4</v>
      </c>
      <c r="D1482" s="0" t="n">
        <v>0</v>
      </c>
    </row>
    <row r="1483" customFormat="false" ht="13.8" hidden="true" customHeight="false" outlineLevel="0" collapsed="false">
      <c r="A1483" s="0" t="s">
        <v>667</v>
      </c>
      <c r="B1483" s="0" t="n">
        <v>13</v>
      </c>
      <c r="C1483" s="0" t="n">
        <v>2.45</v>
      </c>
      <c r="D1483" s="0" t="n">
        <v>0</v>
      </c>
    </row>
    <row r="1484" customFormat="false" ht="13.8" hidden="true" customHeight="false" outlineLevel="0" collapsed="false">
      <c r="A1484" s="0" t="s">
        <v>667</v>
      </c>
      <c r="B1484" s="0" t="n">
        <v>13</v>
      </c>
      <c r="C1484" s="0" t="n">
        <v>2.5</v>
      </c>
      <c r="D1484" s="0" t="n">
        <v>0</v>
      </c>
    </row>
    <row r="1485" customFormat="false" ht="13.8" hidden="true" customHeight="false" outlineLevel="0" collapsed="false">
      <c r="A1485" s="0" t="s">
        <v>667</v>
      </c>
      <c r="B1485" s="0" t="n">
        <v>13</v>
      </c>
      <c r="C1485" s="0" t="n">
        <v>2.55</v>
      </c>
      <c r="D1485" s="0" t="n">
        <v>0</v>
      </c>
    </row>
    <row r="1486" customFormat="false" ht="13.8" hidden="true" customHeight="false" outlineLevel="0" collapsed="false">
      <c r="A1486" s="0" t="s">
        <v>667</v>
      </c>
      <c r="B1486" s="0" t="n">
        <v>13</v>
      </c>
      <c r="C1486" s="0" t="n">
        <v>2.6</v>
      </c>
      <c r="D1486" s="0" t="n">
        <v>0</v>
      </c>
    </row>
    <row r="1487" customFormat="false" ht="13.8" hidden="true" customHeight="false" outlineLevel="0" collapsed="false">
      <c r="A1487" s="0" t="s">
        <v>667</v>
      </c>
      <c r="B1487" s="0" t="n">
        <v>20</v>
      </c>
      <c r="C1487" s="0" t="n">
        <v>1.3</v>
      </c>
      <c r="D1487" s="0" t="n">
        <v>0</v>
      </c>
    </row>
    <row r="1488" customFormat="false" ht="13.8" hidden="true" customHeight="false" outlineLevel="0" collapsed="false">
      <c r="A1488" s="0" t="s">
        <v>667</v>
      </c>
      <c r="B1488" s="0" t="n">
        <v>20</v>
      </c>
      <c r="C1488" s="0" t="n">
        <v>1.35</v>
      </c>
      <c r="D1488" s="0" t="n">
        <v>0</v>
      </c>
    </row>
    <row r="1489" customFormat="false" ht="13.8" hidden="true" customHeight="false" outlineLevel="0" collapsed="false">
      <c r="A1489" s="0" t="s">
        <v>667</v>
      </c>
      <c r="B1489" s="0" t="n">
        <v>20</v>
      </c>
      <c r="C1489" s="0" t="n">
        <v>1.4</v>
      </c>
      <c r="D1489" s="0" t="n">
        <v>0</v>
      </c>
    </row>
    <row r="1490" customFormat="false" ht="13.8" hidden="true" customHeight="false" outlineLevel="0" collapsed="false">
      <c r="A1490" s="0" t="s">
        <v>667</v>
      </c>
      <c r="B1490" s="0" t="n">
        <v>20</v>
      </c>
      <c r="C1490" s="0" t="n">
        <v>1.45</v>
      </c>
      <c r="D1490" s="0" t="n">
        <v>0</v>
      </c>
    </row>
    <row r="1491" customFormat="false" ht="13.8" hidden="true" customHeight="false" outlineLevel="0" collapsed="false">
      <c r="A1491" s="0" t="s">
        <v>667</v>
      </c>
      <c r="B1491" s="0" t="n">
        <v>20</v>
      </c>
      <c r="C1491" s="0" t="n">
        <v>1.5</v>
      </c>
      <c r="D1491" s="0" t="n">
        <v>0</v>
      </c>
    </row>
    <row r="1492" customFormat="false" ht="13.8" hidden="true" customHeight="false" outlineLevel="0" collapsed="false">
      <c r="A1492" s="0" t="s">
        <v>667</v>
      </c>
      <c r="B1492" s="0" t="n">
        <v>20</v>
      </c>
      <c r="C1492" s="0" t="n">
        <v>1.55</v>
      </c>
      <c r="D1492" s="0" t="n">
        <v>0</v>
      </c>
    </row>
    <row r="1493" customFormat="false" ht="13.8" hidden="true" customHeight="false" outlineLevel="0" collapsed="false">
      <c r="A1493" s="0" t="s">
        <v>667</v>
      </c>
      <c r="B1493" s="0" t="n">
        <v>20</v>
      </c>
      <c r="C1493" s="0" t="n">
        <v>1.6</v>
      </c>
      <c r="D1493" s="0" t="n">
        <v>0.273</v>
      </c>
    </row>
    <row r="1494" customFormat="false" ht="13.8" hidden="true" customHeight="false" outlineLevel="0" collapsed="false">
      <c r="A1494" s="0" t="s">
        <v>667</v>
      </c>
      <c r="B1494" s="0" t="n">
        <v>20</v>
      </c>
      <c r="C1494" s="0" t="n">
        <v>1.65</v>
      </c>
      <c r="D1494" s="0" t="n">
        <v>0.281</v>
      </c>
    </row>
    <row r="1495" customFormat="false" ht="13.8" hidden="true" customHeight="false" outlineLevel="0" collapsed="false">
      <c r="A1495" s="0" t="s">
        <v>667</v>
      </c>
      <c r="B1495" s="0" t="n">
        <v>20</v>
      </c>
      <c r="C1495" s="0" t="n">
        <v>1.7</v>
      </c>
      <c r="D1495" s="0" t="n">
        <v>0.29</v>
      </c>
    </row>
    <row r="1496" customFormat="false" ht="13.8" hidden="true" customHeight="false" outlineLevel="0" collapsed="false">
      <c r="A1496" s="0" t="s">
        <v>667</v>
      </c>
      <c r="B1496" s="0" t="n">
        <v>20</v>
      </c>
      <c r="C1496" s="0" t="n">
        <v>1.75</v>
      </c>
      <c r="D1496" s="0" t="n">
        <v>0.298</v>
      </c>
    </row>
    <row r="1497" customFormat="false" ht="13.8" hidden="true" customHeight="false" outlineLevel="0" collapsed="false">
      <c r="A1497" s="0" t="s">
        <v>667</v>
      </c>
      <c r="B1497" s="0" t="n">
        <v>20</v>
      </c>
      <c r="C1497" s="0" t="n">
        <v>1.8</v>
      </c>
      <c r="D1497" s="0" t="n">
        <v>0</v>
      </c>
    </row>
    <row r="1498" customFormat="false" ht="13.8" hidden="true" customHeight="false" outlineLevel="0" collapsed="false">
      <c r="A1498" s="0" t="s">
        <v>667</v>
      </c>
      <c r="B1498" s="0" t="n">
        <v>20</v>
      </c>
      <c r="C1498" s="0" t="n">
        <v>1.85</v>
      </c>
      <c r="D1498" s="0" t="n">
        <v>0</v>
      </c>
    </row>
    <row r="1499" customFormat="false" ht="13.8" hidden="true" customHeight="false" outlineLevel="0" collapsed="false">
      <c r="A1499" s="0" t="s">
        <v>667</v>
      </c>
      <c r="B1499" s="0" t="n">
        <v>20</v>
      </c>
      <c r="C1499" s="0" t="n">
        <v>1.9</v>
      </c>
      <c r="D1499" s="0" t="n">
        <v>0</v>
      </c>
    </row>
    <row r="1500" customFormat="false" ht="13.8" hidden="true" customHeight="false" outlineLevel="0" collapsed="false">
      <c r="A1500" s="0" t="s">
        <v>667</v>
      </c>
      <c r="B1500" s="0" t="n">
        <v>20</v>
      </c>
      <c r="C1500" s="0" t="n">
        <v>1.95</v>
      </c>
      <c r="D1500" s="0" t="n">
        <v>0</v>
      </c>
    </row>
    <row r="1501" customFormat="false" ht="13.8" hidden="true" customHeight="false" outlineLevel="0" collapsed="false">
      <c r="A1501" s="0" t="s">
        <v>667</v>
      </c>
      <c r="B1501" s="0" t="n">
        <v>20</v>
      </c>
      <c r="C1501" s="0" t="n">
        <v>2</v>
      </c>
      <c r="D1501" s="0" t="n">
        <v>0</v>
      </c>
    </row>
    <row r="1502" customFormat="false" ht="13.8" hidden="true" customHeight="false" outlineLevel="0" collapsed="false">
      <c r="A1502" s="0" t="s">
        <v>667</v>
      </c>
      <c r="B1502" s="0" t="n">
        <v>20</v>
      </c>
      <c r="C1502" s="0" t="n">
        <v>2.05</v>
      </c>
      <c r="D1502" s="0" t="n">
        <v>0</v>
      </c>
    </row>
    <row r="1503" customFormat="false" ht="13.8" hidden="true" customHeight="false" outlineLevel="0" collapsed="false">
      <c r="A1503" s="0" t="s">
        <v>667</v>
      </c>
      <c r="B1503" s="0" t="n">
        <v>20</v>
      </c>
      <c r="C1503" s="0" t="n">
        <v>2.1</v>
      </c>
      <c r="D1503" s="0" t="n">
        <v>0</v>
      </c>
    </row>
    <row r="1504" customFormat="false" ht="13.8" hidden="true" customHeight="false" outlineLevel="0" collapsed="false">
      <c r="A1504" s="0" t="s">
        <v>667</v>
      </c>
      <c r="B1504" s="0" t="n">
        <v>20</v>
      </c>
      <c r="C1504" s="0" t="n">
        <v>2.15</v>
      </c>
      <c r="D1504" s="0" t="n">
        <v>0</v>
      </c>
    </row>
    <row r="1505" customFormat="false" ht="13.8" hidden="true" customHeight="false" outlineLevel="0" collapsed="false">
      <c r="A1505" s="0" t="s">
        <v>667</v>
      </c>
      <c r="B1505" s="0" t="n">
        <v>20</v>
      </c>
      <c r="C1505" s="0" t="n">
        <v>2.2</v>
      </c>
      <c r="D1505" s="0" t="n">
        <v>0</v>
      </c>
    </row>
    <row r="1506" customFormat="false" ht="13.8" hidden="true" customHeight="false" outlineLevel="0" collapsed="false">
      <c r="A1506" s="0" t="s">
        <v>667</v>
      </c>
      <c r="B1506" s="0" t="n">
        <v>20</v>
      </c>
      <c r="C1506" s="0" t="n">
        <v>2.25</v>
      </c>
      <c r="D1506" s="0" t="n">
        <v>0</v>
      </c>
    </row>
    <row r="1507" customFormat="false" ht="13.8" hidden="true" customHeight="false" outlineLevel="0" collapsed="false">
      <c r="A1507" s="0" t="s">
        <v>667</v>
      </c>
      <c r="B1507" s="0" t="n">
        <v>20</v>
      </c>
      <c r="C1507" s="0" t="n">
        <v>2.3</v>
      </c>
      <c r="D1507" s="0" t="n">
        <v>0</v>
      </c>
    </row>
    <row r="1508" customFormat="false" ht="13.8" hidden="true" customHeight="false" outlineLevel="0" collapsed="false">
      <c r="A1508" s="0" t="s">
        <v>667</v>
      </c>
      <c r="B1508" s="0" t="n">
        <v>20</v>
      </c>
      <c r="C1508" s="0" t="n">
        <v>2.35</v>
      </c>
      <c r="D1508" s="0" t="n">
        <v>0</v>
      </c>
    </row>
    <row r="1509" customFormat="false" ht="13.8" hidden="true" customHeight="false" outlineLevel="0" collapsed="false">
      <c r="A1509" s="0" t="s">
        <v>667</v>
      </c>
      <c r="B1509" s="0" t="n">
        <v>20</v>
      </c>
      <c r="C1509" s="0" t="n">
        <v>2.4</v>
      </c>
      <c r="D1509" s="0" t="n">
        <v>0</v>
      </c>
    </row>
    <row r="1510" customFormat="false" ht="13.8" hidden="true" customHeight="false" outlineLevel="0" collapsed="false">
      <c r="A1510" s="0" t="s">
        <v>667</v>
      </c>
      <c r="B1510" s="0" t="n">
        <v>20</v>
      </c>
      <c r="C1510" s="0" t="n">
        <v>2.45</v>
      </c>
      <c r="D1510" s="0" t="n">
        <v>0</v>
      </c>
    </row>
    <row r="1511" customFormat="false" ht="13.8" hidden="true" customHeight="false" outlineLevel="0" collapsed="false">
      <c r="A1511" s="0" t="s">
        <v>667</v>
      </c>
      <c r="B1511" s="0" t="n">
        <v>20</v>
      </c>
      <c r="C1511" s="0" t="n">
        <v>2.5</v>
      </c>
      <c r="D1511" s="0" t="n">
        <v>0</v>
      </c>
    </row>
    <row r="1512" customFormat="false" ht="13.8" hidden="true" customHeight="false" outlineLevel="0" collapsed="false">
      <c r="A1512" s="0" t="s">
        <v>667</v>
      </c>
      <c r="B1512" s="0" t="n">
        <v>20</v>
      </c>
      <c r="C1512" s="0" t="n">
        <v>2.55</v>
      </c>
      <c r="D1512" s="0" t="n">
        <v>0</v>
      </c>
    </row>
    <row r="1513" customFormat="false" ht="13.8" hidden="true" customHeight="false" outlineLevel="0" collapsed="false">
      <c r="A1513" s="0" t="s">
        <v>667</v>
      </c>
      <c r="B1513" s="0" t="n">
        <v>20</v>
      </c>
      <c r="C1513" s="0" t="n">
        <v>2.6</v>
      </c>
      <c r="D1513" s="0" t="n">
        <v>0</v>
      </c>
    </row>
    <row r="1514" customFormat="false" ht="13.8" hidden="true" customHeight="false" outlineLevel="0" collapsed="false">
      <c r="A1514" s="0" t="s">
        <v>670</v>
      </c>
      <c r="B1514" s="0" t="n">
        <v>15</v>
      </c>
      <c r="C1514" s="0" t="n">
        <v>1.3</v>
      </c>
      <c r="D1514" s="0" t="n">
        <v>0</v>
      </c>
    </row>
    <row r="1515" customFormat="false" ht="13.8" hidden="true" customHeight="false" outlineLevel="0" collapsed="false">
      <c r="A1515" s="0" t="s">
        <v>670</v>
      </c>
      <c r="B1515" s="0" t="n">
        <v>15</v>
      </c>
      <c r="C1515" s="0" t="n">
        <v>1.35</v>
      </c>
      <c r="D1515" s="0" t="n">
        <v>0</v>
      </c>
    </row>
    <row r="1516" customFormat="false" ht="13.8" hidden="true" customHeight="false" outlineLevel="0" collapsed="false">
      <c r="A1516" s="0" t="s">
        <v>670</v>
      </c>
      <c r="B1516" s="0" t="n">
        <v>15</v>
      </c>
      <c r="C1516" s="0" t="n">
        <v>1.4</v>
      </c>
      <c r="D1516" s="0" t="n">
        <v>0</v>
      </c>
    </row>
    <row r="1517" customFormat="false" ht="13.8" hidden="true" customHeight="false" outlineLevel="0" collapsed="false">
      <c r="A1517" s="0" t="s">
        <v>670</v>
      </c>
      <c r="B1517" s="0" t="n">
        <v>15</v>
      </c>
      <c r="C1517" s="0" t="n">
        <v>1.45</v>
      </c>
      <c r="D1517" s="0" t="n">
        <v>0</v>
      </c>
    </row>
    <row r="1518" customFormat="false" ht="13.8" hidden="true" customHeight="false" outlineLevel="0" collapsed="false">
      <c r="A1518" s="0" t="s">
        <v>670</v>
      </c>
      <c r="B1518" s="0" t="n">
        <v>15</v>
      </c>
      <c r="C1518" s="0" t="n">
        <v>1.5</v>
      </c>
      <c r="D1518" s="0" t="n">
        <v>0</v>
      </c>
    </row>
    <row r="1519" customFormat="false" ht="13.8" hidden="true" customHeight="false" outlineLevel="0" collapsed="false">
      <c r="A1519" s="0" t="s">
        <v>670</v>
      </c>
      <c r="B1519" s="0" t="n">
        <v>15</v>
      </c>
      <c r="C1519" s="0" t="n">
        <v>1.55</v>
      </c>
      <c r="D1519" s="0" t="n">
        <v>0</v>
      </c>
    </row>
    <row r="1520" customFormat="false" ht="13.8" hidden="true" customHeight="false" outlineLevel="0" collapsed="false">
      <c r="A1520" s="0" t="s">
        <v>670</v>
      </c>
      <c r="B1520" s="0" t="n">
        <v>15</v>
      </c>
      <c r="C1520" s="0" t="n">
        <v>1.6</v>
      </c>
      <c r="D1520" s="0" t="n">
        <v>0.136</v>
      </c>
    </row>
    <row r="1521" customFormat="false" ht="13.8" hidden="true" customHeight="false" outlineLevel="0" collapsed="false">
      <c r="A1521" s="0" t="s">
        <v>670</v>
      </c>
      <c r="B1521" s="0" t="n">
        <v>15</v>
      </c>
      <c r="C1521" s="0" t="n">
        <v>1.65</v>
      </c>
      <c r="D1521" s="0" t="n">
        <v>0.141</v>
      </c>
    </row>
    <row r="1522" customFormat="false" ht="13.8" hidden="true" customHeight="false" outlineLevel="0" collapsed="false">
      <c r="A1522" s="0" t="s">
        <v>670</v>
      </c>
      <c r="B1522" s="0" t="n">
        <v>15</v>
      </c>
      <c r="C1522" s="0" t="n">
        <v>1.7</v>
      </c>
      <c r="D1522" s="0" t="n">
        <v>0.145</v>
      </c>
    </row>
    <row r="1523" customFormat="false" ht="13.8" hidden="true" customHeight="false" outlineLevel="0" collapsed="false">
      <c r="A1523" s="0" t="s">
        <v>670</v>
      </c>
      <c r="B1523" s="0" t="n">
        <v>15</v>
      </c>
      <c r="C1523" s="0" t="n">
        <v>1.75</v>
      </c>
      <c r="D1523" s="0" t="n">
        <v>0.149</v>
      </c>
    </row>
    <row r="1524" customFormat="false" ht="13.8" hidden="true" customHeight="false" outlineLevel="0" collapsed="false">
      <c r="A1524" s="0" t="s">
        <v>670</v>
      </c>
      <c r="B1524" s="0" t="n">
        <v>15</v>
      </c>
      <c r="C1524" s="0" t="n">
        <v>1.8</v>
      </c>
      <c r="D1524" s="0" t="n">
        <v>0.163</v>
      </c>
    </row>
    <row r="1525" customFormat="false" ht="13.8" hidden="true" customHeight="false" outlineLevel="0" collapsed="false">
      <c r="A1525" s="0" t="s">
        <v>670</v>
      </c>
      <c r="B1525" s="0" t="n">
        <v>15</v>
      </c>
      <c r="C1525" s="0" t="n">
        <v>1.85</v>
      </c>
      <c r="D1525" s="0" t="n">
        <v>0.168</v>
      </c>
    </row>
    <row r="1526" customFormat="false" ht="13.8" hidden="true" customHeight="false" outlineLevel="0" collapsed="false">
      <c r="A1526" s="0" t="s">
        <v>670</v>
      </c>
      <c r="B1526" s="0" t="n">
        <v>15</v>
      </c>
      <c r="C1526" s="0" t="n">
        <v>1.9</v>
      </c>
      <c r="D1526" s="0" t="n">
        <v>0.172</v>
      </c>
    </row>
    <row r="1527" customFormat="false" ht="13.8" hidden="true" customHeight="false" outlineLevel="0" collapsed="false">
      <c r="A1527" s="0" t="s">
        <v>670</v>
      </c>
      <c r="B1527" s="0" t="n">
        <v>15</v>
      </c>
      <c r="C1527" s="0" t="n">
        <v>1.95</v>
      </c>
      <c r="D1527" s="0" t="n">
        <v>0.177</v>
      </c>
    </row>
    <row r="1528" customFormat="false" ht="13.8" hidden="true" customHeight="false" outlineLevel="0" collapsed="false">
      <c r="A1528" s="0" t="s">
        <v>670</v>
      </c>
      <c r="B1528" s="0" t="n">
        <v>15</v>
      </c>
      <c r="C1528" s="0" t="n">
        <v>2</v>
      </c>
      <c r="D1528" s="0" t="n">
        <v>0.192</v>
      </c>
    </row>
    <row r="1529" customFormat="false" ht="13.8" hidden="true" customHeight="false" outlineLevel="0" collapsed="false">
      <c r="A1529" s="0" t="s">
        <v>670</v>
      </c>
      <c r="B1529" s="0" t="n">
        <v>15</v>
      </c>
      <c r="C1529" s="0" t="n">
        <v>2.05</v>
      </c>
      <c r="D1529" s="0" t="n">
        <v>0.197</v>
      </c>
    </row>
    <row r="1530" customFormat="false" ht="13.8" hidden="true" customHeight="false" outlineLevel="0" collapsed="false">
      <c r="A1530" s="0" t="s">
        <v>670</v>
      </c>
      <c r="B1530" s="0" t="n">
        <v>15</v>
      </c>
      <c r="C1530" s="0" t="n">
        <v>2.1</v>
      </c>
      <c r="D1530" s="0" t="n">
        <v>0.202</v>
      </c>
    </row>
    <row r="1531" customFormat="false" ht="13.8" hidden="true" customHeight="false" outlineLevel="0" collapsed="false">
      <c r="A1531" s="0" t="s">
        <v>670</v>
      </c>
      <c r="B1531" s="0" t="n">
        <v>15</v>
      </c>
      <c r="C1531" s="0" t="n">
        <v>2.15</v>
      </c>
      <c r="D1531" s="0" t="n">
        <v>0.206712902</v>
      </c>
    </row>
    <row r="1532" customFormat="false" ht="13.8" hidden="true" customHeight="false" outlineLevel="0" collapsed="false">
      <c r="A1532" s="0" t="s">
        <v>670</v>
      </c>
      <c r="B1532" s="0" t="n">
        <v>15</v>
      </c>
      <c r="C1532" s="0" t="n">
        <v>2.2</v>
      </c>
      <c r="D1532" s="0" t="n">
        <v>0.189921701</v>
      </c>
    </row>
    <row r="1533" customFormat="false" ht="13.8" hidden="true" customHeight="false" outlineLevel="0" collapsed="false">
      <c r="A1533" s="0" t="s">
        <v>670</v>
      </c>
      <c r="B1533" s="0" t="n">
        <v>15</v>
      </c>
      <c r="C1533" s="0" t="n">
        <v>2.25</v>
      </c>
      <c r="D1533" s="0" t="n">
        <v>0.194238103</v>
      </c>
    </row>
    <row r="1534" customFormat="false" ht="13.8" hidden="true" customHeight="false" outlineLevel="0" collapsed="false">
      <c r="A1534" s="0" t="s">
        <v>670</v>
      </c>
      <c r="B1534" s="0" t="n">
        <v>15</v>
      </c>
      <c r="C1534" s="0" t="n">
        <v>2.3</v>
      </c>
      <c r="D1534" s="0" t="n">
        <v>0.198554506</v>
      </c>
    </row>
    <row r="1535" customFormat="false" ht="13.8" hidden="true" customHeight="false" outlineLevel="0" collapsed="false">
      <c r="A1535" s="0" t="s">
        <v>670</v>
      </c>
      <c r="B1535" s="0" t="n">
        <v>15</v>
      </c>
      <c r="C1535" s="0" t="n">
        <v>2.35</v>
      </c>
      <c r="D1535" s="0" t="n">
        <v>0.202870908</v>
      </c>
    </row>
    <row r="1536" customFormat="false" ht="13.8" hidden="true" customHeight="false" outlineLevel="0" collapsed="false">
      <c r="A1536" s="0" t="s">
        <v>670</v>
      </c>
      <c r="B1536" s="0" t="n">
        <v>15</v>
      </c>
      <c r="C1536" s="0" t="n">
        <v>2.4</v>
      </c>
      <c r="D1536" s="0" t="n">
        <v>0.20718731</v>
      </c>
    </row>
    <row r="1537" customFormat="false" ht="13.8" hidden="true" customHeight="false" outlineLevel="0" collapsed="false">
      <c r="A1537" s="0" t="s">
        <v>670</v>
      </c>
      <c r="B1537" s="0" t="n">
        <v>15</v>
      </c>
      <c r="C1537" s="0" t="n">
        <v>2.45</v>
      </c>
      <c r="D1537" s="0" t="n">
        <v>0.211503713</v>
      </c>
    </row>
    <row r="1538" customFormat="false" ht="13.8" hidden="true" customHeight="false" outlineLevel="0" collapsed="false">
      <c r="A1538" s="0" t="s">
        <v>670</v>
      </c>
      <c r="B1538" s="0" t="n">
        <v>15</v>
      </c>
      <c r="C1538" s="0" t="n">
        <v>2.5</v>
      </c>
      <c r="D1538" s="0" t="n">
        <v>0.215820115</v>
      </c>
    </row>
    <row r="1539" customFormat="false" ht="13.8" hidden="true" customHeight="false" outlineLevel="0" collapsed="false">
      <c r="A1539" s="0" t="s">
        <v>670</v>
      </c>
      <c r="B1539" s="0" t="n">
        <v>15</v>
      </c>
      <c r="C1539" s="0" t="n">
        <v>2.55</v>
      </c>
      <c r="D1539" s="0" t="n">
        <v>0.220136517</v>
      </c>
    </row>
    <row r="1540" customFormat="false" ht="13.8" hidden="true" customHeight="false" outlineLevel="0" collapsed="false">
      <c r="A1540" s="0" t="s">
        <v>670</v>
      </c>
      <c r="B1540" s="0" t="n">
        <v>15</v>
      </c>
      <c r="C1540" s="0" t="n">
        <v>2.6</v>
      </c>
      <c r="D1540" s="0" t="n">
        <v>0.224452919</v>
      </c>
    </row>
    <row r="1541" customFormat="false" ht="13.8" hidden="true" customHeight="false" outlineLevel="0" collapsed="false">
      <c r="A1541" s="0" t="s">
        <v>670</v>
      </c>
      <c r="B1541" s="0" t="n">
        <v>22</v>
      </c>
      <c r="C1541" s="0" t="n">
        <v>1.3</v>
      </c>
      <c r="D1541" s="0" t="n">
        <v>0</v>
      </c>
    </row>
    <row r="1542" customFormat="false" ht="13.8" hidden="true" customHeight="false" outlineLevel="0" collapsed="false">
      <c r="A1542" s="0" t="s">
        <v>670</v>
      </c>
      <c r="B1542" s="0" t="n">
        <v>22</v>
      </c>
      <c r="C1542" s="0" t="n">
        <v>1.35</v>
      </c>
      <c r="D1542" s="0" t="n">
        <v>0</v>
      </c>
    </row>
    <row r="1543" customFormat="false" ht="13.8" hidden="true" customHeight="false" outlineLevel="0" collapsed="false">
      <c r="A1543" s="0" t="s">
        <v>670</v>
      </c>
      <c r="B1543" s="0" t="n">
        <v>22</v>
      </c>
      <c r="C1543" s="0" t="n">
        <v>1.4</v>
      </c>
      <c r="D1543" s="0" t="n">
        <v>0</v>
      </c>
    </row>
    <row r="1544" customFormat="false" ht="13.8" hidden="true" customHeight="false" outlineLevel="0" collapsed="false">
      <c r="A1544" s="0" t="s">
        <v>670</v>
      </c>
      <c r="B1544" s="0" t="n">
        <v>22</v>
      </c>
      <c r="C1544" s="0" t="n">
        <v>1.45</v>
      </c>
      <c r="D1544" s="0" t="n">
        <v>0</v>
      </c>
    </row>
    <row r="1545" customFormat="false" ht="13.8" hidden="true" customHeight="false" outlineLevel="0" collapsed="false">
      <c r="A1545" s="0" t="s">
        <v>670</v>
      </c>
      <c r="B1545" s="0" t="n">
        <v>22</v>
      </c>
      <c r="C1545" s="0" t="n">
        <v>1.5</v>
      </c>
      <c r="D1545" s="0" t="n">
        <v>0</v>
      </c>
    </row>
    <row r="1546" customFormat="false" ht="13.8" hidden="true" customHeight="false" outlineLevel="0" collapsed="false">
      <c r="A1546" s="0" t="s">
        <v>670</v>
      </c>
      <c r="B1546" s="0" t="n">
        <v>22</v>
      </c>
      <c r="C1546" s="0" t="n">
        <v>1.55</v>
      </c>
      <c r="D1546" s="0" t="n">
        <v>0</v>
      </c>
    </row>
    <row r="1547" customFormat="false" ht="13.8" hidden="true" customHeight="false" outlineLevel="0" collapsed="false">
      <c r="A1547" s="0" t="s">
        <v>670</v>
      </c>
      <c r="B1547" s="0" t="n">
        <v>22</v>
      </c>
      <c r="C1547" s="0" t="n">
        <v>1.6</v>
      </c>
      <c r="D1547" s="0" t="n">
        <v>0.136</v>
      </c>
    </row>
    <row r="1548" customFormat="false" ht="13.8" hidden="true" customHeight="false" outlineLevel="0" collapsed="false">
      <c r="A1548" s="0" t="s">
        <v>670</v>
      </c>
      <c r="B1548" s="0" t="n">
        <v>22</v>
      </c>
      <c r="C1548" s="0" t="n">
        <v>1.65</v>
      </c>
      <c r="D1548" s="0" t="n">
        <v>0.141</v>
      </c>
    </row>
    <row r="1549" customFormat="false" ht="13.8" hidden="true" customHeight="false" outlineLevel="0" collapsed="false">
      <c r="A1549" s="0" t="s">
        <v>670</v>
      </c>
      <c r="B1549" s="0" t="n">
        <v>22</v>
      </c>
      <c r="C1549" s="0" t="n">
        <v>1.7</v>
      </c>
      <c r="D1549" s="0" t="n">
        <v>0.145</v>
      </c>
    </row>
    <row r="1550" customFormat="false" ht="13.8" hidden="true" customHeight="false" outlineLevel="0" collapsed="false">
      <c r="A1550" s="0" t="s">
        <v>670</v>
      </c>
      <c r="B1550" s="0" t="n">
        <v>22</v>
      </c>
      <c r="C1550" s="0" t="n">
        <v>1.75</v>
      </c>
      <c r="D1550" s="0" t="n">
        <v>0.149</v>
      </c>
    </row>
    <row r="1551" customFormat="false" ht="13.8" hidden="true" customHeight="false" outlineLevel="0" collapsed="false">
      <c r="A1551" s="0" t="s">
        <v>670</v>
      </c>
      <c r="B1551" s="0" t="n">
        <v>22</v>
      </c>
      <c r="C1551" s="0" t="n">
        <v>1.8</v>
      </c>
      <c r="D1551" s="0" t="n">
        <v>0.163</v>
      </c>
    </row>
    <row r="1552" customFormat="false" ht="13.8" hidden="true" customHeight="false" outlineLevel="0" collapsed="false">
      <c r="A1552" s="0" t="s">
        <v>670</v>
      </c>
      <c r="B1552" s="0" t="n">
        <v>22</v>
      </c>
      <c r="C1552" s="0" t="n">
        <v>1.85</v>
      </c>
      <c r="D1552" s="0" t="n">
        <v>0.168</v>
      </c>
    </row>
    <row r="1553" customFormat="false" ht="13.8" hidden="true" customHeight="false" outlineLevel="0" collapsed="false">
      <c r="A1553" s="0" t="s">
        <v>670</v>
      </c>
      <c r="B1553" s="0" t="n">
        <v>22</v>
      </c>
      <c r="C1553" s="0" t="n">
        <v>1.9</v>
      </c>
      <c r="D1553" s="0" t="n">
        <v>0.172</v>
      </c>
    </row>
    <row r="1554" customFormat="false" ht="13.8" hidden="true" customHeight="false" outlineLevel="0" collapsed="false">
      <c r="A1554" s="0" t="s">
        <v>670</v>
      </c>
      <c r="B1554" s="0" t="n">
        <v>22</v>
      </c>
      <c r="C1554" s="0" t="n">
        <v>1.95</v>
      </c>
      <c r="D1554" s="0" t="n">
        <v>0.177</v>
      </c>
    </row>
    <row r="1555" customFormat="false" ht="13.8" hidden="true" customHeight="false" outlineLevel="0" collapsed="false">
      <c r="A1555" s="0" t="s">
        <v>670</v>
      </c>
      <c r="B1555" s="0" t="n">
        <v>22</v>
      </c>
      <c r="C1555" s="0" t="n">
        <v>2</v>
      </c>
      <c r="D1555" s="0" t="n">
        <v>0.192</v>
      </c>
    </row>
    <row r="1556" customFormat="false" ht="13.8" hidden="true" customHeight="false" outlineLevel="0" collapsed="false">
      <c r="A1556" s="0" t="s">
        <v>670</v>
      </c>
      <c r="B1556" s="0" t="n">
        <v>22</v>
      </c>
      <c r="C1556" s="0" t="n">
        <v>2.05</v>
      </c>
      <c r="D1556" s="0" t="n">
        <v>0.197</v>
      </c>
    </row>
    <row r="1557" customFormat="false" ht="13.8" hidden="true" customHeight="false" outlineLevel="0" collapsed="false">
      <c r="A1557" s="0" t="s">
        <v>670</v>
      </c>
      <c r="B1557" s="0" t="n">
        <v>22</v>
      </c>
      <c r="C1557" s="0" t="n">
        <v>2.1</v>
      </c>
      <c r="D1557" s="0" t="n">
        <v>0.202</v>
      </c>
    </row>
    <row r="1558" customFormat="false" ht="13.8" hidden="true" customHeight="false" outlineLevel="0" collapsed="false">
      <c r="A1558" s="0" t="s">
        <v>670</v>
      </c>
      <c r="B1558" s="0" t="n">
        <v>22</v>
      </c>
      <c r="C1558" s="0" t="n">
        <v>2.15</v>
      </c>
      <c r="D1558" s="0" t="n">
        <v>0.206712902</v>
      </c>
    </row>
    <row r="1559" customFormat="false" ht="13.8" hidden="true" customHeight="false" outlineLevel="0" collapsed="false">
      <c r="A1559" s="0" t="s">
        <v>670</v>
      </c>
      <c r="B1559" s="0" t="n">
        <v>22</v>
      </c>
      <c r="C1559" s="0" t="n">
        <v>2.2</v>
      </c>
      <c r="D1559" s="0" t="n">
        <v>0.189921701</v>
      </c>
    </row>
    <row r="1560" customFormat="false" ht="13.8" hidden="true" customHeight="false" outlineLevel="0" collapsed="false">
      <c r="A1560" s="0" t="s">
        <v>670</v>
      </c>
      <c r="B1560" s="0" t="n">
        <v>22</v>
      </c>
      <c r="C1560" s="0" t="n">
        <v>2.25</v>
      </c>
      <c r="D1560" s="0" t="n">
        <v>0.194238103</v>
      </c>
    </row>
    <row r="1561" customFormat="false" ht="13.8" hidden="true" customHeight="false" outlineLevel="0" collapsed="false">
      <c r="A1561" s="0" t="s">
        <v>670</v>
      </c>
      <c r="B1561" s="0" t="n">
        <v>22</v>
      </c>
      <c r="C1561" s="0" t="n">
        <v>2.3</v>
      </c>
      <c r="D1561" s="0" t="n">
        <v>0.198554506</v>
      </c>
    </row>
    <row r="1562" customFormat="false" ht="13.8" hidden="true" customHeight="false" outlineLevel="0" collapsed="false">
      <c r="A1562" s="0" t="s">
        <v>670</v>
      </c>
      <c r="B1562" s="0" t="n">
        <v>22</v>
      </c>
      <c r="C1562" s="0" t="n">
        <v>2.35</v>
      </c>
      <c r="D1562" s="0" t="n">
        <v>0.202870908</v>
      </c>
    </row>
    <row r="1563" customFormat="false" ht="13.8" hidden="true" customHeight="false" outlineLevel="0" collapsed="false">
      <c r="A1563" s="0" t="s">
        <v>670</v>
      </c>
      <c r="B1563" s="0" t="n">
        <v>22</v>
      </c>
      <c r="C1563" s="0" t="n">
        <v>2.4</v>
      </c>
      <c r="D1563" s="0" t="n">
        <v>0.20718731</v>
      </c>
    </row>
    <row r="1564" customFormat="false" ht="13.8" hidden="true" customHeight="false" outlineLevel="0" collapsed="false">
      <c r="A1564" s="0" t="s">
        <v>670</v>
      </c>
      <c r="B1564" s="0" t="n">
        <v>22</v>
      </c>
      <c r="C1564" s="0" t="n">
        <v>2.45</v>
      </c>
      <c r="D1564" s="0" t="n">
        <v>0.211503713</v>
      </c>
    </row>
    <row r="1565" customFormat="false" ht="13.8" hidden="true" customHeight="false" outlineLevel="0" collapsed="false">
      <c r="A1565" s="0" t="s">
        <v>670</v>
      </c>
      <c r="B1565" s="0" t="n">
        <v>22</v>
      </c>
      <c r="C1565" s="0" t="n">
        <v>2.5</v>
      </c>
      <c r="D1565" s="0" t="n">
        <v>0.215820115</v>
      </c>
    </row>
    <row r="1566" customFormat="false" ht="13.8" hidden="true" customHeight="false" outlineLevel="0" collapsed="false">
      <c r="A1566" s="0" t="s">
        <v>670</v>
      </c>
      <c r="B1566" s="0" t="n">
        <v>22</v>
      </c>
      <c r="C1566" s="0" t="n">
        <v>2.55</v>
      </c>
      <c r="D1566" s="0" t="n">
        <v>0.220136517</v>
      </c>
    </row>
    <row r="1567" customFormat="false" ht="13.8" hidden="true" customHeight="false" outlineLevel="0" collapsed="false">
      <c r="A1567" s="0" t="s">
        <v>670</v>
      </c>
      <c r="B1567" s="0" t="n">
        <v>22</v>
      </c>
      <c r="C1567" s="0" t="n">
        <v>2.6</v>
      </c>
      <c r="D1567" s="0" t="n">
        <v>0.224452919</v>
      </c>
    </row>
    <row r="1568" customFormat="false" ht="13.8" hidden="true" customHeight="false" outlineLevel="0" collapsed="false">
      <c r="A1568" s="0" t="s">
        <v>224</v>
      </c>
      <c r="B1568" s="0" t="n">
        <v>10</v>
      </c>
      <c r="C1568" s="0" t="n">
        <v>1.3</v>
      </c>
      <c r="D1568" s="0" t="n">
        <v>0</v>
      </c>
    </row>
    <row r="1569" customFormat="false" ht="13.8" hidden="true" customHeight="false" outlineLevel="0" collapsed="false">
      <c r="A1569" s="0" t="s">
        <v>224</v>
      </c>
      <c r="B1569" s="0" t="n">
        <v>10</v>
      </c>
      <c r="C1569" s="0" t="n">
        <v>1.35</v>
      </c>
      <c r="D1569" s="0" t="n">
        <v>0</v>
      </c>
    </row>
    <row r="1570" customFormat="false" ht="13.8" hidden="true" customHeight="false" outlineLevel="0" collapsed="false">
      <c r="A1570" s="0" t="s">
        <v>224</v>
      </c>
      <c r="B1570" s="0" t="n">
        <v>10</v>
      </c>
      <c r="C1570" s="0" t="n">
        <v>1.4</v>
      </c>
      <c r="D1570" s="0" t="n">
        <v>0</v>
      </c>
    </row>
    <row r="1571" customFormat="false" ht="13.8" hidden="true" customHeight="false" outlineLevel="0" collapsed="false">
      <c r="A1571" s="0" t="s">
        <v>224</v>
      </c>
      <c r="B1571" s="0" t="n">
        <v>10</v>
      </c>
      <c r="C1571" s="0" t="n">
        <v>1.45</v>
      </c>
      <c r="D1571" s="0" t="n">
        <v>0</v>
      </c>
    </row>
    <row r="1572" customFormat="false" ht="13.8" hidden="true" customHeight="false" outlineLevel="0" collapsed="false">
      <c r="A1572" s="0" t="s">
        <v>224</v>
      </c>
      <c r="B1572" s="0" t="n">
        <v>10</v>
      </c>
      <c r="C1572" s="0" t="n">
        <v>1.5</v>
      </c>
      <c r="D1572" s="0" t="n">
        <v>0</v>
      </c>
    </row>
    <row r="1573" customFormat="false" ht="13.8" hidden="true" customHeight="false" outlineLevel="0" collapsed="false">
      <c r="A1573" s="0" t="s">
        <v>224</v>
      </c>
      <c r="B1573" s="0" t="n">
        <v>10</v>
      </c>
      <c r="C1573" s="0" t="n">
        <v>1.55</v>
      </c>
      <c r="D1573" s="0" t="n">
        <v>0</v>
      </c>
    </row>
    <row r="1574" customFormat="false" ht="13.8" hidden="true" customHeight="false" outlineLevel="0" collapsed="false">
      <c r="A1574" s="0" t="s">
        <v>224</v>
      </c>
      <c r="B1574" s="0" t="n">
        <v>10</v>
      </c>
      <c r="C1574" s="0" t="n">
        <v>1.6</v>
      </c>
      <c r="D1574" s="0" t="n">
        <v>0.136</v>
      </c>
    </row>
    <row r="1575" customFormat="false" ht="13.8" hidden="true" customHeight="false" outlineLevel="0" collapsed="false">
      <c r="A1575" s="0" t="s">
        <v>224</v>
      </c>
      <c r="B1575" s="0" t="n">
        <v>10</v>
      </c>
      <c r="C1575" s="0" t="n">
        <v>1.65</v>
      </c>
      <c r="D1575" s="0" t="n">
        <v>0.141</v>
      </c>
    </row>
    <row r="1576" customFormat="false" ht="13.8" hidden="true" customHeight="false" outlineLevel="0" collapsed="false">
      <c r="A1576" s="0" t="s">
        <v>224</v>
      </c>
      <c r="B1576" s="0" t="n">
        <v>10</v>
      </c>
      <c r="C1576" s="0" t="n">
        <v>1.7</v>
      </c>
      <c r="D1576" s="0" t="n">
        <v>0.145</v>
      </c>
    </row>
    <row r="1577" customFormat="false" ht="13.8" hidden="true" customHeight="false" outlineLevel="0" collapsed="false">
      <c r="A1577" s="0" t="s">
        <v>224</v>
      </c>
      <c r="B1577" s="0" t="n">
        <v>10</v>
      </c>
      <c r="C1577" s="0" t="n">
        <v>1.75</v>
      </c>
      <c r="D1577" s="0" t="n">
        <v>0.149</v>
      </c>
    </row>
    <row r="1578" customFormat="false" ht="13.8" hidden="true" customHeight="false" outlineLevel="0" collapsed="false">
      <c r="A1578" s="0" t="s">
        <v>224</v>
      </c>
      <c r="B1578" s="0" t="n">
        <v>10</v>
      </c>
      <c r="C1578" s="0" t="n">
        <v>1.8</v>
      </c>
      <c r="D1578" s="0" t="n">
        <v>0.163</v>
      </c>
    </row>
    <row r="1579" customFormat="false" ht="13.8" hidden="true" customHeight="false" outlineLevel="0" collapsed="false">
      <c r="A1579" s="0" t="s">
        <v>224</v>
      </c>
      <c r="B1579" s="0" t="n">
        <v>10</v>
      </c>
      <c r="C1579" s="0" t="n">
        <v>1.85</v>
      </c>
      <c r="D1579" s="0" t="n">
        <v>0.168</v>
      </c>
    </row>
    <row r="1580" customFormat="false" ht="13.8" hidden="true" customHeight="false" outlineLevel="0" collapsed="false">
      <c r="A1580" s="0" t="s">
        <v>224</v>
      </c>
      <c r="B1580" s="0" t="n">
        <v>10</v>
      </c>
      <c r="C1580" s="0" t="n">
        <v>1.9</v>
      </c>
      <c r="D1580" s="0" t="n">
        <v>0.172</v>
      </c>
    </row>
    <row r="1581" customFormat="false" ht="13.8" hidden="true" customHeight="false" outlineLevel="0" collapsed="false">
      <c r="A1581" s="0" t="s">
        <v>224</v>
      </c>
      <c r="B1581" s="0" t="n">
        <v>10</v>
      </c>
      <c r="C1581" s="0" t="n">
        <v>1.95</v>
      </c>
      <c r="D1581" s="0" t="n">
        <v>0.177</v>
      </c>
    </row>
    <row r="1582" customFormat="false" ht="13.8" hidden="true" customHeight="false" outlineLevel="0" collapsed="false">
      <c r="A1582" s="0" t="s">
        <v>224</v>
      </c>
      <c r="B1582" s="0" t="n">
        <v>10</v>
      </c>
      <c r="C1582" s="0" t="n">
        <v>2</v>
      </c>
      <c r="D1582" s="0" t="n">
        <v>0.192</v>
      </c>
    </row>
    <row r="1583" customFormat="false" ht="13.8" hidden="true" customHeight="false" outlineLevel="0" collapsed="false">
      <c r="A1583" s="0" t="s">
        <v>224</v>
      </c>
      <c r="B1583" s="0" t="n">
        <v>10</v>
      </c>
      <c r="C1583" s="0" t="n">
        <v>2.05</v>
      </c>
      <c r="D1583" s="0" t="n">
        <v>0.197</v>
      </c>
    </row>
    <row r="1584" customFormat="false" ht="13.8" hidden="true" customHeight="false" outlineLevel="0" collapsed="false">
      <c r="A1584" s="0" t="s">
        <v>224</v>
      </c>
      <c r="B1584" s="0" t="n">
        <v>10</v>
      </c>
      <c r="C1584" s="0" t="n">
        <v>2.1</v>
      </c>
      <c r="D1584" s="0" t="n">
        <v>0.202</v>
      </c>
    </row>
    <row r="1585" customFormat="false" ht="13.8" hidden="true" customHeight="false" outlineLevel="0" collapsed="false">
      <c r="A1585" s="0" t="s">
        <v>224</v>
      </c>
      <c r="B1585" s="0" t="n">
        <v>10</v>
      </c>
      <c r="C1585" s="0" t="n">
        <v>2.15</v>
      </c>
      <c r="D1585" s="0" t="n">
        <v>0.206712902</v>
      </c>
    </row>
    <row r="1586" customFormat="false" ht="13.8" hidden="true" customHeight="false" outlineLevel="0" collapsed="false">
      <c r="A1586" s="0" t="s">
        <v>224</v>
      </c>
      <c r="B1586" s="0" t="n">
        <v>10</v>
      </c>
      <c r="C1586" s="0" t="n">
        <v>2.2</v>
      </c>
      <c r="D1586" s="0" t="n">
        <v>0.189921701</v>
      </c>
    </row>
    <row r="1587" customFormat="false" ht="13.8" hidden="true" customHeight="false" outlineLevel="0" collapsed="false">
      <c r="A1587" s="0" t="s">
        <v>224</v>
      </c>
      <c r="B1587" s="0" t="n">
        <v>10</v>
      </c>
      <c r="C1587" s="0" t="n">
        <v>2.25</v>
      </c>
      <c r="D1587" s="0" t="n">
        <v>0.194238103</v>
      </c>
    </row>
    <row r="1588" customFormat="false" ht="13.8" hidden="true" customHeight="false" outlineLevel="0" collapsed="false">
      <c r="A1588" s="0" t="s">
        <v>224</v>
      </c>
      <c r="B1588" s="0" t="n">
        <v>10</v>
      </c>
      <c r="C1588" s="0" t="n">
        <v>2.3</v>
      </c>
      <c r="D1588" s="0" t="n">
        <v>0.198554506</v>
      </c>
    </row>
    <row r="1589" customFormat="false" ht="13.8" hidden="true" customHeight="false" outlineLevel="0" collapsed="false">
      <c r="A1589" s="0" t="s">
        <v>224</v>
      </c>
      <c r="B1589" s="0" t="n">
        <v>10</v>
      </c>
      <c r="C1589" s="0" t="n">
        <v>2.35</v>
      </c>
      <c r="D1589" s="0" t="n">
        <v>0.202870908</v>
      </c>
    </row>
    <row r="1590" customFormat="false" ht="13.8" hidden="true" customHeight="false" outlineLevel="0" collapsed="false">
      <c r="A1590" s="0" t="s">
        <v>224</v>
      </c>
      <c r="B1590" s="0" t="n">
        <v>10</v>
      </c>
      <c r="C1590" s="0" t="n">
        <v>2.4</v>
      </c>
      <c r="D1590" s="0" t="n">
        <v>0.20718731</v>
      </c>
    </row>
    <row r="1591" customFormat="false" ht="13.8" hidden="true" customHeight="false" outlineLevel="0" collapsed="false">
      <c r="A1591" s="0" t="s">
        <v>224</v>
      </c>
      <c r="B1591" s="0" t="n">
        <v>10</v>
      </c>
      <c r="C1591" s="0" t="n">
        <v>2.45</v>
      </c>
      <c r="D1591" s="0" t="n">
        <v>0.211503713</v>
      </c>
    </row>
    <row r="1592" customFormat="false" ht="13.8" hidden="true" customHeight="false" outlineLevel="0" collapsed="false">
      <c r="A1592" s="0" t="s">
        <v>224</v>
      </c>
      <c r="B1592" s="0" t="n">
        <v>10</v>
      </c>
      <c r="C1592" s="0" t="n">
        <v>2.5</v>
      </c>
      <c r="D1592" s="0" t="n">
        <v>0.215820115</v>
      </c>
    </row>
    <row r="1593" customFormat="false" ht="13.8" hidden="true" customHeight="false" outlineLevel="0" collapsed="false">
      <c r="A1593" s="0" t="s">
        <v>224</v>
      </c>
      <c r="B1593" s="0" t="n">
        <v>10</v>
      </c>
      <c r="C1593" s="0" t="n">
        <v>2.55</v>
      </c>
      <c r="D1593" s="0" t="n">
        <v>0.220136517</v>
      </c>
    </row>
    <row r="1594" customFormat="false" ht="13.8" hidden="true" customHeight="false" outlineLevel="0" collapsed="false">
      <c r="A1594" s="0" t="s">
        <v>224</v>
      </c>
      <c r="B1594" s="0" t="n">
        <v>10</v>
      </c>
      <c r="C1594" s="0" t="n">
        <v>2.6</v>
      </c>
      <c r="D1594" s="0" t="n">
        <v>0.224452919</v>
      </c>
    </row>
    <row r="1595" customFormat="false" ht="13.8" hidden="true" customHeight="false" outlineLevel="0" collapsed="false">
      <c r="A1595" s="0" t="s">
        <v>224</v>
      </c>
      <c r="B1595" s="0" t="n">
        <v>17</v>
      </c>
      <c r="C1595" s="0" t="n">
        <v>1.3</v>
      </c>
      <c r="D1595" s="0" t="n">
        <v>0</v>
      </c>
    </row>
    <row r="1596" customFormat="false" ht="13.8" hidden="true" customHeight="false" outlineLevel="0" collapsed="false">
      <c r="A1596" s="0" t="s">
        <v>224</v>
      </c>
      <c r="B1596" s="0" t="n">
        <v>17</v>
      </c>
      <c r="C1596" s="0" t="n">
        <v>1.35</v>
      </c>
      <c r="D1596" s="0" t="n">
        <v>0</v>
      </c>
    </row>
    <row r="1597" customFormat="false" ht="13.8" hidden="true" customHeight="false" outlineLevel="0" collapsed="false">
      <c r="A1597" s="0" t="s">
        <v>224</v>
      </c>
      <c r="B1597" s="0" t="n">
        <v>17</v>
      </c>
      <c r="C1597" s="0" t="n">
        <v>1.4</v>
      </c>
      <c r="D1597" s="0" t="n">
        <v>0</v>
      </c>
    </row>
    <row r="1598" customFormat="false" ht="13.8" hidden="true" customHeight="false" outlineLevel="0" collapsed="false">
      <c r="A1598" s="0" t="s">
        <v>224</v>
      </c>
      <c r="B1598" s="0" t="n">
        <v>17</v>
      </c>
      <c r="C1598" s="0" t="n">
        <v>1.45</v>
      </c>
      <c r="D1598" s="0" t="n">
        <v>0</v>
      </c>
    </row>
    <row r="1599" customFormat="false" ht="13.8" hidden="true" customHeight="false" outlineLevel="0" collapsed="false">
      <c r="A1599" s="0" t="s">
        <v>224</v>
      </c>
      <c r="B1599" s="0" t="n">
        <v>17</v>
      </c>
      <c r="C1599" s="0" t="n">
        <v>1.5</v>
      </c>
      <c r="D1599" s="0" t="n">
        <v>0</v>
      </c>
    </row>
    <row r="1600" customFormat="false" ht="13.8" hidden="true" customHeight="false" outlineLevel="0" collapsed="false">
      <c r="A1600" s="0" t="s">
        <v>224</v>
      </c>
      <c r="B1600" s="0" t="n">
        <v>17</v>
      </c>
      <c r="C1600" s="0" t="n">
        <v>1.55</v>
      </c>
      <c r="D1600" s="0" t="n">
        <v>0</v>
      </c>
    </row>
    <row r="1601" customFormat="false" ht="13.8" hidden="true" customHeight="false" outlineLevel="0" collapsed="false">
      <c r="A1601" s="0" t="s">
        <v>224</v>
      </c>
      <c r="B1601" s="0" t="n">
        <v>17</v>
      </c>
      <c r="C1601" s="0" t="n">
        <v>1.6</v>
      </c>
      <c r="D1601" s="0" t="n">
        <v>0.136</v>
      </c>
    </row>
    <row r="1602" customFormat="false" ht="13.8" hidden="true" customHeight="false" outlineLevel="0" collapsed="false">
      <c r="A1602" s="0" t="s">
        <v>224</v>
      </c>
      <c r="B1602" s="0" t="n">
        <v>17</v>
      </c>
      <c r="C1602" s="0" t="n">
        <v>1.65</v>
      </c>
      <c r="D1602" s="0" t="n">
        <v>0.141</v>
      </c>
    </row>
    <row r="1603" customFormat="false" ht="13.8" hidden="true" customHeight="false" outlineLevel="0" collapsed="false">
      <c r="A1603" s="0" t="s">
        <v>224</v>
      </c>
      <c r="B1603" s="0" t="n">
        <v>17</v>
      </c>
      <c r="C1603" s="0" t="n">
        <v>1.7</v>
      </c>
      <c r="D1603" s="0" t="n">
        <v>0.145</v>
      </c>
    </row>
    <row r="1604" customFormat="false" ht="13.8" hidden="true" customHeight="false" outlineLevel="0" collapsed="false">
      <c r="A1604" s="0" t="s">
        <v>224</v>
      </c>
      <c r="B1604" s="0" t="n">
        <v>17</v>
      </c>
      <c r="C1604" s="0" t="n">
        <v>1.75</v>
      </c>
      <c r="D1604" s="0" t="n">
        <v>0.149</v>
      </c>
    </row>
    <row r="1605" customFormat="false" ht="13.8" hidden="true" customHeight="false" outlineLevel="0" collapsed="false">
      <c r="A1605" s="0" t="s">
        <v>224</v>
      </c>
      <c r="B1605" s="0" t="n">
        <v>17</v>
      </c>
      <c r="C1605" s="0" t="n">
        <v>1.8</v>
      </c>
      <c r="D1605" s="0" t="n">
        <v>0.163</v>
      </c>
    </row>
    <row r="1606" customFormat="false" ht="13.8" hidden="true" customHeight="false" outlineLevel="0" collapsed="false">
      <c r="A1606" s="0" t="s">
        <v>224</v>
      </c>
      <c r="B1606" s="0" t="n">
        <v>17</v>
      </c>
      <c r="C1606" s="0" t="n">
        <v>1.85</v>
      </c>
      <c r="D1606" s="0" t="n">
        <v>0.168</v>
      </c>
    </row>
    <row r="1607" customFormat="false" ht="13.8" hidden="true" customHeight="false" outlineLevel="0" collapsed="false">
      <c r="A1607" s="0" t="s">
        <v>224</v>
      </c>
      <c r="B1607" s="0" t="n">
        <v>17</v>
      </c>
      <c r="C1607" s="0" t="n">
        <v>1.9</v>
      </c>
      <c r="D1607" s="0" t="n">
        <v>0.172</v>
      </c>
    </row>
    <row r="1608" customFormat="false" ht="13.8" hidden="true" customHeight="false" outlineLevel="0" collapsed="false">
      <c r="A1608" s="0" t="s">
        <v>224</v>
      </c>
      <c r="B1608" s="0" t="n">
        <v>17</v>
      </c>
      <c r="C1608" s="0" t="n">
        <v>1.95</v>
      </c>
      <c r="D1608" s="0" t="n">
        <v>0.177</v>
      </c>
    </row>
    <row r="1609" customFormat="false" ht="13.8" hidden="true" customHeight="false" outlineLevel="0" collapsed="false">
      <c r="A1609" s="0" t="s">
        <v>224</v>
      </c>
      <c r="B1609" s="0" t="n">
        <v>17</v>
      </c>
      <c r="C1609" s="0" t="n">
        <v>2</v>
      </c>
      <c r="D1609" s="0" t="n">
        <v>0.192</v>
      </c>
    </row>
    <row r="1610" customFormat="false" ht="13.8" hidden="true" customHeight="false" outlineLevel="0" collapsed="false">
      <c r="A1610" s="0" t="s">
        <v>224</v>
      </c>
      <c r="B1610" s="0" t="n">
        <v>17</v>
      </c>
      <c r="C1610" s="0" t="n">
        <v>2.05</v>
      </c>
      <c r="D1610" s="0" t="n">
        <v>0.197</v>
      </c>
    </row>
    <row r="1611" customFormat="false" ht="13.8" hidden="true" customHeight="false" outlineLevel="0" collapsed="false">
      <c r="A1611" s="0" t="s">
        <v>224</v>
      </c>
      <c r="B1611" s="0" t="n">
        <v>17</v>
      </c>
      <c r="C1611" s="0" t="n">
        <v>2.1</v>
      </c>
      <c r="D1611" s="0" t="n">
        <v>0.202</v>
      </c>
    </row>
    <row r="1612" customFormat="false" ht="13.8" hidden="true" customHeight="false" outlineLevel="0" collapsed="false">
      <c r="A1612" s="0" t="s">
        <v>224</v>
      </c>
      <c r="B1612" s="0" t="n">
        <v>17</v>
      </c>
      <c r="C1612" s="0" t="n">
        <v>2.15</v>
      </c>
      <c r="D1612" s="0" t="n">
        <v>0.206712902</v>
      </c>
    </row>
    <row r="1613" customFormat="false" ht="13.8" hidden="true" customHeight="false" outlineLevel="0" collapsed="false">
      <c r="A1613" s="0" t="s">
        <v>224</v>
      </c>
      <c r="B1613" s="0" t="n">
        <v>17</v>
      </c>
      <c r="C1613" s="0" t="n">
        <v>2.2</v>
      </c>
      <c r="D1613" s="0" t="n">
        <v>0.189921701</v>
      </c>
    </row>
    <row r="1614" customFormat="false" ht="13.8" hidden="true" customHeight="false" outlineLevel="0" collapsed="false">
      <c r="A1614" s="0" t="s">
        <v>224</v>
      </c>
      <c r="B1614" s="0" t="n">
        <v>17</v>
      </c>
      <c r="C1614" s="0" t="n">
        <v>2.25</v>
      </c>
      <c r="D1614" s="0" t="n">
        <v>0.194238103</v>
      </c>
    </row>
    <row r="1615" customFormat="false" ht="13.8" hidden="true" customHeight="false" outlineLevel="0" collapsed="false">
      <c r="A1615" s="0" t="s">
        <v>224</v>
      </c>
      <c r="B1615" s="0" t="n">
        <v>17</v>
      </c>
      <c r="C1615" s="0" t="n">
        <v>2.3</v>
      </c>
      <c r="D1615" s="0" t="n">
        <v>0.198554506</v>
      </c>
    </row>
    <row r="1616" customFormat="false" ht="13.8" hidden="true" customHeight="false" outlineLevel="0" collapsed="false">
      <c r="A1616" s="0" t="s">
        <v>224</v>
      </c>
      <c r="B1616" s="0" t="n">
        <v>17</v>
      </c>
      <c r="C1616" s="0" t="n">
        <v>2.35</v>
      </c>
      <c r="D1616" s="0" t="n">
        <v>0.202870908</v>
      </c>
    </row>
    <row r="1617" customFormat="false" ht="13.8" hidden="true" customHeight="false" outlineLevel="0" collapsed="false">
      <c r="A1617" s="0" t="s">
        <v>224</v>
      </c>
      <c r="B1617" s="0" t="n">
        <v>17</v>
      </c>
      <c r="C1617" s="0" t="n">
        <v>2.4</v>
      </c>
      <c r="D1617" s="0" t="n">
        <v>0.20718731</v>
      </c>
    </row>
    <row r="1618" customFormat="false" ht="13.8" hidden="true" customHeight="false" outlineLevel="0" collapsed="false">
      <c r="A1618" s="0" t="s">
        <v>224</v>
      </c>
      <c r="B1618" s="0" t="n">
        <v>17</v>
      </c>
      <c r="C1618" s="0" t="n">
        <v>2.45</v>
      </c>
      <c r="D1618" s="0" t="n">
        <v>0.211503713</v>
      </c>
    </row>
    <row r="1619" customFormat="false" ht="13.8" hidden="true" customHeight="false" outlineLevel="0" collapsed="false">
      <c r="A1619" s="0" t="s">
        <v>224</v>
      </c>
      <c r="B1619" s="0" t="n">
        <v>17</v>
      </c>
      <c r="C1619" s="0" t="n">
        <v>2.5</v>
      </c>
      <c r="D1619" s="0" t="n">
        <v>0.215820115</v>
      </c>
    </row>
    <row r="1620" customFormat="false" ht="13.8" hidden="true" customHeight="false" outlineLevel="0" collapsed="false">
      <c r="A1620" s="0" t="s">
        <v>224</v>
      </c>
      <c r="B1620" s="0" t="n">
        <v>17</v>
      </c>
      <c r="C1620" s="0" t="n">
        <v>2.55</v>
      </c>
      <c r="D1620" s="0" t="n">
        <v>0.220136517</v>
      </c>
    </row>
    <row r="1621" customFormat="false" ht="13.8" hidden="true" customHeight="false" outlineLevel="0" collapsed="false">
      <c r="A1621" s="0" t="s">
        <v>224</v>
      </c>
      <c r="B1621" s="0" t="n">
        <v>17</v>
      </c>
      <c r="C1621" s="0" t="n">
        <v>2.6</v>
      </c>
      <c r="D1621" s="0" t="n">
        <v>0.224452919</v>
      </c>
    </row>
    <row r="1622" customFormat="false" ht="13.8" hidden="true" customHeight="false" outlineLevel="0" collapsed="false">
      <c r="A1622" s="0" t="s">
        <v>224</v>
      </c>
      <c r="B1622" s="0" t="n">
        <v>14</v>
      </c>
      <c r="C1622" s="0" t="n">
        <v>1.3</v>
      </c>
      <c r="D1622" s="0" t="n">
        <v>0</v>
      </c>
    </row>
    <row r="1623" customFormat="false" ht="13.8" hidden="true" customHeight="false" outlineLevel="0" collapsed="false">
      <c r="A1623" s="0" t="s">
        <v>224</v>
      </c>
      <c r="B1623" s="0" t="n">
        <v>14</v>
      </c>
      <c r="C1623" s="0" t="n">
        <v>1.35</v>
      </c>
      <c r="D1623" s="0" t="n">
        <v>0</v>
      </c>
    </row>
    <row r="1624" customFormat="false" ht="13.8" hidden="true" customHeight="false" outlineLevel="0" collapsed="false">
      <c r="A1624" s="0" t="s">
        <v>224</v>
      </c>
      <c r="B1624" s="0" t="n">
        <v>14</v>
      </c>
      <c r="C1624" s="0" t="n">
        <v>1.4</v>
      </c>
      <c r="D1624" s="0" t="n">
        <v>0</v>
      </c>
    </row>
    <row r="1625" customFormat="false" ht="13.8" hidden="true" customHeight="false" outlineLevel="0" collapsed="false">
      <c r="A1625" s="0" t="s">
        <v>224</v>
      </c>
      <c r="B1625" s="0" t="n">
        <v>14</v>
      </c>
      <c r="C1625" s="0" t="n">
        <v>1.45</v>
      </c>
      <c r="D1625" s="0" t="n">
        <v>0</v>
      </c>
    </row>
    <row r="1626" customFormat="false" ht="13.8" hidden="true" customHeight="false" outlineLevel="0" collapsed="false">
      <c r="A1626" s="0" t="s">
        <v>224</v>
      </c>
      <c r="B1626" s="0" t="n">
        <v>14</v>
      </c>
      <c r="C1626" s="0" t="n">
        <v>1.5</v>
      </c>
      <c r="D1626" s="0" t="n">
        <v>0</v>
      </c>
    </row>
    <row r="1627" customFormat="false" ht="13.8" hidden="true" customHeight="false" outlineLevel="0" collapsed="false">
      <c r="A1627" s="0" t="s">
        <v>224</v>
      </c>
      <c r="B1627" s="0" t="n">
        <v>14</v>
      </c>
      <c r="C1627" s="0" t="n">
        <v>1.55</v>
      </c>
      <c r="D1627" s="0" t="n">
        <v>0</v>
      </c>
    </row>
    <row r="1628" customFormat="false" ht="13.8" hidden="true" customHeight="false" outlineLevel="0" collapsed="false">
      <c r="A1628" s="0" t="s">
        <v>224</v>
      </c>
      <c r="B1628" s="0" t="n">
        <v>14</v>
      </c>
      <c r="C1628" s="0" t="n">
        <v>1.6</v>
      </c>
      <c r="D1628" s="0" t="n">
        <v>0.123</v>
      </c>
    </row>
    <row r="1629" customFormat="false" ht="13.8" hidden="true" customHeight="false" outlineLevel="0" collapsed="false">
      <c r="A1629" s="0" t="s">
        <v>224</v>
      </c>
      <c r="B1629" s="0" t="n">
        <v>14</v>
      </c>
      <c r="C1629" s="0" t="n">
        <v>1.65</v>
      </c>
      <c r="D1629" s="0" t="n">
        <v>0.127</v>
      </c>
    </row>
    <row r="1630" customFormat="false" ht="13.8" hidden="true" customHeight="false" outlineLevel="0" collapsed="false">
      <c r="A1630" s="0" t="s">
        <v>224</v>
      </c>
      <c r="B1630" s="0" t="n">
        <v>14</v>
      </c>
      <c r="C1630" s="0" t="n">
        <v>1.7</v>
      </c>
      <c r="D1630" s="0" t="n">
        <v>0.13</v>
      </c>
    </row>
    <row r="1631" customFormat="false" ht="13.8" hidden="true" customHeight="false" outlineLevel="0" collapsed="false">
      <c r="A1631" s="0" t="s">
        <v>224</v>
      </c>
      <c r="B1631" s="0" t="n">
        <v>14</v>
      </c>
      <c r="C1631" s="0" t="n">
        <v>1.75</v>
      </c>
      <c r="D1631" s="0" t="n">
        <v>0.134</v>
      </c>
    </row>
    <row r="1632" customFormat="false" ht="13.8" hidden="true" customHeight="false" outlineLevel="0" collapsed="false">
      <c r="A1632" s="0" t="s">
        <v>224</v>
      </c>
      <c r="B1632" s="0" t="n">
        <v>14</v>
      </c>
      <c r="C1632" s="0" t="n">
        <v>1.8</v>
      </c>
      <c r="D1632" s="0" t="n">
        <v>0.147</v>
      </c>
    </row>
    <row r="1633" customFormat="false" ht="13.8" hidden="true" customHeight="false" outlineLevel="0" collapsed="false">
      <c r="A1633" s="0" t="s">
        <v>224</v>
      </c>
      <c r="B1633" s="0" t="n">
        <v>14</v>
      </c>
      <c r="C1633" s="0" t="n">
        <v>1.85</v>
      </c>
      <c r="D1633" s="0" t="n">
        <v>0.151</v>
      </c>
    </row>
    <row r="1634" customFormat="false" ht="13.8" hidden="true" customHeight="false" outlineLevel="0" collapsed="false">
      <c r="A1634" s="0" t="s">
        <v>224</v>
      </c>
      <c r="B1634" s="0" t="n">
        <v>14</v>
      </c>
      <c r="C1634" s="0" t="n">
        <v>1.9</v>
      </c>
      <c r="D1634" s="0" t="n">
        <v>0.155</v>
      </c>
    </row>
    <row r="1635" customFormat="false" ht="13.8" hidden="true" customHeight="false" outlineLevel="0" collapsed="false">
      <c r="A1635" s="0" t="s">
        <v>224</v>
      </c>
      <c r="B1635" s="0" t="n">
        <v>14</v>
      </c>
      <c r="C1635" s="0" t="n">
        <v>1.95</v>
      </c>
      <c r="D1635" s="0" t="n">
        <v>0.159</v>
      </c>
    </row>
    <row r="1636" customFormat="false" ht="13.8" hidden="true" customHeight="false" outlineLevel="0" collapsed="false">
      <c r="A1636" s="0" t="s">
        <v>224</v>
      </c>
      <c r="B1636" s="0" t="n">
        <v>14</v>
      </c>
      <c r="C1636" s="0" t="n">
        <v>2</v>
      </c>
      <c r="D1636" s="0" t="n">
        <v>0.173</v>
      </c>
    </row>
    <row r="1637" customFormat="false" ht="13.8" hidden="true" customHeight="false" outlineLevel="0" collapsed="false">
      <c r="A1637" s="0" t="s">
        <v>224</v>
      </c>
      <c r="B1637" s="0" t="n">
        <v>14</v>
      </c>
      <c r="C1637" s="0" t="n">
        <v>2.05</v>
      </c>
      <c r="D1637" s="0" t="n">
        <v>0.177</v>
      </c>
    </row>
    <row r="1638" customFormat="false" ht="13.8" hidden="true" customHeight="false" outlineLevel="0" collapsed="false">
      <c r="A1638" s="0" t="s">
        <v>224</v>
      </c>
      <c r="B1638" s="0" t="n">
        <v>14</v>
      </c>
      <c r="C1638" s="0" t="n">
        <v>2.1</v>
      </c>
      <c r="D1638" s="0" t="n">
        <v>0.182</v>
      </c>
    </row>
    <row r="1639" customFormat="false" ht="13.8" hidden="true" customHeight="false" outlineLevel="0" collapsed="false">
      <c r="A1639" s="0" t="s">
        <v>224</v>
      </c>
      <c r="B1639" s="0" t="n">
        <v>14</v>
      </c>
      <c r="C1639" s="0" t="n">
        <v>2.15</v>
      </c>
      <c r="D1639" s="0" t="n">
        <v>0.186041612</v>
      </c>
    </row>
    <row r="1640" customFormat="false" ht="13.8" hidden="true" customHeight="false" outlineLevel="0" collapsed="false">
      <c r="A1640" s="0" t="s">
        <v>224</v>
      </c>
      <c r="B1640" s="0" t="n">
        <v>14</v>
      </c>
      <c r="C1640" s="0" t="n">
        <v>2.2</v>
      </c>
      <c r="D1640" s="0" t="n">
        <v>0.170929531</v>
      </c>
    </row>
    <row r="1641" customFormat="false" ht="13.8" hidden="true" customHeight="false" outlineLevel="0" collapsed="false">
      <c r="A1641" s="0" t="s">
        <v>224</v>
      </c>
      <c r="B1641" s="0" t="n">
        <v>14</v>
      </c>
      <c r="C1641" s="0" t="n">
        <v>2.25</v>
      </c>
      <c r="D1641" s="0" t="n">
        <v>0.174814293</v>
      </c>
    </row>
    <row r="1642" customFormat="false" ht="13.8" hidden="true" customHeight="false" outlineLevel="0" collapsed="false">
      <c r="A1642" s="0" t="s">
        <v>224</v>
      </c>
      <c r="B1642" s="0" t="n">
        <v>14</v>
      </c>
      <c r="C1642" s="0" t="n">
        <v>2.3</v>
      </c>
      <c r="D1642" s="0" t="n">
        <v>0.178699055</v>
      </c>
    </row>
    <row r="1643" customFormat="false" ht="13.8" hidden="true" customHeight="false" outlineLevel="0" collapsed="false">
      <c r="A1643" s="0" t="s">
        <v>224</v>
      </c>
      <c r="B1643" s="0" t="n">
        <v>14</v>
      </c>
      <c r="C1643" s="0" t="n">
        <v>2.35</v>
      </c>
      <c r="D1643" s="0" t="n">
        <v>0.182583817</v>
      </c>
    </row>
    <row r="1644" customFormat="false" ht="13.8" hidden="true" customHeight="false" outlineLevel="0" collapsed="false">
      <c r="A1644" s="0" t="s">
        <v>224</v>
      </c>
      <c r="B1644" s="0" t="n">
        <v>14</v>
      </c>
      <c r="C1644" s="0" t="n">
        <v>2.4</v>
      </c>
      <c r="D1644" s="0" t="n">
        <v>0.186468579</v>
      </c>
    </row>
    <row r="1645" customFormat="false" ht="13.8" hidden="true" customHeight="false" outlineLevel="0" collapsed="false">
      <c r="A1645" s="0" t="s">
        <v>224</v>
      </c>
      <c r="B1645" s="0" t="n">
        <v>14</v>
      </c>
      <c r="C1645" s="0" t="n">
        <v>2.45</v>
      </c>
      <c r="D1645" s="0" t="n">
        <v>0.190353341</v>
      </c>
    </row>
    <row r="1646" customFormat="false" ht="13.8" hidden="true" customHeight="false" outlineLevel="0" collapsed="false">
      <c r="A1646" s="0" t="s">
        <v>224</v>
      </c>
      <c r="B1646" s="0" t="n">
        <v>14</v>
      </c>
      <c r="C1646" s="0" t="n">
        <v>2.5</v>
      </c>
      <c r="D1646" s="0" t="n">
        <v>0.194238103</v>
      </c>
    </row>
    <row r="1647" customFormat="false" ht="13.8" hidden="true" customHeight="false" outlineLevel="0" collapsed="false">
      <c r="A1647" s="0" t="s">
        <v>224</v>
      </c>
      <c r="B1647" s="0" t="n">
        <v>14</v>
      </c>
      <c r="C1647" s="0" t="n">
        <v>2.55</v>
      </c>
      <c r="D1647" s="0" t="n">
        <v>0.198122865</v>
      </c>
    </row>
    <row r="1648" customFormat="false" ht="13.8" hidden="true" customHeight="false" outlineLevel="0" collapsed="false">
      <c r="A1648" s="0" t="s">
        <v>224</v>
      </c>
      <c r="B1648" s="0" t="n">
        <v>14</v>
      </c>
      <c r="C1648" s="0" t="n">
        <v>2.6</v>
      </c>
      <c r="D1648" s="0" t="n">
        <v>0.202007628</v>
      </c>
    </row>
    <row r="1649" customFormat="false" ht="13.8" hidden="true" customHeight="false" outlineLevel="0" collapsed="false">
      <c r="A1649" s="0" t="s">
        <v>224</v>
      </c>
      <c r="B1649" s="0" t="n">
        <v>21</v>
      </c>
      <c r="C1649" s="0" t="n">
        <v>1.3</v>
      </c>
      <c r="D1649" s="0" t="n">
        <v>0</v>
      </c>
    </row>
    <row r="1650" customFormat="false" ht="13.8" hidden="true" customHeight="false" outlineLevel="0" collapsed="false">
      <c r="A1650" s="0" t="s">
        <v>224</v>
      </c>
      <c r="B1650" s="0" t="n">
        <v>21</v>
      </c>
      <c r="C1650" s="0" t="n">
        <v>1.35</v>
      </c>
      <c r="D1650" s="0" t="n">
        <v>0</v>
      </c>
    </row>
    <row r="1651" customFormat="false" ht="13.8" hidden="true" customHeight="false" outlineLevel="0" collapsed="false">
      <c r="A1651" s="0" t="s">
        <v>224</v>
      </c>
      <c r="B1651" s="0" t="n">
        <v>21</v>
      </c>
      <c r="C1651" s="0" t="n">
        <v>1.4</v>
      </c>
      <c r="D1651" s="0" t="n">
        <v>0</v>
      </c>
    </row>
    <row r="1652" customFormat="false" ht="13.8" hidden="true" customHeight="false" outlineLevel="0" collapsed="false">
      <c r="A1652" s="0" t="s">
        <v>224</v>
      </c>
      <c r="B1652" s="0" t="n">
        <v>21</v>
      </c>
      <c r="C1652" s="0" t="n">
        <v>1.45</v>
      </c>
      <c r="D1652" s="0" t="n">
        <v>0</v>
      </c>
    </row>
    <row r="1653" customFormat="false" ht="13.8" hidden="true" customHeight="false" outlineLevel="0" collapsed="false">
      <c r="A1653" s="0" t="s">
        <v>224</v>
      </c>
      <c r="B1653" s="0" t="n">
        <v>21</v>
      </c>
      <c r="C1653" s="0" t="n">
        <v>1.5</v>
      </c>
      <c r="D1653" s="0" t="n">
        <v>0</v>
      </c>
    </row>
    <row r="1654" customFormat="false" ht="13.8" hidden="true" customHeight="false" outlineLevel="0" collapsed="false">
      <c r="A1654" s="0" t="s">
        <v>224</v>
      </c>
      <c r="B1654" s="0" t="n">
        <v>21</v>
      </c>
      <c r="C1654" s="0" t="n">
        <v>1.55</v>
      </c>
      <c r="D1654" s="0" t="n">
        <v>0</v>
      </c>
    </row>
    <row r="1655" customFormat="false" ht="13.8" hidden="true" customHeight="false" outlineLevel="0" collapsed="false">
      <c r="A1655" s="0" t="s">
        <v>224</v>
      </c>
      <c r="B1655" s="0" t="n">
        <v>21</v>
      </c>
      <c r="C1655" s="0" t="n">
        <v>1.6</v>
      </c>
      <c r="D1655" s="0" t="n">
        <v>0.123</v>
      </c>
    </row>
    <row r="1656" customFormat="false" ht="13.8" hidden="true" customHeight="false" outlineLevel="0" collapsed="false">
      <c r="A1656" s="0" t="s">
        <v>224</v>
      </c>
      <c r="B1656" s="0" t="n">
        <v>21</v>
      </c>
      <c r="C1656" s="0" t="n">
        <v>1.65</v>
      </c>
      <c r="D1656" s="0" t="n">
        <v>0.127</v>
      </c>
    </row>
    <row r="1657" customFormat="false" ht="13.8" hidden="true" customHeight="false" outlineLevel="0" collapsed="false">
      <c r="A1657" s="0" t="s">
        <v>224</v>
      </c>
      <c r="B1657" s="0" t="n">
        <v>21</v>
      </c>
      <c r="C1657" s="0" t="n">
        <v>1.7</v>
      </c>
      <c r="D1657" s="0" t="n">
        <v>0.13</v>
      </c>
    </row>
    <row r="1658" customFormat="false" ht="13.8" hidden="true" customHeight="false" outlineLevel="0" collapsed="false">
      <c r="A1658" s="0" t="s">
        <v>224</v>
      </c>
      <c r="B1658" s="0" t="n">
        <v>21</v>
      </c>
      <c r="C1658" s="0" t="n">
        <v>1.75</v>
      </c>
      <c r="D1658" s="0" t="n">
        <v>0.134</v>
      </c>
    </row>
    <row r="1659" customFormat="false" ht="13.8" hidden="true" customHeight="false" outlineLevel="0" collapsed="false">
      <c r="A1659" s="0" t="s">
        <v>224</v>
      </c>
      <c r="B1659" s="0" t="n">
        <v>21</v>
      </c>
      <c r="C1659" s="0" t="n">
        <v>1.8</v>
      </c>
      <c r="D1659" s="0" t="n">
        <v>0.147</v>
      </c>
    </row>
    <row r="1660" customFormat="false" ht="13.8" hidden="true" customHeight="false" outlineLevel="0" collapsed="false">
      <c r="A1660" s="0" t="s">
        <v>224</v>
      </c>
      <c r="B1660" s="0" t="n">
        <v>21</v>
      </c>
      <c r="C1660" s="0" t="n">
        <v>1.85</v>
      </c>
      <c r="D1660" s="0" t="n">
        <v>0.151</v>
      </c>
    </row>
    <row r="1661" customFormat="false" ht="13.8" hidden="true" customHeight="false" outlineLevel="0" collapsed="false">
      <c r="A1661" s="0" t="s">
        <v>224</v>
      </c>
      <c r="B1661" s="0" t="n">
        <v>21</v>
      </c>
      <c r="C1661" s="0" t="n">
        <v>1.9</v>
      </c>
      <c r="D1661" s="0" t="n">
        <v>0.155</v>
      </c>
    </row>
    <row r="1662" customFormat="false" ht="13.8" hidden="true" customHeight="false" outlineLevel="0" collapsed="false">
      <c r="A1662" s="0" t="s">
        <v>224</v>
      </c>
      <c r="B1662" s="0" t="n">
        <v>21</v>
      </c>
      <c r="C1662" s="0" t="n">
        <v>1.95</v>
      </c>
      <c r="D1662" s="0" t="n">
        <v>0.159</v>
      </c>
    </row>
    <row r="1663" customFormat="false" ht="13.8" hidden="true" customHeight="false" outlineLevel="0" collapsed="false">
      <c r="A1663" s="0" t="s">
        <v>224</v>
      </c>
      <c r="B1663" s="0" t="n">
        <v>21</v>
      </c>
      <c r="C1663" s="0" t="n">
        <v>2</v>
      </c>
      <c r="D1663" s="0" t="n">
        <v>0.173</v>
      </c>
    </row>
    <row r="1664" customFormat="false" ht="13.8" hidden="true" customHeight="false" outlineLevel="0" collapsed="false">
      <c r="A1664" s="0" t="s">
        <v>224</v>
      </c>
      <c r="B1664" s="0" t="n">
        <v>21</v>
      </c>
      <c r="C1664" s="0" t="n">
        <v>2.05</v>
      </c>
      <c r="D1664" s="0" t="n">
        <v>0.177</v>
      </c>
    </row>
    <row r="1665" customFormat="false" ht="13.8" hidden="true" customHeight="false" outlineLevel="0" collapsed="false">
      <c r="A1665" s="0" t="s">
        <v>224</v>
      </c>
      <c r="B1665" s="0" t="n">
        <v>21</v>
      </c>
      <c r="C1665" s="0" t="n">
        <v>2.1</v>
      </c>
      <c r="D1665" s="0" t="n">
        <v>0.182</v>
      </c>
    </row>
    <row r="1666" customFormat="false" ht="13.8" hidden="true" customHeight="false" outlineLevel="0" collapsed="false">
      <c r="A1666" s="0" t="s">
        <v>224</v>
      </c>
      <c r="B1666" s="0" t="n">
        <v>21</v>
      </c>
      <c r="C1666" s="0" t="n">
        <v>2.15</v>
      </c>
      <c r="D1666" s="0" t="n">
        <v>0.186041612</v>
      </c>
    </row>
    <row r="1667" customFormat="false" ht="13.8" hidden="true" customHeight="false" outlineLevel="0" collapsed="false">
      <c r="A1667" s="0" t="s">
        <v>224</v>
      </c>
      <c r="B1667" s="0" t="n">
        <v>21</v>
      </c>
      <c r="C1667" s="0" t="n">
        <v>2.2</v>
      </c>
      <c r="D1667" s="0" t="n">
        <v>0.170929531</v>
      </c>
    </row>
    <row r="1668" customFormat="false" ht="13.8" hidden="true" customHeight="false" outlineLevel="0" collapsed="false">
      <c r="A1668" s="0" t="s">
        <v>224</v>
      </c>
      <c r="B1668" s="0" t="n">
        <v>21</v>
      </c>
      <c r="C1668" s="0" t="n">
        <v>2.25</v>
      </c>
      <c r="D1668" s="0" t="n">
        <v>0.174814293</v>
      </c>
    </row>
    <row r="1669" customFormat="false" ht="13.8" hidden="true" customHeight="false" outlineLevel="0" collapsed="false">
      <c r="A1669" s="0" t="s">
        <v>224</v>
      </c>
      <c r="B1669" s="0" t="n">
        <v>21</v>
      </c>
      <c r="C1669" s="0" t="n">
        <v>2.3</v>
      </c>
      <c r="D1669" s="0" t="n">
        <v>0.178699055</v>
      </c>
    </row>
    <row r="1670" customFormat="false" ht="13.8" hidden="true" customHeight="false" outlineLevel="0" collapsed="false">
      <c r="A1670" s="0" t="s">
        <v>224</v>
      </c>
      <c r="B1670" s="0" t="n">
        <v>21</v>
      </c>
      <c r="C1670" s="0" t="n">
        <v>2.35</v>
      </c>
      <c r="D1670" s="0" t="n">
        <v>0.182583817</v>
      </c>
    </row>
    <row r="1671" customFormat="false" ht="13.8" hidden="true" customHeight="false" outlineLevel="0" collapsed="false">
      <c r="A1671" s="0" t="s">
        <v>224</v>
      </c>
      <c r="B1671" s="0" t="n">
        <v>21</v>
      </c>
      <c r="C1671" s="0" t="n">
        <v>2.4</v>
      </c>
      <c r="D1671" s="0" t="n">
        <v>0.186468579</v>
      </c>
    </row>
    <row r="1672" customFormat="false" ht="13.8" hidden="true" customHeight="false" outlineLevel="0" collapsed="false">
      <c r="A1672" s="0" t="s">
        <v>224</v>
      </c>
      <c r="B1672" s="0" t="n">
        <v>21</v>
      </c>
      <c r="C1672" s="0" t="n">
        <v>2.45</v>
      </c>
      <c r="D1672" s="0" t="n">
        <v>0.190353341</v>
      </c>
    </row>
    <row r="1673" customFormat="false" ht="13.8" hidden="true" customHeight="false" outlineLevel="0" collapsed="false">
      <c r="A1673" s="0" t="s">
        <v>224</v>
      </c>
      <c r="B1673" s="0" t="n">
        <v>21</v>
      </c>
      <c r="C1673" s="0" t="n">
        <v>2.5</v>
      </c>
      <c r="D1673" s="0" t="n">
        <v>0.194238103</v>
      </c>
    </row>
    <row r="1674" customFormat="false" ht="13.8" hidden="true" customHeight="false" outlineLevel="0" collapsed="false">
      <c r="A1674" s="0" t="s">
        <v>224</v>
      </c>
      <c r="B1674" s="0" t="n">
        <v>21</v>
      </c>
      <c r="C1674" s="0" t="n">
        <v>2.55</v>
      </c>
      <c r="D1674" s="0" t="n">
        <v>0.198122865</v>
      </c>
    </row>
    <row r="1675" customFormat="false" ht="13.8" hidden="true" customHeight="false" outlineLevel="0" collapsed="false">
      <c r="A1675" s="0" t="s">
        <v>224</v>
      </c>
      <c r="B1675" s="0" t="n">
        <v>21</v>
      </c>
      <c r="C1675" s="0" t="n">
        <v>2.6</v>
      </c>
      <c r="D1675" s="0" t="n">
        <v>0.202007628</v>
      </c>
    </row>
    <row r="1676" customFormat="false" ht="13.8" hidden="true" customHeight="false" outlineLevel="0" collapsed="false">
      <c r="A1676" s="0" t="s">
        <v>675</v>
      </c>
      <c r="B1676" s="0" t="n">
        <v>14</v>
      </c>
      <c r="C1676" s="0" t="n">
        <v>1.3</v>
      </c>
      <c r="D1676" s="0" t="n">
        <v>0</v>
      </c>
    </row>
    <row r="1677" customFormat="false" ht="13.8" hidden="true" customHeight="false" outlineLevel="0" collapsed="false">
      <c r="A1677" s="0" t="s">
        <v>675</v>
      </c>
      <c r="B1677" s="0" t="n">
        <v>14</v>
      </c>
      <c r="C1677" s="0" t="n">
        <v>1.35</v>
      </c>
      <c r="D1677" s="0" t="n">
        <v>0</v>
      </c>
    </row>
    <row r="1678" customFormat="false" ht="13.8" hidden="true" customHeight="false" outlineLevel="0" collapsed="false">
      <c r="A1678" s="0" t="s">
        <v>675</v>
      </c>
      <c r="B1678" s="0" t="n">
        <v>14</v>
      </c>
      <c r="C1678" s="0" t="n">
        <v>1.4</v>
      </c>
      <c r="D1678" s="0" t="n">
        <v>0</v>
      </c>
    </row>
    <row r="1679" customFormat="false" ht="13.8" hidden="true" customHeight="false" outlineLevel="0" collapsed="false">
      <c r="A1679" s="0" t="s">
        <v>675</v>
      </c>
      <c r="B1679" s="0" t="n">
        <v>14</v>
      </c>
      <c r="C1679" s="0" t="n">
        <v>1.45</v>
      </c>
      <c r="D1679" s="0" t="n">
        <v>0</v>
      </c>
    </row>
    <row r="1680" customFormat="false" ht="13.8" hidden="true" customHeight="false" outlineLevel="0" collapsed="false">
      <c r="A1680" s="0" t="s">
        <v>675</v>
      </c>
      <c r="B1680" s="0" t="n">
        <v>14</v>
      </c>
      <c r="C1680" s="0" t="n">
        <v>1.5</v>
      </c>
      <c r="D1680" s="0" t="n">
        <v>0</v>
      </c>
    </row>
    <row r="1681" customFormat="false" ht="13.8" hidden="true" customHeight="false" outlineLevel="0" collapsed="false">
      <c r="A1681" s="0" t="s">
        <v>675</v>
      </c>
      <c r="B1681" s="0" t="n">
        <v>14</v>
      </c>
      <c r="C1681" s="0" t="n">
        <v>1.55</v>
      </c>
      <c r="D1681" s="0" t="n">
        <v>0</v>
      </c>
    </row>
    <row r="1682" customFormat="false" ht="13.8" hidden="true" customHeight="false" outlineLevel="0" collapsed="false">
      <c r="A1682" s="0" t="s">
        <v>675</v>
      </c>
      <c r="B1682" s="0" t="n">
        <v>14</v>
      </c>
      <c r="C1682" s="0" t="n">
        <v>1.6</v>
      </c>
      <c r="D1682" s="0" t="n">
        <v>0.123</v>
      </c>
    </row>
    <row r="1683" customFormat="false" ht="13.8" hidden="true" customHeight="false" outlineLevel="0" collapsed="false">
      <c r="A1683" s="0" t="s">
        <v>675</v>
      </c>
      <c r="B1683" s="0" t="n">
        <v>14</v>
      </c>
      <c r="C1683" s="0" t="n">
        <v>1.65</v>
      </c>
      <c r="D1683" s="0" t="n">
        <v>0.127</v>
      </c>
    </row>
    <row r="1684" customFormat="false" ht="13.8" hidden="true" customHeight="false" outlineLevel="0" collapsed="false">
      <c r="A1684" s="0" t="s">
        <v>675</v>
      </c>
      <c r="B1684" s="0" t="n">
        <v>14</v>
      </c>
      <c r="C1684" s="0" t="n">
        <v>1.7</v>
      </c>
      <c r="D1684" s="0" t="n">
        <v>0.13</v>
      </c>
    </row>
    <row r="1685" customFormat="false" ht="13.8" hidden="true" customHeight="false" outlineLevel="0" collapsed="false">
      <c r="A1685" s="0" t="s">
        <v>675</v>
      </c>
      <c r="B1685" s="0" t="n">
        <v>14</v>
      </c>
      <c r="C1685" s="0" t="n">
        <v>1.75</v>
      </c>
      <c r="D1685" s="0" t="n">
        <v>0.134</v>
      </c>
    </row>
    <row r="1686" customFormat="false" ht="13.8" hidden="true" customHeight="false" outlineLevel="0" collapsed="false">
      <c r="A1686" s="0" t="s">
        <v>675</v>
      </c>
      <c r="B1686" s="0" t="n">
        <v>14</v>
      </c>
      <c r="C1686" s="0" t="n">
        <v>1.8</v>
      </c>
      <c r="D1686" s="0" t="n">
        <v>0.147</v>
      </c>
    </row>
    <row r="1687" customFormat="false" ht="13.8" hidden="true" customHeight="false" outlineLevel="0" collapsed="false">
      <c r="A1687" s="0" t="s">
        <v>675</v>
      </c>
      <c r="B1687" s="0" t="n">
        <v>14</v>
      </c>
      <c r="C1687" s="0" t="n">
        <v>1.85</v>
      </c>
      <c r="D1687" s="0" t="n">
        <v>0.151</v>
      </c>
    </row>
    <row r="1688" customFormat="false" ht="13.8" hidden="true" customHeight="false" outlineLevel="0" collapsed="false">
      <c r="A1688" s="0" t="s">
        <v>675</v>
      </c>
      <c r="B1688" s="0" t="n">
        <v>14</v>
      </c>
      <c r="C1688" s="0" t="n">
        <v>1.9</v>
      </c>
      <c r="D1688" s="0" t="n">
        <v>0.155</v>
      </c>
    </row>
    <row r="1689" customFormat="false" ht="13.8" hidden="true" customHeight="false" outlineLevel="0" collapsed="false">
      <c r="A1689" s="0" t="s">
        <v>675</v>
      </c>
      <c r="B1689" s="0" t="n">
        <v>14</v>
      </c>
      <c r="C1689" s="0" t="n">
        <v>1.95</v>
      </c>
      <c r="D1689" s="0" t="n">
        <v>0.159</v>
      </c>
    </row>
    <row r="1690" customFormat="false" ht="13.8" hidden="true" customHeight="false" outlineLevel="0" collapsed="false">
      <c r="A1690" s="0" t="s">
        <v>675</v>
      </c>
      <c r="B1690" s="0" t="n">
        <v>14</v>
      </c>
      <c r="C1690" s="0" t="n">
        <v>2</v>
      </c>
      <c r="D1690" s="0" t="n">
        <v>0.173</v>
      </c>
    </row>
    <row r="1691" customFormat="false" ht="13.8" hidden="true" customHeight="false" outlineLevel="0" collapsed="false">
      <c r="A1691" s="0" t="s">
        <v>675</v>
      </c>
      <c r="B1691" s="0" t="n">
        <v>14</v>
      </c>
      <c r="C1691" s="0" t="n">
        <v>2.05</v>
      </c>
      <c r="D1691" s="0" t="n">
        <v>0.177</v>
      </c>
    </row>
    <row r="1692" customFormat="false" ht="13.8" hidden="true" customHeight="false" outlineLevel="0" collapsed="false">
      <c r="A1692" s="0" t="s">
        <v>675</v>
      </c>
      <c r="B1692" s="0" t="n">
        <v>14</v>
      </c>
      <c r="C1692" s="0" t="n">
        <v>2.1</v>
      </c>
      <c r="D1692" s="0" t="n">
        <v>0.182</v>
      </c>
    </row>
    <row r="1693" customFormat="false" ht="13.8" hidden="true" customHeight="false" outlineLevel="0" collapsed="false">
      <c r="A1693" s="0" t="s">
        <v>675</v>
      </c>
      <c r="B1693" s="0" t="n">
        <v>14</v>
      </c>
      <c r="C1693" s="0" t="n">
        <v>2.15</v>
      </c>
      <c r="D1693" s="0" t="n">
        <v>0.186041612</v>
      </c>
    </row>
    <row r="1694" customFormat="false" ht="13.8" hidden="true" customHeight="false" outlineLevel="0" collapsed="false">
      <c r="A1694" s="0" t="s">
        <v>675</v>
      </c>
      <c r="B1694" s="0" t="n">
        <v>14</v>
      </c>
      <c r="C1694" s="0" t="n">
        <v>2.2</v>
      </c>
      <c r="D1694" s="0" t="n">
        <v>0.170929531</v>
      </c>
    </row>
    <row r="1695" customFormat="false" ht="13.8" hidden="true" customHeight="false" outlineLevel="0" collapsed="false">
      <c r="A1695" s="0" t="s">
        <v>675</v>
      </c>
      <c r="B1695" s="0" t="n">
        <v>14</v>
      </c>
      <c r="C1695" s="0" t="n">
        <v>2.25</v>
      </c>
      <c r="D1695" s="0" t="n">
        <v>0.174814293</v>
      </c>
    </row>
    <row r="1696" customFormat="false" ht="13.8" hidden="true" customHeight="false" outlineLevel="0" collapsed="false">
      <c r="A1696" s="0" t="s">
        <v>675</v>
      </c>
      <c r="B1696" s="0" t="n">
        <v>14</v>
      </c>
      <c r="C1696" s="0" t="n">
        <v>2.3</v>
      </c>
      <c r="D1696" s="0" t="n">
        <v>0.178699055</v>
      </c>
    </row>
    <row r="1697" customFormat="false" ht="13.8" hidden="true" customHeight="false" outlineLevel="0" collapsed="false">
      <c r="A1697" s="0" t="s">
        <v>675</v>
      </c>
      <c r="B1697" s="0" t="n">
        <v>14</v>
      </c>
      <c r="C1697" s="0" t="n">
        <v>2.35</v>
      </c>
      <c r="D1697" s="0" t="n">
        <v>0.182583817</v>
      </c>
    </row>
    <row r="1698" customFormat="false" ht="13.8" hidden="true" customHeight="false" outlineLevel="0" collapsed="false">
      <c r="A1698" s="0" t="s">
        <v>675</v>
      </c>
      <c r="B1698" s="0" t="n">
        <v>14</v>
      </c>
      <c r="C1698" s="0" t="n">
        <v>2.4</v>
      </c>
      <c r="D1698" s="0" t="n">
        <v>0.186468579</v>
      </c>
    </row>
    <row r="1699" customFormat="false" ht="13.8" hidden="true" customHeight="false" outlineLevel="0" collapsed="false">
      <c r="A1699" s="0" t="s">
        <v>675</v>
      </c>
      <c r="B1699" s="0" t="n">
        <v>14</v>
      </c>
      <c r="C1699" s="0" t="n">
        <v>2.45</v>
      </c>
      <c r="D1699" s="0" t="n">
        <v>0.190353341</v>
      </c>
    </row>
    <row r="1700" customFormat="false" ht="13.8" hidden="true" customHeight="false" outlineLevel="0" collapsed="false">
      <c r="A1700" s="0" t="s">
        <v>675</v>
      </c>
      <c r="B1700" s="0" t="n">
        <v>14</v>
      </c>
      <c r="C1700" s="0" t="n">
        <v>2.5</v>
      </c>
      <c r="D1700" s="0" t="n">
        <v>0.194238103</v>
      </c>
    </row>
    <row r="1701" customFormat="false" ht="13.8" hidden="true" customHeight="false" outlineLevel="0" collapsed="false">
      <c r="A1701" s="0" t="s">
        <v>675</v>
      </c>
      <c r="B1701" s="0" t="n">
        <v>14</v>
      </c>
      <c r="C1701" s="0" t="n">
        <v>2.55</v>
      </c>
      <c r="D1701" s="0" t="n">
        <v>0.198122865</v>
      </c>
    </row>
    <row r="1702" customFormat="false" ht="13.8" hidden="true" customHeight="false" outlineLevel="0" collapsed="false">
      <c r="A1702" s="0" t="s">
        <v>675</v>
      </c>
      <c r="B1702" s="0" t="n">
        <v>14</v>
      </c>
      <c r="C1702" s="0" t="n">
        <v>2.6</v>
      </c>
      <c r="D1702" s="0" t="n">
        <v>0.202007628</v>
      </c>
    </row>
    <row r="1703" customFormat="false" ht="13.8" hidden="true" customHeight="false" outlineLevel="0" collapsed="false">
      <c r="A1703" s="0" t="s">
        <v>675</v>
      </c>
      <c r="B1703" s="0" t="n">
        <v>21</v>
      </c>
      <c r="C1703" s="0" t="n">
        <v>1.3</v>
      </c>
      <c r="D1703" s="0" t="n">
        <v>0</v>
      </c>
    </row>
    <row r="1704" customFormat="false" ht="13.8" hidden="true" customHeight="false" outlineLevel="0" collapsed="false">
      <c r="A1704" s="0" t="s">
        <v>675</v>
      </c>
      <c r="B1704" s="0" t="n">
        <v>21</v>
      </c>
      <c r="C1704" s="0" t="n">
        <v>1.35</v>
      </c>
      <c r="D1704" s="0" t="n">
        <v>0</v>
      </c>
    </row>
    <row r="1705" customFormat="false" ht="13.8" hidden="true" customHeight="false" outlineLevel="0" collapsed="false">
      <c r="A1705" s="0" t="s">
        <v>675</v>
      </c>
      <c r="B1705" s="0" t="n">
        <v>21</v>
      </c>
      <c r="C1705" s="0" t="n">
        <v>1.4</v>
      </c>
      <c r="D1705" s="0" t="n">
        <v>0</v>
      </c>
    </row>
    <row r="1706" customFormat="false" ht="13.8" hidden="true" customHeight="false" outlineLevel="0" collapsed="false">
      <c r="A1706" s="0" t="s">
        <v>675</v>
      </c>
      <c r="B1706" s="0" t="n">
        <v>21</v>
      </c>
      <c r="C1706" s="0" t="n">
        <v>1.45</v>
      </c>
      <c r="D1706" s="0" t="n">
        <v>0</v>
      </c>
    </row>
    <row r="1707" customFormat="false" ht="13.8" hidden="true" customHeight="false" outlineLevel="0" collapsed="false">
      <c r="A1707" s="0" t="s">
        <v>675</v>
      </c>
      <c r="B1707" s="0" t="n">
        <v>21</v>
      </c>
      <c r="C1707" s="0" t="n">
        <v>1.5</v>
      </c>
      <c r="D1707" s="0" t="n">
        <v>0</v>
      </c>
    </row>
    <row r="1708" customFormat="false" ht="13.8" hidden="true" customHeight="false" outlineLevel="0" collapsed="false">
      <c r="A1708" s="0" t="s">
        <v>675</v>
      </c>
      <c r="B1708" s="0" t="n">
        <v>21</v>
      </c>
      <c r="C1708" s="0" t="n">
        <v>1.55</v>
      </c>
      <c r="D1708" s="0" t="n">
        <v>0</v>
      </c>
    </row>
    <row r="1709" customFormat="false" ht="13.8" hidden="true" customHeight="false" outlineLevel="0" collapsed="false">
      <c r="A1709" s="0" t="s">
        <v>675</v>
      </c>
      <c r="B1709" s="0" t="n">
        <v>21</v>
      </c>
      <c r="C1709" s="0" t="n">
        <v>1.6</v>
      </c>
      <c r="D1709" s="0" t="n">
        <v>0.123</v>
      </c>
    </row>
    <row r="1710" customFormat="false" ht="13.8" hidden="true" customHeight="false" outlineLevel="0" collapsed="false">
      <c r="A1710" s="0" t="s">
        <v>675</v>
      </c>
      <c r="B1710" s="0" t="n">
        <v>21</v>
      </c>
      <c r="C1710" s="0" t="n">
        <v>1.65</v>
      </c>
      <c r="D1710" s="0" t="n">
        <v>0.127</v>
      </c>
    </row>
    <row r="1711" customFormat="false" ht="13.8" hidden="true" customHeight="false" outlineLevel="0" collapsed="false">
      <c r="A1711" s="0" t="s">
        <v>675</v>
      </c>
      <c r="B1711" s="0" t="n">
        <v>21</v>
      </c>
      <c r="C1711" s="0" t="n">
        <v>1.7</v>
      </c>
      <c r="D1711" s="0" t="n">
        <v>0.13</v>
      </c>
    </row>
    <row r="1712" customFormat="false" ht="13.8" hidden="true" customHeight="false" outlineLevel="0" collapsed="false">
      <c r="A1712" s="0" t="s">
        <v>675</v>
      </c>
      <c r="B1712" s="0" t="n">
        <v>21</v>
      </c>
      <c r="C1712" s="0" t="n">
        <v>1.75</v>
      </c>
      <c r="D1712" s="0" t="n">
        <v>0.134</v>
      </c>
    </row>
    <row r="1713" customFormat="false" ht="13.8" hidden="true" customHeight="false" outlineLevel="0" collapsed="false">
      <c r="A1713" s="0" t="s">
        <v>675</v>
      </c>
      <c r="B1713" s="0" t="n">
        <v>21</v>
      </c>
      <c r="C1713" s="0" t="n">
        <v>1.8</v>
      </c>
      <c r="D1713" s="0" t="n">
        <v>0.147</v>
      </c>
    </row>
    <row r="1714" customFormat="false" ht="13.8" hidden="true" customHeight="false" outlineLevel="0" collapsed="false">
      <c r="A1714" s="0" t="s">
        <v>675</v>
      </c>
      <c r="B1714" s="0" t="n">
        <v>21</v>
      </c>
      <c r="C1714" s="0" t="n">
        <v>1.85</v>
      </c>
      <c r="D1714" s="0" t="n">
        <v>0.151</v>
      </c>
    </row>
    <row r="1715" customFormat="false" ht="13.8" hidden="true" customHeight="false" outlineLevel="0" collapsed="false">
      <c r="A1715" s="0" t="s">
        <v>675</v>
      </c>
      <c r="B1715" s="0" t="n">
        <v>21</v>
      </c>
      <c r="C1715" s="0" t="n">
        <v>1.9</v>
      </c>
      <c r="D1715" s="0" t="n">
        <v>0.155</v>
      </c>
    </row>
    <row r="1716" customFormat="false" ht="13.8" hidden="true" customHeight="false" outlineLevel="0" collapsed="false">
      <c r="A1716" s="0" t="s">
        <v>675</v>
      </c>
      <c r="B1716" s="0" t="n">
        <v>21</v>
      </c>
      <c r="C1716" s="0" t="n">
        <v>1.95</v>
      </c>
      <c r="D1716" s="0" t="n">
        <v>0.159</v>
      </c>
    </row>
    <row r="1717" customFormat="false" ht="13.8" hidden="true" customHeight="false" outlineLevel="0" collapsed="false">
      <c r="A1717" s="0" t="s">
        <v>675</v>
      </c>
      <c r="B1717" s="0" t="n">
        <v>21</v>
      </c>
      <c r="C1717" s="0" t="n">
        <v>2</v>
      </c>
      <c r="D1717" s="0" t="n">
        <v>0.173</v>
      </c>
    </row>
    <row r="1718" customFormat="false" ht="13.8" hidden="true" customHeight="false" outlineLevel="0" collapsed="false">
      <c r="A1718" s="0" t="s">
        <v>675</v>
      </c>
      <c r="B1718" s="0" t="n">
        <v>21</v>
      </c>
      <c r="C1718" s="0" t="n">
        <v>2.05</v>
      </c>
      <c r="D1718" s="0" t="n">
        <v>0.177</v>
      </c>
    </row>
    <row r="1719" customFormat="false" ht="13.8" hidden="true" customHeight="false" outlineLevel="0" collapsed="false">
      <c r="A1719" s="0" t="s">
        <v>675</v>
      </c>
      <c r="B1719" s="0" t="n">
        <v>21</v>
      </c>
      <c r="C1719" s="0" t="n">
        <v>2.1</v>
      </c>
      <c r="D1719" s="0" t="n">
        <v>0.182</v>
      </c>
    </row>
    <row r="1720" customFormat="false" ht="13.8" hidden="true" customHeight="false" outlineLevel="0" collapsed="false">
      <c r="A1720" s="0" t="s">
        <v>675</v>
      </c>
      <c r="B1720" s="0" t="n">
        <v>21</v>
      </c>
      <c r="C1720" s="0" t="n">
        <v>2.15</v>
      </c>
      <c r="D1720" s="0" t="n">
        <v>0.186041612</v>
      </c>
    </row>
    <row r="1721" customFormat="false" ht="13.8" hidden="true" customHeight="false" outlineLevel="0" collapsed="false">
      <c r="A1721" s="0" t="s">
        <v>675</v>
      </c>
      <c r="B1721" s="0" t="n">
        <v>21</v>
      </c>
      <c r="C1721" s="0" t="n">
        <v>2.2</v>
      </c>
      <c r="D1721" s="0" t="n">
        <v>0.170929531</v>
      </c>
    </row>
    <row r="1722" customFormat="false" ht="13.8" hidden="true" customHeight="false" outlineLevel="0" collapsed="false">
      <c r="A1722" s="0" t="s">
        <v>675</v>
      </c>
      <c r="B1722" s="0" t="n">
        <v>21</v>
      </c>
      <c r="C1722" s="0" t="n">
        <v>2.25</v>
      </c>
      <c r="D1722" s="0" t="n">
        <v>0.174814293</v>
      </c>
    </row>
    <row r="1723" customFormat="false" ht="13.8" hidden="true" customHeight="false" outlineLevel="0" collapsed="false">
      <c r="A1723" s="0" t="s">
        <v>675</v>
      </c>
      <c r="B1723" s="0" t="n">
        <v>21</v>
      </c>
      <c r="C1723" s="0" t="n">
        <v>2.3</v>
      </c>
      <c r="D1723" s="0" t="n">
        <v>0.178699055</v>
      </c>
    </row>
    <row r="1724" customFormat="false" ht="13.8" hidden="true" customHeight="false" outlineLevel="0" collapsed="false">
      <c r="A1724" s="0" t="s">
        <v>675</v>
      </c>
      <c r="B1724" s="0" t="n">
        <v>21</v>
      </c>
      <c r="C1724" s="0" t="n">
        <v>2.35</v>
      </c>
      <c r="D1724" s="0" t="n">
        <v>0.182583817</v>
      </c>
    </row>
    <row r="1725" customFormat="false" ht="13.8" hidden="true" customHeight="false" outlineLevel="0" collapsed="false">
      <c r="A1725" s="0" t="s">
        <v>675</v>
      </c>
      <c r="B1725" s="0" t="n">
        <v>21</v>
      </c>
      <c r="C1725" s="0" t="n">
        <v>2.4</v>
      </c>
      <c r="D1725" s="0" t="n">
        <v>0.186468579</v>
      </c>
    </row>
    <row r="1726" customFormat="false" ht="13.8" hidden="true" customHeight="false" outlineLevel="0" collapsed="false">
      <c r="A1726" s="0" t="s">
        <v>675</v>
      </c>
      <c r="B1726" s="0" t="n">
        <v>21</v>
      </c>
      <c r="C1726" s="0" t="n">
        <v>2.45</v>
      </c>
      <c r="D1726" s="0" t="n">
        <v>0.190353341</v>
      </c>
    </row>
    <row r="1727" customFormat="false" ht="13.8" hidden="true" customHeight="false" outlineLevel="0" collapsed="false">
      <c r="A1727" s="0" t="s">
        <v>675</v>
      </c>
      <c r="B1727" s="0" t="n">
        <v>21</v>
      </c>
      <c r="C1727" s="0" t="n">
        <v>2.5</v>
      </c>
      <c r="D1727" s="0" t="n">
        <v>0.194238103</v>
      </c>
    </row>
    <row r="1728" customFormat="false" ht="13.8" hidden="true" customHeight="false" outlineLevel="0" collapsed="false">
      <c r="A1728" s="0" t="s">
        <v>675</v>
      </c>
      <c r="B1728" s="0" t="n">
        <v>21</v>
      </c>
      <c r="C1728" s="0" t="n">
        <v>2.55</v>
      </c>
      <c r="D1728" s="0" t="n">
        <v>0.198122865</v>
      </c>
    </row>
    <row r="1729" customFormat="false" ht="13.8" hidden="true" customHeight="false" outlineLevel="0" collapsed="false">
      <c r="A1729" s="0" t="s">
        <v>675</v>
      </c>
      <c r="B1729" s="0" t="n">
        <v>21</v>
      </c>
      <c r="C1729" s="0" t="n">
        <v>2.6</v>
      </c>
      <c r="D1729" s="0" t="n">
        <v>0.202007628</v>
      </c>
    </row>
    <row r="1730" customFormat="false" ht="13.8" hidden="true" customHeight="false" outlineLevel="0" collapsed="false">
      <c r="A1730" s="0" t="s">
        <v>680</v>
      </c>
      <c r="B1730" s="0" t="n">
        <v>15</v>
      </c>
      <c r="C1730" s="0" t="n">
        <v>1.3</v>
      </c>
      <c r="D1730" s="0" t="n">
        <v>0</v>
      </c>
    </row>
    <row r="1731" customFormat="false" ht="13.8" hidden="true" customHeight="false" outlineLevel="0" collapsed="false">
      <c r="A1731" s="0" t="s">
        <v>680</v>
      </c>
      <c r="B1731" s="0" t="n">
        <v>15</v>
      </c>
      <c r="C1731" s="0" t="n">
        <v>1.35</v>
      </c>
      <c r="D1731" s="0" t="n">
        <v>0</v>
      </c>
    </row>
    <row r="1732" customFormat="false" ht="13.8" hidden="true" customHeight="false" outlineLevel="0" collapsed="false">
      <c r="A1732" s="0" t="s">
        <v>680</v>
      </c>
      <c r="B1732" s="0" t="n">
        <v>15</v>
      </c>
      <c r="C1732" s="0" t="n">
        <v>1.4</v>
      </c>
      <c r="D1732" s="0" t="n">
        <v>0</v>
      </c>
    </row>
    <row r="1733" customFormat="false" ht="13.8" hidden="true" customHeight="false" outlineLevel="0" collapsed="false">
      <c r="A1733" s="0" t="s">
        <v>680</v>
      </c>
      <c r="B1733" s="0" t="n">
        <v>15</v>
      </c>
      <c r="C1733" s="0" t="n">
        <v>1.45</v>
      </c>
      <c r="D1733" s="0" t="n">
        <v>0</v>
      </c>
    </row>
    <row r="1734" customFormat="false" ht="13.8" hidden="true" customHeight="false" outlineLevel="0" collapsed="false">
      <c r="A1734" s="0" t="s">
        <v>680</v>
      </c>
      <c r="B1734" s="0" t="n">
        <v>15</v>
      </c>
      <c r="C1734" s="0" t="n">
        <v>1.5</v>
      </c>
      <c r="D1734" s="0" t="n">
        <v>0</v>
      </c>
    </row>
    <row r="1735" customFormat="false" ht="13.8" hidden="true" customHeight="false" outlineLevel="0" collapsed="false">
      <c r="A1735" s="0" t="s">
        <v>680</v>
      </c>
      <c r="B1735" s="0" t="n">
        <v>15</v>
      </c>
      <c r="C1735" s="0" t="n">
        <v>1.55</v>
      </c>
      <c r="D1735" s="0" t="n">
        <v>0</v>
      </c>
    </row>
    <row r="1736" customFormat="false" ht="13.8" hidden="true" customHeight="false" outlineLevel="0" collapsed="false">
      <c r="A1736" s="0" t="s">
        <v>680</v>
      </c>
      <c r="B1736" s="0" t="n">
        <v>15</v>
      </c>
      <c r="C1736" s="0" t="n">
        <v>1.6</v>
      </c>
      <c r="D1736" s="0" t="n">
        <v>0.136</v>
      </c>
    </row>
    <row r="1737" customFormat="false" ht="13.8" hidden="true" customHeight="false" outlineLevel="0" collapsed="false">
      <c r="A1737" s="0" t="s">
        <v>680</v>
      </c>
      <c r="B1737" s="0" t="n">
        <v>15</v>
      </c>
      <c r="C1737" s="0" t="n">
        <v>1.65</v>
      </c>
      <c r="D1737" s="0" t="n">
        <v>0.141</v>
      </c>
    </row>
    <row r="1738" customFormat="false" ht="13.8" hidden="true" customHeight="false" outlineLevel="0" collapsed="false">
      <c r="A1738" s="0" t="s">
        <v>680</v>
      </c>
      <c r="B1738" s="0" t="n">
        <v>15</v>
      </c>
      <c r="C1738" s="0" t="n">
        <v>1.7</v>
      </c>
      <c r="D1738" s="0" t="n">
        <v>0.145</v>
      </c>
    </row>
    <row r="1739" customFormat="false" ht="13.8" hidden="true" customHeight="false" outlineLevel="0" collapsed="false">
      <c r="A1739" s="0" t="s">
        <v>680</v>
      </c>
      <c r="B1739" s="0" t="n">
        <v>15</v>
      </c>
      <c r="C1739" s="0" t="n">
        <v>1.75</v>
      </c>
      <c r="D1739" s="0" t="n">
        <v>0.149</v>
      </c>
    </row>
    <row r="1740" customFormat="false" ht="13.8" hidden="true" customHeight="false" outlineLevel="0" collapsed="false">
      <c r="A1740" s="0" t="s">
        <v>680</v>
      </c>
      <c r="B1740" s="0" t="n">
        <v>15</v>
      </c>
      <c r="C1740" s="0" t="n">
        <v>1.8</v>
      </c>
      <c r="D1740" s="0" t="n">
        <v>0.163</v>
      </c>
    </row>
    <row r="1741" customFormat="false" ht="13.8" hidden="true" customHeight="false" outlineLevel="0" collapsed="false">
      <c r="A1741" s="0" t="s">
        <v>680</v>
      </c>
      <c r="B1741" s="0" t="n">
        <v>15</v>
      </c>
      <c r="C1741" s="0" t="n">
        <v>1.85</v>
      </c>
      <c r="D1741" s="0" t="n">
        <v>0.168</v>
      </c>
    </row>
    <row r="1742" customFormat="false" ht="13.8" hidden="true" customHeight="false" outlineLevel="0" collapsed="false">
      <c r="A1742" s="0" t="s">
        <v>680</v>
      </c>
      <c r="B1742" s="0" t="n">
        <v>15</v>
      </c>
      <c r="C1742" s="0" t="n">
        <v>1.9</v>
      </c>
      <c r="D1742" s="0" t="n">
        <v>0.172</v>
      </c>
    </row>
    <row r="1743" customFormat="false" ht="13.8" hidden="true" customHeight="false" outlineLevel="0" collapsed="false">
      <c r="A1743" s="0" t="s">
        <v>680</v>
      </c>
      <c r="B1743" s="0" t="n">
        <v>15</v>
      </c>
      <c r="C1743" s="0" t="n">
        <v>1.95</v>
      </c>
      <c r="D1743" s="0" t="n">
        <v>0.177</v>
      </c>
    </row>
    <row r="1744" customFormat="false" ht="13.8" hidden="true" customHeight="false" outlineLevel="0" collapsed="false">
      <c r="A1744" s="0" t="s">
        <v>680</v>
      </c>
      <c r="B1744" s="0" t="n">
        <v>15</v>
      </c>
      <c r="C1744" s="0" t="n">
        <v>2</v>
      </c>
      <c r="D1744" s="0" t="n">
        <v>0.192</v>
      </c>
    </row>
    <row r="1745" customFormat="false" ht="13.8" hidden="true" customHeight="false" outlineLevel="0" collapsed="false">
      <c r="A1745" s="0" t="s">
        <v>680</v>
      </c>
      <c r="B1745" s="0" t="n">
        <v>15</v>
      </c>
      <c r="C1745" s="0" t="n">
        <v>2.05</v>
      </c>
      <c r="D1745" s="0" t="n">
        <v>0.197</v>
      </c>
    </row>
    <row r="1746" customFormat="false" ht="13.8" hidden="true" customHeight="false" outlineLevel="0" collapsed="false">
      <c r="A1746" s="0" t="s">
        <v>680</v>
      </c>
      <c r="B1746" s="0" t="n">
        <v>15</v>
      </c>
      <c r="C1746" s="0" t="n">
        <v>2.1</v>
      </c>
      <c r="D1746" s="0" t="n">
        <v>0.202</v>
      </c>
    </row>
    <row r="1747" customFormat="false" ht="13.8" hidden="true" customHeight="false" outlineLevel="0" collapsed="false">
      <c r="A1747" s="0" t="s">
        <v>680</v>
      </c>
      <c r="B1747" s="0" t="n">
        <v>15</v>
      </c>
      <c r="C1747" s="0" t="n">
        <v>2.15</v>
      </c>
      <c r="D1747" s="0" t="n">
        <v>0.206712902</v>
      </c>
    </row>
    <row r="1748" customFormat="false" ht="13.8" hidden="true" customHeight="false" outlineLevel="0" collapsed="false">
      <c r="A1748" s="0" t="s">
        <v>680</v>
      </c>
      <c r="B1748" s="0" t="n">
        <v>15</v>
      </c>
      <c r="C1748" s="0" t="n">
        <v>2.2</v>
      </c>
      <c r="D1748" s="0" t="n">
        <v>0.189921701</v>
      </c>
    </row>
    <row r="1749" customFormat="false" ht="13.8" hidden="true" customHeight="false" outlineLevel="0" collapsed="false">
      <c r="A1749" s="0" t="s">
        <v>680</v>
      </c>
      <c r="B1749" s="0" t="n">
        <v>15</v>
      </c>
      <c r="C1749" s="0" t="n">
        <v>2.25</v>
      </c>
      <c r="D1749" s="0" t="n">
        <v>0.194238103</v>
      </c>
    </row>
    <row r="1750" customFormat="false" ht="13.8" hidden="true" customHeight="false" outlineLevel="0" collapsed="false">
      <c r="A1750" s="0" t="s">
        <v>680</v>
      </c>
      <c r="B1750" s="0" t="n">
        <v>15</v>
      </c>
      <c r="C1750" s="0" t="n">
        <v>2.3</v>
      </c>
      <c r="D1750" s="0" t="n">
        <v>0.198554506</v>
      </c>
    </row>
    <row r="1751" customFormat="false" ht="13.8" hidden="true" customHeight="false" outlineLevel="0" collapsed="false">
      <c r="A1751" s="0" t="s">
        <v>680</v>
      </c>
      <c r="B1751" s="0" t="n">
        <v>15</v>
      </c>
      <c r="C1751" s="0" t="n">
        <v>2.35</v>
      </c>
      <c r="D1751" s="0" t="n">
        <v>0.202870908</v>
      </c>
    </row>
    <row r="1752" customFormat="false" ht="13.8" hidden="true" customHeight="false" outlineLevel="0" collapsed="false">
      <c r="A1752" s="0" t="s">
        <v>680</v>
      </c>
      <c r="B1752" s="0" t="n">
        <v>15</v>
      </c>
      <c r="C1752" s="0" t="n">
        <v>2.4</v>
      </c>
      <c r="D1752" s="0" t="n">
        <v>0.20718731</v>
      </c>
    </row>
    <row r="1753" customFormat="false" ht="13.8" hidden="true" customHeight="false" outlineLevel="0" collapsed="false">
      <c r="A1753" s="0" t="s">
        <v>680</v>
      </c>
      <c r="B1753" s="0" t="n">
        <v>15</v>
      </c>
      <c r="C1753" s="0" t="n">
        <v>2.45</v>
      </c>
      <c r="D1753" s="0" t="n">
        <v>0.211503713</v>
      </c>
    </row>
    <row r="1754" customFormat="false" ht="13.8" hidden="true" customHeight="false" outlineLevel="0" collapsed="false">
      <c r="A1754" s="0" t="s">
        <v>680</v>
      </c>
      <c r="B1754" s="0" t="n">
        <v>15</v>
      </c>
      <c r="C1754" s="0" t="n">
        <v>2.5</v>
      </c>
      <c r="D1754" s="0" t="n">
        <v>0.215820115</v>
      </c>
    </row>
    <row r="1755" customFormat="false" ht="13.8" hidden="true" customHeight="false" outlineLevel="0" collapsed="false">
      <c r="A1755" s="0" t="s">
        <v>680</v>
      </c>
      <c r="B1755" s="0" t="n">
        <v>15</v>
      </c>
      <c r="C1755" s="0" t="n">
        <v>2.55</v>
      </c>
      <c r="D1755" s="0" t="n">
        <v>0.220136517</v>
      </c>
    </row>
    <row r="1756" customFormat="false" ht="13.8" hidden="true" customHeight="false" outlineLevel="0" collapsed="false">
      <c r="A1756" s="0" t="s">
        <v>680</v>
      </c>
      <c r="B1756" s="0" t="n">
        <v>15</v>
      </c>
      <c r="C1756" s="0" t="n">
        <v>2.6</v>
      </c>
      <c r="D1756" s="0" t="n">
        <v>0.224452919</v>
      </c>
    </row>
    <row r="1757" customFormat="false" ht="13.8" hidden="true" customHeight="false" outlineLevel="0" collapsed="false">
      <c r="A1757" s="0" t="s">
        <v>680</v>
      </c>
      <c r="B1757" s="0" t="n">
        <v>22</v>
      </c>
      <c r="C1757" s="0" t="n">
        <v>1.3</v>
      </c>
      <c r="D1757" s="0" t="n">
        <v>0</v>
      </c>
    </row>
    <row r="1758" customFormat="false" ht="13.8" hidden="true" customHeight="false" outlineLevel="0" collapsed="false">
      <c r="A1758" s="0" t="s">
        <v>680</v>
      </c>
      <c r="B1758" s="0" t="n">
        <v>22</v>
      </c>
      <c r="C1758" s="0" t="n">
        <v>1.35</v>
      </c>
      <c r="D1758" s="0" t="n">
        <v>0</v>
      </c>
    </row>
    <row r="1759" customFormat="false" ht="13.8" hidden="true" customHeight="false" outlineLevel="0" collapsed="false">
      <c r="A1759" s="0" t="s">
        <v>680</v>
      </c>
      <c r="B1759" s="0" t="n">
        <v>22</v>
      </c>
      <c r="C1759" s="0" t="n">
        <v>1.4</v>
      </c>
      <c r="D1759" s="0" t="n">
        <v>0</v>
      </c>
    </row>
    <row r="1760" customFormat="false" ht="13.8" hidden="true" customHeight="false" outlineLevel="0" collapsed="false">
      <c r="A1760" s="0" t="s">
        <v>680</v>
      </c>
      <c r="B1760" s="0" t="n">
        <v>22</v>
      </c>
      <c r="C1760" s="0" t="n">
        <v>1.45</v>
      </c>
      <c r="D1760" s="0" t="n">
        <v>0</v>
      </c>
    </row>
    <row r="1761" customFormat="false" ht="13.8" hidden="true" customHeight="false" outlineLevel="0" collapsed="false">
      <c r="A1761" s="0" t="s">
        <v>680</v>
      </c>
      <c r="B1761" s="0" t="n">
        <v>22</v>
      </c>
      <c r="C1761" s="0" t="n">
        <v>1.5</v>
      </c>
      <c r="D1761" s="0" t="n">
        <v>0</v>
      </c>
    </row>
    <row r="1762" customFormat="false" ht="13.8" hidden="true" customHeight="false" outlineLevel="0" collapsed="false">
      <c r="A1762" s="0" t="s">
        <v>680</v>
      </c>
      <c r="B1762" s="0" t="n">
        <v>22</v>
      </c>
      <c r="C1762" s="0" t="n">
        <v>1.55</v>
      </c>
      <c r="D1762" s="0" t="n">
        <v>0</v>
      </c>
    </row>
    <row r="1763" customFormat="false" ht="13.8" hidden="true" customHeight="false" outlineLevel="0" collapsed="false">
      <c r="A1763" s="0" t="s">
        <v>680</v>
      </c>
      <c r="B1763" s="0" t="n">
        <v>22</v>
      </c>
      <c r="C1763" s="0" t="n">
        <v>1.6</v>
      </c>
      <c r="D1763" s="0" t="n">
        <v>0.136</v>
      </c>
    </row>
    <row r="1764" customFormat="false" ht="13.8" hidden="true" customHeight="false" outlineLevel="0" collapsed="false">
      <c r="A1764" s="0" t="s">
        <v>680</v>
      </c>
      <c r="B1764" s="0" t="n">
        <v>22</v>
      </c>
      <c r="C1764" s="0" t="n">
        <v>1.65</v>
      </c>
      <c r="D1764" s="0" t="n">
        <v>0.141</v>
      </c>
    </row>
    <row r="1765" customFormat="false" ht="13.8" hidden="true" customHeight="false" outlineLevel="0" collapsed="false">
      <c r="A1765" s="0" t="s">
        <v>680</v>
      </c>
      <c r="B1765" s="0" t="n">
        <v>22</v>
      </c>
      <c r="C1765" s="0" t="n">
        <v>1.7</v>
      </c>
      <c r="D1765" s="0" t="n">
        <v>0.145</v>
      </c>
    </row>
    <row r="1766" customFormat="false" ht="13.8" hidden="true" customHeight="false" outlineLevel="0" collapsed="false">
      <c r="A1766" s="0" t="s">
        <v>680</v>
      </c>
      <c r="B1766" s="0" t="n">
        <v>22</v>
      </c>
      <c r="C1766" s="0" t="n">
        <v>1.75</v>
      </c>
      <c r="D1766" s="0" t="n">
        <v>0.149</v>
      </c>
    </row>
    <row r="1767" customFormat="false" ht="13.8" hidden="true" customHeight="false" outlineLevel="0" collapsed="false">
      <c r="A1767" s="0" t="s">
        <v>680</v>
      </c>
      <c r="B1767" s="0" t="n">
        <v>22</v>
      </c>
      <c r="C1767" s="0" t="n">
        <v>1.8</v>
      </c>
      <c r="D1767" s="0" t="n">
        <v>0.163</v>
      </c>
    </row>
    <row r="1768" customFormat="false" ht="13.8" hidden="true" customHeight="false" outlineLevel="0" collapsed="false">
      <c r="A1768" s="0" t="s">
        <v>680</v>
      </c>
      <c r="B1768" s="0" t="n">
        <v>22</v>
      </c>
      <c r="C1768" s="0" t="n">
        <v>1.85</v>
      </c>
      <c r="D1768" s="0" t="n">
        <v>0.168</v>
      </c>
    </row>
    <row r="1769" customFormat="false" ht="13.8" hidden="true" customHeight="false" outlineLevel="0" collapsed="false">
      <c r="A1769" s="0" t="s">
        <v>680</v>
      </c>
      <c r="B1769" s="0" t="n">
        <v>22</v>
      </c>
      <c r="C1769" s="0" t="n">
        <v>1.9</v>
      </c>
      <c r="D1769" s="0" t="n">
        <v>0.172</v>
      </c>
    </row>
    <row r="1770" customFormat="false" ht="13.8" hidden="true" customHeight="false" outlineLevel="0" collapsed="false">
      <c r="A1770" s="0" t="s">
        <v>680</v>
      </c>
      <c r="B1770" s="0" t="n">
        <v>22</v>
      </c>
      <c r="C1770" s="0" t="n">
        <v>1.95</v>
      </c>
      <c r="D1770" s="0" t="n">
        <v>0.177</v>
      </c>
    </row>
    <row r="1771" customFormat="false" ht="13.8" hidden="true" customHeight="false" outlineLevel="0" collapsed="false">
      <c r="A1771" s="0" t="s">
        <v>680</v>
      </c>
      <c r="B1771" s="0" t="n">
        <v>22</v>
      </c>
      <c r="C1771" s="0" t="n">
        <v>2</v>
      </c>
      <c r="D1771" s="0" t="n">
        <v>0.192</v>
      </c>
    </row>
    <row r="1772" customFormat="false" ht="13.8" hidden="true" customHeight="false" outlineLevel="0" collapsed="false">
      <c r="A1772" s="0" t="s">
        <v>680</v>
      </c>
      <c r="B1772" s="0" t="n">
        <v>22</v>
      </c>
      <c r="C1772" s="0" t="n">
        <v>2.05</v>
      </c>
      <c r="D1772" s="0" t="n">
        <v>0.197</v>
      </c>
    </row>
    <row r="1773" customFormat="false" ht="13.8" hidden="true" customHeight="false" outlineLevel="0" collapsed="false">
      <c r="A1773" s="0" t="s">
        <v>680</v>
      </c>
      <c r="B1773" s="0" t="n">
        <v>22</v>
      </c>
      <c r="C1773" s="0" t="n">
        <v>2.1</v>
      </c>
      <c r="D1773" s="0" t="n">
        <v>0.202</v>
      </c>
    </row>
    <row r="1774" customFormat="false" ht="13.8" hidden="true" customHeight="false" outlineLevel="0" collapsed="false">
      <c r="A1774" s="0" t="s">
        <v>680</v>
      </c>
      <c r="B1774" s="0" t="n">
        <v>22</v>
      </c>
      <c r="C1774" s="0" t="n">
        <v>2.15</v>
      </c>
      <c r="D1774" s="0" t="n">
        <v>0.206712902</v>
      </c>
    </row>
    <row r="1775" customFormat="false" ht="13.8" hidden="true" customHeight="false" outlineLevel="0" collapsed="false">
      <c r="A1775" s="0" t="s">
        <v>680</v>
      </c>
      <c r="B1775" s="0" t="n">
        <v>22</v>
      </c>
      <c r="C1775" s="0" t="n">
        <v>2.2</v>
      </c>
      <c r="D1775" s="0" t="n">
        <v>0.189921701</v>
      </c>
    </row>
    <row r="1776" customFormat="false" ht="13.8" hidden="true" customHeight="false" outlineLevel="0" collapsed="false">
      <c r="A1776" s="0" t="s">
        <v>680</v>
      </c>
      <c r="B1776" s="0" t="n">
        <v>22</v>
      </c>
      <c r="C1776" s="0" t="n">
        <v>2.25</v>
      </c>
      <c r="D1776" s="0" t="n">
        <v>0.194238103</v>
      </c>
    </row>
    <row r="1777" customFormat="false" ht="13.8" hidden="true" customHeight="false" outlineLevel="0" collapsed="false">
      <c r="A1777" s="0" t="s">
        <v>680</v>
      </c>
      <c r="B1777" s="0" t="n">
        <v>22</v>
      </c>
      <c r="C1777" s="0" t="n">
        <v>2.3</v>
      </c>
      <c r="D1777" s="0" t="n">
        <v>0.198554506</v>
      </c>
    </row>
    <row r="1778" customFormat="false" ht="13.8" hidden="true" customHeight="false" outlineLevel="0" collapsed="false">
      <c r="A1778" s="0" t="s">
        <v>680</v>
      </c>
      <c r="B1778" s="0" t="n">
        <v>22</v>
      </c>
      <c r="C1778" s="0" t="n">
        <v>2.35</v>
      </c>
      <c r="D1778" s="0" t="n">
        <v>0.202870908</v>
      </c>
    </row>
    <row r="1779" customFormat="false" ht="13.8" hidden="true" customHeight="false" outlineLevel="0" collapsed="false">
      <c r="A1779" s="0" t="s">
        <v>680</v>
      </c>
      <c r="B1779" s="0" t="n">
        <v>22</v>
      </c>
      <c r="C1779" s="0" t="n">
        <v>2.4</v>
      </c>
      <c r="D1779" s="0" t="n">
        <v>0.20718731</v>
      </c>
    </row>
    <row r="1780" customFormat="false" ht="13.8" hidden="true" customHeight="false" outlineLevel="0" collapsed="false">
      <c r="A1780" s="0" t="s">
        <v>680</v>
      </c>
      <c r="B1780" s="0" t="n">
        <v>22</v>
      </c>
      <c r="C1780" s="0" t="n">
        <v>2.45</v>
      </c>
      <c r="D1780" s="0" t="n">
        <v>0.211503713</v>
      </c>
    </row>
    <row r="1781" customFormat="false" ht="13.8" hidden="true" customHeight="false" outlineLevel="0" collapsed="false">
      <c r="A1781" s="0" t="s">
        <v>680</v>
      </c>
      <c r="B1781" s="0" t="n">
        <v>22</v>
      </c>
      <c r="C1781" s="0" t="n">
        <v>2.5</v>
      </c>
      <c r="D1781" s="0" t="n">
        <v>0.215820115</v>
      </c>
    </row>
    <row r="1782" customFormat="false" ht="13.8" hidden="true" customHeight="false" outlineLevel="0" collapsed="false">
      <c r="A1782" s="0" t="s">
        <v>680</v>
      </c>
      <c r="B1782" s="0" t="n">
        <v>22</v>
      </c>
      <c r="C1782" s="0" t="n">
        <v>2.55</v>
      </c>
      <c r="D1782" s="0" t="n">
        <v>0.220136517</v>
      </c>
    </row>
    <row r="1783" customFormat="false" ht="13.8" hidden="true" customHeight="false" outlineLevel="0" collapsed="false">
      <c r="A1783" s="0" t="s">
        <v>680</v>
      </c>
      <c r="B1783" s="0" t="n">
        <v>22</v>
      </c>
      <c r="C1783" s="0" t="n">
        <v>2.6</v>
      </c>
      <c r="D1783" s="0" t="n">
        <v>0.224452919</v>
      </c>
    </row>
    <row r="1784" customFormat="false" ht="13.8" hidden="true" customHeight="false" outlineLevel="0" collapsed="false">
      <c r="A1784" s="0" t="s">
        <v>122</v>
      </c>
      <c r="B1784" s="0" t="n">
        <v>10</v>
      </c>
      <c r="C1784" s="0" t="n">
        <v>1.3</v>
      </c>
      <c r="D1784" s="0" t="n">
        <v>0</v>
      </c>
    </row>
    <row r="1785" customFormat="false" ht="13.8" hidden="true" customHeight="false" outlineLevel="0" collapsed="false">
      <c r="A1785" s="0" t="s">
        <v>122</v>
      </c>
      <c r="B1785" s="0" t="n">
        <v>10</v>
      </c>
      <c r="C1785" s="0" t="n">
        <v>1.35</v>
      </c>
      <c r="D1785" s="0" t="n">
        <v>0</v>
      </c>
    </row>
    <row r="1786" customFormat="false" ht="13.8" hidden="true" customHeight="false" outlineLevel="0" collapsed="false">
      <c r="A1786" s="0" t="s">
        <v>122</v>
      </c>
      <c r="B1786" s="0" t="n">
        <v>10</v>
      </c>
      <c r="C1786" s="0" t="n">
        <v>1.4</v>
      </c>
      <c r="D1786" s="0" t="n">
        <v>0</v>
      </c>
    </row>
    <row r="1787" customFormat="false" ht="13.8" hidden="true" customHeight="false" outlineLevel="0" collapsed="false">
      <c r="A1787" s="0" t="s">
        <v>122</v>
      </c>
      <c r="B1787" s="0" t="n">
        <v>10</v>
      </c>
      <c r="C1787" s="0" t="n">
        <v>1.45</v>
      </c>
      <c r="D1787" s="0" t="n">
        <v>0</v>
      </c>
    </row>
    <row r="1788" customFormat="false" ht="13.8" hidden="true" customHeight="false" outlineLevel="0" collapsed="false">
      <c r="A1788" s="0" t="s">
        <v>122</v>
      </c>
      <c r="B1788" s="0" t="n">
        <v>10</v>
      </c>
      <c r="C1788" s="0" t="n">
        <v>1.5</v>
      </c>
      <c r="D1788" s="0" t="n">
        <v>0</v>
      </c>
    </row>
    <row r="1789" customFormat="false" ht="13.8" hidden="true" customHeight="false" outlineLevel="0" collapsed="false">
      <c r="A1789" s="0" t="s">
        <v>122</v>
      </c>
      <c r="B1789" s="0" t="n">
        <v>10</v>
      </c>
      <c r="C1789" s="0" t="n">
        <v>1.55</v>
      </c>
      <c r="D1789" s="0" t="n">
        <v>0</v>
      </c>
    </row>
    <row r="1790" customFormat="false" ht="13.8" hidden="true" customHeight="false" outlineLevel="0" collapsed="false">
      <c r="A1790" s="0" t="s">
        <v>122</v>
      </c>
      <c r="B1790" s="0" t="n">
        <v>10</v>
      </c>
      <c r="C1790" s="0" t="n">
        <v>1.6</v>
      </c>
      <c r="D1790" s="0" t="n">
        <v>0.136</v>
      </c>
    </row>
    <row r="1791" customFormat="false" ht="13.8" hidden="true" customHeight="false" outlineLevel="0" collapsed="false">
      <c r="A1791" s="0" t="s">
        <v>122</v>
      </c>
      <c r="B1791" s="0" t="n">
        <v>10</v>
      </c>
      <c r="C1791" s="0" t="n">
        <v>1.65</v>
      </c>
      <c r="D1791" s="0" t="n">
        <v>0.141</v>
      </c>
    </row>
    <row r="1792" customFormat="false" ht="13.8" hidden="true" customHeight="false" outlineLevel="0" collapsed="false">
      <c r="A1792" s="0" t="s">
        <v>122</v>
      </c>
      <c r="B1792" s="0" t="n">
        <v>10</v>
      </c>
      <c r="C1792" s="0" t="n">
        <v>1.7</v>
      </c>
      <c r="D1792" s="0" t="n">
        <v>0.145</v>
      </c>
    </row>
    <row r="1793" customFormat="false" ht="13.8" hidden="true" customHeight="false" outlineLevel="0" collapsed="false">
      <c r="A1793" s="0" t="s">
        <v>122</v>
      </c>
      <c r="B1793" s="0" t="n">
        <v>10</v>
      </c>
      <c r="C1793" s="0" t="n">
        <v>1.75</v>
      </c>
      <c r="D1793" s="0" t="n">
        <v>0.149</v>
      </c>
    </row>
    <row r="1794" customFormat="false" ht="13.8" hidden="true" customHeight="false" outlineLevel="0" collapsed="false">
      <c r="A1794" s="0" t="s">
        <v>122</v>
      </c>
      <c r="B1794" s="0" t="n">
        <v>10</v>
      </c>
      <c r="C1794" s="0" t="n">
        <v>1.8</v>
      </c>
      <c r="D1794" s="0" t="n">
        <v>0.163</v>
      </c>
    </row>
    <row r="1795" customFormat="false" ht="13.8" hidden="true" customHeight="false" outlineLevel="0" collapsed="false">
      <c r="A1795" s="0" t="s">
        <v>122</v>
      </c>
      <c r="B1795" s="0" t="n">
        <v>10</v>
      </c>
      <c r="C1795" s="0" t="n">
        <v>1.85</v>
      </c>
      <c r="D1795" s="0" t="n">
        <v>0.168</v>
      </c>
    </row>
    <row r="1796" customFormat="false" ht="13.8" hidden="true" customHeight="false" outlineLevel="0" collapsed="false">
      <c r="A1796" s="0" t="s">
        <v>122</v>
      </c>
      <c r="B1796" s="0" t="n">
        <v>10</v>
      </c>
      <c r="C1796" s="0" t="n">
        <v>1.9</v>
      </c>
      <c r="D1796" s="0" t="n">
        <v>0.172</v>
      </c>
    </row>
    <row r="1797" customFormat="false" ht="13.8" hidden="true" customHeight="false" outlineLevel="0" collapsed="false">
      <c r="A1797" s="0" t="s">
        <v>122</v>
      </c>
      <c r="B1797" s="0" t="n">
        <v>10</v>
      </c>
      <c r="C1797" s="0" t="n">
        <v>1.95</v>
      </c>
      <c r="D1797" s="0" t="n">
        <v>0.177</v>
      </c>
    </row>
    <row r="1798" customFormat="false" ht="13.8" hidden="true" customHeight="false" outlineLevel="0" collapsed="false">
      <c r="A1798" s="0" t="s">
        <v>122</v>
      </c>
      <c r="B1798" s="0" t="n">
        <v>10</v>
      </c>
      <c r="C1798" s="0" t="n">
        <v>2</v>
      </c>
      <c r="D1798" s="0" t="n">
        <v>0.192</v>
      </c>
    </row>
    <row r="1799" customFormat="false" ht="13.8" hidden="true" customHeight="false" outlineLevel="0" collapsed="false">
      <c r="A1799" s="0" t="s">
        <v>122</v>
      </c>
      <c r="B1799" s="0" t="n">
        <v>10</v>
      </c>
      <c r="C1799" s="0" t="n">
        <v>2.05</v>
      </c>
      <c r="D1799" s="0" t="n">
        <v>0.197</v>
      </c>
    </row>
    <row r="1800" customFormat="false" ht="13.8" hidden="true" customHeight="false" outlineLevel="0" collapsed="false">
      <c r="A1800" s="0" t="s">
        <v>122</v>
      </c>
      <c r="B1800" s="0" t="n">
        <v>10</v>
      </c>
      <c r="C1800" s="0" t="n">
        <v>2.1</v>
      </c>
      <c r="D1800" s="0" t="n">
        <v>0.202</v>
      </c>
    </row>
    <row r="1801" customFormat="false" ht="13.8" hidden="true" customHeight="false" outlineLevel="0" collapsed="false">
      <c r="A1801" s="0" t="s">
        <v>122</v>
      </c>
      <c r="B1801" s="0" t="n">
        <v>10</v>
      </c>
      <c r="C1801" s="0" t="n">
        <v>2.15</v>
      </c>
      <c r="D1801" s="0" t="n">
        <v>0.206712902</v>
      </c>
    </row>
    <row r="1802" customFormat="false" ht="13.8" hidden="true" customHeight="false" outlineLevel="0" collapsed="false">
      <c r="A1802" s="0" t="s">
        <v>122</v>
      </c>
      <c r="B1802" s="0" t="n">
        <v>10</v>
      </c>
      <c r="C1802" s="0" t="n">
        <v>2.2</v>
      </c>
      <c r="D1802" s="0" t="n">
        <v>0.189921701</v>
      </c>
    </row>
    <row r="1803" customFormat="false" ht="13.8" hidden="true" customHeight="false" outlineLevel="0" collapsed="false">
      <c r="A1803" s="0" t="s">
        <v>122</v>
      </c>
      <c r="B1803" s="0" t="n">
        <v>10</v>
      </c>
      <c r="C1803" s="0" t="n">
        <v>2.25</v>
      </c>
      <c r="D1803" s="0" t="n">
        <v>0.194238103</v>
      </c>
    </row>
    <row r="1804" customFormat="false" ht="13.8" hidden="true" customHeight="false" outlineLevel="0" collapsed="false">
      <c r="A1804" s="0" t="s">
        <v>122</v>
      </c>
      <c r="B1804" s="0" t="n">
        <v>10</v>
      </c>
      <c r="C1804" s="0" t="n">
        <v>2.3</v>
      </c>
      <c r="D1804" s="0" t="n">
        <v>0.198554506</v>
      </c>
    </row>
    <row r="1805" customFormat="false" ht="13.8" hidden="true" customHeight="false" outlineLevel="0" collapsed="false">
      <c r="A1805" s="0" t="s">
        <v>122</v>
      </c>
      <c r="B1805" s="0" t="n">
        <v>10</v>
      </c>
      <c r="C1805" s="0" t="n">
        <v>2.35</v>
      </c>
      <c r="D1805" s="0" t="n">
        <v>0.202870908</v>
      </c>
    </row>
    <row r="1806" customFormat="false" ht="13.8" hidden="true" customHeight="false" outlineLevel="0" collapsed="false">
      <c r="A1806" s="0" t="s">
        <v>122</v>
      </c>
      <c r="B1806" s="0" t="n">
        <v>10</v>
      </c>
      <c r="C1806" s="0" t="n">
        <v>2.4</v>
      </c>
      <c r="D1806" s="0" t="n">
        <v>0.20718731</v>
      </c>
    </row>
    <row r="1807" customFormat="false" ht="13.8" hidden="true" customHeight="false" outlineLevel="0" collapsed="false">
      <c r="A1807" s="0" t="s">
        <v>122</v>
      </c>
      <c r="B1807" s="0" t="n">
        <v>10</v>
      </c>
      <c r="C1807" s="0" t="n">
        <v>2.45</v>
      </c>
      <c r="D1807" s="0" t="n">
        <v>0.211503713</v>
      </c>
    </row>
    <row r="1808" customFormat="false" ht="13.8" hidden="true" customHeight="false" outlineLevel="0" collapsed="false">
      <c r="A1808" s="0" t="s">
        <v>122</v>
      </c>
      <c r="B1808" s="0" t="n">
        <v>10</v>
      </c>
      <c r="C1808" s="0" t="n">
        <v>2.5</v>
      </c>
      <c r="D1808" s="0" t="n">
        <v>0.215820115</v>
      </c>
    </row>
    <row r="1809" customFormat="false" ht="13.8" hidden="true" customHeight="false" outlineLevel="0" collapsed="false">
      <c r="A1809" s="0" t="s">
        <v>122</v>
      </c>
      <c r="B1809" s="0" t="n">
        <v>10</v>
      </c>
      <c r="C1809" s="0" t="n">
        <v>2.55</v>
      </c>
      <c r="D1809" s="0" t="n">
        <v>0.220136517</v>
      </c>
    </row>
    <row r="1810" customFormat="false" ht="13.8" hidden="true" customHeight="false" outlineLevel="0" collapsed="false">
      <c r="A1810" s="0" t="s">
        <v>122</v>
      </c>
      <c r="B1810" s="0" t="n">
        <v>10</v>
      </c>
      <c r="C1810" s="0" t="n">
        <v>2.6</v>
      </c>
      <c r="D1810" s="0" t="n">
        <v>0.224452919</v>
      </c>
    </row>
    <row r="1811" customFormat="false" ht="13.8" hidden="true" customHeight="false" outlineLevel="0" collapsed="false">
      <c r="A1811" s="0" t="s">
        <v>122</v>
      </c>
      <c r="B1811" s="0" t="n">
        <v>17</v>
      </c>
      <c r="C1811" s="0" t="n">
        <v>1.3</v>
      </c>
      <c r="D1811" s="0" t="n">
        <v>0</v>
      </c>
    </row>
    <row r="1812" customFormat="false" ht="13.8" hidden="true" customHeight="false" outlineLevel="0" collapsed="false">
      <c r="A1812" s="0" t="s">
        <v>122</v>
      </c>
      <c r="B1812" s="0" t="n">
        <v>17</v>
      </c>
      <c r="C1812" s="0" t="n">
        <v>1.35</v>
      </c>
      <c r="D1812" s="0" t="n">
        <v>0</v>
      </c>
    </row>
    <row r="1813" customFormat="false" ht="13.8" hidden="true" customHeight="false" outlineLevel="0" collapsed="false">
      <c r="A1813" s="0" t="s">
        <v>122</v>
      </c>
      <c r="B1813" s="0" t="n">
        <v>17</v>
      </c>
      <c r="C1813" s="0" t="n">
        <v>1.4</v>
      </c>
      <c r="D1813" s="0" t="n">
        <v>0</v>
      </c>
    </row>
    <row r="1814" customFormat="false" ht="13.8" hidden="true" customHeight="false" outlineLevel="0" collapsed="false">
      <c r="A1814" s="0" t="s">
        <v>122</v>
      </c>
      <c r="B1814" s="0" t="n">
        <v>17</v>
      </c>
      <c r="C1814" s="0" t="n">
        <v>1.45</v>
      </c>
      <c r="D1814" s="0" t="n">
        <v>0</v>
      </c>
    </row>
    <row r="1815" customFormat="false" ht="13.8" hidden="true" customHeight="false" outlineLevel="0" collapsed="false">
      <c r="A1815" s="0" t="s">
        <v>122</v>
      </c>
      <c r="B1815" s="0" t="n">
        <v>17</v>
      </c>
      <c r="C1815" s="0" t="n">
        <v>1.5</v>
      </c>
      <c r="D1815" s="0" t="n">
        <v>0</v>
      </c>
    </row>
    <row r="1816" customFormat="false" ht="13.8" hidden="true" customHeight="false" outlineLevel="0" collapsed="false">
      <c r="A1816" s="0" t="s">
        <v>122</v>
      </c>
      <c r="B1816" s="0" t="n">
        <v>17</v>
      </c>
      <c r="C1816" s="0" t="n">
        <v>1.55</v>
      </c>
      <c r="D1816" s="0" t="n">
        <v>0</v>
      </c>
    </row>
    <row r="1817" customFormat="false" ht="13.8" hidden="true" customHeight="false" outlineLevel="0" collapsed="false">
      <c r="A1817" s="0" t="s">
        <v>122</v>
      </c>
      <c r="B1817" s="0" t="n">
        <v>17</v>
      </c>
      <c r="C1817" s="0" t="n">
        <v>1.6</v>
      </c>
      <c r="D1817" s="0" t="n">
        <v>0.136</v>
      </c>
    </row>
    <row r="1818" customFormat="false" ht="13.8" hidden="true" customHeight="false" outlineLevel="0" collapsed="false">
      <c r="A1818" s="0" t="s">
        <v>122</v>
      </c>
      <c r="B1818" s="0" t="n">
        <v>17</v>
      </c>
      <c r="C1818" s="0" t="n">
        <v>1.65</v>
      </c>
      <c r="D1818" s="0" t="n">
        <v>0.141</v>
      </c>
    </row>
    <row r="1819" customFormat="false" ht="13.8" hidden="true" customHeight="false" outlineLevel="0" collapsed="false">
      <c r="A1819" s="0" t="s">
        <v>122</v>
      </c>
      <c r="B1819" s="0" t="n">
        <v>17</v>
      </c>
      <c r="C1819" s="0" t="n">
        <v>1.7</v>
      </c>
      <c r="D1819" s="0" t="n">
        <v>0.145</v>
      </c>
    </row>
    <row r="1820" customFormat="false" ht="13.8" hidden="true" customHeight="false" outlineLevel="0" collapsed="false">
      <c r="A1820" s="0" t="s">
        <v>122</v>
      </c>
      <c r="B1820" s="0" t="n">
        <v>17</v>
      </c>
      <c r="C1820" s="0" t="n">
        <v>1.75</v>
      </c>
      <c r="D1820" s="0" t="n">
        <v>0.149</v>
      </c>
    </row>
    <row r="1821" customFormat="false" ht="13.8" hidden="true" customHeight="false" outlineLevel="0" collapsed="false">
      <c r="A1821" s="0" t="s">
        <v>122</v>
      </c>
      <c r="B1821" s="0" t="n">
        <v>17</v>
      </c>
      <c r="C1821" s="0" t="n">
        <v>1.8</v>
      </c>
      <c r="D1821" s="0" t="n">
        <v>0.163</v>
      </c>
    </row>
    <row r="1822" customFormat="false" ht="13.8" hidden="true" customHeight="false" outlineLevel="0" collapsed="false">
      <c r="A1822" s="0" t="s">
        <v>122</v>
      </c>
      <c r="B1822" s="0" t="n">
        <v>17</v>
      </c>
      <c r="C1822" s="0" t="n">
        <v>1.85</v>
      </c>
      <c r="D1822" s="0" t="n">
        <v>0.168</v>
      </c>
    </row>
    <row r="1823" customFormat="false" ht="13.8" hidden="true" customHeight="false" outlineLevel="0" collapsed="false">
      <c r="A1823" s="0" t="s">
        <v>122</v>
      </c>
      <c r="B1823" s="0" t="n">
        <v>17</v>
      </c>
      <c r="C1823" s="0" t="n">
        <v>1.9</v>
      </c>
      <c r="D1823" s="0" t="n">
        <v>0.172</v>
      </c>
    </row>
    <row r="1824" customFormat="false" ht="13.8" hidden="true" customHeight="false" outlineLevel="0" collapsed="false">
      <c r="A1824" s="0" t="s">
        <v>122</v>
      </c>
      <c r="B1824" s="0" t="n">
        <v>17</v>
      </c>
      <c r="C1824" s="0" t="n">
        <v>1.95</v>
      </c>
      <c r="D1824" s="0" t="n">
        <v>0.177</v>
      </c>
    </row>
    <row r="1825" customFormat="false" ht="13.8" hidden="true" customHeight="false" outlineLevel="0" collapsed="false">
      <c r="A1825" s="0" t="s">
        <v>122</v>
      </c>
      <c r="B1825" s="0" t="n">
        <v>17</v>
      </c>
      <c r="C1825" s="0" t="n">
        <v>2</v>
      </c>
      <c r="D1825" s="0" t="n">
        <v>0.192</v>
      </c>
    </row>
    <row r="1826" customFormat="false" ht="13.8" hidden="true" customHeight="false" outlineLevel="0" collapsed="false">
      <c r="A1826" s="0" t="s">
        <v>122</v>
      </c>
      <c r="B1826" s="0" t="n">
        <v>17</v>
      </c>
      <c r="C1826" s="0" t="n">
        <v>2.05</v>
      </c>
      <c r="D1826" s="0" t="n">
        <v>0.197</v>
      </c>
    </row>
    <row r="1827" customFormat="false" ht="13.8" hidden="true" customHeight="false" outlineLevel="0" collapsed="false">
      <c r="A1827" s="0" t="s">
        <v>122</v>
      </c>
      <c r="B1827" s="0" t="n">
        <v>17</v>
      </c>
      <c r="C1827" s="0" t="n">
        <v>2.1</v>
      </c>
      <c r="D1827" s="0" t="n">
        <v>0.202</v>
      </c>
    </row>
    <row r="1828" customFormat="false" ht="13.8" hidden="true" customHeight="false" outlineLevel="0" collapsed="false">
      <c r="A1828" s="0" t="s">
        <v>122</v>
      </c>
      <c r="B1828" s="0" t="n">
        <v>17</v>
      </c>
      <c r="C1828" s="0" t="n">
        <v>2.15</v>
      </c>
      <c r="D1828" s="0" t="n">
        <v>0.206712902</v>
      </c>
    </row>
    <row r="1829" customFormat="false" ht="13.8" hidden="true" customHeight="false" outlineLevel="0" collapsed="false">
      <c r="A1829" s="0" t="s">
        <v>122</v>
      </c>
      <c r="B1829" s="0" t="n">
        <v>17</v>
      </c>
      <c r="C1829" s="0" t="n">
        <v>2.2</v>
      </c>
      <c r="D1829" s="0" t="n">
        <v>0.189921701</v>
      </c>
    </row>
    <row r="1830" customFormat="false" ht="13.8" hidden="true" customHeight="false" outlineLevel="0" collapsed="false">
      <c r="A1830" s="0" t="s">
        <v>122</v>
      </c>
      <c r="B1830" s="0" t="n">
        <v>17</v>
      </c>
      <c r="C1830" s="0" t="n">
        <v>2.25</v>
      </c>
      <c r="D1830" s="0" t="n">
        <v>0.194238103</v>
      </c>
    </row>
    <row r="1831" customFormat="false" ht="13.8" hidden="true" customHeight="false" outlineLevel="0" collapsed="false">
      <c r="A1831" s="0" t="s">
        <v>122</v>
      </c>
      <c r="B1831" s="0" t="n">
        <v>17</v>
      </c>
      <c r="C1831" s="0" t="n">
        <v>2.3</v>
      </c>
      <c r="D1831" s="0" t="n">
        <v>0.198554506</v>
      </c>
    </row>
    <row r="1832" customFormat="false" ht="13.8" hidden="true" customHeight="false" outlineLevel="0" collapsed="false">
      <c r="A1832" s="0" t="s">
        <v>122</v>
      </c>
      <c r="B1832" s="0" t="n">
        <v>17</v>
      </c>
      <c r="C1832" s="0" t="n">
        <v>2.35</v>
      </c>
      <c r="D1832" s="0" t="n">
        <v>0.202870908</v>
      </c>
    </row>
    <row r="1833" customFormat="false" ht="13.8" hidden="true" customHeight="false" outlineLevel="0" collapsed="false">
      <c r="A1833" s="0" t="s">
        <v>122</v>
      </c>
      <c r="B1833" s="0" t="n">
        <v>17</v>
      </c>
      <c r="C1833" s="0" t="n">
        <v>2.4</v>
      </c>
      <c r="D1833" s="0" t="n">
        <v>0.20718731</v>
      </c>
    </row>
    <row r="1834" customFormat="false" ht="13.8" hidden="true" customHeight="false" outlineLevel="0" collapsed="false">
      <c r="A1834" s="0" t="s">
        <v>122</v>
      </c>
      <c r="B1834" s="0" t="n">
        <v>17</v>
      </c>
      <c r="C1834" s="0" t="n">
        <v>2.45</v>
      </c>
      <c r="D1834" s="0" t="n">
        <v>0.211503713</v>
      </c>
    </row>
    <row r="1835" customFormat="false" ht="13.8" hidden="true" customHeight="false" outlineLevel="0" collapsed="false">
      <c r="A1835" s="0" t="s">
        <v>122</v>
      </c>
      <c r="B1835" s="0" t="n">
        <v>17</v>
      </c>
      <c r="C1835" s="0" t="n">
        <v>2.5</v>
      </c>
      <c r="D1835" s="0" t="n">
        <v>0.215820115</v>
      </c>
    </row>
    <row r="1836" customFormat="false" ht="13.8" hidden="true" customHeight="false" outlineLevel="0" collapsed="false">
      <c r="A1836" s="0" t="s">
        <v>122</v>
      </c>
      <c r="B1836" s="0" t="n">
        <v>17</v>
      </c>
      <c r="C1836" s="0" t="n">
        <v>2.55</v>
      </c>
      <c r="D1836" s="0" t="n">
        <v>0.220136517</v>
      </c>
    </row>
    <row r="1837" customFormat="false" ht="13.8" hidden="true" customHeight="false" outlineLevel="0" collapsed="false">
      <c r="A1837" s="0" t="s">
        <v>122</v>
      </c>
      <c r="B1837" s="0" t="n">
        <v>17</v>
      </c>
      <c r="C1837" s="0" t="n">
        <v>2.6</v>
      </c>
      <c r="D1837" s="0" t="n">
        <v>0.224452919</v>
      </c>
    </row>
    <row r="1838" customFormat="false" ht="13.8" hidden="true" customHeight="false" outlineLevel="0" collapsed="false">
      <c r="A1838" s="0" t="s">
        <v>685</v>
      </c>
      <c r="B1838" s="0" t="n">
        <v>10</v>
      </c>
      <c r="C1838" s="0" t="n">
        <v>1.3</v>
      </c>
      <c r="D1838" s="0" t="n">
        <v>0</v>
      </c>
    </row>
    <row r="1839" customFormat="false" ht="13.8" hidden="true" customHeight="false" outlineLevel="0" collapsed="false">
      <c r="A1839" s="0" t="s">
        <v>685</v>
      </c>
      <c r="B1839" s="0" t="n">
        <v>10</v>
      </c>
      <c r="C1839" s="0" t="n">
        <v>1.35</v>
      </c>
      <c r="D1839" s="0" t="n">
        <v>0</v>
      </c>
    </row>
    <row r="1840" customFormat="false" ht="13.8" hidden="true" customHeight="false" outlineLevel="0" collapsed="false">
      <c r="A1840" s="0" t="s">
        <v>685</v>
      </c>
      <c r="B1840" s="0" t="n">
        <v>10</v>
      </c>
      <c r="C1840" s="0" t="n">
        <v>1.4</v>
      </c>
      <c r="D1840" s="0" t="n">
        <v>0</v>
      </c>
    </row>
    <row r="1841" customFormat="false" ht="13.8" hidden="true" customHeight="false" outlineLevel="0" collapsed="false">
      <c r="A1841" s="0" t="s">
        <v>685</v>
      </c>
      <c r="B1841" s="0" t="n">
        <v>10</v>
      </c>
      <c r="C1841" s="0" t="n">
        <v>1.45</v>
      </c>
      <c r="D1841" s="0" t="n">
        <v>0</v>
      </c>
    </row>
    <row r="1842" customFormat="false" ht="13.8" hidden="true" customHeight="false" outlineLevel="0" collapsed="false">
      <c r="A1842" s="0" t="s">
        <v>685</v>
      </c>
      <c r="B1842" s="0" t="n">
        <v>10</v>
      </c>
      <c r="C1842" s="0" t="n">
        <v>1.5</v>
      </c>
      <c r="D1842" s="0" t="n">
        <v>0</v>
      </c>
    </row>
    <row r="1843" customFormat="false" ht="13.8" hidden="true" customHeight="false" outlineLevel="0" collapsed="false">
      <c r="A1843" s="0" t="s">
        <v>685</v>
      </c>
      <c r="B1843" s="0" t="n">
        <v>10</v>
      </c>
      <c r="C1843" s="0" t="n">
        <v>1.55</v>
      </c>
      <c r="D1843" s="0" t="n">
        <v>0</v>
      </c>
    </row>
    <row r="1844" customFormat="false" ht="13.8" hidden="true" customHeight="false" outlineLevel="0" collapsed="false">
      <c r="A1844" s="0" t="s">
        <v>685</v>
      </c>
      <c r="B1844" s="0" t="n">
        <v>10</v>
      </c>
      <c r="C1844" s="0" t="n">
        <v>1.6</v>
      </c>
      <c r="D1844" s="0" t="n">
        <v>0.136</v>
      </c>
    </row>
    <row r="1845" customFormat="false" ht="13.8" hidden="true" customHeight="false" outlineLevel="0" collapsed="false">
      <c r="A1845" s="0" t="s">
        <v>685</v>
      </c>
      <c r="B1845" s="0" t="n">
        <v>10</v>
      </c>
      <c r="C1845" s="0" t="n">
        <v>1.65</v>
      </c>
      <c r="D1845" s="0" t="n">
        <v>0.141</v>
      </c>
    </row>
    <row r="1846" customFormat="false" ht="13.8" hidden="true" customHeight="false" outlineLevel="0" collapsed="false">
      <c r="A1846" s="0" t="s">
        <v>685</v>
      </c>
      <c r="B1846" s="0" t="n">
        <v>10</v>
      </c>
      <c r="C1846" s="0" t="n">
        <v>1.7</v>
      </c>
      <c r="D1846" s="0" t="n">
        <v>0.145</v>
      </c>
    </row>
    <row r="1847" customFormat="false" ht="13.8" hidden="true" customHeight="false" outlineLevel="0" collapsed="false">
      <c r="A1847" s="0" t="s">
        <v>685</v>
      </c>
      <c r="B1847" s="0" t="n">
        <v>10</v>
      </c>
      <c r="C1847" s="0" t="n">
        <v>1.75</v>
      </c>
      <c r="D1847" s="0" t="n">
        <v>0.149</v>
      </c>
    </row>
    <row r="1848" customFormat="false" ht="13.8" hidden="true" customHeight="false" outlineLevel="0" collapsed="false">
      <c r="A1848" s="0" t="s">
        <v>685</v>
      </c>
      <c r="B1848" s="0" t="n">
        <v>10</v>
      </c>
      <c r="C1848" s="0" t="n">
        <v>1.8</v>
      </c>
      <c r="D1848" s="0" t="n">
        <v>0.163</v>
      </c>
    </row>
    <row r="1849" customFormat="false" ht="13.8" hidden="true" customHeight="false" outlineLevel="0" collapsed="false">
      <c r="A1849" s="0" t="s">
        <v>685</v>
      </c>
      <c r="B1849" s="0" t="n">
        <v>10</v>
      </c>
      <c r="C1849" s="0" t="n">
        <v>1.85</v>
      </c>
      <c r="D1849" s="0" t="n">
        <v>0.168</v>
      </c>
    </row>
    <row r="1850" customFormat="false" ht="13.8" hidden="true" customHeight="false" outlineLevel="0" collapsed="false">
      <c r="A1850" s="0" t="s">
        <v>685</v>
      </c>
      <c r="B1850" s="0" t="n">
        <v>10</v>
      </c>
      <c r="C1850" s="0" t="n">
        <v>1.9</v>
      </c>
      <c r="D1850" s="0" t="n">
        <v>0.172</v>
      </c>
    </row>
    <row r="1851" customFormat="false" ht="13.8" hidden="true" customHeight="false" outlineLevel="0" collapsed="false">
      <c r="A1851" s="0" t="s">
        <v>685</v>
      </c>
      <c r="B1851" s="0" t="n">
        <v>10</v>
      </c>
      <c r="C1851" s="0" t="n">
        <v>1.95</v>
      </c>
      <c r="D1851" s="0" t="n">
        <v>0.177</v>
      </c>
    </row>
    <row r="1852" customFormat="false" ht="13.8" hidden="true" customHeight="false" outlineLevel="0" collapsed="false">
      <c r="A1852" s="0" t="s">
        <v>685</v>
      </c>
      <c r="B1852" s="0" t="n">
        <v>10</v>
      </c>
      <c r="C1852" s="0" t="n">
        <v>2</v>
      </c>
      <c r="D1852" s="0" t="n">
        <v>0.192</v>
      </c>
    </row>
    <row r="1853" customFormat="false" ht="13.8" hidden="true" customHeight="false" outlineLevel="0" collapsed="false">
      <c r="A1853" s="0" t="s">
        <v>685</v>
      </c>
      <c r="B1853" s="0" t="n">
        <v>10</v>
      </c>
      <c r="C1853" s="0" t="n">
        <v>2.05</v>
      </c>
      <c r="D1853" s="0" t="n">
        <v>0.197</v>
      </c>
    </row>
    <row r="1854" customFormat="false" ht="13.8" hidden="true" customHeight="false" outlineLevel="0" collapsed="false">
      <c r="A1854" s="0" t="s">
        <v>685</v>
      </c>
      <c r="B1854" s="0" t="n">
        <v>10</v>
      </c>
      <c r="C1854" s="0" t="n">
        <v>2.1</v>
      </c>
      <c r="D1854" s="0" t="n">
        <v>0.202</v>
      </c>
    </row>
    <row r="1855" customFormat="false" ht="13.8" hidden="true" customHeight="false" outlineLevel="0" collapsed="false">
      <c r="A1855" s="0" t="s">
        <v>685</v>
      </c>
      <c r="B1855" s="0" t="n">
        <v>10</v>
      </c>
      <c r="C1855" s="0" t="n">
        <v>2.15</v>
      </c>
      <c r="D1855" s="0" t="n">
        <v>0.206712902</v>
      </c>
    </row>
    <row r="1856" customFormat="false" ht="13.8" hidden="true" customHeight="false" outlineLevel="0" collapsed="false">
      <c r="A1856" s="0" t="s">
        <v>685</v>
      </c>
      <c r="B1856" s="0" t="n">
        <v>10</v>
      </c>
      <c r="C1856" s="0" t="n">
        <v>2.2</v>
      </c>
      <c r="D1856" s="0" t="n">
        <v>0.189921701</v>
      </c>
    </row>
    <row r="1857" customFormat="false" ht="13.8" hidden="true" customHeight="false" outlineLevel="0" collapsed="false">
      <c r="A1857" s="0" t="s">
        <v>685</v>
      </c>
      <c r="B1857" s="0" t="n">
        <v>10</v>
      </c>
      <c r="C1857" s="0" t="n">
        <v>2.25</v>
      </c>
      <c r="D1857" s="0" t="n">
        <v>0.194238103</v>
      </c>
    </row>
    <row r="1858" customFormat="false" ht="13.8" hidden="true" customHeight="false" outlineLevel="0" collapsed="false">
      <c r="A1858" s="0" t="s">
        <v>685</v>
      </c>
      <c r="B1858" s="0" t="n">
        <v>10</v>
      </c>
      <c r="C1858" s="0" t="n">
        <v>2.3</v>
      </c>
      <c r="D1858" s="0" t="n">
        <v>0.198554506</v>
      </c>
    </row>
    <row r="1859" customFormat="false" ht="13.8" hidden="true" customHeight="false" outlineLevel="0" collapsed="false">
      <c r="A1859" s="0" t="s">
        <v>685</v>
      </c>
      <c r="B1859" s="0" t="n">
        <v>10</v>
      </c>
      <c r="C1859" s="0" t="n">
        <v>2.35</v>
      </c>
      <c r="D1859" s="0" t="n">
        <v>0.202870908</v>
      </c>
    </row>
    <row r="1860" customFormat="false" ht="13.8" hidden="true" customHeight="false" outlineLevel="0" collapsed="false">
      <c r="A1860" s="0" t="s">
        <v>685</v>
      </c>
      <c r="B1860" s="0" t="n">
        <v>10</v>
      </c>
      <c r="C1860" s="0" t="n">
        <v>2.4</v>
      </c>
      <c r="D1860" s="0" t="n">
        <v>0.20718731</v>
      </c>
    </row>
    <row r="1861" customFormat="false" ht="13.8" hidden="true" customHeight="false" outlineLevel="0" collapsed="false">
      <c r="A1861" s="0" t="s">
        <v>685</v>
      </c>
      <c r="B1861" s="0" t="n">
        <v>10</v>
      </c>
      <c r="C1861" s="0" t="n">
        <v>2.45</v>
      </c>
      <c r="D1861" s="0" t="n">
        <v>0.211503713</v>
      </c>
    </row>
    <row r="1862" customFormat="false" ht="13.8" hidden="true" customHeight="false" outlineLevel="0" collapsed="false">
      <c r="A1862" s="0" t="s">
        <v>685</v>
      </c>
      <c r="B1862" s="0" t="n">
        <v>10</v>
      </c>
      <c r="C1862" s="0" t="n">
        <v>2.5</v>
      </c>
      <c r="D1862" s="0" t="n">
        <v>0.215820115</v>
      </c>
    </row>
    <row r="1863" customFormat="false" ht="13.8" hidden="true" customHeight="false" outlineLevel="0" collapsed="false">
      <c r="A1863" s="0" t="s">
        <v>685</v>
      </c>
      <c r="B1863" s="0" t="n">
        <v>10</v>
      </c>
      <c r="C1863" s="0" t="n">
        <v>2.55</v>
      </c>
      <c r="D1863" s="0" t="n">
        <v>0.220136517</v>
      </c>
    </row>
    <row r="1864" customFormat="false" ht="13.8" hidden="true" customHeight="false" outlineLevel="0" collapsed="false">
      <c r="A1864" s="0" t="s">
        <v>685</v>
      </c>
      <c r="B1864" s="0" t="n">
        <v>10</v>
      </c>
      <c r="C1864" s="0" t="n">
        <v>2.6</v>
      </c>
      <c r="D1864" s="0" t="n">
        <v>0.224452919</v>
      </c>
    </row>
    <row r="1865" customFormat="false" ht="13.8" hidden="true" customHeight="false" outlineLevel="0" collapsed="false">
      <c r="A1865" s="0" t="s">
        <v>685</v>
      </c>
      <c r="B1865" s="0" t="n">
        <v>17</v>
      </c>
      <c r="C1865" s="0" t="n">
        <v>1.3</v>
      </c>
      <c r="D1865" s="0" t="n">
        <v>0</v>
      </c>
    </row>
    <row r="1866" customFormat="false" ht="13.8" hidden="true" customHeight="false" outlineLevel="0" collapsed="false">
      <c r="A1866" s="0" t="s">
        <v>685</v>
      </c>
      <c r="B1866" s="0" t="n">
        <v>17</v>
      </c>
      <c r="C1866" s="0" t="n">
        <v>1.35</v>
      </c>
      <c r="D1866" s="0" t="n">
        <v>0</v>
      </c>
    </row>
    <row r="1867" customFormat="false" ht="13.8" hidden="true" customHeight="false" outlineLevel="0" collapsed="false">
      <c r="A1867" s="0" t="s">
        <v>685</v>
      </c>
      <c r="B1867" s="0" t="n">
        <v>17</v>
      </c>
      <c r="C1867" s="0" t="n">
        <v>1.4</v>
      </c>
      <c r="D1867" s="0" t="n">
        <v>0</v>
      </c>
    </row>
    <row r="1868" customFormat="false" ht="13.8" hidden="true" customHeight="false" outlineLevel="0" collapsed="false">
      <c r="A1868" s="0" t="s">
        <v>685</v>
      </c>
      <c r="B1868" s="0" t="n">
        <v>17</v>
      </c>
      <c r="C1868" s="0" t="n">
        <v>1.45</v>
      </c>
      <c r="D1868" s="0" t="n">
        <v>0</v>
      </c>
    </row>
    <row r="1869" customFormat="false" ht="13.8" hidden="true" customHeight="false" outlineLevel="0" collapsed="false">
      <c r="A1869" s="0" t="s">
        <v>685</v>
      </c>
      <c r="B1869" s="0" t="n">
        <v>17</v>
      </c>
      <c r="C1869" s="0" t="n">
        <v>1.5</v>
      </c>
      <c r="D1869" s="0" t="n">
        <v>0</v>
      </c>
    </row>
    <row r="1870" customFormat="false" ht="13.8" hidden="true" customHeight="false" outlineLevel="0" collapsed="false">
      <c r="A1870" s="0" t="s">
        <v>685</v>
      </c>
      <c r="B1870" s="0" t="n">
        <v>17</v>
      </c>
      <c r="C1870" s="0" t="n">
        <v>1.55</v>
      </c>
      <c r="D1870" s="0" t="n">
        <v>0</v>
      </c>
    </row>
    <row r="1871" customFormat="false" ht="13.8" hidden="true" customHeight="false" outlineLevel="0" collapsed="false">
      <c r="A1871" s="0" t="s">
        <v>685</v>
      </c>
      <c r="B1871" s="0" t="n">
        <v>17</v>
      </c>
      <c r="C1871" s="0" t="n">
        <v>1.6</v>
      </c>
      <c r="D1871" s="0" t="n">
        <v>0.136</v>
      </c>
    </row>
    <row r="1872" customFormat="false" ht="13.8" hidden="true" customHeight="false" outlineLevel="0" collapsed="false">
      <c r="A1872" s="0" t="s">
        <v>685</v>
      </c>
      <c r="B1872" s="0" t="n">
        <v>17</v>
      </c>
      <c r="C1872" s="0" t="n">
        <v>1.65</v>
      </c>
      <c r="D1872" s="0" t="n">
        <v>0.141</v>
      </c>
    </row>
    <row r="1873" customFormat="false" ht="13.8" hidden="true" customHeight="false" outlineLevel="0" collapsed="false">
      <c r="A1873" s="0" t="s">
        <v>685</v>
      </c>
      <c r="B1873" s="0" t="n">
        <v>17</v>
      </c>
      <c r="C1873" s="0" t="n">
        <v>1.7</v>
      </c>
      <c r="D1873" s="0" t="n">
        <v>0.145</v>
      </c>
    </row>
    <row r="1874" customFormat="false" ht="13.8" hidden="true" customHeight="false" outlineLevel="0" collapsed="false">
      <c r="A1874" s="0" t="s">
        <v>685</v>
      </c>
      <c r="B1874" s="0" t="n">
        <v>17</v>
      </c>
      <c r="C1874" s="0" t="n">
        <v>1.75</v>
      </c>
      <c r="D1874" s="0" t="n">
        <v>0.149</v>
      </c>
    </row>
    <row r="1875" customFormat="false" ht="13.8" hidden="true" customHeight="false" outlineLevel="0" collapsed="false">
      <c r="A1875" s="0" t="s">
        <v>685</v>
      </c>
      <c r="B1875" s="0" t="n">
        <v>17</v>
      </c>
      <c r="C1875" s="0" t="n">
        <v>1.8</v>
      </c>
      <c r="D1875" s="0" t="n">
        <v>0.163</v>
      </c>
    </row>
    <row r="1876" customFormat="false" ht="13.8" hidden="true" customHeight="false" outlineLevel="0" collapsed="false">
      <c r="A1876" s="0" t="s">
        <v>685</v>
      </c>
      <c r="B1876" s="0" t="n">
        <v>17</v>
      </c>
      <c r="C1876" s="0" t="n">
        <v>1.85</v>
      </c>
      <c r="D1876" s="0" t="n">
        <v>0.168</v>
      </c>
    </row>
    <row r="1877" customFormat="false" ht="13.8" hidden="true" customHeight="false" outlineLevel="0" collapsed="false">
      <c r="A1877" s="0" t="s">
        <v>685</v>
      </c>
      <c r="B1877" s="0" t="n">
        <v>17</v>
      </c>
      <c r="C1877" s="0" t="n">
        <v>1.9</v>
      </c>
      <c r="D1877" s="0" t="n">
        <v>0.172</v>
      </c>
    </row>
    <row r="1878" customFormat="false" ht="13.8" hidden="true" customHeight="false" outlineLevel="0" collapsed="false">
      <c r="A1878" s="0" t="s">
        <v>685</v>
      </c>
      <c r="B1878" s="0" t="n">
        <v>17</v>
      </c>
      <c r="C1878" s="0" t="n">
        <v>1.95</v>
      </c>
      <c r="D1878" s="0" t="n">
        <v>0.177</v>
      </c>
    </row>
    <row r="1879" customFormat="false" ht="13.8" hidden="true" customHeight="false" outlineLevel="0" collapsed="false">
      <c r="A1879" s="0" t="s">
        <v>685</v>
      </c>
      <c r="B1879" s="0" t="n">
        <v>17</v>
      </c>
      <c r="C1879" s="0" t="n">
        <v>2</v>
      </c>
      <c r="D1879" s="0" t="n">
        <v>0.192</v>
      </c>
    </row>
    <row r="1880" customFormat="false" ht="13.8" hidden="true" customHeight="false" outlineLevel="0" collapsed="false">
      <c r="A1880" s="0" t="s">
        <v>685</v>
      </c>
      <c r="B1880" s="0" t="n">
        <v>17</v>
      </c>
      <c r="C1880" s="0" t="n">
        <v>2.05</v>
      </c>
      <c r="D1880" s="0" t="n">
        <v>0.197</v>
      </c>
    </row>
    <row r="1881" customFormat="false" ht="13.8" hidden="true" customHeight="false" outlineLevel="0" collapsed="false">
      <c r="A1881" s="0" t="s">
        <v>685</v>
      </c>
      <c r="B1881" s="0" t="n">
        <v>17</v>
      </c>
      <c r="C1881" s="0" t="n">
        <v>2.1</v>
      </c>
      <c r="D1881" s="0" t="n">
        <v>0.202</v>
      </c>
    </row>
    <row r="1882" customFormat="false" ht="13.8" hidden="true" customHeight="false" outlineLevel="0" collapsed="false">
      <c r="A1882" s="0" t="s">
        <v>685</v>
      </c>
      <c r="B1882" s="0" t="n">
        <v>17</v>
      </c>
      <c r="C1882" s="0" t="n">
        <v>2.15</v>
      </c>
      <c r="D1882" s="0" t="n">
        <v>0.206712902</v>
      </c>
    </row>
    <row r="1883" customFormat="false" ht="13.8" hidden="true" customHeight="false" outlineLevel="0" collapsed="false">
      <c r="A1883" s="0" t="s">
        <v>685</v>
      </c>
      <c r="B1883" s="0" t="n">
        <v>17</v>
      </c>
      <c r="C1883" s="0" t="n">
        <v>2.2</v>
      </c>
      <c r="D1883" s="0" t="n">
        <v>0.189921701</v>
      </c>
    </row>
    <row r="1884" customFormat="false" ht="13.8" hidden="true" customHeight="false" outlineLevel="0" collapsed="false">
      <c r="A1884" s="0" t="s">
        <v>685</v>
      </c>
      <c r="B1884" s="0" t="n">
        <v>17</v>
      </c>
      <c r="C1884" s="0" t="n">
        <v>2.25</v>
      </c>
      <c r="D1884" s="0" t="n">
        <v>0.194238103</v>
      </c>
    </row>
    <row r="1885" customFormat="false" ht="13.8" hidden="true" customHeight="false" outlineLevel="0" collapsed="false">
      <c r="A1885" s="0" t="s">
        <v>685</v>
      </c>
      <c r="B1885" s="0" t="n">
        <v>17</v>
      </c>
      <c r="C1885" s="0" t="n">
        <v>2.3</v>
      </c>
      <c r="D1885" s="0" t="n">
        <v>0.198554506</v>
      </c>
    </row>
    <row r="1886" customFormat="false" ht="13.8" hidden="true" customHeight="false" outlineLevel="0" collapsed="false">
      <c r="A1886" s="0" t="s">
        <v>685</v>
      </c>
      <c r="B1886" s="0" t="n">
        <v>17</v>
      </c>
      <c r="C1886" s="0" t="n">
        <v>2.35</v>
      </c>
      <c r="D1886" s="0" t="n">
        <v>0.202870908</v>
      </c>
    </row>
    <row r="1887" customFormat="false" ht="13.8" hidden="true" customHeight="false" outlineLevel="0" collapsed="false">
      <c r="A1887" s="0" t="s">
        <v>685</v>
      </c>
      <c r="B1887" s="0" t="n">
        <v>17</v>
      </c>
      <c r="C1887" s="0" t="n">
        <v>2.4</v>
      </c>
      <c r="D1887" s="0" t="n">
        <v>0.20718731</v>
      </c>
    </row>
    <row r="1888" customFormat="false" ht="13.8" hidden="true" customHeight="false" outlineLevel="0" collapsed="false">
      <c r="A1888" s="0" t="s">
        <v>685</v>
      </c>
      <c r="B1888" s="0" t="n">
        <v>17</v>
      </c>
      <c r="C1888" s="0" t="n">
        <v>2.45</v>
      </c>
      <c r="D1888" s="0" t="n">
        <v>0.211503713</v>
      </c>
    </row>
    <row r="1889" customFormat="false" ht="13.8" hidden="true" customHeight="false" outlineLevel="0" collapsed="false">
      <c r="A1889" s="0" t="s">
        <v>685</v>
      </c>
      <c r="B1889" s="0" t="n">
        <v>17</v>
      </c>
      <c r="C1889" s="0" t="n">
        <v>2.5</v>
      </c>
      <c r="D1889" s="0" t="n">
        <v>0.215820115</v>
      </c>
    </row>
    <row r="1890" customFormat="false" ht="13.8" hidden="true" customHeight="false" outlineLevel="0" collapsed="false">
      <c r="A1890" s="0" t="s">
        <v>685</v>
      </c>
      <c r="B1890" s="0" t="n">
        <v>17</v>
      </c>
      <c r="C1890" s="0" t="n">
        <v>2.55</v>
      </c>
      <c r="D1890" s="0" t="n">
        <v>0.220136517</v>
      </c>
    </row>
    <row r="1891" customFormat="false" ht="13.8" hidden="true" customHeight="false" outlineLevel="0" collapsed="false">
      <c r="A1891" s="0" t="s">
        <v>685</v>
      </c>
      <c r="B1891" s="0" t="n">
        <v>17</v>
      </c>
      <c r="C1891" s="0" t="n">
        <v>2.6</v>
      </c>
      <c r="D1891" s="0" t="n">
        <v>0.224452919</v>
      </c>
    </row>
    <row r="1892" customFormat="false" ht="13.8" hidden="true" customHeight="false" outlineLevel="0" collapsed="false">
      <c r="A1892" s="0" t="s">
        <v>689</v>
      </c>
      <c r="B1892" s="0" t="n">
        <v>10</v>
      </c>
      <c r="C1892" s="0" t="n">
        <v>1.3</v>
      </c>
      <c r="D1892" s="0" t="n">
        <v>0</v>
      </c>
    </row>
    <row r="1893" customFormat="false" ht="13.8" hidden="true" customHeight="false" outlineLevel="0" collapsed="false">
      <c r="A1893" s="0" t="s">
        <v>689</v>
      </c>
      <c r="B1893" s="0" t="n">
        <v>10</v>
      </c>
      <c r="C1893" s="0" t="n">
        <v>1.35</v>
      </c>
      <c r="D1893" s="0" t="n">
        <v>0</v>
      </c>
    </row>
    <row r="1894" customFormat="false" ht="13.8" hidden="true" customHeight="false" outlineLevel="0" collapsed="false">
      <c r="A1894" s="0" t="s">
        <v>689</v>
      </c>
      <c r="B1894" s="0" t="n">
        <v>10</v>
      </c>
      <c r="C1894" s="0" t="n">
        <v>1.4</v>
      </c>
      <c r="D1894" s="0" t="n">
        <v>0</v>
      </c>
    </row>
    <row r="1895" customFormat="false" ht="13.8" hidden="true" customHeight="false" outlineLevel="0" collapsed="false">
      <c r="A1895" s="0" t="s">
        <v>689</v>
      </c>
      <c r="B1895" s="0" t="n">
        <v>10</v>
      </c>
      <c r="C1895" s="0" t="n">
        <v>1.45</v>
      </c>
      <c r="D1895" s="0" t="n">
        <v>0</v>
      </c>
    </row>
    <row r="1896" customFormat="false" ht="13.8" hidden="true" customHeight="false" outlineLevel="0" collapsed="false">
      <c r="A1896" s="0" t="s">
        <v>689</v>
      </c>
      <c r="B1896" s="0" t="n">
        <v>10</v>
      </c>
      <c r="C1896" s="0" t="n">
        <v>1.5</v>
      </c>
      <c r="D1896" s="0" t="n">
        <v>0</v>
      </c>
    </row>
    <row r="1897" customFormat="false" ht="13.8" hidden="true" customHeight="false" outlineLevel="0" collapsed="false">
      <c r="A1897" s="0" t="s">
        <v>689</v>
      </c>
      <c r="B1897" s="0" t="n">
        <v>10</v>
      </c>
      <c r="C1897" s="0" t="n">
        <v>1.55</v>
      </c>
      <c r="D1897" s="0" t="n">
        <v>0</v>
      </c>
    </row>
    <row r="1898" customFormat="false" ht="13.8" hidden="true" customHeight="false" outlineLevel="0" collapsed="false">
      <c r="A1898" s="0" t="s">
        <v>689</v>
      </c>
      <c r="B1898" s="0" t="n">
        <v>10</v>
      </c>
      <c r="C1898" s="0" t="n">
        <v>1.6</v>
      </c>
      <c r="D1898" s="0" t="n">
        <v>0.136</v>
      </c>
    </row>
    <row r="1899" customFormat="false" ht="13.8" hidden="true" customHeight="false" outlineLevel="0" collapsed="false">
      <c r="A1899" s="0" t="s">
        <v>689</v>
      </c>
      <c r="B1899" s="0" t="n">
        <v>10</v>
      </c>
      <c r="C1899" s="0" t="n">
        <v>1.65</v>
      </c>
      <c r="D1899" s="0" t="n">
        <v>0.141</v>
      </c>
    </row>
    <row r="1900" customFormat="false" ht="13.8" hidden="true" customHeight="false" outlineLevel="0" collapsed="false">
      <c r="A1900" s="0" t="s">
        <v>689</v>
      </c>
      <c r="B1900" s="0" t="n">
        <v>10</v>
      </c>
      <c r="C1900" s="0" t="n">
        <v>1.7</v>
      </c>
      <c r="D1900" s="0" t="n">
        <v>0.145</v>
      </c>
    </row>
    <row r="1901" customFormat="false" ht="13.8" hidden="true" customHeight="false" outlineLevel="0" collapsed="false">
      <c r="A1901" s="0" t="s">
        <v>689</v>
      </c>
      <c r="B1901" s="0" t="n">
        <v>10</v>
      </c>
      <c r="C1901" s="0" t="n">
        <v>1.75</v>
      </c>
      <c r="D1901" s="0" t="n">
        <v>0.149</v>
      </c>
    </row>
    <row r="1902" customFormat="false" ht="13.8" hidden="true" customHeight="false" outlineLevel="0" collapsed="false">
      <c r="A1902" s="0" t="s">
        <v>689</v>
      </c>
      <c r="B1902" s="0" t="n">
        <v>10</v>
      </c>
      <c r="C1902" s="0" t="n">
        <v>1.8</v>
      </c>
      <c r="D1902" s="0" t="n">
        <v>0.163</v>
      </c>
    </row>
    <row r="1903" customFormat="false" ht="13.8" hidden="true" customHeight="false" outlineLevel="0" collapsed="false">
      <c r="A1903" s="0" t="s">
        <v>689</v>
      </c>
      <c r="B1903" s="0" t="n">
        <v>10</v>
      </c>
      <c r="C1903" s="0" t="n">
        <v>1.85</v>
      </c>
      <c r="D1903" s="0" t="n">
        <v>0.168</v>
      </c>
    </row>
    <row r="1904" customFormat="false" ht="13.8" hidden="true" customHeight="false" outlineLevel="0" collapsed="false">
      <c r="A1904" s="0" t="s">
        <v>689</v>
      </c>
      <c r="B1904" s="0" t="n">
        <v>10</v>
      </c>
      <c r="C1904" s="0" t="n">
        <v>1.9</v>
      </c>
      <c r="D1904" s="0" t="n">
        <v>0.172</v>
      </c>
    </row>
    <row r="1905" customFormat="false" ht="13.8" hidden="true" customHeight="false" outlineLevel="0" collapsed="false">
      <c r="A1905" s="0" t="s">
        <v>689</v>
      </c>
      <c r="B1905" s="0" t="n">
        <v>10</v>
      </c>
      <c r="C1905" s="0" t="n">
        <v>1.95</v>
      </c>
      <c r="D1905" s="0" t="n">
        <v>0.177</v>
      </c>
    </row>
    <row r="1906" customFormat="false" ht="13.8" hidden="true" customHeight="false" outlineLevel="0" collapsed="false">
      <c r="A1906" s="0" t="s">
        <v>689</v>
      </c>
      <c r="B1906" s="0" t="n">
        <v>10</v>
      </c>
      <c r="C1906" s="0" t="n">
        <v>2</v>
      </c>
      <c r="D1906" s="0" t="n">
        <v>0.192</v>
      </c>
    </row>
    <row r="1907" customFormat="false" ht="13.8" hidden="true" customHeight="false" outlineLevel="0" collapsed="false">
      <c r="A1907" s="0" t="s">
        <v>689</v>
      </c>
      <c r="B1907" s="0" t="n">
        <v>10</v>
      </c>
      <c r="C1907" s="0" t="n">
        <v>2.05</v>
      </c>
      <c r="D1907" s="0" t="n">
        <v>0.197</v>
      </c>
    </row>
    <row r="1908" customFormat="false" ht="13.8" hidden="true" customHeight="false" outlineLevel="0" collapsed="false">
      <c r="A1908" s="0" t="s">
        <v>689</v>
      </c>
      <c r="B1908" s="0" t="n">
        <v>10</v>
      </c>
      <c r="C1908" s="0" t="n">
        <v>2.1</v>
      </c>
      <c r="D1908" s="0" t="n">
        <v>0.202</v>
      </c>
    </row>
    <row r="1909" customFormat="false" ht="13.8" hidden="true" customHeight="false" outlineLevel="0" collapsed="false">
      <c r="A1909" s="0" t="s">
        <v>689</v>
      </c>
      <c r="B1909" s="0" t="n">
        <v>10</v>
      </c>
      <c r="C1909" s="0" t="n">
        <v>2.15</v>
      </c>
      <c r="D1909" s="0" t="n">
        <v>0.206712902</v>
      </c>
    </row>
    <row r="1910" customFormat="false" ht="13.8" hidden="true" customHeight="false" outlineLevel="0" collapsed="false">
      <c r="A1910" s="0" t="s">
        <v>689</v>
      </c>
      <c r="B1910" s="0" t="n">
        <v>10</v>
      </c>
      <c r="C1910" s="0" t="n">
        <v>2.2</v>
      </c>
      <c r="D1910" s="0" t="n">
        <v>0.189921701</v>
      </c>
    </row>
    <row r="1911" customFormat="false" ht="13.8" hidden="true" customHeight="false" outlineLevel="0" collapsed="false">
      <c r="A1911" s="0" t="s">
        <v>689</v>
      </c>
      <c r="B1911" s="0" t="n">
        <v>10</v>
      </c>
      <c r="C1911" s="0" t="n">
        <v>2.25</v>
      </c>
      <c r="D1911" s="0" t="n">
        <v>0.194238103</v>
      </c>
    </row>
    <row r="1912" customFormat="false" ht="13.8" hidden="true" customHeight="false" outlineLevel="0" collapsed="false">
      <c r="A1912" s="0" t="s">
        <v>689</v>
      </c>
      <c r="B1912" s="0" t="n">
        <v>10</v>
      </c>
      <c r="C1912" s="0" t="n">
        <v>2.3</v>
      </c>
      <c r="D1912" s="0" t="n">
        <v>0.198554506</v>
      </c>
    </row>
    <row r="1913" customFormat="false" ht="13.8" hidden="true" customHeight="false" outlineLevel="0" collapsed="false">
      <c r="A1913" s="0" t="s">
        <v>689</v>
      </c>
      <c r="B1913" s="0" t="n">
        <v>10</v>
      </c>
      <c r="C1913" s="0" t="n">
        <v>2.35</v>
      </c>
      <c r="D1913" s="0" t="n">
        <v>0.202870908</v>
      </c>
    </row>
    <row r="1914" customFormat="false" ht="13.8" hidden="true" customHeight="false" outlineLevel="0" collapsed="false">
      <c r="A1914" s="0" t="s">
        <v>689</v>
      </c>
      <c r="B1914" s="0" t="n">
        <v>10</v>
      </c>
      <c r="C1914" s="0" t="n">
        <v>2.4</v>
      </c>
      <c r="D1914" s="0" t="n">
        <v>0.20718731</v>
      </c>
    </row>
    <row r="1915" customFormat="false" ht="13.8" hidden="true" customHeight="false" outlineLevel="0" collapsed="false">
      <c r="A1915" s="0" t="s">
        <v>689</v>
      </c>
      <c r="B1915" s="0" t="n">
        <v>10</v>
      </c>
      <c r="C1915" s="0" t="n">
        <v>2.45</v>
      </c>
      <c r="D1915" s="0" t="n">
        <v>0.211503713</v>
      </c>
    </row>
    <row r="1916" customFormat="false" ht="13.8" hidden="true" customHeight="false" outlineLevel="0" collapsed="false">
      <c r="A1916" s="0" t="s">
        <v>689</v>
      </c>
      <c r="B1916" s="0" t="n">
        <v>10</v>
      </c>
      <c r="C1916" s="0" t="n">
        <v>2.5</v>
      </c>
      <c r="D1916" s="0" t="n">
        <v>0.215820115</v>
      </c>
    </row>
    <row r="1917" customFormat="false" ht="13.8" hidden="true" customHeight="false" outlineLevel="0" collapsed="false">
      <c r="A1917" s="0" t="s">
        <v>689</v>
      </c>
      <c r="B1917" s="0" t="n">
        <v>10</v>
      </c>
      <c r="C1917" s="0" t="n">
        <v>2.55</v>
      </c>
      <c r="D1917" s="0" t="n">
        <v>0.220136517</v>
      </c>
    </row>
    <row r="1918" customFormat="false" ht="13.8" hidden="true" customHeight="false" outlineLevel="0" collapsed="false">
      <c r="A1918" s="0" t="s">
        <v>689</v>
      </c>
      <c r="B1918" s="0" t="n">
        <v>10</v>
      </c>
      <c r="C1918" s="0" t="n">
        <v>2.6</v>
      </c>
      <c r="D1918" s="0" t="n">
        <v>0.224452919</v>
      </c>
    </row>
    <row r="1919" customFormat="false" ht="13.8" hidden="true" customHeight="false" outlineLevel="0" collapsed="false">
      <c r="A1919" s="0" t="s">
        <v>689</v>
      </c>
      <c r="B1919" s="0" t="n">
        <v>17</v>
      </c>
      <c r="C1919" s="0" t="n">
        <v>1.3</v>
      </c>
      <c r="D1919" s="0" t="n">
        <v>0</v>
      </c>
    </row>
    <row r="1920" customFormat="false" ht="13.8" hidden="true" customHeight="false" outlineLevel="0" collapsed="false">
      <c r="A1920" s="0" t="s">
        <v>689</v>
      </c>
      <c r="B1920" s="0" t="n">
        <v>17</v>
      </c>
      <c r="C1920" s="0" t="n">
        <v>1.35</v>
      </c>
      <c r="D1920" s="0" t="n">
        <v>0</v>
      </c>
    </row>
    <row r="1921" customFormat="false" ht="13.8" hidden="true" customHeight="false" outlineLevel="0" collapsed="false">
      <c r="A1921" s="0" t="s">
        <v>689</v>
      </c>
      <c r="B1921" s="0" t="n">
        <v>17</v>
      </c>
      <c r="C1921" s="0" t="n">
        <v>1.4</v>
      </c>
      <c r="D1921" s="0" t="n">
        <v>0</v>
      </c>
    </row>
    <row r="1922" customFormat="false" ht="13.8" hidden="true" customHeight="false" outlineLevel="0" collapsed="false">
      <c r="A1922" s="0" t="s">
        <v>689</v>
      </c>
      <c r="B1922" s="0" t="n">
        <v>17</v>
      </c>
      <c r="C1922" s="0" t="n">
        <v>1.45</v>
      </c>
      <c r="D1922" s="0" t="n">
        <v>0</v>
      </c>
    </row>
    <row r="1923" customFormat="false" ht="13.8" hidden="true" customHeight="false" outlineLevel="0" collapsed="false">
      <c r="A1923" s="0" t="s">
        <v>689</v>
      </c>
      <c r="B1923" s="0" t="n">
        <v>17</v>
      </c>
      <c r="C1923" s="0" t="n">
        <v>1.5</v>
      </c>
      <c r="D1923" s="0" t="n">
        <v>0</v>
      </c>
    </row>
    <row r="1924" customFormat="false" ht="13.8" hidden="true" customHeight="false" outlineLevel="0" collapsed="false">
      <c r="A1924" s="0" t="s">
        <v>689</v>
      </c>
      <c r="B1924" s="0" t="n">
        <v>17</v>
      </c>
      <c r="C1924" s="0" t="n">
        <v>1.55</v>
      </c>
      <c r="D1924" s="0" t="n">
        <v>0</v>
      </c>
    </row>
    <row r="1925" customFormat="false" ht="13.8" hidden="true" customHeight="false" outlineLevel="0" collapsed="false">
      <c r="A1925" s="0" t="s">
        <v>689</v>
      </c>
      <c r="B1925" s="0" t="n">
        <v>17</v>
      </c>
      <c r="C1925" s="0" t="n">
        <v>1.6</v>
      </c>
      <c r="D1925" s="0" t="n">
        <v>0.136</v>
      </c>
    </row>
    <row r="1926" customFormat="false" ht="13.8" hidden="true" customHeight="false" outlineLevel="0" collapsed="false">
      <c r="A1926" s="0" t="s">
        <v>689</v>
      </c>
      <c r="B1926" s="0" t="n">
        <v>17</v>
      </c>
      <c r="C1926" s="0" t="n">
        <v>1.65</v>
      </c>
      <c r="D1926" s="0" t="n">
        <v>0.141</v>
      </c>
    </row>
    <row r="1927" customFormat="false" ht="13.8" hidden="true" customHeight="false" outlineLevel="0" collapsed="false">
      <c r="A1927" s="0" t="s">
        <v>689</v>
      </c>
      <c r="B1927" s="0" t="n">
        <v>17</v>
      </c>
      <c r="C1927" s="0" t="n">
        <v>1.7</v>
      </c>
      <c r="D1927" s="0" t="n">
        <v>0.145</v>
      </c>
    </row>
    <row r="1928" customFormat="false" ht="13.8" hidden="true" customHeight="false" outlineLevel="0" collapsed="false">
      <c r="A1928" s="0" t="s">
        <v>689</v>
      </c>
      <c r="B1928" s="0" t="n">
        <v>17</v>
      </c>
      <c r="C1928" s="0" t="n">
        <v>1.75</v>
      </c>
      <c r="D1928" s="0" t="n">
        <v>0.149</v>
      </c>
    </row>
    <row r="1929" customFormat="false" ht="13.8" hidden="true" customHeight="false" outlineLevel="0" collapsed="false">
      <c r="A1929" s="0" t="s">
        <v>689</v>
      </c>
      <c r="B1929" s="0" t="n">
        <v>17</v>
      </c>
      <c r="C1929" s="0" t="n">
        <v>1.8</v>
      </c>
      <c r="D1929" s="0" t="n">
        <v>0.163</v>
      </c>
    </row>
    <row r="1930" customFormat="false" ht="13.8" hidden="true" customHeight="false" outlineLevel="0" collapsed="false">
      <c r="A1930" s="0" t="s">
        <v>689</v>
      </c>
      <c r="B1930" s="0" t="n">
        <v>17</v>
      </c>
      <c r="C1930" s="0" t="n">
        <v>1.85</v>
      </c>
      <c r="D1930" s="0" t="n">
        <v>0.168</v>
      </c>
    </row>
    <row r="1931" customFormat="false" ht="13.8" hidden="true" customHeight="false" outlineLevel="0" collapsed="false">
      <c r="A1931" s="0" t="s">
        <v>689</v>
      </c>
      <c r="B1931" s="0" t="n">
        <v>17</v>
      </c>
      <c r="C1931" s="0" t="n">
        <v>1.9</v>
      </c>
      <c r="D1931" s="0" t="n">
        <v>0.172</v>
      </c>
    </row>
    <row r="1932" customFormat="false" ht="13.8" hidden="true" customHeight="false" outlineLevel="0" collapsed="false">
      <c r="A1932" s="0" t="s">
        <v>689</v>
      </c>
      <c r="B1932" s="0" t="n">
        <v>17</v>
      </c>
      <c r="C1932" s="0" t="n">
        <v>1.95</v>
      </c>
      <c r="D1932" s="0" t="n">
        <v>0.177</v>
      </c>
    </row>
    <row r="1933" customFormat="false" ht="13.8" hidden="true" customHeight="false" outlineLevel="0" collapsed="false">
      <c r="A1933" s="0" t="s">
        <v>689</v>
      </c>
      <c r="B1933" s="0" t="n">
        <v>17</v>
      </c>
      <c r="C1933" s="0" t="n">
        <v>2</v>
      </c>
      <c r="D1933" s="0" t="n">
        <v>0.192</v>
      </c>
    </row>
    <row r="1934" customFormat="false" ht="13.8" hidden="true" customHeight="false" outlineLevel="0" collapsed="false">
      <c r="A1934" s="0" t="s">
        <v>689</v>
      </c>
      <c r="B1934" s="0" t="n">
        <v>17</v>
      </c>
      <c r="C1934" s="0" t="n">
        <v>2.05</v>
      </c>
      <c r="D1934" s="0" t="n">
        <v>0.197</v>
      </c>
    </row>
    <row r="1935" customFormat="false" ht="13.8" hidden="true" customHeight="false" outlineLevel="0" collapsed="false">
      <c r="A1935" s="0" t="s">
        <v>689</v>
      </c>
      <c r="B1935" s="0" t="n">
        <v>17</v>
      </c>
      <c r="C1935" s="0" t="n">
        <v>2.1</v>
      </c>
      <c r="D1935" s="0" t="n">
        <v>0.202</v>
      </c>
    </row>
    <row r="1936" customFormat="false" ht="13.8" hidden="true" customHeight="false" outlineLevel="0" collapsed="false">
      <c r="A1936" s="0" t="s">
        <v>689</v>
      </c>
      <c r="B1936" s="0" t="n">
        <v>17</v>
      </c>
      <c r="C1936" s="0" t="n">
        <v>2.15</v>
      </c>
      <c r="D1936" s="0" t="n">
        <v>0.206712902</v>
      </c>
    </row>
    <row r="1937" customFormat="false" ht="13.8" hidden="true" customHeight="false" outlineLevel="0" collapsed="false">
      <c r="A1937" s="0" t="s">
        <v>689</v>
      </c>
      <c r="B1937" s="0" t="n">
        <v>17</v>
      </c>
      <c r="C1937" s="0" t="n">
        <v>2.2</v>
      </c>
      <c r="D1937" s="0" t="n">
        <v>0.189921701</v>
      </c>
    </row>
    <row r="1938" customFormat="false" ht="13.8" hidden="true" customHeight="false" outlineLevel="0" collapsed="false">
      <c r="A1938" s="0" t="s">
        <v>689</v>
      </c>
      <c r="B1938" s="0" t="n">
        <v>17</v>
      </c>
      <c r="C1938" s="0" t="n">
        <v>2.25</v>
      </c>
      <c r="D1938" s="0" t="n">
        <v>0.194238103</v>
      </c>
    </row>
    <row r="1939" customFormat="false" ht="13.8" hidden="true" customHeight="false" outlineLevel="0" collapsed="false">
      <c r="A1939" s="0" t="s">
        <v>689</v>
      </c>
      <c r="B1939" s="0" t="n">
        <v>17</v>
      </c>
      <c r="C1939" s="0" t="n">
        <v>2.3</v>
      </c>
      <c r="D1939" s="0" t="n">
        <v>0.198554506</v>
      </c>
    </row>
    <row r="1940" customFormat="false" ht="13.8" hidden="true" customHeight="false" outlineLevel="0" collapsed="false">
      <c r="A1940" s="0" t="s">
        <v>689</v>
      </c>
      <c r="B1940" s="0" t="n">
        <v>17</v>
      </c>
      <c r="C1940" s="0" t="n">
        <v>2.35</v>
      </c>
      <c r="D1940" s="0" t="n">
        <v>0.202870908</v>
      </c>
    </row>
    <row r="1941" customFormat="false" ht="13.8" hidden="true" customHeight="false" outlineLevel="0" collapsed="false">
      <c r="A1941" s="0" t="s">
        <v>689</v>
      </c>
      <c r="B1941" s="0" t="n">
        <v>17</v>
      </c>
      <c r="C1941" s="0" t="n">
        <v>2.4</v>
      </c>
      <c r="D1941" s="0" t="n">
        <v>0.20718731</v>
      </c>
    </row>
    <row r="1942" customFormat="false" ht="13.8" hidden="true" customHeight="false" outlineLevel="0" collapsed="false">
      <c r="A1942" s="0" t="s">
        <v>689</v>
      </c>
      <c r="B1942" s="0" t="n">
        <v>17</v>
      </c>
      <c r="C1942" s="0" t="n">
        <v>2.45</v>
      </c>
      <c r="D1942" s="0" t="n">
        <v>0.211503713</v>
      </c>
    </row>
    <row r="1943" customFormat="false" ht="13.8" hidden="true" customHeight="false" outlineLevel="0" collapsed="false">
      <c r="A1943" s="0" t="s">
        <v>689</v>
      </c>
      <c r="B1943" s="0" t="n">
        <v>17</v>
      </c>
      <c r="C1943" s="0" t="n">
        <v>2.5</v>
      </c>
      <c r="D1943" s="0" t="n">
        <v>0.215820115</v>
      </c>
    </row>
    <row r="1944" customFormat="false" ht="13.8" hidden="true" customHeight="false" outlineLevel="0" collapsed="false">
      <c r="A1944" s="0" t="s">
        <v>689</v>
      </c>
      <c r="B1944" s="0" t="n">
        <v>17</v>
      </c>
      <c r="C1944" s="0" t="n">
        <v>2.55</v>
      </c>
      <c r="D1944" s="0" t="n">
        <v>0.220136517</v>
      </c>
    </row>
    <row r="1945" customFormat="false" ht="13.8" hidden="true" customHeight="false" outlineLevel="0" collapsed="false">
      <c r="A1945" s="0" t="s">
        <v>689</v>
      </c>
      <c r="B1945" s="0" t="n">
        <v>17</v>
      </c>
      <c r="C1945" s="0" t="n">
        <v>2.6</v>
      </c>
      <c r="D1945" s="0" t="n">
        <v>0.224452919</v>
      </c>
    </row>
    <row r="1946" customFormat="false" ht="13.8" hidden="true" customHeight="false" outlineLevel="0" collapsed="false">
      <c r="A1946" s="0" t="s">
        <v>692</v>
      </c>
      <c r="B1946" s="0" t="n">
        <v>10</v>
      </c>
      <c r="C1946" s="0" t="n">
        <v>1.3</v>
      </c>
      <c r="D1946" s="0" t="n">
        <v>0</v>
      </c>
    </row>
    <row r="1947" customFormat="false" ht="13.8" hidden="true" customHeight="false" outlineLevel="0" collapsed="false">
      <c r="A1947" s="0" t="s">
        <v>692</v>
      </c>
      <c r="B1947" s="0" t="n">
        <v>10</v>
      </c>
      <c r="C1947" s="0" t="n">
        <v>1.35</v>
      </c>
      <c r="D1947" s="0" t="n">
        <v>0</v>
      </c>
    </row>
    <row r="1948" customFormat="false" ht="13.8" hidden="true" customHeight="false" outlineLevel="0" collapsed="false">
      <c r="A1948" s="0" t="s">
        <v>692</v>
      </c>
      <c r="B1948" s="0" t="n">
        <v>10</v>
      </c>
      <c r="C1948" s="0" t="n">
        <v>1.4</v>
      </c>
      <c r="D1948" s="0" t="n">
        <v>0</v>
      </c>
    </row>
    <row r="1949" customFormat="false" ht="13.8" hidden="true" customHeight="false" outlineLevel="0" collapsed="false">
      <c r="A1949" s="0" t="s">
        <v>692</v>
      </c>
      <c r="B1949" s="0" t="n">
        <v>10</v>
      </c>
      <c r="C1949" s="0" t="n">
        <v>1.45</v>
      </c>
      <c r="D1949" s="0" t="n">
        <v>0</v>
      </c>
    </row>
    <row r="1950" customFormat="false" ht="13.8" hidden="true" customHeight="false" outlineLevel="0" collapsed="false">
      <c r="A1950" s="0" t="s">
        <v>692</v>
      </c>
      <c r="B1950" s="0" t="n">
        <v>10</v>
      </c>
      <c r="C1950" s="0" t="n">
        <v>1.5</v>
      </c>
      <c r="D1950" s="0" t="n">
        <v>0</v>
      </c>
    </row>
    <row r="1951" customFormat="false" ht="13.8" hidden="true" customHeight="false" outlineLevel="0" collapsed="false">
      <c r="A1951" s="0" t="s">
        <v>692</v>
      </c>
      <c r="B1951" s="0" t="n">
        <v>10</v>
      </c>
      <c r="C1951" s="0" t="n">
        <v>1.55</v>
      </c>
      <c r="D1951" s="0" t="n">
        <v>0</v>
      </c>
    </row>
    <row r="1952" customFormat="false" ht="13.8" hidden="true" customHeight="false" outlineLevel="0" collapsed="false">
      <c r="A1952" s="0" t="s">
        <v>692</v>
      </c>
      <c r="B1952" s="0" t="n">
        <v>10</v>
      </c>
      <c r="C1952" s="0" t="n">
        <v>1.6</v>
      </c>
      <c r="D1952" s="0" t="n">
        <v>0.136</v>
      </c>
    </row>
    <row r="1953" customFormat="false" ht="13.8" hidden="true" customHeight="false" outlineLevel="0" collapsed="false">
      <c r="A1953" s="0" t="s">
        <v>692</v>
      </c>
      <c r="B1953" s="0" t="n">
        <v>10</v>
      </c>
      <c r="C1953" s="0" t="n">
        <v>1.65</v>
      </c>
      <c r="D1953" s="0" t="n">
        <v>0.141</v>
      </c>
    </row>
    <row r="1954" customFormat="false" ht="13.8" hidden="true" customHeight="false" outlineLevel="0" collapsed="false">
      <c r="A1954" s="0" t="s">
        <v>692</v>
      </c>
      <c r="B1954" s="0" t="n">
        <v>10</v>
      </c>
      <c r="C1954" s="0" t="n">
        <v>1.7</v>
      </c>
      <c r="D1954" s="0" t="n">
        <v>0.145</v>
      </c>
    </row>
    <row r="1955" customFormat="false" ht="13.8" hidden="true" customHeight="false" outlineLevel="0" collapsed="false">
      <c r="A1955" s="0" t="s">
        <v>692</v>
      </c>
      <c r="B1955" s="0" t="n">
        <v>10</v>
      </c>
      <c r="C1955" s="0" t="n">
        <v>1.75</v>
      </c>
      <c r="D1955" s="0" t="n">
        <v>0.149</v>
      </c>
    </row>
    <row r="1956" customFormat="false" ht="13.8" hidden="true" customHeight="false" outlineLevel="0" collapsed="false">
      <c r="A1956" s="0" t="s">
        <v>692</v>
      </c>
      <c r="B1956" s="0" t="n">
        <v>10</v>
      </c>
      <c r="C1956" s="0" t="n">
        <v>1.8</v>
      </c>
      <c r="D1956" s="0" t="n">
        <v>0.163</v>
      </c>
    </row>
    <row r="1957" customFormat="false" ht="13.8" hidden="true" customHeight="false" outlineLevel="0" collapsed="false">
      <c r="A1957" s="0" t="s">
        <v>692</v>
      </c>
      <c r="B1957" s="0" t="n">
        <v>10</v>
      </c>
      <c r="C1957" s="0" t="n">
        <v>1.85</v>
      </c>
      <c r="D1957" s="0" t="n">
        <v>0.168</v>
      </c>
    </row>
    <row r="1958" customFormat="false" ht="13.8" hidden="true" customHeight="false" outlineLevel="0" collapsed="false">
      <c r="A1958" s="0" t="s">
        <v>692</v>
      </c>
      <c r="B1958" s="0" t="n">
        <v>10</v>
      </c>
      <c r="C1958" s="0" t="n">
        <v>1.9</v>
      </c>
      <c r="D1958" s="0" t="n">
        <v>0.172</v>
      </c>
    </row>
    <row r="1959" customFormat="false" ht="13.8" hidden="true" customHeight="false" outlineLevel="0" collapsed="false">
      <c r="A1959" s="0" t="s">
        <v>692</v>
      </c>
      <c r="B1959" s="0" t="n">
        <v>10</v>
      </c>
      <c r="C1959" s="0" t="n">
        <v>1.95</v>
      </c>
      <c r="D1959" s="0" t="n">
        <v>0.177</v>
      </c>
    </row>
    <row r="1960" customFormat="false" ht="13.8" hidden="true" customHeight="false" outlineLevel="0" collapsed="false">
      <c r="A1960" s="0" t="s">
        <v>692</v>
      </c>
      <c r="B1960" s="0" t="n">
        <v>10</v>
      </c>
      <c r="C1960" s="0" t="n">
        <v>2</v>
      </c>
      <c r="D1960" s="0" t="n">
        <v>0.192</v>
      </c>
    </row>
    <row r="1961" customFormat="false" ht="13.8" hidden="true" customHeight="false" outlineLevel="0" collapsed="false">
      <c r="A1961" s="0" t="s">
        <v>692</v>
      </c>
      <c r="B1961" s="0" t="n">
        <v>10</v>
      </c>
      <c r="C1961" s="0" t="n">
        <v>2.05</v>
      </c>
      <c r="D1961" s="0" t="n">
        <v>0.197</v>
      </c>
    </row>
    <row r="1962" customFormat="false" ht="13.8" hidden="true" customHeight="false" outlineLevel="0" collapsed="false">
      <c r="A1962" s="0" t="s">
        <v>692</v>
      </c>
      <c r="B1962" s="0" t="n">
        <v>10</v>
      </c>
      <c r="C1962" s="0" t="n">
        <v>2.1</v>
      </c>
      <c r="D1962" s="0" t="n">
        <v>0.202</v>
      </c>
    </row>
    <row r="1963" customFormat="false" ht="13.8" hidden="true" customHeight="false" outlineLevel="0" collapsed="false">
      <c r="A1963" s="0" t="s">
        <v>692</v>
      </c>
      <c r="B1963" s="0" t="n">
        <v>10</v>
      </c>
      <c r="C1963" s="0" t="n">
        <v>2.15</v>
      </c>
      <c r="D1963" s="0" t="n">
        <v>0.206712902</v>
      </c>
    </row>
    <row r="1964" customFormat="false" ht="13.8" hidden="true" customHeight="false" outlineLevel="0" collapsed="false">
      <c r="A1964" s="0" t="s">
        <v>692</v>
      </c>
      <c r="B1964" s="0" t="n">
        <v>10</v>
      </c>
      <c r="C1964" s="0" t="n">
        <v>2.2</v>
      </c>
      <c r="D1964" s="0" t="n">
        <v>0.189921701</v>
      </c>
    </row>
    <row r="1965" customFormat="false" ht="13.8" hidden="true" customHeight="false" outlineLevel="0" collapsed="false">
      <c r="A1965" s="0" t="s">
        <v>692</v>
      </c>
      <c r="B1965" s="0" t="n">
        <v>10</v>
      </c>
      <c r="C1965" s="0" t="n">
        <v>2.25</v>
      </c>
      <c r="D1965" s="0" t="n">
        <v>0.194238103</v>
      </c>
    </row>
    <row r="1966" customFormat="false" ht="13.8" hidden="true" customHeight="false" outlineLevel="0" collapsed="false">
      <c r="A1966" s="0" t="s">
        <v>692</v>
      </c>
      <c r="B1966" s="0" t="n">
        <v>10</v>
      </c>
      <c r="C1966" s="0" t="n">
        <v>2.3</v>
      </c>
      <c r="D1966" s="0" t="n">
        <v>0.198554506</v>
      </c>
    </row>
    <row r="1967" customFormat="false" ht="13.8" hidden="true" customHeight="false" outlineLevel="0" collapsed="false">
      <c r="A1967" s="0" t="s">
        <v>692</v>
      </c>
      <c r="B1967" s="0" t="n">
        <v>10</v>
      </c>
      <c r="C1967" s="0" t="n">
        <v>2.35</v>
      </c>
      <c r="D1967" s="0" t="n">
        <v>0.202870908</v>
      </c>
    </row>
    <row r="1968" customFormat="false" ht="13.8" hidden="true" customHeight="false" outlineLevel="0" collapsed="false">
      <c r="A1968" s="0" t="s">
        <v>692</v>
      </c>
      <c r="B1968" s="0" t="n">
        <v>10</v>
      </c>
      <c r="C1968" s="0" t="n">
        <v>2.4</v>
      </c>
      <c r="D1968" s="0" t="n">
        <v>0.20718731</v>
      </c>
    </row>
    <row r="1969" customFormat="false" ht="13.8" hidden="true" customHeight="false" outlineLevel="0" collapsed="false">
      <c r="A1969" s="0" t="s">
        <v>692</v>
      </c>
      <c r="B1969" s="0" t="n">
        <v>10</v>
      </c>
      <c r="C1969" s="0" t="n">
        <v>2.45</v>
      </c>
      <c r="D1969" s="0" t="n">
        <v>0.211503713</v>
      </c>
    </row>
    <row r="1970" customFormat="false" ht="13.8" hidden="true" customHeight="false" outlineLevel="0" collapsed="false">
      <c r="A1970" s="0" t="s">
        <v>692</v>
      </c>
      <c r="B1970" s="0" t="n">
        <v>10</v>
      </c>
      <c r="C1970" s="0" t="n">
        <v>2.5</v>
      </c>
      <c r="D1970" s="0" t="n">
        <v>0.215820115</v>
      </c>
    </row>
    <row r="1971" customFormat="false" ht="13.8" hidden="true" customHeight="false" outlineLevel="0" collapsed="false">
      <c r="A1971" s="0" t="s">
        <v>692</v>
      </c>
      <c r="B1971" s="0" t="n">
        <v>10</v>
      </c>
      <c r="C1971" s="0" t="n">
        <v>2.55</v>
      </c>
      <c r="D1971" s="0" t="n">
        <v>0.220136517</v>
      </c>
    </row>
    <row r="1972" customFormat="false" ht="13.8" hidden="true" customHeight="false" outlineLevel="0" collapsed="false">
      <c r="A1972" s="0" t="s">
        <v>692</v>
      </c>
      <c r="B1972" s="0" t="n">
        <v>10</v>
      </c>
      <c r="C1972" s="0" t="n">
        <v>2.6</v>
      </c>
      <c r="D1972" s="0" t="n">
        <v>0.224452919</v>
      </c>
    </row>
    <row r="1973" customFormat="false" ht="13.8" hidden="true" customHeight="false" outlineLevel="0" collapsed="false">
      <c r="A1973" s="0" t="s">
        <v>692</v>
      </c>
      <c r="B1973" s="0" t="n">
        <v>17</v>
      </c>
      <c r="C1973" s="0" t="n">
        <v>1.3</v>
      </c>
      <c r="D1973" s="0" t="n">
        <v>0</v>
      </c>
    </row>
    <row r="1974" customFormat="false" ht="13.8" hidden="true" customHeight="false" outlineLevel="0" collapsed="false">
      <c r="A1974" s="0" t="s">
        <v>692</v>
      </c>
      <c r="B1974" s="0" t="n">
        <v>17</v>
      </c>
      <c r="C1974" s="0" t="n">
        <v>1.35</v>
      </c>
      <c r="D1974" s="0" t="n">
        <v>0</v>
      </c>
    </row>
    <row r="1975" customFormat="false" ht="13.8" hidden="true" customHeight="false" outlineLevel="0" collapsed="false">
      <c r="A1975" s="0" t="s">
        <v>692</v>
      </c>
      <c r="B1975" s="0" t="n">
        <v>17</v>
      </c>
      <c r="C1975" s="0" t="n">
        <v>1.4</v>
      </c>
      <c r="D1975" s="0" t="n">
        <v>0</v>
      </c>
    </row>
    <row r="1976" customFormat="false" ht="13.8" hidden="true" customHeight="false" outlineLevel="0" collapsed="false">
      <c r="A1976" s="0" t="s">
        <v>692</v>
      </c>
      <c r="B1976" s="0" t="n">
        <v>17</v>
      </c>
      <c r="C1976" s="0" t="n">
        <v>1.45</v>
      </c>
      <c r="D1976" s="0" t="n">
        <v>0</v>
      </c>
    </row>
    <row r="1977" customFormat="false" ht="13.8" hidden="true" customHeight="false" outlineLevel="0" collapsed="false">
      <c r="A1977" s="0" t="s">
        <v>692</v>
      </c>
      <c r="B1977" s="0" t="n">
        <v>17</v>
      </c>
      <c r="C1977" s="0" t="n">
        <v>1.5</v>
      </c>
      <c r="D1977" s="0" t="n">
        <v>0</v>
      </c>
    </row>
    <row r="1978" customFormat="false" ht="13.8" hidden="true" customHeight="false" outlineLevel="0" collapsed="false">
      <c r="A1978" s="0" t="s">
        <v>692</v>
      </c>
      <c r="B1978" s="0" t="n">
        <v>17</v>
      </c>
      <c r="C1978" s="0" t="n">
        <v>1.55</v>
      </c>
      <c r="D1978" s="0" t="n">
        <v>0</v>
      </c>
    </row>
    <row r="1979" customFormat="false" ht="13.8" hidden="true" customHeight="false" outlineLevel="0" collapsed="false">
      <c r="A1979" s="0" t="s">
        <v>692</v>
      </c>
      <c r="B1979" s="0" t="n">
        <v>17</v>
      </c>
      <c r="C1979" s="0" t="n">
        <v>1.6</v>
      </c>
      <c r="D1979" s="0" t="n">
        <v>0.136</v>
      </c>
    </row>
    <row r="1980" customFormat="false" ht="13.8" hidden="true" customHeight="false" outlineLevel="0" collapsed="false">
      <c r="A1980" s="0" t="s">
        <v>692</v>
      </c>
      <c r="B1980" s="0" t="n">
        <v>17</v>
      </c>
      <c r="C1980" s="0" t="n">
        <v>1.65</v>
      </c>
      <c r="D1980" s="0" t="n">
        <v>0.141</v>
      </c>
    </row>
    <row r="1981" customFormat="false" ht="13.8" hidden="true" customHeight="false" outlineLevel="0" collapsed="false">
      <c r="A1981" s="0" t="s">
        <v>692</v>
      </c>
      <c r="B1981" s="0" t="n">
        <v>17</v>
      </c>
      <c r="C1981" s="0" t="n">
        <v>1.7</v>
      </c>
      <c r="D1981" s="0" t="n">
        <v>0.145</v>
      </c>
    </row>
    <row r="1982" customFormat="false" ht="13.8" hidden="true" customHeight="false" outlineLevel="0" collapsed="false">
      <c r="A1982" s="0" t="s">
        <v>692</v>
      </c>
      <c r="B1982" s="0" t="n">
        <v>17</v>
      </c>
      <c r="C1982" s="0" t="n">
        <v>1.75</v>
      </c>
      <c r="D1982" s="0" t="n">
        <v>0.149</v>
      </c>
    </row>
    <row r="1983" customFormat="false" ht="13.8" hidden="true" customHeight="false" outlineLevel="0" collapsed="false">
      <c r="A1983" s="0" t="s">
        <v>692</v>
      </c>
      <c r="B1983" s="0" t="n">
        <v>17</v>
      </c>
      <c r="C1983" s="0" t="n">
        <v>1.8</v>
      </c>
      <c r="D1983" s="0" t="n">
        <v>0.163</v>
      </c>
    </row>
    <row r="1984" customFormat="false" ht="13.8" hidden="true" customHeight="false" outlineLevel="0" collapsed="false">
      <c r="A1984" s="0" t="s">
        <v>692</v>
      </c>
      <c r="B1984" s="0" t="n">
        <v>17</v>
      </c>
      <c r="C1984" s="0" t="n">
        <v>1.85</v>
      </c>
      <c r="D1984" s="0" t="n">
        <v>0.168</v>
      </c>
    </row>
    <row r="1985" customFormat="false" ht="13.8" hidden="true" customHeight="false" outlineLevel="0" collapsed="false">
      <c r="A1985" s="0" t="s">
        <v>692</v>
      </c>
      <c r="B1985" s="0" t="n">
        <v>17</v>
      </c>
      <c r="C1985" s="0" t="n">
        <v>1.9</v>
      </c>
      <c r="D1985" s="0" t="n">
        <v>0.172</v>
      </c>
    </row>
    <row r="1986" customFormat="false" ht="13.8" hidden="true" customHeight="false" outlineLevel="0" collapsed="false">
      <c r="A1986" s="0" t="s">
        <v>692</v>
      </c>
      <c r="B1986" s="0" t="n">
        <v>17</v>
      </c>
      <c r="C1986" s="0" t="n">
        <v>1.95</v>
      </c>
      <c r="D1986" s="0" t="n">
        <v>0.177</v>
      </c>
    </row>
    <row r="1987" customFormat="false" ht="13.8" hidden="true" customHeight="false" outlineLevel="0" collapsed="false">
      <c r="A1987" s="0" t="s">
        <v>692</v>
      </c>
      <c r="B1987" s="0" t="n">
        <v>17</v>
      </c>
      <c r="C1987" s="0" t="n">
        <v>2</v>
      </c>
      <c r="D1987" s="0" t="n">
        <v>0.192</v>
      </c>
    </row>
    <row r="1988" customFormat="false" ht="13.8" hidden="true" customHeight="false" outlineLevel="0" collapsed="false">
      <c r="A1988" s="0" t="s">
        <v>692</v>
      </c>
      <c r="B1988" s="0" t="n">
        <v>17</v>
      </c>
      <c r="C1988" s="0" t="n">
        <v>2.05</v>
      </c>
      <c r="D1988" s="0" t="n">
        <v>0.197</v>
      </c>
    </row>
    <row r="1989" customFormat="false" ht="13.8" hidden="true" customHeight="false" outlineLevel="0" collapsed="false">
      <c r="A1989" s="0" t="s">
        <v>692</v>
      </c>
      <c r="B1989" s="0" t="n">
        <v>17</v>
      </c>
      <c r="C1989" s="0" t="n">
        <v>2.1</v>
      </c>
      <c r="D1989" s="0" t="n">
        <v>0.202</v>
      </c>
    </row>
    <row r="1990" customFormat="false" ht="13.8" hidden="true" customHeight="false" outlineLevel="0" collapsed="false">
      <c r="A1990" s="0" t="s">
        <v>692</v>
      </c>
      <c r="B1990" s="0" t="n">
        <v>17</v>
      </c>
      <c r="C1990" s="0" t="n">
        <v>2.15</v>
      </c>
      <c r="D1990" s="0" t="n">
        <v>0.206712902</v>
      </c>
    </row>
    <row r="1991" customFormat="false" ht="13.8" hidden="true" customHeight="false" outlineLevel="0" collapsed="false">
      <c r="A1991" s="0" t="s">
        <v>692</v>
      </c>
      <c r="B1991" s="0" t="n">
        <v>17</v>
      </c>
      <c r="C1991" s="0" t="n">
        <v>2.2</v>
      </c>
      <c r="D1991" s="0" t="n">
        <v>0.189921701</v>
      </c>
    </row>
    <row r="1992" customFormat="false" ht="13.8" hidden="true" customHeight="false" outlineLevel="0" collapsed="false">
      <c r="A1992" s="0" t="s">
        <v>692</v>
      </c>
      <c r="B1992" s="0" t="n">
        <v>17</v>
      </c>
      <c r="C1992" s="0" t="n">
        <v>2.25</v>
      </c>
      <c r="D1992" s="0" t="n">
        <v>0.194238103</v>
      </c>
    </row>
    <row r="1993" customFormat="false" ht="13.8" hidden="true" customHeight="false" outlineLevel="0" collapsed="false">
      <c r="A1993" s="0" t="s">
        <v>692</v>
      </c>
      <c r="B1993" s="0" t="n">
        <v>17</v>
      </c>
      <c r="C1993" s="0" t="n">
        <v>2.3</v>
      </c>
      <c r="D1993" s="0" t="n">
        <v>0.198554506</v>
      </c>
    </row>
    <row r="1994" customFormat="false" ht="13.8" hidden="true" customHeight="false" outlineLevel="0" collapsed="false">
      <c r="A1994" s="0" t="s">
        <v>692</v>
      </c>
      <c r="B1994" s="0" t="n">
        <v>17</v>
      </c>
      <c r="C1994" s="0" t="n">
        <v>2.35</v>
      </c>
      <c r="D1994" s="0" t="n">
        <v>0.202870908</v>
      </c>
    </row>
    <row r="1995" customFormat="false" ht="13.8" hidden="true" customHeight="false" outlineLevel="0" collapsed="false">
      <c r="A1995" s="0" t="s">
        <v>692</v>
      </c>
      <c r="B1995" s="0" t="n">
        <v>17</v>
      </c>
      <c r="C1995" s="0" t="n">
        <v>2.4</v>
      </c>
      <c r="D1995" s="0" t="n">
        <v>0.20718731</v>
      </c>
    </row>
    <row r="1996" customFormat="false" ht="13.8" hidden="true" customHeight="false" outlineLevel="0" collapsed="false">
      <c r="A1996" s="0" t="s">
        <v>692</v>
      </c>
      <c r="B1996" s="0" t="n">
        <v>17</v>
      </c>
      <c r="C1996" s="0" t="n">
        <v>2.45</v>
      </c>
      <c r="D1996" s="0" t="n">
        <v>0.211503713</v>
      </c>
    </row>
    <row r="1997" customFormat="false" ht="13.8" hidden="true" customHeight="false" outlineLevel="0" collapsed="false">
      <c r="A1997" s="0" t="s">
        <v>692</v>
      </c>
      <c r="B1997" s="0" t="n">
        <v>17</v>
      </c>
      <c r="C1997" s="0" t="n">
        <v>2.5</v>
      </c>
      <c r="D1997" s="0" t="n">
        <v>0.215820115</v>
      </c>
    </row>
    <row r="1998" customFormat="false" ht="13.8" hidden="true" customHeight="false" outlineLevel="0" collapsed="false">
      <c r="A1998" s="0" t="s">
        <v>692</v>
      </c>
      <c r="B1998" s="0" t="n">
        <v>17</v>
      </c>
      <c r="C1998" s="0" t="n">
        <v>2.55</v>
      </c>
      <c r="D1998" s="0" t="n">
        <v>0.220136517</v>
      </c>
    </row>
    <row r="1999" customFormat="false" ht="13.8" hidden="true" customHeight="false" outlineLevel="0" collapsed="false">
      <c r="A1999" s="0" t="s">
        <v>692</v>
      </c>
      <c r="B1999" s="0" t="n">
        <v>17</v>
      </c>
      <c r="C1999" s="0" t="n">
        <v>2.6</v>
      </c>
      <c r="D1999" s="0" t="n">
        <v>0.224452919</v>
      </c>
    </row>
    <row r="2000" customFormat="false" ht="13.8" hidden="true" customHeight="false" outlineLevel="0" collapsed="false">
      <c r="A2000" s="0" t="s">
        <v>696</v>
      </c>
      <c r="B2000" s="0" t="n">
        <v>10</v>
      </c>
      <c r="C2000" s="0" t="n">
        <v>1.3</v>
      </c>
      <c r="D2000" s="0" t="n">
        <v>0</v>
      </c>
    </row>
    <row r="2001" customFormat="false" ht="13.8" hidden="true" customHeight="false" outlineLevel="0" collapsed="false">
      <c r="A2001" s="0" t="s">
        <v>696</v>
      </c>
      <c r="B2001" s="0" t="n">
        <v>10</v>
      </c>
      <c r="C2001" s="0" t="n">
        <v>1.35</v>
      </c>
      <c r="D2001" s="0" t="n">
        <v>0</v>
      </c>
    </row>
    <row r="2002" customFormat="false" ht="13.8" hidden="true" customHeight="false" outlineLevel="0" collapsed="false">
      <c r="A2002" s="0" t="s">
        <v>696</v>
      </c>
      <c r="B2002" s="0" t="n">
        <v>10</v>
      </c>
      <c r="C2002" s="0" t="n">
        <v>1.4</v>
      </c>
      <c r="D2002" s="0" t="n">
        <v>0</v>
      </c>
    </row>
    <row r="2003" customFormat="false" ht="13.8" hidden="true" customHeight="false" outlineLevel="0" collapsed="false">
      <c r="A2003" s="0" t="s">
        <v>696</v>
      </c>
      <c r="B2003" s="0" t="n">
        <v>10</v>
      </c>
      <c r="C2003" s="0" t="n">
        <v>1.45</v>
      </c>
      <c r="D2003" s="0" t="n">
        <v>0</v>
      </c>
    </row>
    <row r="2004" customFormat="false" ht="13.8" hidden="true" customHeight="false" outlineLevel="0" collapsed="false">
      <c r="A2004" s="0" t="s">
        <v>696</v>
      </c>
      <c r="B2004" s="0" t="n">
        <v>10</v>
      </c>
      <c r="C2004" s="0" t="n">
        <v>1.5</v>
      </c>
      <c r="D2004" s="0" t="n">
        <v>0</v>
      </c>
    </row>
    <row r="2005" customFormat="false" ht="13.8" hidden="true" customHeight="false" outlineLevel="0" collapsed="false">
      <c r="A2005" s="0" t="s">
        <v>696</v>
      </c>
      <c r="B2005" s="0" t="n">
        <v>10</v>
      </c>
      <c r="C2005" s="0" t="n">
        <v>1.55</v>
      </c>
      <c r="D2005" s="0" t="n">
        <v>0</v>
      </c>
    </row>
    <row r="2006" customFormat="false" ht="13.8" hidden="true" customHeight="false" outlineLevel="0" collapsed="false">
      <c r="A2006" s="0" t="s">
        <v>696</v>
      </c>
      <c r="B2006" s="0" t="n">
        <v>10</v>
      </c>
      <c r="C2006" s="0" t="n">
        <v>1.6</v>
      </c>
      <c r="D2006" s="0" t="n">
        <v>0.136</v>
      </c>
    </row>
    <row r="2007" customFormat="false" ht="13.8" hidden="true" customHeight="false" outlineLevel="0" collapsed="false">
      <c r="A2007" s="0" t="s">
        <v>696</v>
      </c>
      <c r="B2007" s="0" t="n">
        <v>10</v>
      </c>
      <c r="C2007" s="0" t="n">
        <v>1.65</v>
      </c>
      <c r="D2007" s="0" t="n">
        <v>0.141</v>
      </c>
    </row>
    <row r="2008" customFormat="false" ht="13.8" hidden="true" customHeight="false" outlineLevel="0" collapsed="false">
      <c r="A2008" s="0" t="s">
        <v>696</v>
      </c>
      <c r="B2008" s="0" t="n">
        <v>10</v>
      </c>
      <c r="C2008" s="0" t="n">
        <v>1.7</v>
      </c>
      <c r="D2008" s="0" t="n">
        <v>0.145</v>
      </c>
    </row>
    <row r="2009" customFormat="false" ht="13.8" hidden="true" customHeight="false" outlineLevel="0" collapsed="false">
      <c r="A2009" s="0" t="s">
        <v>696</v>
      </c>
      <c r="B2009" s="0" t="n">
        <v>10</v>
      </c>
      <c r="C2009" s="0" t="n">
        <v>1.75</v>
      </c>
      <c r="D2009" s="0" t="n">
        <v>0.149</v>
      </c>
    </row>
    <row r="2010" customFormat="false" ht="13.8" hidden="true" customHeight="false" outlineLevel="0" collapsed="false">
      <c r="A2010" s="0" t="s">
        <v>696</v>
      </c>
      <c r="B2010" s="0" t="n">
        <v>10</v>
      </c>
      <c r="C2010" s="0" t="n">
        <v>1.8</v>
      </c>
      <c r="D2010" s="0" t="n">
        <v>0.163</v>
      </c>
    </row>
    <row r="2011" customFormat="false" ht="13.8" hidden="true" customHeight="false" outlineLevel="0" collapsed="false">
      <c r="A2011" s="0" t="s">
        <v>696</v>
      </c>
      <c r="B2011" s="0" t="n">
        <v>10</v>
      </c>
      <c r="C2011" s="0" t="n">
        <v>1.85</v>
      </c>
      <c r="D2011" s="0" t="n">
        <v>0.168</v>
      </c>
    </row>
    <row r="2012" customFormat="false" ht="13.8" hidden="true" customHeight="false" outlineLevel="0" collapsed="false">
      <c r="A2012" s="0" t="s">
        <v>696</v>
      </c>
      <c r="B2012" s="0" t="n">
        <v>10</v>
      </c>
      <c r="C2012" s="0" t="n">
        <v>1.9</v>
      </c>
      <c r="D2012" s="0" t="n">
        <v>0.172</v>
      </c>
    </row>
    <row r="2013" customFormat="false" ht="13.8" hidden="true" customHeight="false" outlineLevel="0" collapsed="false">
      <c r="A2013" s="0" t="s">
        <v>696</v>
      </c>
      <c r="B2013" s="0" t="n">
        <v>10</v>
      </c>
      <c r="C2013" s="0" t="n">
        <v>1.95</v>
      </c>
      <c r="D2013" s="0" t="n">
        <v>0.177</v>
      </c>
    </row>
    <row r="2014" customFormat="false" ht="13.8" hidden="true" customHeight="false" outlineLevel="0" collapsed="false">
      <c r="A2014" s="0" t="s">
        <v>696</v>
      </c>
      <c r="B2014" s="0" t="n">
        <v>10</v>
      </c>
      <c r="C2014" s="0" t="n">
        <v>2</v>
      </c>
      <c r="D2014" s="0" t="n">
        <v>0.192</v>
      </c>
    </row>
    <row r="2015" customFormat="false" ht="13.8" hidden="true" customHeight="false" outlineLevel="0" collapsed="false">
      <c r="A2015" s="0" t="s">
        <v>696</v>
      </c>
      <c r="B2015" s="0" t="n">
        <v>10</v>
      </c>
      <c r="C2015" s="0" t="n">
        <v>2.05</v>
      </c>
      <c r="D2015" s="0" t="n">
        <v>0.197</v>
      </c>
    </row>
    <row r="2016" customFormat="false" ht="13.8" hidden="true" customHeight="false" outlineLevel="0" collapsed="false">
      <c r="A2016" s="0" t="s">
        <v>696</v>
      </c>
      <c r="B2016" s="0" t="n">
        <v>10</v>
      </c>
      <c r="C2016" s="0" t="n">
        <v>2.1</v>
      </c>
      <c r="D2016" s="0" t="n">
        <v>0.202</v>
      </c>
    </row>
    <row r="2017" customFormat="false" ht="13.8" hidden="true" customHeight="false" outlineLevel="0" collapsed="false">
      <c r="A2017" s="0" t="s">
        <v>696</v>
      </c>
      <c r="B2017" s="0" t="n">
        <v>10</v>
      </c>
      <c r="C2017" s="0" t="n">
        <v>2.15</v>
      </c>
      <c r="D2017" s="0" t="n">
        <v>0.206712902</v>
      </c>
    </row>
    <row r="2018" customFormat="false" ht="13.8" hidden="true" customHeight="false" outlineLevel="0" collapsed="false">
      <c r="A2018" s="0" t="s">
        <v>696</v>
      </c>
      <c r="B2018" s="0" t="n">
        <v>10</v>
      </c>
      <c r="C2018" s="0" t="n">
        <v>2.2</v>
      </c>
      <c r="D2018" s="0" t="n">
        <v>0.189921701</v>
      </c>
    </row>
    <row r="2019" customFormat="false" ht="13.8" hidden="true" customHeight="false" outlineLevel="0" collapsed="false">
      <c r="A2019" s="0" t="s">
        <v>696</v>
      </c>
      <c r="B2019" s="0" t="n">
        <v>10</v>
      </c>
      <c r="C2019" s="0" t="n">
        <v>2.25</v>
      </c>
      <c r="D2019" s="0" t="n">
        <v>0.194238103</v>
      </c>
    </row>
    <row r="2020" customFormat="false" ht="13.8" hidden="true" customHeight="false" outlineLevel="0" collapsed="false">
      <c r="A2020" s="0" t="s">
        <v>696</v>
      </c>
      <c r="B2020" s="0" t="n">
        <v>10</v>
      </c>
      <c r="C2020" s="0" t="n">
        <v>2.3</v>
      </c>
      <c r="D2020" s="0" t="n">
        <v>0.198554506</v>
      </c>
    </row>
    <row r="2021" customFormat="false" ht="13.8" hidden="true" customHeight="false" outlineLevel="0" collapsed="false">
      <c r="A2021" s="0" t="s">
        <v>696</v>
      </c>
      <c r="B2021" s="0" t="n">
        <v>10</v>
      </c>
      <c r="C2021" s="0" t="n">
        <v>2.35</v>
      </c>
      <c r="D2021" s="0" t="n">
        <v>0.202870908</v>
      </c>
    </row>
    <row r="2022" customFormat="false" ht="13.8" hidden="true" customHeight="false" outlineLevel="0" collapsed="false">
      <c r="A2022" s="0" t="s">
        <v>696</v>
      </c>
      <c r="B2022" s="0" t="n">
        <v>10</v>
      </c>
      <c r="C2022" s="0" t="n">
        <v>2.4</v>
      </c>
      <c r="D2022" s="0" t="n">
        <v>0.20718731</v>
      </c>
    </row>
    <row r="2023" customFormat="false" ht="13.8" hidden="true" customHeight="false" outlineLevel="0" collapsed="false">
      <c r="A2023" s="0" t="s">
        <v>696</v>
      </c>
      <c r="B2023" s="0" t="n">
        <v>10</v>
      </c>
      <c r="C2023" s="0" t="n">
        <v>2.45</v>
      </c>
      <c r="D2023" s="0" t="n">
        <v>0.211503713</v>
      </c>
    </row>
    <row r="2024" customFormat="false" ht="13.8" hidden="true" customHeight="false" outlineLevel="0" collapsed="false">
      <c r="A2024" s="0" t="s">
        <v>696</v>
      </c>
      <c r="B2024" s="0" t="n">
        <v>10</v>
      </c>
      <c r="C2024" s="0" t="n">
        <v>2.5</v>
      </c>
      <c r="D2024" s="0" t="n">
        <v>0.215820115</v>
      </c>
    </row>
    <row r="2025" customFormat="false" ht="13.8" hidden="true" customHeight="false" outlineLevel="0" collapsed="false">
      <c r="A2025" s="0" t="s">
        <v>696</v>
      </c>
      <c r="B2025" s="0" t="n">
        <v>10</v>
      </c>
      <c r="C2025" s="0" t="n">
        <v>2.55</v>
      </c>
      <c r="D2025" s="0" t="n">
        <v>0.220136517</v>
      </c>
    </row>
    <row r="2026" customFormat="false" ht="13.8" hidden="true" customHeight="false" outlineLevel="0" collapsed="false">
      <c r="A2026" s="0" t="s">
        <v>696</v>
      </c>
      <c r="B2026" s="0" t="n">
        <v>10</v>
      </c>
      <c r="C2026" s="0" t="n">
        <v>2.6</v>
      </c>
      <c r="D2026" s="0" t="n">
        <v>0.224452919</v>
      </c>
    </row>
    <row r="2027" customFormat="false" ht="13.8" hidden="true" customHeight="false" outlineLevel="0" collapsed="false">
      <c r="A2027" s="0" t="s">
        <v>696</v>
      </c>
      <c r="B2027" s="0" t="n">
        <v>17</v>
      </c>
      <c r="C2027" s="0" t="n">
        <v>1.3</v>
      </c>
      <c r="D2027" s="0" t="n">
        <v>0</v>
      </c>
    </row>
    <row r="2028" customFormat="false" ht="13.8" hidden="true" customHeight="false" outlineLevel="0" collapsed="false">
      <c r="A2028" s="0" t="s">
        <v>696</v>
      </c>
      <c r="B2028" s="0" t="n">
        <v>17</v>
      </c>
      <c r="C2028" s="0" t="n">
        <v>1.35</v>
      </c>
      <c r="D2028" s="0" t="n">
        <v>0</v>
      </c>
    </row>
    <row r="2029" customFormat="false" ht="13.8" hidden="true" customHeight="false" outlineLevel="0" collapsed="false">
      <c r="A2029" s="0" t="s">
        <v>696</v>
      </c>
      <c r="B2029" s="0" t="n">
        <v>17</v>
      </c>
      <c r="C2029" s="0" t="n">
        <v>1.4</v>
      </c>
      <c r="D2029" s="0" t="n">
        <v>0</v>
      </c>
    </row>
    <row r="2030" customFormat="false" ht="13.8" hidden="true" customHeight="false" outlineLevel="0" collapsed="false">
      <c r="A2030" s="0" t="s">
        <v>696</v>
      </c>
      <c r="B2030" s="0" t="n">
        <v>17</v>
      </c>
      <c r="C2030" s="0" t="n">
        <v>1.45</v>
      </c>
      <c r="D2030" s="0" t="n">
        <v>0</v>
      </c>
    </row>
    <row r="2031" customFormat="false" ht="13.8" hidden="true" customHeight="false" outlineLevel="0" collapsed="false">
      <c r="A2031" s="0" t="s">
        <v>696</v>
      </c>
      <c r="B2031" s="0" t="n">
        <v>17</v>
      </c>
      <c r="C2031" s="0" t="n">
        <v>1.5</v>
      </c>
      <c r="D2031" s="0" t="n">
        <v>0</v>
      </c>
    </row>
    <row r="2032" customFormat="false" ht="13.8" hidden="true" customHeight="false" outlineLevel="0" collapsed="false">
      <c r="A2032" s="0" t="s">
        <v>696</v>
      </c>
      <c r="B2032" s="0" t="n">
        <v>17</v>
      </c>
      <c r="C2032" s="0" t="n">
        <v>1.55</v>
      </c>
      <c r="D2032" s="0" t="n">
        <v>0</v>
      </c>
    </row>
    <row r="2033" customFormat="false" ht="13.8" hidden="true" customHeight="false" outlineLevel="0" collapsed="false">
      <c r="A2033" s="0" t="s">
        <v>696</v>
      </c>
      <c r="B2033" s="0" t="n">
        <v>17</v>
      </c>
      <c r="C2033" s="0" t="n">
        <v>1.6</v>
      </c>
      <c r="D2033" s="0" t="n">
        <v>0.136</v>
      </c>
    </row>
    <row r="2034" customFormat="false" ht="13.8" hidden="true" customHeight="false" outlineLevel="0" collapsed="false">
      <c r="A2034" s="0" t="s">
        <v>696</v>
      </c>
      <c r="B2034" s="0" t="n">
        <v>17</v>
      </c>
      <c r="C2034" s="0" t="n">
        <v>1.65</v>
      </c>
      <c r="D2034" s="0" t="n">
        <v>0.141</v>
      </c>
    </row>
    <row r="2035" customFormat="false" ht="13.8" hidden="true" customHeight="false" outlineLevel="0" collapsed="false">
      <c r="A2035" s="0" t="s">
        <v>696</v>
      </c>
      <c r="B2035" s="0" t="n">
        <v>17</v>
      </c>
      <c r="C2035" s="0" t="n">
        <v>1.7</v>
      </c>
      <c r="D2035" s="0" t="n">
        <v>0.145</v>
      </c>
    </row>
    <row r="2036" customFormat="false" ht="13.8" hidden="true" customHeight="false" outlineLevel="0" collapsed="false">
      <c r="A2036" s="0" t="s">
        <v>696</v>
      </c>
      <c r="B2036" s="0" t="n">
        <v>17</v>
      </c>
      <c r="C2036" s="0" t="n">
        <v>1.75</v>
      </c>
      <c r="D2036" s="0" t="n">
        <v>0.149</v>
      </c>
    </row>
    <row r="2037" customFormat="false" ht="13.8" hidden="true" customHeight="false" outlineLevel="0" collapsed="false">
      <c r="A2037" s="0" t="s">
        <v>696</v>
      </c>
      <c r="B2037" s="0" t="n">
        <v>17</v>
      </c>
      <c r="C2037" s="0" t="n">
        <v>1.8</v>
      </c>
      <c r="D2037" s="0" t="n">
        <v>0.163</v>
      </c>
    </row>
    <row r="2038" customFormat="false" ht="13.8" hidden="true" customHeight="false" outlineLevel="0" collapsed="false">
      <c r="A2038" s="0" t="s">
        <v>696</v>
      </c>
      <c r="B2038" s="0" t="n">
        <v>17</v>
      </c>
      <c r="C2038" s="0" t="n">
        <v>1.85</v>
      </c>
      <c r="D2038" s="0" t="n">
        <v>0.168</v>
      </c>
    </row>
    <row r="2039" customFormat="false" ht="13.8" hidden="true" customHeight="false" outlineLevel="0" collapsed="false">
      <c r="A2039" s="0" t="s">
        <v>696</v>
      </c>
      <c r="B2039" s="0" t="n">
        <v>17</v>
      </c>
      <c r="C2039" s="0" t="n">
        <v>1.9</v>
      </c>
      <c r="D2039" s="0" t="n">
        <v>0.172</v>
      </c>
    </row>
    <row r="2040" customFormat="false" ht="13.8" hidden="true" customHeight="false" outlineLevel="0" collapsed="false">
      <c r="A2040" s="0" t="s">
        <v>696</v>
      </c>
      <c r="B2040" s="0" t="n">
        <v>17</v>
      </c>
      <c r="C2040" s="0" t="n">
        <v>1.95</v>
      </c>
      <c r="D2040" s="0" t="n">
        <v>0.177</v>
      </c>
    </row>
    <row r="2041" customFormat="false" ht="13.8" hidden="true" customHeight="false" outlineLevel="0" collapsed="false">
      <c r="A2041" s="0" t="s">
        <v>696</v>
      </c>
      <c r="B2041" s="0" t="n">
        <v>17</v>
      </c>
      <c r="C2041" s="0" t="n">
        <v>2</v>
      </c>
      <c r="D2041" s="0" t="n">
        <v>0.192</v>
      </c>
    </row>
    <row r="2042" customFormat="false" ht="13.8" hidden="true" customHeight="false" outlineLevel="0" collapsed="false">
      <c r="A2042" s="0" t="s">
        <v>696</v>
      </c>
      <c r="B2042" s="0" t="n">
        <v>17</v>
      </c>
      <c r="C2042" s="0" t="n">
        <v>2.05</v>
      </c>
      <c r="D2042" s="0" t="n">
        <v>0.197</v>
      </c>
    </row>
    <row r="2043" customFormat="false" ht="13.8" hidden="true" customHeight="false" outlineLevel="0" collapsed="false">
      <c r="A2043" s="0" t="s">
        <v>696</v>
      </c>
      <c r="B2043" s="0" t="n">
        <v>17</v>
      </c>
      <c r="C2043" s="0" t="n">
        <v>2.1</v>
      </c>
      <c r="D2043" s="0" t="n">
        <v>0.202</v>
      </c>
    </row>
    <row r="2044" customFormat="false" ht="13.8" hidden="true" customHeight="false" outlineLevel="0" collapsed="false">
      <c r="A2044" s="0" t="s">
        <v>696</v>
      </c>
      <c r="B2044" s="0" t="n">
        <v>17</v>
      </c>
      <c r="C2044" s="0" t="n">
        <v>2.15</v>
      </c>
      <c r="D2044" s="0" t="n">
        <v>0.206712902</v>
      </c>
    </row>
    <row r="2045" customFormat="false" ht="13.8" hidden="true" customHeight="false" outlineLevel="0" collapsed="false">
      <c r="A2045" s="0" t="s">
        <v>696</v>
      </c>
      <c r="B2045" s="0" t="n">
        <v>17</v>
      </c>
      <c r="C2045" s="0" t="n">
        <v>2.2</v>
      </c>
      <c r="D2045" s="0" t="n">
        <v>0.189921701</v>
      </c>
    </row>
    <row r="2046" customFormat="false" ht="13.8" hidden="true" customHeight="false" outlineLevel="0" collapsed="false">
      <c r="A2046" s="0" t="s">
        <v>696</v>
      </c>
      <c r="B2046" s="0" t="n">
        <v>17</v>
      </c>
      <c r="C2046" s="0" t="n">
        <v>2.25</v>
      </c>
      <c r="D2046" s="0" t="n">
        <v>0.194238103</v>
      </c>
    </row>
    <row r="2047" customFormat="false" ht="13.8" hidden="true" customHeight="false" outlineLevel="0" collapsed="false">
      <c r="A2047" s="0" t="s">
        <v>696</v>
      </c>
      <c r="B2047" s="0" t="n">
        <v>17</v>
      </c>
      <c r="C2047" s="0" t="n">
        <v>2.3</v>
      </c>
      <c r="D2047" s="0" t="n">
        <v>0.198554506</v>
      </c>
    </row>
    <row r="2048" customFormat="false" ht="13.8" hidden="true" customHeight="false" outlineLevel="0" collapsed="false">
      <c r="A2048" s="0" t="s">
        <v>696</v>
      </c>
      <c r="B2048" s="0" t="n">
        <v>17</v>
      </c>
      <c r="C2048" s="0" t="n">
        <v>2.35</v>
      </c>
      <c r="D2048" s="0" t="n">
        <v>0.202870908</v>
      </c>
    </row>
    <row r="2049" customFormat="false" ht="13.8" hidden="true" customHeight="false" outlineLevel="0" collapsed="false">
      <c r="A2049" s="0" t="s">
        <v>696</v>
      </c>
      <c r="B2049" s="0" t="n">
        <v>17</v>
      </c>
      <c r="C2049" s="0" t="n">
        <v>2.4</v>
      </c>
      <c r="D2049" s="0" t="n">
        <v>0.20718731</v>
      </c>
    </row>
    <row r="2050" customFormat="false" ht="13.8" hidden="true" customHeight="false" outlineLevel="0" collapsed="false">
      <c r="A2050" s="0" t="s">
        <v>696</v>
      </c>
      <c r="B2050" s="0" t="n">
        <v>17</v>
      </c>
      <c r="C2050" s="0" t="n">
        <v>2.45</v>
      </c>
      <c r="D2050" s="0" t="n">
        <v>0.211503713</v>
      </c>
    </row>
    <row r="2051" customFormat="false" ht="13.8" hidden="true" customHeight="false" outlineLevel="0" collapsed="false">
      <c r="A2051" s="0" t="s">
        <v>696</v>
      </c>
      <c r="B2051" s="0" t="n">
        <v>17</v>
      </c>
      <c r="C2051" s="0" t="n">
        <v>2.5</v>
      </c>
      <c r="D2051" s="0" t="n">
        <v>0.215820115</v>
      </c>
    </row>
    <row r="2052" customFormat="false" ht="13.8" hidden="true" customHeight="false" outlineLevel="0" collapsed="false">
      <c r="A2052" s="0" t="s">
        <v>696</v>
      </c>
      <c r="B2052" s="0" t="n">
        <v>17</v>
      </c>
      <c r="C2052" s="0" t="n">
        <v>2.55</v>
      </c>
      <c r="D2052" s="0" t="n">
        <v>0.220136517</v>
      </c>
    </row>
    <row r="2053" customFormat="false" ht="13.8" hidden="true" customHeight="false" outlineLevel="0" collapsed="false">
      <c r="A2053" s="0" t="s">
        <v>696</v>
      </c>
      <c r="B2053" s="0" t="n">
        <v>17</v>
      </c>
      <c r="C2053" s="0" t="n">
        <v>2.6</v>
      </c>
      <c r="D2053" s="0" t="n">
        <v>0.224452919</v>
      </c>
    </row>
    <row r="2054" customFormat="false" ht="13.8" hidden="true" customHeight="false" outlineLevel="0" collapsed="false">
      <c r="A2054" s="0" t="s">
        <v>225</v>
      </c>
      <c r="B2054" s="0" t="n">
        <v>29</v>
      </c>
      <c r="C2054" s="0" t="n">
        <v>1.3</v>
      </c>
      <c r="D2054" s="0" t="n">
        <v>0</v>
      </c>
    </row>
    <row r="2055" customFormat="false" ht="13.8" hidden="true" customHeight="false" outlineLevel="0" collapsed="false">
      <c r="A2055" s="0" t="s">
        <v>225</v>
      </c>
      <c r="B2055" s="0" t="n">
        <v>29</v>
      </c>
      <c r="C2055" s="0" t="n">
        <v>1.35</v>
      </c>
      <c r="D2055" s="0" t="n">
        <v>0</v>
      </c>
    </row>
    <row r="2056" customFormat="false" ht="13.8" hidden="true" customHeight="false" outlineLevel="0" collapsed="false">
      <c r="A2056" s="0" t="s">
        <v>225</v>
      </c>
      <c r="B2056" s="0" t="n">
        <v>29</v>
      </c>
      <c r="C2056" s="0" t="n">
        <v>1.4</v>
      </c>
      <c r="D2056" s="0" t="n">
        <v>0</v>
      </c>
    </row>
    <row r="2057" customFormat="false" ht="13.8" hidden="true" customHeight="false" outlineLevel="0" collapsed="false">
      <c r="A2057" s="0" t="s">
        <v>225</v>
      </c>
      <c r="B2057" s="0" t="n">
        <v>29</v>
      </c>
      <c r="C2057" s="0" t="n">
        <v>1.45</v>
      </c>
      <c r="D2057" s="0" t="n">
        <v>0</v>
      </c>
    </row>
    <row r="2058" customFormat="false" ht="13.8" hidden="true" customHeight="false" outlineLevel="0" collapsed="false">
      <c r="A2058" s="0" t="s">
        <v>225</v>
      </c>
      <c r="B2058" s="0" t="n">
        <v>29</v>
      </c>
      <c r="C2058" s="0" t="n">
        <v>1.5</v>
      </c>
      <c r="D2058" s="0" t="n">
        <v>0</v>
      </c>
    </row>
    <row r="2059" customFormat="false" ht="13.8" hidden="true" customHeight="false" outlineLevel="0" collapsed="false">
      <c r="A2059" s="0" t="s">
        <v>225</v>
      </c>
      <c r="B2059" s="0" t="n">
        <v>29</v>
      </c>
      <c r="C2059" s="0" t="n">
        <v>1.55</v>
      </c>
      <c r="D2059" s="0" t="n">
        <v>0</v>
      </c>
    </row>
    <row r="2060" customFormat="false" ht="13.8" hidden="true" customHeight="false" outlineLevel="0" collapsed="false">
      <c r="A2060" s="0" t="s">
        <v>225</v>
      </c>
      <c r="B2060" s="0" t="n">
        <v>29</v>
      </c>
      <c r="C2060" s="0" t="n">
        <v>1.6</v>
      </c>
      <c r="D2060" s="0" t="n">
        <v>0</v>
      </c>
    </row>
    <row r="2061" customFormat="false" ht="13.8" hidden="true" customHeight="false" outlineLevel="0" collapsed="false">
      <c r="A2061" s="0" t="s">
        <v>225</v>
      </c>
      <c r="B2061" s="0" t="n">
        <v>29</v>
      </c>
      <c r="C2061" s="0" t="n">
        <v>1.65</v>
      </c>
      <c r="D2061" s="0" t="n">
        <v>0</v>
      </c>
    </row>
    <row r="2062" customFormat="false" ht="13.8" hidden="true" customHeight="false" outlineLevel="0" collapsed="false">
      <c r="A2062" s="0" t="s">
        <v>225</v>
      </c>
      <c r="B2062" s="0" t="n">
        <v>29</v>
      </c>
      <c r="C2062" s="0" t="n">
        <v>1.7</v>
      </c>
      <c r="D2062" s="0" t="n">
        <v>0</v>
      </c>
    </row>
    <row r="2063" customFormat="false" ht="13.8" hidden="true" customHeight="false" outlineLevel="0" collapsed="false">
      <c r="A2063" s="0" t="s">
        <v>225</v>
      </c>
      <c r="B2063" s="0" t="n">
        <v>29</v>
      </c>
      <c r="C2063" s="0" t="n">
        <v>1.75</v>
      </c>
      <c r="D2063" s="0" t="n">
        <v>0</v>
      </c>
    </row>
    <row r="2064" customFormat="false" ht="13.8" hidden="true" customHeight="false" outlineLevel="0" collapsed="false">
      <c r="A2064" s="0" t="s">
        <v>225</v>
      </c>
      <c r="B2064" s="0" t="n">
        <v>29</v>
      </c>
      <c r="C2064" s="0" t="n">
        <v>1.8</v>
      </c>
      <c r="D2064" s="0" t="n">
        <v>0</v>
      </c>
    </row>
    <row r="2065" customFormat="false" ht="13.8" hidden="true" customHeight="false" outlineLevel="0" collapsed="false">
      <c r="A2065" s="0" t="s">
        <v>225</v>
      </c>
      <c r="B2065" s="0" t="n">
        <v>29</v>
      </c>
      <c r="C2065" s="0" t="n">
        <v>1.85</v>
      </c>
      <c r="D2065" s="0" t="n">
        <v>0.381363787</v>
      </c>
    </row>
    <row r="2066" customFormat="false" ht="13.8" hidden="true" customHeight="false" outlineLevel="0" collapsed="false">
      <c r="A2066" s="0" t="s">
        <v>225</v>
      </c>
      <c r="B2066" s="0" t="n">
        <v>29</v>
      </c>
      <c r="C2066" s="0" t="n">
        <v>1.9</v>
      </c>
      <c r="D2066" s="0" t="n">
        <v>0.391670916</v>
      </c>
    </row>
    <row r="2067" customFormat="false" ht="13.8" hidden="true" customHeight="false" outlineLevel="0" collapsed="false">
      <c r="A2067" s="0" t="s">
        <v>225</v>
      </c>
      <c r="B2067" s="0" t="n">
        <v>29</v>
      </c>
      <c r="C2067" s="0" t="n">
        <v>1.95</v>
      </c>
      <c r="D2067" s="0" t="n">
        <v>0.401978046</v>
      </c>
    </row>
    <row r="2068" customFormat="false" ht="13.8" hidden="true" customHeight="false" outlineLevel="0" collapsed="false">
      <c r="A2068" s="0" t="s">
        <v>225</v>
      </c>
      <c r="B2068" s="0" t="n">
        <v>29</v>
      </c>
      <c r="C2068" s="0" t="n">
        <v>2</v>
      </c>
      <c r="D2068" s="0" t="n">
        <v>0.401843077</v>
      </c>
    </row>
    <row r="2069" customFormat="false" ht="13.8" hidden="true" customHeight="false" outlineLevel="0" collapsed="false">
      <c r="A2069" s="0" t="s">
        <v>225</v>
      </c>
      <c r="B2069" s="0" t="n">
        <v>29</v>
      </c>
      <c r="C2069" s="0" t="n">
        <v>2.05</v>
      </c>
      <c r="D2069" s="0" t="n">
        <v>0.411889154</v>
      </c>
    </row>
    <row r="2070" customFormat="false" ht="13.8" hidden="true" customHeight="false" outlineLevel="0" collapsed="false">
      <c r="A2070" s="0" t="s">
        <v>225</v>
      </c>
      <c r="B2070" s="0" t="n">
        <v>29</v>
      </c>
      <c r="C2070" s="0" t="n">
        <v>2.1</v>
      </c>
      <c r="D2070" s="0" t="n">
        <v>0.421935231</v>
      </c>
    </row>
    <row r="2071" customFormat="false" ht="13.8" hidden="true" customHeight="false" outlineLevel="0" collapsed="false">
      <c r="A2071" s="0" t="s">
        <v>225</v>
      </c>
      <c r="B2071" s="0" t="n">
        <v>29</v>
      </c>
      <c r="C2071" s="0" t="n">
        <v>2.15</v>
      </c>
      <c r="D2071" s="0" t="n">
        <v>0.431981308</v>
      </c>
    </row>
    <row r="2072" customFormat="false" ht="13.8" hidden="true" customHeight="false" outlineLevel="0" collapsed="false">
      <c r="A2072" s="0" t="s">
        <v>225</v>
      </c>
      <c r="B2072" s="0" t="n">
        <v>29</v>
      </c>
      <c r="C2072" s="0" t="n">
        <v>2.2</v>
      </c>
      <c r="D2072" s="0" t="n">
        <v>0</v>
      </c>
    </row>
    <row r="2073" customFormat="false" ht="13.8" hidden="true" customHeight="false" outlineLevel="0" collapsed="false">
      <c r="A2073" s="0" t="s">
        <v>225</v>
      </c>
      <c r="B2073" s="0" t="n">
        <v>29</v>
      </c>
      <c r="C2073" s="0" t="n">
        <v>2.25</v>
      </c>
      <c r="D2073" s="0" t="n">
        <v>0</v>
      </c>
    </row>
    <row r="2074" customFormat="false" ht="13.8" hidden="true" customHeight="false" outlineLevel="0" collapsed="false">
      <c r="A2074" s="0" t="s">
        <v>225</v>
      </c>
      <c r="B2074" s="0" t="n">
        <v>29</v>
      </c>
      <c r="C2074" s="0" t="n">
        <v>2.3</v>
      </c>
      <c r="D2074" s="0" t="n">
        <v>0</v>
      </c>
    </row>
    <row r="2075" customFormat="false" ht="13.8" hidden="true" customHeight="false" outlineLevel="0" collapsed="false">
      <c r="A2075" s="0" t="s">
        <v>225</v>
      </c>
      <c r="B2075" s="0" t="n">
        <v>29</v>
      </c>
      <c r="C2075" s="0" t="n">
        <v>2.35</v>
      </c>
      <c r="D2075" s="0" t="n">
        <v>0</v>
      </c>
    </row>
    <row r="2076" customFormat="false" ht="13.8" hidden="true" customHeight="false" outlineLevel="0" collapsed="false">
      <c r="A2076" s="0" t="s">
        <v>225</v>
      </c>
      <c r="B2076" s="0" t="n">
        <v>29</v>
      </c>
      <c r="C2076" s="0" t="n">
        <v>2.4</v>
      </c>
      <c r="D2076" s="0" t="n">
        <v>0</v>
      </c>
    </row>
    <row r="2077" customFormat="false" ht="13.8" hidden="true" customHeight="false" outlineLevel="0" collapsed="false">
      <c r="A2077" s="0" t="s">
        <v>225</v>
      </c>
      <c r="B2077" s="0" t="n">
        <v>29</v>
      </c>
      <c r="C2077" s="0" t="n">
        <v>2.45</v>
      </c>
      <c r="D2077" s="0" t="n">
        <v>0</v>
      </c>
    </row>
    <row r="2078" customFormat="false" ht="13.8" hidden="true" customHeight="false" outlineLevel="0" collapsed="false">
      <c r="A2078" s="0" t="s">
        <v>225</v>
      </c>
      <c r="B2078" s="0" t="n">
        <v>29</v>
      </c>
      <c r="C2078" s="0" t="n">
        <v>2.5</v>
      </c>
      <c r="D2078" s="0" t="n">
        <v>0</v>
      </c>
    </row>
    <row r="2079" customFormat="false" ht="13.8" hidden="true" customHeight="false" outlineLevel="0" collapsed="false">
      <c r="A2079" s="0" t="s">
        <v>225</v>
      </c>
      <c r="B2079" s="0" t="n">
        <v>29</v>
      </c>
      <c r="C2079" s="0" t="n">
        <v>2.55</v>
      </c>
      <c r="D2079" s="0" t="n">
        <v>0</v>
      </c>
    </row>
    <row r="2080" customFormat="false" ht="13.8" hidden="true" customHeight="false" outlineLevel="0" collapsed="false">
      <c r="A2080" s="0" t="s">
        <v>225</v>
      </c>
      <c r="B2080" s="0" t="n">
        <v>29</v>
      </c>
      <c r="C2080" s="0" t="n">
        <v>2.6</v>
      </c>
      <c r="D2080" s="0" t="n">
        <v>0</v>
      </c>
    </row>
    <row r="2081" customFormat="false" ht="13.8" hidden="true" customHeight="false" outlineLevel="0" collapsed="false">
      <c r="A2081" s="0" t="s">
        <v>702</v>
      </c>
      <c r="B2081" s="0" t="n">
        <v>29</v>
      </c>
      <c r="C2081" s="0" t="n">
        <v>1.3</v>
      </c>
      <c r="D2081" s="0" t="n">
        <v>0</v>
      </c>
    </row>
    <row r="2082" customFormat="false" ht="13.8" hidden="true" customHeight="false" outlineLevel="0" collapsed="false">
      <c r="A2082" s="0" t="s">
        <v>702</v>
      </c>
      <c r="B2082" s="0" t="n">
        <v>29</v>
      </c>
      <c r="C2082" s="0" t="n">
        <v>1.35</v>
      </c>
      <c r="D2082" s="0" t="n">
        <v>0</v>
      </c>
    </row>
    <row r="2083" customFormat="false" ht="13.8" hidden="true" customHeight="false" outlineLevel="0" collapsed="false">
      <c r="A2083" s="0" t="s">
        <v>702</v>
      </c>
      <c r="B2083" s="0" t="n">
        <v>29</v>
      </c>
      <c r="C2083" s="0" t="n">
        <v>1.4</v>
      </c>
      <c r="D2083" s="0" t="n">
        <v>0</v>
      </c>
    </row>
    <row r="2084" customFormat="false" ht="13.8" hidden="true" customHeight="false" outlineLevel="0" collapsed="false">
      <c r="A2084" s="0" t="s">
        <v>702</v>
      </c>
      <c r="B2084" s="0" t="n">
        <v>29</v>
      </c>
      <c r="C2084" s="0" t="n">
        <v>1.45</v>
      </c>
      <c r="D2084" s="0" t="n">
        <v>0</v>
      </c>
    </row>
    <row r="2085" customFormat="false" ht="13.8" hidden="true" customHeight="false" outlineLevel="0" collapsed="false">
      <c r="A2085" s="0" t="s">
        <v>702</v>
      </c>
      <c r="B2085" s="0" t="n">
        <v>29</v>
      </c>
      <c r="C2085" s="0" t="n">
        <v>1.5</v>
      </c>
      <c r="D2085" s="0" t="n">
        <v>0</v>
      </c>
    </row>
    <row r="2086" customFormat="false" ht="13.8" hidden="true" customHeight="false" outlineLevel="0" collapsed="false">
      <c r="A2086" s="0" t="s">
        <v>702</v>
      </c>
      <c r="B2086" s="0" t="n">
        <v>29</v>
      </c>
      <c r="C2086" s="0" t="n">
        <v>1.55</v>
      </c>
      <c r="D2086" s="0" t="n">
        <v>0</v>
      </c>
    </row>
    <row r="2087" customFormat="false" ht="13.8" hidden="true" customHeight="false" outlineLevel="0" collapsed="false">
      <c r="A2087" s="0" t="s">
        <v>702</v>
      </c>
      <c r="B2087" s="0" t="n">
        <v>29</v>
      </c>
      <c r="C2087" s="0" t="n">
        <v>1.6</v>
      </c>
      <c r="D2087" s="0" t="n">
        <v>0</v>
      </c>
    </row>
    <row r="2088" customFormat="false" ht="13.8" hidden="true" customHeight="false" outlineLevel="0" collapsed="false">
      <c r="A2088" s="0" t="s">
        <v>702</v>
      </c>
      <c r="B2088" s="0" t="n">
        <v>29</v>
      </c>
      <c r="C2088" s="0" t="n">
        <v>1.65</v>
      </c>
      <c r="D2088" s="0" t="n">
        <v>0</v>
      </c>
    </row>
    <row r="2089" customFormat="false" ht="13.8" hidden="true" customHeight="false" outlineLevel="0" collapsed="false">
      <c r="A2089" s="0" t="s">
        <v>702</v>
      </c>
      <c r="B2089" s="0" t="n">
        <v>29</v>
      </c>
      <c r="C2089" s="0" t="n">
        <v>1.7</v>
      </c>
      <c r="D2089" s="0" t="n">
        <v>0</v>
      </c>
    </row>
    <row r="2090" customFormat="false" ht="13.8" hidden="true" customHeight="false" outlineLevel="0" collapsed="false">
      <c r="A2090" s="0" t="s">
        <v>702</v>
      </c>
      <c r="B2090" s="0" t="n">
        <v>29</v>
      </c>
      <c r="C2090" s="0" t="n">
        <v>1.75</v>
      </c>
      <c r="D2090" s="0" t="n">
        <v>0</v>
      </c>
    </row>
    <row r="2091" customFormat="false" ht="13.8" hidden="true" customHeight="false" outlineLevel="0" collapsed="false">
      <c r="A2091" s="0" t="s">
        <v>702</v>
      </c>
      <c r="B2091" s="0" t="n">
        <v>29</v>
      </c>
      <c r="C2091" s="0" t="n">
        <v>1.8</v>
      </c>
      <c r="D2091" s="0" t="n">
        <v>0</v>
      </c>
    </row>
    <row r="2092" customFormat="false" ht="13.8" hidden="true" customHeight="false" outlineLevel="0" collapsed="false">
      <c r="A2092" s="0" t="s">
        <v>702</v>
      </c>
      <c r="B2092" s="0" t="n">
        <v>29</v>
      </c>
      <c r="C2092" s="0" t="n">
        <v>1.85</v>
      </c>
      <c r="D2092" s="0" t="n">
        <v>0.381363787</v>
      </c>
    </row>
    <row r="2093" customFormat="false" ht="13.8" hidden="true" customHeight="false" outlineLevel="0" collapsed="false">
      <c r="A2093" s="0" t="s">
        <v>702</v>
      </c>
      <c r="B2093" s="0" t="n">
        <v>29</v>
      </c>
      <c r="C2093" s="0" t="n">
        <v>1.9</v>
      </c>
      <c r="D2093" s="0" t="n">
        <v>0.391670916</v>
      </c>
    </row>
    <row r="2094" customFormat="false" ht="13.8" hidden="true" customHeight="false" outlineLevel="0" collapsed="false">
      <c r="A2094" s="0" t="s">
        <v>702</v>
      </c>
      <c r="B2094" s="0" t="n">
        <v>29</v>
      </c>
      <c r="C2094" s="0" t="n">
        <v>1.95</v>
      </c>
      <c r="D2094" s="0" t="n">
        <v>0.401978046</v>
      </c>
    </row>
    <row r="2095" customFormat="false" ht="13.8" hidden="true" customHeight="false" outlineLevel="0" collapsed="false">
      <c r="A2095" s="0" t="s">
        <v>702</v>
      </c>
      <c r="B2095" s="0" t="n">
        <v>29</v>
      </c>
      <c r="C2095" s="0" t="n">
        <v>2</v>
      </c>
      <c r="D2095" s="0" t="n">
        <v>0.401843077</v>
      </c>
    </row>
    <row r="2096" customFormat="false" ht="13.8" hidden="true" customHeight="false" outlineLevel="0" collapsed="false">
      <c r="A2096" s="0" t="s">
        <v>702</v>
      </c>
      <c r="B2096" s="0" t="n">
        <v>29</v>
      </c>
      <c r="C2096" s="0" t="n">
        <v>2.05</v>
      </c>
      <c r="D2096" s="0" t="n">
        <v>0.411889154</v>
      </c>
    </row>
    <row r="2097" customFormat="false" ht="13.8" hidden="true" customHeight="false" outlineLevel="0" collapsed="false">
      <c r="A2097" s="0" t="s">
        <v>702</v>
      </c>
      <c r="B2097" s="0" t="n">
        <v>29</v>
      </c>
      <c r="C2097" s="0" t="n">
        <v>2.1</v>
      </c>
      <c r="D2097" s="0" t="n">
        <v>0.421935231</v>
      </c>
    </row>
    <row r="2098" customFormat="false" ht="13.8" hidden="true" customHeight="false" outlineLevel="0" collapsed="false">
      <c r="A2098" s="0" t="s">
        <v>702</v>
      </c>
      <c r="B2098" s="0" t="n">
        <v>29</v>
      </c>
      <c r="C2098" s="0" t="n">
        <v>2.15</v>
      </c>
      <c r="D2098" s="0" t="n">
        <v>0.431981308</v>
      </c>
    </row>
    <row r="2099" customFormat="false" ht="13.8" hidden="true" customHeight="false" outlineLevel="0" collapsed="false">
      <c r="A2099" s="0" t="s">
        <v>702</v>
      </c>
      <c r="B2099" s="0" t="n">
        <v>29</v>
      </c>
      <c r="C2099" s="0" t="n">
        <v>2.2</v>
      </c>
      <c r="D2099" s="0" t="n">
        <v>0</v>
      </c>
    </row>
    <row r="2100" customFormat="false" ht="13.8" hidden="true" customHeight="false" outlineLevel="0" collapsed="false">
      <c r="A2100" s="0" t="s">
        <v>702</v>
      </c>
      <c r="B2100" s="0" t="n">
        <v>29</v>
      </c>
      <c r="C2100" s="0" t="n">
        <v>2.25</v>
      </c>
      <c r="D2100" s="0" t="n">
        <v>0</v>
      </c>
    </row>
    <row r="2101" customFormat="false" ht="13.8" hidden="true" customHeight="false" outlineLevel="0" collapsed="false">
      <c r="A2101" s="0" t="s">
        <v>702</v>
      </c>
      <c r="B2101" s="0" t="n">
        <v>29</v>
      </c>
      <c r="C2101" s="0" t="n">
        <v>2.3</v>
      </c>
      <c r="D2101" s="0" t="n">
        <v>0</v>
      </c>
    </row>
    <row r="2102" customFormat="false" ht="13.8" hidden="true" customHeight="false" outlineLevel="0" collapsed="false">
      <c r="A2102" s="0" t="s">
        <v>702</v>
      </c>
      <c r="B2102" s="0" t="n">
        <v>29</v>
      </c>
      <c r="C2102" s="0" t="n">
        <v>2.35</v>
      </c>
      <c r="D2102" s="0" t="n">
        <v>0</v>
      </c>
    </row>
    <row r="2103" customFormat="false" ht="13.8" hidden="true" customHeight="false" outlineLevel="0" collapsed="false">
      <c r="A2103" s="0" t="s">
        <v>702</v>
      </c>
      <c r="B2103" s="0" t="n">
        <v>29</v>
      </c>
      <c r="C2103" s="0" t="n">
        <v>2.4</v>
      </c>
      <c r="D2103" s="0" t="n">
        <v>0</v>
      </c>
    </row>
    <row r="2104" customFormat="false" ht="13.8" hidden="true" customHeight="false" outlineLevel="0" collapsed="false">
      <c r="A2104" s="0" t="s">
        <v>702</v>
      </c>
      <c r="B2104" s="0" t="n">
        <v>29</v>
      </c>
      <c r="C2104" s="0" t="n">
        <v>2.45</v>
      </c>
      <c r="D2104" s="0" t="n">
        <v>0</v>
      </c>
    </row>
    <row r="2105" customFormat="false" ht="13.8" hidden="true" customHeight="false" outlineLevel="0" collapsed="false">
      <c r="A2105" s="0" t="s">
        <v>702</v>
      </c>
      <c r="B2105" s="0" t="n">
        <v>29</v>
      </c>
      <c r="C2105" s="0" t="n">
        <v>2.5</v>
      </c>
      <c r="D2105" s="0" t="n">
        <v>0</v>
      </c>
    </row>
    <row r="2106" customFormat="false" ht="13.8" hidden="true" customHeight="false" outlineLevel="0" collapsed="false">
      <c r="A2106" s="0" t="s">
        <v>702</v>
      </c>
      <c r="B2106" s="0" t="n">
        <v>29</v>
      </c>
      <c r="C2106" s="0" t="n">
        <v>2.55</v>
      </c>
      <c r="D2106" s="0" t="n">
        <v>0</v>
      </c>
    </row>
    <row r="2107" customFormat="false" ht="13.8" hidden="true" customHeight="false" outlineLevel="0" collapsed="false">
      <c r="A2107" s="0" t="s">
        <v>702</v>
      </c>
      <c r="B2107" s="0" t="n">
        <v>29</v>
      </c>
      <c r="C2107" s="0" t="n">
        <v>2.6</v>
      </c>
      <c r="D2107" s="0" t="n">
        <v>0</v>
      </c>
    </row>
    <row r="2108" customFormat="false" ht="13.8" hidden="true" customHeight="false" outlineLevel="0" collapsed="false">
      <c r="A2108" s="0" t="s">
        <v>705</v>
      </c>
      <c r="B2108" s="0" t="n">
        <v>29</v>
      </c>
      <c r="C2108" s="0" t="n">
        <v>1.3</v>
      </c>
      <c r="D2108" s="0" t="n">
        <v>0</v>
      </c>
    </row>
    <row r="2109" customFormat="false" ht="13.8" hidden="true" customHeight="false" outlineLevel="0" collapsed="false">
      <c r="A2109" s="0" t="s">
        <v>705</v>
      </c>
      <c r="B2109" s="0" t="n">
        <v>29</v>
      </c>
      <c r="C2109" s="0" t="n">
        <v>1.35</v>
      </c>
      <c r="D2109" s="0" t="n">
        <v>0</v>
      </c>
    </row>
    <row r="2110" customFormat="false" ht="13.8" hidden="true" customHeight="false" outlineLevel="0" collapsed="false">
      <c r="A2110" s="0" t="s">
        <v>705</v>
      </c>
      <c r="B2110" s="0" t="n">
        <v>29</v>
      </c>
      <c r="C2110" s="0" t="n">
        <v>1.4</v>
      </c>
      <c r="D2110" s="0" t="n">
        <v>0</v>
      </c>
    </row>
    <row r="2111" customFormat="false" ht="13.8" hidden="true" customHeight="false" outlineLevel="0" collapsed="false">
      <c r="A2111" s="0" t="s">
        <v>705</v>
      </c>
      <c r="B2111" s="0" t="n">
        <v>29</v>
      </c>
      <c r="C2111" s="0" t="n">
        <v>1.45</v>
      </c>
      <c r="D2111" s="0" t="n">
        <v>0</v>
      </c>
    </row>
    <row r="2112" customFormat="false" ht="13.8" hidden="true" customHeight="false" outlineLevel="0" collapsed="false">
      <c r="A2112" s="0" t="s">
        <v>705</v>
      </c>
      <c r="B2112" s="0" t="n">
        <v>29</v>
      </c>
      <c r="C2112" s="0" t="n">
        <v>1.5</v>
      </c>
      <c r="D2112" s="0" t="n">
        <v>0</v>
      </c>
    </row>
    <row r="2113" customFormat="false" ht="13.8" hidden="true" customHeight="false" outlineLevel="0" collapsed="false">
      <c r="A2113" s="0" t="s">
        <v>705</v>
      </c>
      <c r="B2113" s="0" t="n">
        <v>29</v>
      </c>
      <c r="C2113" s="0" t="n">
        <v>1.55</v>
      </c>
      <c r="D2113" s="0" t="n">
        <v>0</v>
      </c>
    </row>
    <row r="2114" customFormat="false" ht="13.8" hidden="true" customHeight="false" outlineLevel="0" collapsed="false">
      <c r="A2114" s="0" t="s">
        <v>705</v>
      </c>
      <c r="B2114" s="0" t="n">
        <v>29</v>
      </c>
      <c r="C2114" s="0" t="n">
        <v>1.6</v>
      </c>
      <c r="D2114" s="0" t="n">
        <v>0.338</v>
      </c>
    </row>
    <row r="2115" customFormat="false" ht="13.8" hidden="true" customHeight="false" outlineLevel="0" collapsed="false">
      <c r="A2115" s="0" t="s">
        <v>705</v>
      </c>
      <c r="B2115" s="0" t="n">
        <v>29</v>
      </c>
      <c r="C2115" s="0" t="n">
        <v>1.65</v>
      </c>
      <c r="D2115" s="0" t="n">
        <v>0.349</v>
      </c>
    </row>
    <row r="2116" customFormat="false" ht="13.8" hidden="true" customHeight="false" outlineLevel="0" collapsed="false">
      <c r="A2116" s="0" t="s">
        <v>705</v>
      </c>
      <c r="B2116" s="0" t="n">
        <v>29</v>
      </c>
      <c r="C2116" s="0" t="n">
        <v>1.7</v>
      </c>
      <c r="D2116" s="0" t="n">
        <v>0.359318182</v>
      </c>
    </row>
    <row r="2117" customFormat="false" ht="13.8" hidden="true" customHeight="false" outlineLevel="0" collapsed="false">
      <c r="A2117" s="0" t="s">
        <v>705</v>
      </c>
      <c r="B2117" s="0" t="n">
        <v>29</v>
      </c>
      <c r="C2117" s="0" t="n">
        <v>1.75</v>
      </c>
      <c r="D2117" s="0" t="n">
        <v>0.369886364</v>
      </c>
    </row>
    <row r="2118" customFormat="false" ht="13.8" hidden="true" customHeight="false" outlineLevel="0" collapsed="false">
      <c r="A2118" s="0" t="s">
        <v>705</v>
      </c>
      <c r="B2118" s="0" t="n">
        <v>29</v>
      </c>
      <c r="C2118" s="0" t="n">
        <v>1.8</v>
      </c>
      <c r="D2118" s="0" t="n">
        <v>0</v>
      </c>
    </row>
    <row r="2119" customFormat="false" ht="13.8" hidden="true" customHeight="false" outlineLevel="0" collapsed="false">
      <c r="A2119" s="0" t="s">
        <v>705</v>
      </c>
      <c r="B2119" s="0" t="n">
        <v>29</v>
      </c>
      <c r="C2119" s="0" t="n">
        <v>1.85</v>
      </c>
      <c r="D2119" s="0" t="n">
        <v>0</v>
      </c>
    </row>
    <row r="2120" customFormat="false" ht="13.8" hidden="true" customHeight="false" outlineLevel="0" collapsed="false">
      <c r="A2120" s="0" t="s">
        <v>705</v>
      </c>
      <c r="B2120" s="0" t="n">
        <v>29</v>
      </c>
      <c r="C2120" s="0" t="n">
        <v>1.9</v>
      </c>
      <c r="D2120" s="0" t="n">
        <v>0</v>
      </c>
    </row>
    <row r="2121" customFormat="false" ht="13.8" hidden="true" customHeight="false" outlineLevel="0" collapsed="false">
      <c r="A2121" s="0" t="s">
        <v>705</v>
      </c>
      <c r="B2121" s="0" t="n">
        <v>29</v>
      </c>
      <c r="C2121" s="0" t="n">
        <v>1.95</v>
      </c>
      <c r="D2121" s="0" t="n">
        <v>0</v>
      </c>
    </row>
    <row r="2122" customFormat="false" ht="13.8" hidden="true" customHeight="false" outlineLevel="0" collapsed="false">
      <c r="A2122" s="0" t="s">
        <v>705</v>
      </c>
      <c r="B2122" s="0" t="n">
        <v>29</v>
      </c>
      <c r="C2122" s="0" t="n">
        <v>2</v>
      </c>
      <c r="D2122" s="0" t="n">
        <v>0</v>
      </c>
    </row>
    <row r="2123" customFormat="false" ht="13.8" hidden="true" customHeight="false" outlineLevel="0" collapsed="false">
      <c r="A2123" s="0" t="s">
        <v>705</v>
      </c>
      <c r="B2123" s="0" t="n">
        <v>29</v>
      </c>
      <c r="C2123" s="0" t="n">
        <v>2.05</v>
      </c>
      <c r="D2123" s="0" t="n">
        <v>0</v>
      </c>
    </row>
    <row r="2124" customFormat="false" ht="13.8" hidden="true" customHeight="false" outlineLevel="0" collapsed="false">
      <c r="A2124" s="0" t="s">
        <v>705</v>
      </c>
      <c r="B2124" s="0" t="n">
        <v>29</v>
      </c>
      <c r="C2124" s="0" t="n">
        <v>2.1</v>
      </c>
      <c r="D2124" s="0" t="n">
        <v>0</v>
      </c>
    </row>
    <row r="2125" customFormat="false" ht="13.8" hidden="true" customHeight="false" outlineLevel="0" collapsed="false">
      <c r="A2125" s="0" t="s">
        <v>705</v>
      </c>
      <c r="B2125" s="0" t="n">
        <v>29</v>
      </c>
      <c r="C2125" s="0" t="n">
        <v>2.15</v>
      </c>
      <c r="D2125" s="0" t="n">
        <v>0</v>
      </c>
    </row>
    <row r="2126" customFormat="false" ht="13.8" hidden="true" customHeight="false" outlineLevel="0" collapsed="false">
      <c r="A2126" s="0" t="s">
        <v>705</v>
      </c>
      <c r="B2126" s="0" t="n">
        <v>29</v>
      </c>
      <c r="C2126" s="0" t="n">
        <v>2.2</v>
      </c>
      <c r="D2126" s="0" t="n">
        <v>0</v>
      </c>
    </row>
    <row r="2127" customFormat="false" ht="13.8" hidden="true" customHeight="false" outlineLevel="0" collapsed="false">
      <c r="A2127" s="0" t="s">
        <v>705</v>
      </c>
      <c r="B2127" s="0" t="n">
        <v>29</v>
      </c>
      <c r="C2127" s="0" t="n">
        <v>2.25</v>
      </c>
      <c r="D2127" s="0" t="n">
        <v>0</v>
      </c>
    </row>
    <row r="2128" customFormat="false" ht="13.8" hidden="true" customHeight="false" outlineLevel="0" collapsed="false">
      <c r="A2128" s="0" t="s">
        <v>705</v>
      </c>
      <c r="B2128" s="0" t="n">
        <v>29</v>
      </c>
      <c r="C2128" s="0" t="n">
        <v>2.3</v>
      </c>
      <c r="D2128" s="0" t="n">
        <v>0</v>
      </c>
    </row>
    <row r="2129" customFormat="false" ht="13.8" hidden="true" customHeight="false" outlineLevel="0" collapsed="false">
      <c r="A2129" s="0" t="s">
        <v>705</v>
      </c>
      <c r="B2129" s="0" t="n">
        <v>29</v>
      </c>
      <c r="C2129" s="0" t="n">
        <v>2.35</v>
      </c>
      <c r="D2129" s="0" t="n">
        <v>0</v>
      </c>
    </row>
    <row r="2130" customFormat="false" ht="13.8" hidden="true" customHeight="false" outlineLevel="0" collapsed="false">
      <c r="A2130" s="0" t="s">
        <v>705</v>
      </c>
      <c r="B2130" s="0" t="n">
        <v>29</v>
      </c>
      <c r="C2130" s="0" t="n">
        <v>2.4</v>
      </c>
      <c r="D2130" s="0" t="n">
        <v>0</v>
      </c>
    </row>
    <row r="2131" customFormat="false" ht="13.8" hidden="true" customHeight="false" outlineLevel="0" collapsed="false">
      <c r="A2131" s="0" t="s">
        <v>705</v>
      </c>
      <c r="B2131" s="0" t="n">
        <v>29</v>
      </c>
      <c r="C2131" s="0" t="n">
        <v>2.45</v>
      </c>
      <c r="D2131" s="0" t="n">
        <v>0</v>
      </c>
    </row>
    <row r="2132" customFormat="false" ht="13.8" hidden="true" customHeight="false" outlineLevel="0" collapsed="false">
      <c r="A2132" s="0" t="s">
        <v>705</v>
      </c>
      <c r="B2132" s="0" t="n">
        <v>29</v>
      </c>
      <c r="C2132" s="0" t="n">
        <v>2.5</v>
      </c>
      <c r="D2132" s="0" t="n">
        <v>0</v>
      </c>
    </row>
    <row r="2133" customFormat="false" ht="13.8" hidden="true" customHeight="false" outlineLevel="0" collapsed="false">
      <c r="A2133" s="0" t="s">
        <v>705</v>
      </c>
      <c r="B2133" s="0" t="n">
        <v>29</v>
      </c>
      <c r="C2133" s="0" t="n">
        <v>2.55</v>
      </c>
      <c r="D2133" s="0" t="n">
        <v>0</v>
      </c>
    </row>
    <row r="2134" customFormat="false" ht="13.8" hidden="true" customHeight="false" outlineLevel="0" collapsed="false">
      <c r="A2134" s="0" t="s">
        <v>705</v>
      </c>
      <c r="B2134" s="0" t="n">
        <v>29</v>
      </c>
      <c r="C2134" s="0" t="n">
        <v>2.6</v>
      </c>
      <c r="D2134" s="0" t="n">
        <v>0</v>
      </c>
    </row>
    <row r="2135" customFormat="false" ht="13.8" hidden="true" customHeight="false" outlineLevel="0" collapsed="false">
      <c r="A2135" s="0" t="s">
        <v>708</v>
      </c>
      <c r="B2135" s="0" t="n">
        <v>29</v>
      </c>
      <c r="C2135" s="0" t="n">
        <v>1.3</v>
      </c>
      <c r="D2135" s="0" t="n">
        <v>0</v>
      </c>
    </row>
    <row r="2136" customFormat="false" ht="13.8" hidden="true" customHeight="false" outlineLevel="0" collapsed="false">
      <c r="A2136" s="0" t="s">
        <v>708</v>
      </c>
      <c r="B2136" s="0" t="n">
        <v>29</v>
      </c>
      <c r="C2136" s="0" t="n">
        <v>1.35</v>
      </c>
      <c r="D2136" s="0" t="n">
        <v>0</v>
      </c>
    </row>
    <row r="2137" customFormat="false" ht="13.8" hidden="true" customHeight="false" outlineLevel="0" collapsed="false">
      <c r="A2137" s="0" t="s">
        <v>708</v>
      </c>
      <c r="B2137" s="0" t="n">
        <v>29</v>
      </c>
      <c r="C2137" s="0" t="n">
        <v>1.4</v>
      </c>
      <c r="D2137" s="0" t="n">
        <v>0</v>
      </c>
    </row>
    <row r="2138" customFormat="false" ht="13.8" hidden="true" customHeight="false" outlineLevel="0" collapsed="false">
      <c r="A2138" s="0" t="s">
        <v>708</v>
      </c>
      <c r="B2138" s="0" t="n">
        <v>29</v>
      </c>
      <c r="C2138" s="0" t="n">
        <v>1.45</v>
      </c>
      <c r="D2138" s="0" t="n">
        <v>0</v>
      </c>
    </row>
    <row r="2139" customFormat="false" ht="13.8" hidden="true" customHeight="false" outlineLevel="0" collapsed="false">
      <c r="A2139" s="0" t="s">
        <v>708</v>
      </c>
      <c r="B2139" s="0" t="n">
        <v>29</v>
      </c>
      <c r="C2139" s="0" t="n">
        <v>1.5</v>
      </c>
      <c r="D2139" s="0" t="n">
        <v>0</v>
      </c>
    </row>
    <row r="2140" customFormat="false" ht="13.8" hidden="true" customHeight="false" outlineLevel="0" collapsed="false">
      <c r="A2140" s="0" t="s">
        <v>708</v>
      </c>
      <c r="B2140" s="0" t="n">
        <v>29</v>
      </c>
      <c r="C2140" s="0" t="n">
        <v>1.55</v>
      </c>
      <c r="D2140" s="0" t="n">
        <v>0</v>
      </c>
    </row>
    <row r="2141" customFormat="false" ht="13.8" hidden="true" customHeight="false" outlineLevel="0" collapsed="false">
      <c r="A2141" s="0" t="s">
        <v>708</v>
      </c>
      <c r="B2141" s="0" t="n">
        <v>29</v>
      </c>
      <c r="C2141" s="0" t="n">
        <v>1.6</v>
      </c>
      <c r="D2141" s="0" t="n">
        <v>0</v>
      </c>
    </row>
    <row r="2142" customFormat="false" ht="13.8" hidden="true" customHeight="false" outlineLevel="0" collapsed="false">
      <c r="A2142" s="0" t="s">
        <v>708</v>
      </c>
      <c r="B2142" s="0" t="n">
        <v>29</v>
      </c>
      <c r="C2142" s="0" t="n">
        <v>1.65</v>
      </c>
      <c r="D2142" s="0" t="n">
        <v>0</v>
      </c>
    </row>
    <row r="2143" customFormat="false" ht="13.8" hidden="true" customHeight="false" outlineLevel="0" collapsed="false">
      <c r="A2143" s="0" t="s">
        <v>708</v>
      </c>
      <c r="B2143" s="0" t="n">
        <v>29</v>
      </c>
      <c r="C2143" s="0" t="n">
        <v>1.7</v>
      </c>
      <c r="D2143" s="0" t="n">
        <v>0</v>
      </c>
    </row>
    <row r="2144" customFormat="false" ht="13.8" hidden="true" customHeight="false" outlineLevel="0" collapsed="false">
      <c r="A2144" s="0" t="s">
        <v>708</v>
      </c>
      <c r="B2144" s="0" t="n">
        <v>29</v>
      </c>
      <c r="C2144" s="0" t="n">
        <v>1.75</v>
      </c>
      <c r="D2144" s="0" t="n">
        <v>0</v>
      </c>
    </row>
    <row r="2145" customFormat="false" ht="13.8" hidden="true" customHeight="false" outlineLevel="0" collapsed="false">
      <c r="A2145" s="0" t="s">
        <v>708</v>
      </c>
      <c r="B2145" s="0" t="n">
        <v>29</v>
      </c>
      <c r="C2145" s="0" t="n">
        <v>1.8</v>
      </c>
      <c r="D2145" s="0" t="n">
        <v>0</v>
      </c>
    </row>
    <row r="2146" customFormat="false" ht="13.8" hidden="true" customHeight="false" outlineLevel="0" collapsed="false">
      <c r="A2146" s="0" t="s">
        <v>708</v>
      </c>
      <c r="B2146" s="0" t="n">
        <v>29</v>
      </c>
      <c r="C2146" s="0" t="n">
        <v>1.85</v>
      </c>
      <c r="D2146" s="0" t="n">
        <v>0</v>
      </c>
    </row>
    <row r="2147" customFormat="false" ht="13.8" hidden="true" customHeight="false" outlineLevel="0" collapsed="false">
      <c r="A2147" s="0" t="s">
        <v>708</v>
      </c>
      <c r="B2147" s="0" t="n">
        <v>29</v>
      </c>
      <c r="C2147" s="0" t="n">
        <v>1.9</v>
      </c>
      <c r="D2147" s="0" t="n">
        <v>0</v>
      </c>
    </row>
    <row r="2148" customFormat="false" ht="13.8" hidden="true" customHeight="false" outlineLevel="0" collapsed="false">
      <c r="A2148" s="0" t="s">
        <v>708</v>
      </c>
      <c r="B2148" s="0" t="n">
        <v>29</v>
      </c>
      <c r="C2148" s="0" t="n">
        <v>1.95</v>
      </c>
      <c r="D2148" s="0" t="n">
        <v>0</v>
      </c>
    </row>
    <row r="2149" customFormat="false" ht="13.8" hidden="true" customHeight="false" outlineLevel="0" collapsed="false">
      <c r="A2149" s="0" t="s">
        <v>708</v>
      </c>
      <c r="B2149" s="0" t="n">
        <v>29</v>
      </c>
      <c r="C2149" s="0" t="n">
        <v>2</v>
      </c>
      <c r="D2149" s="0" t="n">
        <v>0</v>
      </c>
    </row>
    <row r="2150" customFormat="false" ht="13.8" hidden="true" customHeight="false" outlineLevel="0" collapsed="false">
      <c r="A2150" s="0" t="s">
        <v>708</v>
      </c>
      <c r="B2150" s="0" t="n">
        <v>29</v>
      </c>
      <c r="C2150" s="0" t="n">
        <v>2.05</v>
      </c>
      <c r="D2150" s="0" t="n">
        <v>0</v>
      </c>
    </row>
    <row r="2151" customFormat="false" ht="13.8" hidden="true" customHeight="false" outlineLevel="0" collapsed="false">
      <c r="A2151" s="0" t="s">
        <v>708</v>
      </c>
      <c r="B2151" s="0" t="n">
        <v>29</v>
      </c>
      <c r="C2151" s="0" t="n">
        <v>2.1</v>
      </c>
      <c r="D2151" s="0" t="n">
        <v>0.422</v>
      </c>
    </row>
    <row r="2152" customFormat="false" ht="13.8" hidden="true" customHeight="false" outlineLevel="0" collapsed="false">
      <c r="A2152" s="0" t="s">
        <v>708</v>
      </c>
      <c r="B2152" s="0" t="n">
        <v>29</v>
      </c>
      <c r="C2152" s="0" t="n">
        <v>2.15</v>
      </c>
      <c r="D2152" s="0" t="n">
        <v>0.431981308</v>
      </c>
    </row>
    <row r="2153" customFormat="false" ht="13.8" hidden="true" customHeight="false" outlineLevel="0" collapsed="false">
      <c r="A2153" s="0" t="s">
        <v>708</v>
      </c>
      <c r="B2153" s="0" t="n">
        <v>29</v>
      </c>
      <c r="C2153" s="0" t="n">
        <v>2.2</v>
      </c>
      <c r="D2153" s="0" t="n">
        <v>0.468434435</v>
      </c>
    </row>
    <row r="2154" customFormat="false" ht="13.8" hidden="true" customHeight="false" outlineLevel="0" collapsed="false">
      <c r="A2154" s="0" t="s">
        <v>708</v>
      </c>
      <c r="B2154" s="0" t="n">
        <v>29</v>
      </c>
      <c r="C2154" s="0" t="n">
        <v>2.25</v>
      </c>
      <c r="D2154" s="0" t="n">
        <v>0.479080672</v>
      </c>
    </row>
    <row r="2155" customFormat="false" ht="13.8" hidden="true" customHeight="false" outlineLevel="0" collapsed="false">
      <c r="A2155" s="0" t="s">
        <v>708</v>
      </c>
      <c r="B2155" s="0" t="n">
        <v>29</v>
      </c>
      <c r="C2155" s="0" t="n">
        <v>2.3</v>
      </c>
      <c r="D2155" s="0" t="n">
        <v>0</v>
      </c>
    </row>
    <row r="2156" customFormat="false" ht="13.8" hidden="true" customHeight="false" outlineLevel="0" collapsed="false">
      <c r="A2156" s="0" t="s">
        <v>708</v>
      </c>
      <c r="B2156" s="0" t="n">
        <v>29</v>
      </c>
      <c r="C2156" s="0" t="n">
        <v>2.35</v>
      </c>
      <c r="D2156" s="0" t="n">
        <v>0</v>
      </c>
    </row>
    <row r="2157" customFormat="false" ht="13.8" hidden="true" customHeight="false" outlineLevel="0" collapsed="false">
      <c r="A2157" s="0" t="s">
        <v>708</v>
      </c>
      <c r="B2157" s="0" t="n">
        <v>29</v>
      </c>
      <c r="C2157" s="0" t="n">
        <v>2.4</v>
      </c>
      <c r="D2157" s="0" t="n">
        <v>0</v>
      </c>
    </row>
    <row r="2158" customFormat="false" ht="13.8" hidden="true" customHeight="false" outlineLevel="0" collapsed="false">
      <c r="A2158" s="0" t="s">
        <v>708</v>
      </c>
      <c r="B2158" s="0" t="n">
        <v>29</v>
      </c>
      <c r="C2158" s="0" t="n">
        <v>2.45</v>
      </c>
      <c r="D2158" s="0" t="n">
        <v>0</v>
      </c>
    </row>
    <row r="2159" customFormat="false" ht="13.8" hidden="true" customHeight="false" outlineLevel="0" collapsed="false">
      <c r="A2159" s="0" t="s">
        <v>708</v>
      </c>
      <c r="B2159" s="0" t="n">
        <v>29</v>
      </c>
      <c r="C2159" s="0" t="n">
        <v>2.5</v>
      </c>
      <c r="D2159" s="0" t="n">
        <v>0</v>
      </c>
    </row>
    <row r="2160" customFormat="false" ht="13.8" hidden="true" customHeight="false" outlineLevel="0" collapsed="false">
      <c r="A2160" s="0" t="s">
        <v>708</v>
      </c>
      <c r="B2160" s="0" t="n">
        <v>29</v>
      </c>
      <c r="C2160" s="0" t="n">
        <v>2.55</v>
      </c>
      <c r="D2160" s="0" t="n">
        <v>0</v>
      </c>
    </row>
    <row r="2161" customFormat="false" ht="13.8" hidden="true" customHeight="false" outlineLevel="0" collapsed="false">
      <c r="A2161" s="0" t="s">
        <v>708</v>
      </c>
      <c r="B2161" s="0" t="n">
        <v>29</v>
      </c>
      <c r="C2161" s="0" t="n">
        <v>2.6</v>
      </c>
      <c r="D2161" s="0" t="n">
        <v>0</v>
      </c>
    </row>
    <row r="2162" customFormat="false" ht="13.8" hidden="true" customHeight="false" outlineLevel="0" collapsed="false">
      <c r="A2162" s="0" t="s">
        <v>226</v>
      </c>
      <c r="B2162" s="0" t="n">
        <v>16</v>
      </c>
      <c r="C2162" s="0" t="n">
        <v>1.3</v>
      </c>
      <c r="D2162" s="0" t="n">
        <v>0</v>
      </c>
    </row>
    <row r="2163" customFormat="false" ht="13.8" hidden="true" customHeight="false" outlineLevel="0" collapsed="false">
      <c r="A2163" s="0" t="s">
        <v>226</v>
      </c>
      <c r="B2163" s="0" t="n">
        <v>16</v>
      </c>
      <c r="C2163" s="0" t="n">
        <v>1.35</v>
      </c>
      <c r="D2163" s="0" t="n">
        <v>0</v>
      </c>
    </row>
    <row r="2164" customFormat="false" ht="13.8" hidden="true" customHeight="false" outlineLevel="0" collapsed="false">
      <c r="A2164" s="0" t="s">
        <v>226</v>
      </c>
      <c r="B2164" s="0" t="n">
        <v>16</v>
      </c>
      <c r="C2164" s="0" t="n">
        <v>1.4</v>
      </c>
      <c r="D2164" s="0" t="n">
        <v>0</v>
      </c>
    </row>
    <row r="2165" customFormat="false" ht="13.8" hidden="true" customHeight="false" outlineLevel="0" collapsed="false">
      <c r="A2165" s="0" t="s">
        <v>226</v>
      </c>
      <c r="B2165" s="0" t="n">
        <v>16</v>
      </c>
      <c r="C2165" s="0" t="n">
        <v>1.45</v>
      </c>
      <c r="D2165" s="0" t="n">
        <v>0</v>
      </c>
    </row>
    <row r="2166" customFormat="false" ht="13.8" hidden="true" customHeight="false" outlineLevel="0" collapsed="false">
      <c r="A2166" s="0" t="s">
        <v>226</v>
      </c>
      <c r="B2166" s="0" t="n">
        <v>16</v>
      </c>
      <c r="C2166" s="0" t="n">
        <v>1.5</v>
      </c>
      <c r="D2166" s="0" t="n">
        <v>0</v>
      </c>
    </row>
    <row r="2167" customFormat="false" ht="13.8" hidden="true" customHeight="false" outlineLevel="0" collapsed="false">
      <c r="A2167" s="0" t="s">
        <v>226</v>
      </c>
      <c r="B2167" s="0" t="n">
        <v>16</v>
      </c>
      <c r="C2167" s="0" t="n">
        <v>1.55</v>
      </c>
      <c r="D2167" s="0" t="n">
        <v>0</v>
      </c>
    </row>
    <row r="2168" customFormat="false" ht="13.8" hidden="true" customHeight="false" outlineLevel="0" collapsed="false">
      <c r="A2168" s="0" t="s">
        <v>226</v>
      </c>
      <c r="B2168" s="0" t="n">
        <v>16</v>
      </c>
      <c r="C2168" s="0" t="n">
        <v>1.6</v>
      </c>
      <c r="D2168" s="0" t="n">
        <v>0</v>
      </c>
    </row>
    <row r="2169" customFormat="false" ht="13.8" hidden="true" customHeight="false" outlineLevel="0" collapsed="false">
      <c r="A2169" s="0" t="s">
        <v>226</v>
      </c>
      <c r="B2169" s="0" t="n">
        <v>16</v>
      </c>
      <c r="C2169" s="0" t="n">
        <v>1.65</v>
      </c>
      <c r="D2169" s="0" t="n">
        <v>0</v>
      </c>
    </row>
    <row r="2170" customFormat="false" ht="13.8" hidden="true" customHeight="false" outlineLevel="0" collapsed="false">
      <c r="A2170" s="0" t="s">
        <v>226</v>
      </c>
      <c r="B2170" s="0" t="n">
        <v>16</v>
      </c>
      <c r="C2170" s="0" t="n">
        <v>1.7</v>
      </c>
      <c r="D2170" s="0" t="n">
        <v>0</v>
      </c>
    </row>
    <row r="2171" customFormat="false" ht="13.8" hidden="true" customHeight="false" outlineLevel="0" collapsed="false">
      <c r="A2171" s="0" t="s">
        <v>226</v>
      </c>
      <c r="B2171" s="0" t="n">
        <v>16</v>
      </c>
      <c r="C2171" s="0" t="n">
        <v>1.75</v>
      </c>
      <c r="D2171" s="0" t="n">
        <v>0</v>
      </c>
    </row>
    <row r="2172" customFormat="false" ht="13.8" hidden="true" customHeight="false" outlineLevel="0" collapsed="false">
      <c r="A2172" s="0" t="s">
        <v>226</v>
      </c>
      <c r="B2172" s="0" t="n">
        <v>16</v>
      </c>
      <c r="C2172" s="0" t="n">
        <v>1.8</v>
      </c>
      <c r="D2172" s="0" t="n">
        <v>0</v>
      </c>
    </row>
    <row r="2173" customFormat="false" ht="13.8" hidden="true" customHeight="false" outlineLevel="0" collapsed="false">
      <c r="A2173" s="0" t="s">
        <v>226</v>
      </c>
      <c r="B2173" s="0" t="n">
        <v>16</v>
      </c>
      <c r="C2173" s="0" t="n">
        <v>1.85</v>
      </c>
      <c r="D2173" s="0" t="n">
        <v>0.069</v>
      </c>
    </row>
    <row r="2174" customFormat="false" ht="13.8" hidden="true" customHeight="false" outlineLevel="0" collapsed="false">
      <c r="A2174" s="0" t="s">
        <v>226</v>
      </c>
      <c r="B2174" s="0" t="n">
        <v>16</v>
      </c>
      <c r="C2174" s="0" t="n">
        <v>1.9</v>
      </c>
      <c r="D2174" s="0" t="n">
        <v>0.071</v>
      </c>
    </row>
    <row r="2175" customFormat="false" ht="13.8" hidden="true" customHeight="false" outlineLevel="0" collapsed="false">
      <c r="A2175" s="0" t="s">
        <v>226</v>
      </c>
      <c r="B2175" s="0" t="n">
        <v>16</v>
      </c>
      <c r="C2175" s="0" t="n">
        <v>1.95</v>
      </c>
      <c r="D2175" s="0" t="n">
        <v>0.073</v>
      </c>
    </row>
    <row r="2176" customFormat="false" ht="13.8" hidden="true" customHeight="false" outlineLevel="0" collapsed="false">
      <c r="A2176" s="0" t="s">
        <v>226</v>
      </c>
      <c r="B2176" s="0" t="n">
        <v>16</v>
      </c>
      <c r="C2176" s="0" t="n">
        <v>2</v>
      </c>
      <c r="D2176" s="0" t="n">
        <v>0.077483167</v>
      </c>
    </row>
    <row r="2177" customFormat="false" ht="13.8" hidden="true" customHeight="false" outlineLevel="0" collapsed="false">
      <c r="A2177" s="0" t="s">
        <v>226</v>
      </c>
      <c r="B2177" s="0" t="n">
        <v>16</v>
      </c>
      <c r="C2177" s="0" t="n">
        <v>2.05</v>
      </c>
      <c r="D2177" s="0" t="n">
        <v>0.079420247</v>
      </c>
    </row>
    <row r="2178" customFormat="false" ht="13.8" hidden="true" customHeight="false" outlineLevel="0" collapsed="false">
      <c r="A2178" s="0" t="s">
        <v>226</v>
      </c>
      <c r="B2178" s="0" t="n">
        <v>16</v>
      </c>
      <c r="C2178" s="0" t="n">
        <v>2.1</v>
      </c>
      <c r="D2178" s="0" t="n">
        <v>0.081357326</v>
      </c>
    </row>
    <row r="2179" customFormat="false" ht="13.8" hidden="true" customHeight="false" outlineLevel="0" collapsed="false">
      <c r="A2179" s="0" t="s">
        <v>226</v>
      </c>
      <c r="B2179" s="0" t="n">
        <v>16</v>
      </c>
      <c r="C2179" s="0" t="n">
        <v>2.15</v>
      </c>
      <c r="D2179" s="0" t="n">
        <v>0.083294405</v>
      </c>
    </row>
    <row r="2180" customFormat="false" ht="13.8" hidden="true" customHeight="false" outlineLevel="0" collapsed="false">
      <c r="A2180" s="0" t="s">
        <v>226</v>
      </c>
      <c r="B2180" s="0" t="n">
        <v>16</v>
      </c>
      <c r="C2180" s="0" t="n">
        <v>2.2</v>
      </c>
      <c r="D2180" s="0" t="n">
        <v>0.079747002</v>
      </c>
    </row>
    <row r="2181" customFormat="false" ht="13.8" hidden="true" customHeight="false" outlineLevel="0" collapsed="false">
      <c r="A2181" s="0" t="s">
        <v>226</v>
      </c>
      <c r="B2181" s="0" t="n">
        <v>16</v>
      </c>
      <c r="C2181" s="0" t="n">
        <v>2.25</v>
      </c>
      <c r="D2181" s="0" t="n">
        <v>0.081559434</v>
      </c>
    </row>
    <row r="2182" customFormat="false" ht="13.8" hidden="true" customHeight="false" outlineLevel="0" collapsed="false">
      <c r="A2182" s="0" t="s">
        <v>226</v>
      </c>
      <c r="B2182" s="0" t="n">
        <v>16</v>
      </c>
      <c r="C2182" s="0" t="n">
        <v>2.3</v>
      </c>
      <c r="D2182" s="0" t="n">
        <v>0.083371865</v>
      </c>
    </row>
    <row r="2183" customFormat="false" ht="13.8" hidden="true" customHeight="false" outlineLevel="0" collapsed="false">
      <c r="A2183" s="0" t="s">
        <v>226</v>
      </c>
      <c r="B2183" s="0" t="n">
        <v>16</v>
      </c>
      <c r="C2183" s="0" t="n">
        <v>2.35</v>
      </c>
      <c r="D2183" s="0" t="n">
        <v>0</v>
      </c>
    </row>
    <row r="2184" customFormat="false" ht="13.8" hidden="true" customHeight="false" outlineLevel="0" collapsed="false">
      <c r="A2184" s="0" t="s">
        <v>226</v>
      </c>
      <c r="B2184" s="0" t="n">
        <v>16</v>
      </c>
      <c r="C2184" s="0" t="n">
        <v>2.4</v>
      </c>
      <c r="D2184" s="0" t="n">
        <v>0</v>
      </c>
    </row>
    <row r="2185" customFormat="false" ht="13.8" hidden="true" customHeight="false" outlineLevel="0" collapsed="false">
      <c r="A2185" s="0" t="s">
        <v>226</v>
      </c>
      <c r="B2185" s="0" t="n">
        <v>16</v>
      </c>
      <c r="C2185" s="0" t="n">
        <v>2.45</v>
      </c>
      <c r="D2185" s="0" t="n">
        <v>0</v>
      </c>
    </row>
    <row r="2186" customFormat="false" ht="13.8" hidden="true" customHeight="false" outlineLevel="0" collapsed="false">
      <c r="A2186" s="0" t="s">
        <v>226</v>
      </c>
      <c r="B2186" s="0" t="n">
        <v>16</v>
      </c>
      <c r="C2186" s="0" t="n">
        <v>2.5</v>
      </c>
      <c r="D2186" s="0" t="n">
        <v>0</v>
      </c>
    </row>
    <row r="2187" customFormat="false" ht="13.8" hidden="true" customHeight="false" outlineLevel="0" collapsed="false">
      <c r="A2187" s="0" t="s">
        <v>226</v>
      </c>
      <c r="B2187" s="0" t="n">
        <v>16</v>
      </c>
      <c r="C2187" s="0" t="n">
        <v>2.55</v>
      </c>
      <c r="D2187" s="0" t="n">
        <v>0</v>
      </c>
    </row>
    <row r="2188" customFormat="false" ht="13.8" hidden="true" customHeight="false" outlineLevel="0" collapsed="false">
      <c r="A2188" s="0" t="s">
        <v>226</v>
      </c>
      <c r="B2188" s="0" t="n">
        <v>16</v>
      </c>
      <c r="C2188" s="0" t="n">
        <v>2.6</v>
      </c>
      <c r="D2188" s="0" t="n">
        <v>0</v>
      </c>
    </row>
    <row r="2189" customFormat="false" ht="13.8" hidden="true" customHeight="false" outlineLevel="0" collapsed="false">
      <c r="A2189" s="0" t="s">
        <v>226</v>
      </c>
      <c r="B2189" s="0" t="n">
        <v>17</v>
      </c>
      <c r="C2189" s="0" t="n">
        <v>1.3</v>
      </c>
      <c r="D2189" s="0" t="n">
        <v>0</v>
      </c>
    </row>
    <row r="2190" customFormat="false" ht="13.8" hidden="true" customHeight="false" outlineLevel="0" collapsed="false">
      <c r="A2190" s="0" t="s">
        <v>226</v>
      </c>
      <c r="B2190" s="0" t="n">
        <v>17</v>
      </c>
      <c r="C2190" s="0" t="n">
        <v>1.35</v>
      </c>
      <c r="D2190" s="0" t="n">
        <v>0</v>
      </c>
    </row>
    <row r="2191" customFormat="false" ht="13.8" hidden="true" customHeight="false" outlineLevel="0" collapsed="false">
      <c r="A2191" s="0" t="s">
        <v>226</v>
      </c>
      <c r="B2191" s="0" t="n">
        <v>17</v>
      </c>
      <c r="C2191" s="0" t="n">
        <v>1.4</v>
      </c>
      <c r="D2191" s="0" t="n">
        <v>0</v>
      </c>
    </row>
    <row r="2192" customFormat="false" ht="13.8" hidden="true" customHeight="false" outlineLevel="0" collapsed="false">
      <c r="A2192" s="0" t="s">
        <v>226</v>
      </c>
      <c r="B2192" s="0" t="n">
        <v>17</v>
      </c>
      <c r="C2192" s="0" t="n">
        <v>1.45</v>
      </c>
      <c r="D2192" s="0" t="n">
        <v>0</v>
      </c>
    </row>
    <row r="2193" customFormat="false" ht="13.8" hidden="true" customHeight="false" outlineLevel="0" collapsed="false">
      <c r="A2193" s="0" t="s">
        <v>226</v>
      </c>
      <c r="B2193" s="0" t="n">
        <v>17</v>
      </c>
      <c r="C2193" s="0" t="n">
        <v>1.5</v>
      </c>
      <c r="D2193" s="0" t="n">
        <v>0</v>
      </c>
    </row>
    <row r="2194" customFormat="false" ht="13.8" hidden="true" customHeight="false" outlineLevel="0" collapsed="false">
      <c r="A2194" s="0" t="s">
        <v>226</v>
      </c>
      <c r="B2194" s="0" t="n">
        <v>17</v>
      </c>
      <c r="C2194" s="0" t="n">
        <v>1.55</v>
      </c>
      <c r="D2194" s="0" t="n">
        <v>0</v>
      </c>
    </row>
    <row r="2195" customFormat="false" ht="13.8" hidden="true" customHeight="false" outlineLevel="0" collapsed="false">
      <c r="A2195" s="0" t="s">
        <v>226</v>
      </c>
      <c r="B2195" s="0" t="n">
        <v>17</v>
      </c>
      <c r="C2195" s="0" t="n">
        <v>1.6</v>
      </c>
      <c r="D2195" s="0" t="n">
        <v>0</v>
      </c>
    </row>
    <row r="2196" customFormat="false" ht="13.8" hidden="true" customHeight="false" outlineLevel="0" collapsed="false">
      <c r="A2196" s="0" t="s">
        <v>226</v>
      </c>
      <c r="B2196" s="0" t="n">
        <v>17</v>
      </c>
      <c r="C2196" s="0" t="n">
        <v>1.65</v>
      </c>
      <c r="D2196" s="0" t="n">
        <v>0</v>
      </c>
    </row>
    <row r="2197" customFormat="false" ht="13.8" hidden="true" customHeight="false" outlineLevel="0" collapsed="false">
      <c r="A2197" s="0" t="s">
        <v>226</v>
      </c>
      <c r="B2197" s="0" t="n">
        <v>17</v>
      </c>
      <c r="C2197" s="0" t="n">
        <v>1.7</v>
      </c>
      <c r="D2197" s="0" t="n">
        <v>0</v>
      </c>
    </row>
    <row r="2198" customFormat="false" ht="13.8" hidden="true" customHeight="false" outlineLevel="0" collapsed="false">
      <c r="A2198" s="0" t="s">
        <v>226</v>
      </c>
      <c r="B2198" s="0" t="n">
        <v>17</v>
      </c>
      <c r="C2198" s="0" t="n">
        <v>1.75</v>
      </c>
      <c r="D2198" s="0" t="n">
        <v>0</v>
      </c>
    </row>
    <row r="2199" customFormat="false" ht="13.8" hidden="true" customHeight="false" outlineLevel="0" collapsed="false">
      <c r="A2199" s="0" t="s">
        <v>226</v>
      </c>
      <c r="B2199" s="0" t="n">
        <v>17</v>
      </c>
      <c r="C2199" s="0" t="n">
        <v>1.8</v>
      </c>
      <c r="D2199" s="0" t="n">
        <v>0</v>
      </c>
    </row>
    <row r="2200" customFormat="false" ht="13.8" hidden="true" customHeight="false" outlineLevel="0" collapsed="false">
      <c r="A2200" s="0" t="s">
        <v>226</v>
      </c>
      <c r="B2200" s="0" t="n">
        <v>17</v>
      </c>
      <c r="C2200" s="0" t="n">
        <v>1.85</v>
      </c>
      <c r="D2200" s="0" t="n">
        <v>0.069</v>
      </c>
    </row>
    <row r="2201" customFormat="false" ht="13.8" hidden="true" customHeight="false" outlineLevel="0" collapsed="false">
      <c r="A2201" s="0" t="s">
        <v>226</v>
      </c>
      <c r="B2201" s="0" t="n">
        <v>17</v>
      </c>
      <c r="C2201" s="0" t="n">
        <v>1.9</v>
      </c>
      <c r="D2201" s="0" t="n">
        <v>0.071</v>
      </c>
    </row>
    <row r="2202" customFormat="false" ht="13.8" hidden="true" customHeight="false" outlineLevel="0" collapsed="false">
      <c r="A2202" s="0" t="s">
        <v>226</v>
      </c>
      <c r="B2202" s="0" t="n">
        <v>17</v>
      </c>
      <c r="C2202" s="0" t="n">
        <v>1.95</v>
      </c>
      <c r="D2202" s="0" t="n">
        <v>0.073</v>
      </c>
    </row>
    <row r="2203" customFormat="false" ht="13.8" hidden="true" customHeight="false" outlineLevel="0" collapsed="false">
      <c r="A2203" s="0" t="s">
        <v>226</v>
      </c>
      <c r="B2203" s="0" t="n">
        <v>17</v>
      </c>
      <c r="C2203" s="0" t="n">
        <v>2</v>
      </c>
      <c r="D2203" s="0" t="n">
        <v>0.077483167</v>
      </c>
    </row>
    <row r="2204" customFormat="false" ht="13.8" hidden="true" customHeight="false" outlineLevel="0" collapsed="false">
      <c r="A2204" s="0" t="s">
        <v>226</v>
      </c>
      <c r="B2204" s="0" t="n">
        <v>17</v>
      </c>
      <c r="C2204" s="0" t="n">
        <v>2.05</v>
      </c>
      <c r="D2204" s="0" t="n">
        <v>0.079420247</v>
      </c>
    </row>
    <row r="2205" customFormat="false" ht="13.8" hidden="true" customHeight="false" outlineLevel="0" collapsed="false">
      <c r="A2205" s="0" t="s">
        <v>226</v>
      </c>
      <c r="B2205" s="0" t="n">
        <v>17</v>
      </c>
      <c r="C2205" s="0" t="n">
        <v>2.1</v>
      </c>
      <c r="D2205" s="0" t="n">
        <v>0.081357326</v>
      </c>
    </row>
    <row r="2206" customFormat="false" ht="13.8" hidden="true" customHeight="false" outlineLevel="0" collapsed="false">
      <c r="A2206" s="0" t="s">
        <v>226</v>
      </c>
      <c r="B2206" s="0" t="n">
        <v>17</v>
      </c>
      <c r="C2206" s="0" t="n">
        <v>2.15</v>
      </c>
      <c r="D2206" s="0" t="n">
        <v>0.083294405</v>
      </c>
    </row>
    <row r="2207" customFormat="false" ht="13.8" hidden="true" customHeight="false" outlineLevel="0" collapsed="false">
      <c r="A2207" s="0" t="s">
        <v>226</v>
      </c>
      <c r="B2207" s="0" t="n">
        <v>17</v>
      </c>
      <c r="C2207" s="0" t="n">
        <v>2.2</v>
      </c>
      <c r="D2207" s="0" t="n">
        <v>0.079747002</v>
      </c>
    </row>
    <row r="2208" customFormat="false" ht="13.8" hidden="true" customHeight="false" outlineLevel="0" collapsed="false">
      <c r="A2208" s="0" t="s">
        <v>226</v>
      </c>
      <c r="B2208" s="0" t="n">
        <v>17</v>
      </c>
      <c r="C2208" s="0" t="n">
        <v>2.25</v>
      </c>
      <c r="D2208" s="0" t="n">
        <v>0.081559434</v>
      </c>
    </row>
    <row r="2209" customFormat="false" ht="13.8" hidden="true" customHeight="false" outlineLevel="0" collapsed="false">
      <c r="A2209" s="0" t="s">
        <v>226</v>
      </c>
      <c r="B2209" s="0" t="n">
        <v>17</v>
      </c>
      <c r="C2209" s="0" t="n">
        <v>2.3</v>
      </c>
      <c r="D2209" s="0" t="n">
        <v>0.083371865</v>
      </c>
    </row>
    <row r="2210" customFormat="false" ht="13.8" hidden="true" customHeight="false" outlineLevel="0" collapsed="false">
      <c r="A2210" s="0" t="s">
        <v>226</v>
      </c>
      <c r="B2210" s="0" t="n">
        <v>17</v>
      </c>
      <c r="C2210" s="0" t="n">
        <v>2.35</v>
      </c>
      <c r="D2210" s="0" t="n">
        <v>0</v>
      </c>
    </row>
    <row r="2211" customFormat="false" ht="13.8" hidden="true" customHeight="false" outlineLevel="0" collapsed="false">
      <c r="A2211" s="0" t="s">
        <v>226</v>
      </c>
      <c r="B2211" s="0" t="n">
        <v>17</v>
      </c>
      <c r="C2211" s="0" t="n">
        <v>2.4</v>
      </c>
      <c r="D2211" s="0" t="n">
        <v>0</v>
      </c>
    </row>
    <row r="2212" customFormat="false" ht="13.8" hidden="true" customHeight="false" outlineLevel="0" collapsed="false">
      <c r="A2212" s="0" t="s">
        <v>226</v>
      </c>
      <c r="B2212" s="0" t="n">
        <v>17</v>
      </c>
      <c r="C2212" s="0" t="n">
        <v>2.45</v>
      </c>
      <c r="D2212" s="0" t="n">
        <v>0</v>
      </c>
    </row>
    <row r="2213" customFormat="false" ht="13.8" hidden="true" customHeight="false" outlineLevel="0" collapsed="false">
      <c r="A2213" s="0" t="s">
        <v>226</v>
      </c>
      <c r="B2213" s="0" t="n">
        <v>17</v>
      </c>
      <c r="C2213" s="0" t="n">
        <v>2.5</v>
      </c>
      <c r="D2213" s="0" t="n">
        <v>0</v>
      </c>
    </row>
    <row r="2214" customFormat="false" ht="13.8" hidden="true" customHeight="false" outlineLevel="0" collapsed="false">
      <c r="A2214" s="0" t="s">
        <v>226</v>
      </c>
      <c r="B2214" s="0" t="n">
        <v>17</v>
      </c>
      <c r="C2214" s="0" t="n">
        <v>2.55</v>
      </c>
      <c r="D2214" s="0" t="n">
        <v>0</v>
      </c>
    </row>
    <row r="2215" customFormat="false" ht="13.8" hidden="true" customHeight="false" outlineLevel="0" collapsed="false">
      <c r="A2215" s="0" t="s">
        <v>226</v>
      </c>
      <c r="B2215" s="0" t="n">
        <v>17</v>
      </c>
      <c r="C2215" s="0" t="n">
        <v>2.6</v>
      </c>
      <c r="D2215" s="0" t="n">
        <v>0</v>
      </c>
    </row>
    <row r="2216" customFormat="false" ht="13.8" hidden="true" customHeight="false" outlineLevel="0" collapsed="false">
      <c r="A2216" s="0" t="s">
        <v>226</v>
      </c>
      <c r="B2216" s="0" t="n">
        <v>18</v>
      </c>
      <c r="C2216" s="0" t="n">
        <v>1.3</v>
      </c>
      <c r="D2216" s="0" t="n">
        <v>0</v>
      </c>
    </row>
    <row r="2217" customFormat="false" ht="13.8" hidden="true" customHeight="false" outlineLevel="0" collapsed="false">
      <c r="A2217" s="0" t="s">
        <v>226</v>
      </c>
      <c r="B2217" s="0" t="n">
        <v>18</v>
      </c>
      <c r="C2217" s="0" t="n">
        <v>1.35</v>
      </c>
      <c r="D2217" s="0" t="n">
        <v>0</v>
      </c>
    </row>
    <row r="2218" customFormat="false" ht="13.8" hidden="true" customHeight="false" outlineLevel="0" collapsed="false">
      <c r="A2218" s="0" t="s">
        <v>226</v>
      </c>
      <c r="B2218" s="0" t="n">
        <v>18</v>
      </c>
      <c r="C2218" s="0" t="n">
        <v>1.4</v>
      </c>
      <c r="D2218" s="0" t="n">
        <v>0</v>
      </c>
    </row>
    <row r="2219" customFormat="false" ht="13.8" hidden="true" customHeight="false" outlineLevel="0" collapsed="false">
      <c r="A2219" s="0" t="s">
        <v>226</v>
      </c>
      <c r="B2219" s="0" t="n">
        <v>18</v>
      </c>
      <c r="C2219" s="0" t="n">
        <v>1.45</v>
      </c>
      <c r="D2219" s="0" t="n">
        <v>0</v>
      </c>
    </row>
    <row r="2220" customFormat="false" ht="13.8" hidden="true" customHeight="false" outlineLevel="0" collapsed="false">
      <c r="A2220" s="0" t="s">
        <v>226</v>
      </c>
      <c r="B2220" s="0" t="n">
        <v>18</v>
      </c>
      <c r="C2220" s="0" t="n">
        <v>1.5</v>
      </c>
      <c r="D2220" s="0" t="n">
        <v>0</v>
      </c>
    </row>
    <row r="2221" customFormat="false" ht="13.8" hidden="true" customHeight="false" outlineLevel="0" collapsed="false">
      <c r="A2221" s="0" t="s">
        <v>226</v>
      </c>
      <c r="B2221" s="0" t="n">
        <v>18</v>
      </c>
      <c r="C2221" s="0" t="n">
        <v>1.55</v>
      </c>
      <c r="D2221" s="0" t="n">
        <v>0</v>
      </c>
    </row>
    <row r="2222" customFormat="false" ht="13.8" hidden="true" customHeight="false" outlineLevel="0" collapsed="false">
      <c r="A2222" s="0" t="s">
        <v>226</v>
      </c>
      <c r="B2222" s="0" t="n">
        <v>18</v>
      </c>
      <c r="C2222" s="0" t="n">
        <v>1.6</v>
      </c>
      <c r="D2222" s="0" t="n">
        <v>0</v>
      </c>
    </row>
    <row r="2223" customFormat="false" ht="13.8" hidden="true" customHeight="false" outlineLevel="0" collapsed="false">
      <c r="A2223" s="0" t="s">
        <v>226</v>
      </c>
      <c r="B2223" s="0" t="n">
        <v>18</v>
      </c>
      <c r="C2223" s="0" t="n">
        <v>1.65</v>
      </c>
      <c r="D2223" s="0" t="n">
        <v>0</v>
      </c>
    </row>
    <row r="2224" customFormat="false" ht="13.8" hidden="true" customHeight="false" outlineLevel="0" collapsed="false">
      <c r="A2224" s="0" t="s">
        <v>226</v>
      </c>
      <c r="B2224" s="0" t="n">
        <v>18</v>
      </c>
      <c r="C2224" s="0" t="n">
        <v>1.7</v>
      </c>
      <c r="D2224" s="0" t="n">
        <v>0</v>
      </c>
    </row>
    <row r="2225" customFormat="false" ht="13.8" hidden="true" customHeight="false" outlineLevel="0" collapsed="false">
      <c r="A2225" s="0" t="s">
        <v>226</v>
      </c>
      <c r="B2225" s="0" t="n">
        <v>18</v>
      </c>
      <c r="C2225" s="0" t="n">
        <v>1.75</v>
      </c>
      <c r="D2225" s="0" t="n">
        <v>0</v>
      </c>
    </row>
    <row r="2226" customFormat="false" ht="13.8" hidden="true" customHeight="false" outlineLevel="0" collapsed="false">
      <c r="A2226" s="0" t="s">
        <v>226</v>
      </c>
      <c r="B2226" s="0" t="n">
        <v>18</v>
      </c>
      <c r="C2226" s="0" t="n">
        <v>1.8</v>
      </c>
      <c r="D2226" s="0" t="n">
        <v>0</v>
      </c>
    </row>
    <row r="2227" customFormat="false" ht="13.8" hidden="true" customHeight="false" outlineLevel="0" collapsed="false">
      <c r="A2227" s="0" t="s">
        <v>226</v>
      </c>
      <c r="B2227" s="0" t="n">
        <v>18</v>
      </c>
      <c r="C2227" s="0" t="n">
        <v>1.85</v>
      </c>
      <c r="D2227" s="0" t="n">
        <v>0.069</v>
      </c>
    </row>
    <row r="2228" customFormat="false" ht="13.8" hidden="true" customHeight="false" outlineLevel="0" collapsed="false">
      <c r="A2228" s="0" t="s">
        <v>226</v>
      </c>
      <c r="B2228" s="0" t="n">
        <v>18</v>
      </c>
      <c r="C2228" s="0" t="n">
        <v>1.9</v>
      </c>
      <c r="D2228" s="0" t="n">
        <v>0.071</v>
      </c>
    </row>
    <row r="2229" customFormat="false" ht="13.8" hidden="true" customHeight="false" outlineLevel="0" collapsed="false">
      <c r="A2229" s="0" t="s">
        <v>226</v>
      </c>
      <c r="B2229" s="0" t="n">
        <v>18</v>
      </c>
      <c r="C2229" s="0" t="n">
        <v>1.95</v>
      </c>
      <c r="D2229" s="0" t="n">
        <v>0.073</v>
      </c>
    </row>
    <row r="2230" customFormat="false" ht="13.8" hidden="true" customHeight="false" outlineLevel="0" collapsed="false">
      <c r="A2230" s="0" t="s">
        <v>226</v>
      </c>
      <c r="B2230" s="0" t="n">
        <v>18</v>
      </c>
      <c r="C2230" s="0" t="n">
        <v>2</v>
      </c>
      <c r="D2230" s="0" t="n">
        <v>0.077483167</v>
      </c>
    </row>
    <row r="2231" customFormat="false" ht="13.8" hidden="true" customHeight="false" outlineLevel="0" collapsed="false">
      <c r="A2231" s="0" t="s">
        <v>226</v>
      </c>
      <c r="B2231" s="0" t="n">
        <v>18</v>
      </c>
      <c r="C2231" s="0" t="n">
        <v>2.05</v>
      </c>
      <c r="D2231" s="0" t="n">
        <v>0.079420247</v>
      </c>
    </row>
    <row r="2232" customFormat="false" ht="13.8" hidden="true" customHeight="false" outlineLevel="0" collapsed="false">
      <c r="A2232" s="0" t="s">
        <v>226</v>
      </c>
      <c r="B2232" s="0" t="n">
        <v>18</v>
      </c>
      <c r="C2232" s="0" t="n">
        <v>2.1</v>
      </c>
      <c r="D2232" s="0" t="n">
        <v>0.081357326</v>
      </c>
    </row>
    <row r="2233" customFormat="false" ht="13.8" hidden="true" customHeight="false" outlineLevel="0" collapsed="false">
      <c r="A2233" s="0" t="s">
        <v>226</v>
      </c>
      <c r="B2233" s="0" t="n">
        <v>18</v>
      </c>
      <c r="C2233" s="0" t="n">
        <v>2.15</v>
      </c>
      <c r="D2233" s="0" t="n">
        <v>0.083294405</v>
      </c>
    </row>
    <row r="2234" customFormat="false" ht="13.8" hidden="true" customHeight="false" outlineLevel="0" collapsed="false">
      <c r="A2234" s="0" t="s">
        <v>226</v>
      </c>
      <c r="B2234" s="0" t="n">
        <v>18</v>
      </c>
      <c r="C2234" s="0" t="n">
        <v>2.2</v>
      </c>
      <c r="D2234" s="0" t="n">
        <v>0.079747002</v>
      </c>
    </row>
    <row r="2235" customFormat="false" ht="13.8" hidden="true" customHeight="false" outlineLevel="0" collapsed="false">
      <c r="A2235" s="0" t="s">
        <v>226</v>
      </c>
      <c r="B2235" s="0" t="n">
        <v>18</v>
      </c>
      <c r="C2235" s="0" t="n">
        <v>2.25</v>
      </c>
      <c r="D2235" s="0" t="n">
        <v>0.081559434</v>
      </c>
    </row>
    <row r="2236" customFormat="false" ht="13.8" hidden="true" customHeight="false" outlineLevel="0" collapsed="false">
      <c r="A2236" s="0" t="s">
        <v>226</v>
      </c>
      <c r="B2236" s="0" t="n">
        <v>18</v>
      </c>
      <c r="C2236" s="0" t="n">
        <v>2.3</v>
      </c>
      <c r="D2236" s="0" t="n">
        <v>0.083371865</v>
      </c>
    </row>
    <row r="2237" customFormat="false" ht="13.8" hidden="true" customHeight="false" outlineLevel="0" collapsed="false">
      <c r="A2237" s="0" t="s">
        <v>226</v>
      </c>
      <c r="B2237" s="0" t="n">
        <v>18</v>
      </c>
      <c r="C2237" s="0" t="n">
        <v>2.35</v>
      </c>
      <c r="D2237" s="0" t="n">
        <v>0</v>
      </c>
    </row>
    <row r="2238" customFormat="false" ht="13.8" hidden="true" customHeight="false" outlineLevel="0" collapsed="false">
      <c r="A2238" s="0" t="s">
        <v>226</v>
      </c>
      <c r="B2238" s="0" t="n">
        <v>18</v>
      </c>
      <c r="C2238" s="0" t="n">
        <v>2.4</v>
      </c>
      <c r="D2238" s="0" t="n">
        <v>0</v>
      </c>
    </row>
    <row r="2239" customFormat="false" ht="13.8" hidden="true" customHeight="false" outlineLevel="0" collapsed="false">
      <c r="A2239" s="0" t="s">
        <v>226</v>
      </c>
      <c r="B2239" s="0" t="n">
        <v>18</v>
      </c>
      <c r="C2239" s="0" t="n">
        <v>2.45</v>
      </c>
      <c r="D2239" s="0" t="n">
        <v>0</v>
      </c>
    </row>
    <row r="2240" customFormat="false" ht="13.8" hidden="true" customHeight="false" outlineLevel="0" collapsed="false">
      <c r="A2240" s="0" t="s">
        <v>226</v>
      </c>
      <c r="B2240" s="0" t="n">
        <v>18</v>
      </c>
      <c r="C2240" s="0" t="n">
        <v>2.5</v>
      </c>
      <c r="D2240" s="0" t="n">
        <v>0</v>
      </c>
    </row>
    <row r="2241" customFormat="false" ht="13.8" hidden="true" customHeight="false" outlineLevel="0" collapsed="false">
      <c r="A2241" s="0" t="s">
        <v>226</v>
      </c>
      <c r="B2241" s="0" t="n">
        <v>18</v>
      </c>
      <c r="C2241" s="0" t="n">
        <v>2.55</v>
      </c>
      <c r="D2241" s="0" t="n">
        <v>0</v>
      </c>
    </row>
    <row r="2242" customFormat="false" ht="13.8" hidden="true" customHeight="false" outlineLevel="0" collapsed="false">
      <c r="A2242" s="0" t="s">
        <v>226</v>
      </c>
      <c r="B2242" s="0" t="n">
        <v>18</v>
      </c>
      <c r="C2242" s="0" t="n">
        <v>2.6</v>
      </c>
      <c r="D2242" s="0" t="n">
        <v>0</v>
      </c>
    </row>
    <row r="2243" customFormat="false" ht="13.8" hidden="true" customHeight="false" outlineLevel="0" collapsed="false">
      <c r="A2243" s="0" t="s">
        <v>226</v>
      </c>
      <c r="B2243" s="0" t="n">
        <v>19</v>
      </c>
      <c r="C2243" s="0" t="n">
        <v>1.3</v>
      </c>
      <c r="D2243" s="0" t="n">
        <v>0</v>
      </c>
    </row>
    <row r="2244" customFormat="false" ht="13.8" hidden="true" customHeight="false" outlineLevel="0" collapsed="false">
      <c r="A2244" s="0" t="s">
        <v>226</v>
      </c>
      <c r="B2244" s="0" t="n">
        <v>19</v>
      </c>
      <c r="C2244" s="0" t="n">
        <v>1.35</v>
      </c>
      <c r="D2244" s="0" t="n">
        <v>0</v>
      </c>
    </row>
    <row r="2245" customFormat="false" ht="13.8" hidden="true" customHeight="false" outlineLevel="0" collapsed="false">
      <c r="A2245" s="0" t="s">
        <v>226</v>
      </c>
      <c r="B2245" s="0" t="n">
        <v>19</v>
      </c>
      <c r="C2245" s="0" t="n">
        <v>1.4</v>
      </c>
      <c r="D2245" s="0" t="n">
        <v>0</v>
      </c>
    </row>
    <row r="2246" customFormat="false" ht="13.8" hidden="true" customHeight="false" outlineLevel="0" collapsed="false">
      <c r="A2246" s="0" t="s">
        <v>226</v>
      </c>
      <c r="B2246" s="0" t="n">
        <v>19</v>
      </c>
      <c r="C2246" s="0" t="n">
        <v>1.45</v>
      </c>
      <c r="D2246" s="0" t="n">
        <v>0</v>
      </c>
    </row>
    <row r="2247" customFormat="false" ht="13.8" hidden="true" customHeight="false" outlineLevel="0" collapsed="false">
      <c r="A2247" s="0" t="s">
        <v>226</v>
      </c>
      <c r="B2247" s="0" t="n">
        <v>19</v>
      </c>
      <c r="C2247" s="0" t="n">
        <v>1.5</v>
      </c>
      <c r="D2247" s="0" t="n">
        <v>0</v>
      </c>
    </row>
    <row r="2248" customFormat="false" ht="13.8" hidden="true" customHeight="false" outlineLevel="0" collapsed="false">
      <c r="A2248" s="0" t="s">
        <v>226</v>
      </c>
      <c r="B2248" s="0" t="n">
        <v>19</v>
      </c>
      <c r="C2248" s="0" t="n">
        <v>1.55</v>
      </c>
      <c r="D2248" s="0" t="n">
        <v>0</v>
      </c>
    </row>
    <row r="2249" customFormat="false" ht="13.8" hidden="true" customHeight="false" outlineLevel="0" collapsed="false">
      <c r="A2249" s="0" t="s">
        <v>226</v>
      </c>
      <c r="B2249" s="0" t="n">
        <v>19</v>
      </c>
      <c r="C2249" s="0" t="n">
        <v>1.6</v>
      </c>
      <c r="D2249" s="0" t="n">
        <v>0</v>
      </c>
    </row>
    <row r="2250" customFormat="false" ht="13.8" hidden="true" customHeight="false" outlineLevel="0" collapsed="false">
      <c r="A2250" s="0" t="s">
        <v>226</v>
      </c>
      <c r="B2250" s="0" t="n">
        <v>19</v>
      </c>
      <c r="C2250" s="0" t="n">
        <v>1.65</v>
      </c>
      <c r="D2250" s="0" t="n">
        <v>0</v>
      </c>
    </row>
    <row r="2251" customFormat="false" ht="13.8" hidden="true" customHeight="false" outlineLevel="0" collapsed="false">
      <c r="A2251" s="0" t="s">
        <v>226</v>
      </c>
      <c r="B2251" s="0" t="n">
        <v>19</v>
      </c>
      <c r="C2251" s="0" t="n">
        <v>1.7</v>
      </c>
      <c r="D2251" s="0" t="n">
        <v>0</v>
      </c>
    </row>
    <row r="2252" customFormat="false" ht="13.8" hidden="true" customHeight="false" outlineLevel="0" collapsed="false">
      <c r="A2252" s="0" t="s">
        <v>226</v>
      </c>
      <c r="B2252" s="0" t="n">
        <v>19</v>
      </c>
      <c r="C2252" s="0" t="n">
        <v>1.75</v>
      </c>
      <c r="D2252" s="0" t="n">
        <v>0</v>
      </c>
    </row>
    <row r="2253" customFormat="false" ht="13.8" hidden="true" customHeight="false" outlineLevel="0" collapsed="false">
      <c r="A2253" s="0" t="s">
        <v>226</v>
      </c>
      <c r="B2253" s="0" t="n">
        <v>19</v>
      </c>
      <c r="C2253" s="0" t="n">
        <v>1.8</v>
      </c>
      <c r="D2253" s="0" t="n">
        <v>0</v>
      </c>
    </row>
    <row r="2254" customFormat="false" ht="13.8" hidden="true" customHeight="false" outlineLevel="0" collapsed="false">
      <c r="A2254" s="0" t="s">
        <v>226</v>
      </c>
      <c r="B2254" s="0" t="n">
        <v>19</v>
      </c>
      <c r="C2254" s="0" t="n">
        <v>1.85</v>
      </c>
      <c r="D2254" s="0" t="n">
        <v>0.069</v>
      </c>
    </row>
    <row r="2255" customFormat="false" ht="13.8" hidden="true" customHeight="false" outlineLevel="0" collapsed="false">
      <c r="A2255" s="0" t="s">
        <v>226</v>
      </c>
      <c r="B2255" s="0" t="n">
        <v>19</v>
      </c>
      <c r="C2255" s="0" t="n">
        <v>1.9</v>
      </c>
      <c r="D2255" s="0" t="n">
        <v>0.071</v>
      </c>
    </row>
    <row r="2256" customFormat="false" ht="13.8" hidden="true" customHeight="false" outlineLevel="0" collapsed="false">
      <c r="A2256" s="0" t="s">
        <v>226</v>
      </c>
      <c r="B2256" s="0" t="n">
        <v>19</v>
      </c>
      <c r="C2256" s="0" t="n">
        <v>1.95</v>
      </c>
      <c r="D2256" s="0" t="n">
        <v>0.073</v>
      </c>
    </row>
    <row r="2257" customFormat="false" ht="13.8" hidden="true" customHeight="false" outlineLevel="0" collapsed="false">
      <c r="A2257" s="0" t="s">
        <v>226</v>
      </c>
      <c r="B2257" s="0" t="n">
        <v>19</v>
      </c>
      <c r="C2257" s="0" t="n">
        <v>2</v>
      </c>
      <c r="D2257" s="0" t="n">
        <v>0.077483167</v>
      </c>
    </row>
    <row r="2258" customFormat="false" ht="13.8" hidden="true" customHeight="false" outlineLevel="0" collapsed="false">
      <c r="A2258" s="0" t="s">
        <v>226</v>
      </c>
      <c r="B2258" s="0" t="n">
        <v>19</v>
      </c>
      <c r="C2258" s="0" t="n">
        <v>2.05</v>
      </c>
      <c r="D2258" s="0" t="n">
        <v>0.079420247</v>
      </c>
    </row>
    <row r="2259" customFormat="false" ht="13.8" hidden="true" customHeight="false" outlineLevel="0" collapsed="false">
      <c r="A2259" s="0" t="s">
        <v>226</v>
      </c>
      <c r="B2259" s="0" t="n">
        <v>19</v>
      </c>
      <c r="C2259" s="0" t="n">
        <v>2.1</v>
      </c>
      <c r="D2259" s="0" t="n">
        <v>0.081357326</v>
      </c>
    </row>
    <row r="2260" customFormat="false" ht="13.8" hidden="true" customHeight="false" outlineLevel="0" collapsed="false">
      <c r="A2260" s="0" t="s">
        <v>226</v>
      </c>
      <c r="B2260" s="0" t="n">
        <v>19</v>
      </c>
      <c r="C2260" s="0" t="n">
        <v>2.15</v>
      </c>
      <c r="D2260" s="0" t="n">
        <v>0.083294405</v>
      </c>
    </row>
    <row r="2261" customFormat="false" ht="13.8" hidden="true" customHeight="false" outlineLevel="0" collapsed="false">
      <c r="A2261" s="0" t="s">
        <v>226</v>
      </c>
      <c r="B2261" s="0" t="n">
        <v>19</v>
      </c>
      <c r="C2261" s="0" t="n">
        <v>2.2</v>
      </c>
      <c r="D2261" s="0" t="n">
        <v>0.079747002</v>
      </c>
    </row>
    <row r="2262" customFormat="false" ht="13.8" hidden="true" customHeight="false" outlineLevel="0" collapsed="false">
      <c r="A2262" s="0" t="s">
        <v>226</v>
      </c>
      <c r="B2262" s="0" t="n">
        <v>19</v>
      </c>
      <c r="C2262" s="0" t="n">
        <v>2.25</v>
      </c>
      <c r="D2262" s="0" t="n">
        <v>0.081559434</v>
      </c>
    </row>
    <row r="2263" customFormat="false" ht="13.8" hidden="true" customHeight="false" outlineLevel="0" collapsed="false">
      <c r="A2263" s="0" t="s">
        <v>226</v>
      </c>
      <c r="B2263" s="0" t="n">
        <v>19</v>
      </c>
      <c r="C2263" s="0" t="n">
        <v>2.3</v>
      </c>
      <c r="D2263" s="0" t="n">
        <v>0.083371865</v>
      </c>
    </row>
    <row r="2264" customFormat="false" ht="13.8" hidden="true" customHeight="false" outlineLevel="0" collapsed="false">
      <c r="A2264" s="0" t="s">
        <v>226</v>
      </c>
      <c r="B2264" s="0" t="n">
        <v>19</v>
      </c>
      <c r="C2264" s="0" t="n">
        <v>2.35</v>
      </c>
      <c r="D2264" s="0" t="n">
        <v>0</v>
      </c>
    </row>
    <row r="2265" customFormat="false" ht="13.8" hidden="true" customHeight="false" outlineLevel="0" collapsed="false">
      <c r="A2265" s="0" t="s">
        <v>226</v>
      </c>
      <c r="B2265" s="0" t="n">
        <v>19</v>
      </c>
      <c r="C2265" s="0" t="n">
        <v>2.4</v>
      </c>
      <c r="D2265" s="0" t="n">
        <v>0</v>
      </c>
    </row>
    <row r="2266" customFormat="false" ht="13.8" hidden="true" customHeight="false" outlineLevel="0" collapsed="false">
      <c r="A2266" s="0" t="s">
        <v>226</v>
      </c>
      <c r="B2266" s="0" t="n">
        <v>19</v>
      </c>
      <c r="C2266" s="0" t="n">
        <v>2.45</v>
      </c>
      <c r="D2266" s="0" t="n">
        <v>0</v>
      </c>
    </row>
    <row r="2267" customFormat="false" ht="13.8" hidden="true" customHeight="false" outlineLevel="0" collapsed="false">
      <c r="A2267" s="0" t="s">
        <v>226</v>
      </c>
      <c r="B2267" s="0" t="n">
        <v>19</v>
      </c>
      <c r="C2267" s="0" t="n">
        <v>2.5</v>
      </c>
      <c r="D2267" s="0" t="n">
        <v>0</v>
      </c>
    </row>
    <row r="2268" customFormat="false" ht="13.8" hidden="true" customHeight="false" outlineLevel="0" collapsed="false">
      <c r="A2268" s="0" t="s">
        <v>226</v>
      </c>
      <c r="B2268" s="0" t="n">
        <v>19</v>
      </c>
      <c r="C2268" s="0" t="n">
        <v>2.55</v>
      </c>
      <c r="D2268" s="0" t="n">
        <v>0</v>
      </c>
    </row>
    <row r="2269" customFormat="false" ht="13.8" hidden="true" customHeight="false" outlineLevel="0" collapsed="false">
      <c r="A2269" s="0" t="s">
        <v>226</v>
      </c>
      <c r="B2269" s="0" t="n">
        <v>19</v>
      </c>
      <c r="C2269" s="0" t="n">
        <v>2.6</v>
      </c>
      <c r="D2269" s="0" t="n">
        <v>0</v>
      </c>
    </row>
    <row r="2270" customFormat="false" ht="13.8" hidden="true" customHeight="false" outlineLevel="0" collapsed="false">
      <c r="A2270" s="0" t="s">
        <v>226</v>
      </c>
      <c r="B2270" s="0" t="n">
        <v>20</v>
      </c>
      <c r="C2270" s="0" t="n">
        <v>1.3</v>
      </c>
      <c r="D2270" s="0" t="n">
        <v>0</v>
      </c>
    </row>
    <row r="2271" customFormat="false" ht="13.8" hidden="true" customHeight="false" outlineLevel="0" collapsed="false">
      <c r="A2271" s="0" t="s">
        <v>226</v>
      </c>
      <c r="B2271" s="0" t="n">
        <v>20</v>
      </c>
      <c r="C2271" s="0" t="n">
        <v>1.35</v>
      </c>
      <c r="D2271" s="0" t="n">
        <v>0</v>
      </c>
    </row>
    <row r="2272" customFormat="false" ht="13.8" hidden="true" customHeight="false" outlineLevel="0" collapsed="false">
      <c r="A2272" s="0" t="s">
        <v>226</v>
      </c>
      <c r="B2272" s="0" t="n">
        <v>20</v>
      </c>
      <c r="C2272" s="0" t="n">
        <v>1.4</v>
      </c>
      <c r="D2272" s="0" t="n">
        <v>0</v>
      </c>
    </row>
    <row r="2273" customFormat="false" ht="13.8" hidden="true" customHeight="false" outlineLevel="0" collapsed="false">
      <c r="A2273" s="0" t="s">
        <v>226</v>
      </c>
      <c r="B2273" s="0" t="n">
        <v>20</v>
      </c>
      <c r="C2273" s="0" t="n">
        <v>1.45</v>
      </c>
      <c r="D2273" s="0" t="n">
        <v>0</v>
      </c>
    </row>
    <row r="2274" customFormat="false" ht="13.8" hidden="true" customHeight="false" outlineLevel="0" collapsed="false">
      <c r="A2274" s="0" t="s">
        <v>226</v>
      </c>
      <c r="B2274" s="0" t="n">
        <v>20</v>
      </c>
      <c r="C2274" s="0" t="n">
        <v>1.5</v>
      </c>
      <c r="D2274" s="0" t="n">
        <v>0</v>
      </c>
    </row>
    <row r="2275" customFormat="false" ht="13.8" hidden="true" customHeight="false" outlineLevel="0" collapsed="false">
      <c r="A2275" s="0" t="s">
        <v>226</v>
      </c>
      <c r="B2275" s="0" t="n">
        <v>20</v>
      </c>
      <c r="C2275" s="0" t="n">
        <v>1.55</v>
      </c>
      <c r="D2275" s="0" t="n">
        <v>0</v>
      </c>
    </row>
    <row r="2276" customFormat="false" ht="13.8" hidden="true" customHeight="false" outlineLevel="0" collapsed="false">
      <c r="A2276" s="0" t="s">
        <v>226</v>
      </c>
      <c r="B2276" s="0" t="n">
        <v>20</v>
      </c>
      <c r="C2276" s="0" t="n">
        <v>1.6</v>
      </c>
      <c r="D2276" s="0" t="n">
        <v>0</v>
      </c>
    </row>
    <row r="2277" customFormat="false" ht="13.8" hidden="true" customHeight="false" outlineLevel="0" collapsed="false">
      <c r="A2277" s="0" t="s">
        <v>226</v>
      </c>
      <c r="B2277" s="0" t="n">
        <v>20</v>
      </c>
      <c r="C2277" s="0" t="n">
        <v>1.65</v>
      </c>
      <c r="D2277" s="0" t="n">
        <v>0</v>
      </c>
    </row>
    <row r="2278" customFormat="false" ht="13.8" hidden="true" customHeight="false" outlineLevel="0" collapsed="false">
      <c r="A2278" s="0" t="s">
        <v>226</v>
      </c>
      <c r="B2278" s="0" t="n">
        <v>20</v>
      </c>
      <c r="C2278" s="0" t="n">
        <v>1.7</v>
      </c>
      <c r="D2278" s="0" t="n">
        <v>0</v>
      </c>
    </row>
    <row r="2279" customFormat="false" ht="13.8" hidden="true" customHeight="false" outlineLevel="0" collapsed="false">
      <c r="A2279" s="0" t="s">
        <v>226</v>
      </c>
      <c r="B2279" s="0" t="n">
        <v>20</v>
      </c>
      <c r="C2279" s="0" t="n">
        <v>1.75</v>
      </c>
      <c r="D2279" s="0" t="n">
        <v>0</v>
      </c>
    </row>
    <row r="2280" customFormat="false" ht="13.8" hidden="true" customHeight="false" outlineLevel="0" collapsed="false">
      <c r="A2280" s="0" t="s">
        <v>226</v>
      </c>
      <c r="B2280" s="0" t="n">
        <v>20</v>
      </c>
      <c r="C2280" s="0" t="n">
        <v>1.8</v>
      </c>
      <c r="D2280" s="0" t="n">
        <v>0</v>
      </c>
    </row>
    <row r="2281" customFormat="false" ht="13.8" hidden="true" customHeight="false" outlineLevel="0" collapsed="false">
      <c r="A2281" s="0" t="s">
        <v>226</v>
      </c>
      <c r="B2281" s="0" t="n">
        <v>20</v>
      </c>
      <c r="C2281" s="0" t="n">
        <v>1.85</v>
      </c>
      <c r="D2281" s="0" t="n">
        <v>0.069</v>
      </c>
    </row>
    <row r="2282" customFormat="false" ht="13.8" hidden="true" customHeight="false" outlineLevel="0" collapsed="false">
      <c r="A2282" s="0" t="s">
        <v>226</v>
      </c>
      <c r="B2282" s="0" t="n">
        <v>20</v>
      </c>
      <c r="C2282" s="0" t="n">
        <v>1.9</v>
      </c>
      <c r="D2282" s="0" t="n">
        <v>0.071</v>
      </c>
    </row>
    <row r="2283" customFormat="false" ht="13.8" hidden="true" customHeight="false" outlineLevel="0" collapsed="false">
      <c r="A2283" s="0" t="s">
        <v>226</v>
      </c>
      <c r="B2283" s="0" t="n">
        <v>20</v>
      </c>
      <c r="C2283" s="0" t="n">
        <v>1.95</v>
      </c>
      <c r="D2283" s="0" t="n">
        <v>0.073</v>
      </c>
    </row>
    <row r="2284" customFormat="false" ht="13.8" hidden="true" customHeight="false" outlineLevel="0" collapsed="false">
      <c r="A2284" s="0" t="s">
        <v>226</v>
      </c>
      <c r="B2284" s="0" t="n">
        <v>20</v>
      </c>
      <c r="C2284" s="0" t="n">
        <v>2</v>
      </c>
      <c r="D2284" s="0" t="n">
        <v>0.077483167</v>
      </c>
    </row>
    <row r="2285" customFormat="false" ht="13.8" hidden="true" customHeight="false" outlineLevel="0" collapsed="false">
      <c r="A2285" s="0" t="s">
        <v>226</v>
      </c>
      <c r="B2285" s="0" t="n">
        <v>20</v>
      </c>
      <c r="C2285" s="0" t="n">
        <v>2.05</v>
      </c>
      <c r="D2285" s="0" t="n">
        <v>0.079420247</v>
      </c>
    </row>
    <row r="2286" customFormat="false" ht="13.8" hidden="true" customHeight="false" outlineLevel="0" collapsed="false">
      <c r="A2286" s="0" t="s">
        <v>226</v>
      </c>
      <c r="B2286" s="0" t="n">
        <v>20</v>
      </c>
      <c r="C2286" s="0" t="n">
        <v>2.1</v>
      </c>
      <c r="D2286" s="0" t="n">
        <v>0.081357326</v>
      </c>
    </row>
    <row r="2287" customFormat="false" ht="13.8" hidden="true" customHeight="false" outlineLevel="0" collapsed="false">
      <c r="A2287" s="0" t="s">
        <v>226</v>
      </c>
      <c r="B2287" s="0" t="n">
        <v>20</v>
      </c>
      <c r="C2287" s="0" t="n">
        <v>2.15</v>
      </c>
      <c r="D2287" s="0" t="n">
        <v>0.083294405</v>
      </c>
    </row>
    <row r="2288" customFormat="false" ht="13.8" hidden="true" customHeight="false" outlineLevel="0" collapsed="false">
      <c r="A2288" s="0" t="s">
        <v>226</v>
      </c>
      <c r="B2288" s="0" t="n">
        <v>20</v>
      </c>
      <c r="C2288" s="0" t="n">
        <v>2.2</v>
      </c>
      <c r="D2288" s="0" t="n">
        <v>0.079747002</v>
      </c>
    </row>
    <row r="2289" customFormat="false" ht="13.8" hidden="true" customHeight="false" outlineLevel="0" collapsed="false">
      <c r="A2289" s="0" t="s">
        <v>226</v>
      </c>
      <c r="B2289" s="0" t="n">
        <v>20</v>
      </c>
      <c r="C2289" s="0" t="n">
        <v>2.25</v>
      </c>
      <c r="D2289" s="0" t="n">
        <v>0.081559434</v>
      </c>
    </row>
    <row r="2290" customFormat="false" ht="13.8" hidden="true" customHeight="false" outlineLevel="0" collapsed="false">
      <c r="A2290" s="0" t="s">
        <v>226</v>
      </c>
      <c r="B2290" s="0" t="n">
        <v>20</v>
      </c>
      <c r="C2290" s="0" t="n">
        <v>2.3</v>
      </c>
      <c r="D2290" s="0" t="n">
        <v>0.083371865</v>
      </c>
    </row>
    <row r="2291" customFormat="false" ht="13.8" hidden="true" customHeight="false" outlineLevel="0" collapsed="false">
      <c r="A2291" s="0" t="s">
        <v>226</v>
      </c>
      <c r="B2291" s="0" t="n">
        <v>20</v>
      </c>
      <c r="C2291" s="0" t="n">
        <v>2.35</v>
      </c>
      <c r="D2291" s="0" t="n">
        <v>0</v>
      </c>
    </row>
    <row r="2292" customFormat="false" ht="13.8" hidden="true" customHeight="false" outlineLevel="0" collapsed="false">
      <c r="A2292" s="0" t="s">
        <v>226</v>
      </c>
      <c r="B2292" s="0" t="n">
        <v>20</v>
      </c>
      <c r="C2292" s="0" t="n">
        <v>2.4</v>
      </c>
      <c r="D2292" s="0" t="n">
        <v>0</v>
      </c>
    </row>
    <row r="2293" customFormat="false" ht="13.8" hidden="true" customHeight="false" outlineLevel="0" collapsed="false">
      <c r="A2293" s="0" t="s">
        <v>226</v>
      </c>
      <c r="B2293" s="0" t="n">
        <v>20</v>
      </c>
      <c r="C2293" s="0" t="n">
        <v>2.45</v>
      </c>
      <c r="D2293" s="0" t="n">
        <v>0</v>
      </c>
    </row>
    <row r="2294" customFormat="false" ht="13.8" hidden="true" customHeight="false" outlineLevel="0" collapsed="false">
      <c r="A2294" s="0" t="s">
        <v>226</v>
      </c>
      <c r="B2294" s="0" t="n">
        <v>20</v>
      </c>
      <c r="C2294" s="0" t="n">
        <v>2.5</v>
      </c>
      <c r="D2294" s="0" t="n">
        <v>0</v>
      </c>
    </row>
    <row r="2295" customFormat="false" ht="13.8" hidden="true" customHeight="false" outlineLevel="0" collapsed="false">
      <c r="A2295" s="0" t="s">
        <v>226</v>
      </c>
      <c r="B2295" s="0" t="n">
        <v>20</v>
      </c>
      <c r="C2295" s="0" t="n">
        <v>2.55</v>
      </c>
      <c r="D2295" s="0" t="n">
        <v>0</v>
      </c>
    </row>
    <row r="2296" customFormat="false" ht="13.8" hidden="true" customHeight="false" outlineLevel="0" collapsed="false">
      <c r="A2296" s="0" t="s">
        <v>226</v>
      </c>
      <c r="B2296" s="0" t="n">
        <v>20</v>
      </c>
      <c r="C2296" s="0" t="n">
        <v>2.6</v>
      </c>
      <c r="D2296" s="0" t="n">
        <v>0</v>
      </c>
    </row>
    <row r="2297" customFormat="false" ht="13.8" hidden="true" customHeight="false" outlineLevel="0" collapsed="false">
      <c r="A2297" s="0" t="s">
        <v>226</v>
      </c>
      <c r="B2297" s="0" t="n">
        <v>21</v>
      </c>
      <c r="C2297" s="0" t="n">
        <v>1.3</v>
      </c>
      <c r="D2297" s="0" t="n">
        <v>0</v>
      </c>
    </row>
    <row r="2298" customFormat="false" ht="13.8" hidden="true" customHeight="false" outlineLevel="0" collapsed="false">
      <c r="A2298" s="0" t="s">
        <v>226</v>
      </c>
      <c r="B2298" s="0" t="n">
        <v>21</v>
      </c>
      <c r="C2298" s="0" t="n">
        <v>1.35</v>
      </c>
      <c r="D2298" s="0" t="n">
        <v>0</v>
      </c>
    </row>
    <row r="2299" customFormat="false" ht="13.8" hidden="true" customHeight="false" outlineLevel="0" collapsed="false">
      <c r="A2299" s="0" t="s">
        <v>226</v>
      </c>
      <c r="B2299" s="0" t="n">
        <v>21</v>
      </c>
      <c r="C2299" s="0" t="n">
        <v>1.4</v>
      </c>
      <c r="D2299" s="0" t="n">
        <v>0</v>
      </c>
    </row>
    <row r="2300" customFormat="false" ht="13.8" hidden="true" customHeight="false" outlineLevel="0" collapsed="false">
      <c r="A2300" s="0" t="s">
        <v>226</v>
      </c>
      <c r="B2300" s="0" t="n">
        <v>21</v>
      </c>
      <c r="C2300" s="0" t="n">
        <v>1.45</v>
      </c>
      <c r="D2300" s="0" t="n">
        <v>0</v>
      </c>
    </row>
    <row r="2301" customFormat="false" ht="13.8" hidden="true" customHeight="false" outlineLevel="0" collapsed="false">
      <c r="A2301" s="0" t="s">
        <v>226</v>
      </c>
      <c r="B2301" s="0" t="n">
        <v>21</v>
      </c>
      <c r="C2301" s="0" t="n">
        <v>1.5</v>
      </c>
      <c r="D2301" s="0" t="n">
        <v>0</v>
      </c>
    </row>
    <row r="2302" customFormat="false" ht="13.8" hidden="true" customHeight="false" outlineLevel="0" collapsed="false">
      <c r="A2302" s="0" t="s">
        <v>226</v>
      </c>
      <c r="B2302" s="0" t="n">
        <v>21</v>
      </c>
      <c r="C2302" s="0" t="n">
        <v>1.55</v>
      </c>
      <c r="D2302" s="0" t="n">
        <v>0</v>
      </c>
    </row>
    <row r="2303" customFormat="false" ht="13.8" hidden="true" customHeight="false" outlineLevel="0" collapsed="false">
      <c r="A2303" s="0" t="s">
        <v>226</v>
      </c>
      <c r="B2303" s="0" t="n">
        <v>21</v>
      </c>
      <c r="C2303" s="0" t="n">
        <v>1.6</v>
      </c>
      <c r="D2303" s="0" t="n">
        <v>0</v>
      </c>
    </row>
    <row r="2304" customFormat="false" ht="13.8" hidden="true" customHeight="false" outlineLevel="0" collapsed="false">
      <c r="A2304" s="0" t="s">
        <v>226</v>
      </c>
      <c r="B2304" s="0" t="n">
        <v>21</v>
      </c>
      <c r="C2304" s="0" t="n">
        <v>1.65</v>
      </c>
      <c r="D2304" s="0" t="n">
        <v>0</v>
      </c>
    </row>
    <row r="2305" customFormat="false" ht="13.8" hidden="true" customHeight="false" outlineLevel="0" collapsed="false">
      <c r="A2305" s="0" t="s">
        <v>226</v>
      </c>
      <c r="B2305" s="0" t="n">
        <v>21</v>
      </c>
      <c r="C2305" s="0" t="n">
        <v>1.7</v>
      </c>
      <c r="D2305" s="0" t="n">
        <v>0</v>
      </c>
    </row>
    <row r="2306" customFormat="false" ht="13.8" hidden="true" customHeight="false" outlineLevel="0" collapsed="false">
      <c r="A2306" s="0" t="s">
        <v>226</v>
      </c>
      <c r="B2306" s="0" t="n">
        <v>21</v>
      </c>
      <c r="C2306" s="0" t="n">
        <v>1.75</v>
      </c>
      <c r="D2306" s="0" t="n">
        <v>0</v>
      </c>
    </row>
    <row r="2307" customFormat="false" ht="13.8" hidden="true" customHeight="false" outlineLevel="0" collapsed="false">
      <c r="A2307" s="0" t="s">
        <v>226</v>
      </c>
      <c r="B2307" s="0" t="n">
        <v>21</v>
      </c>
      <c r="C2307" s="0" t="n">
        <v>1.8</v>
      </c>
      <c r="D2307" s="0" t="n">
        <v>0</v>
      </c>
    </row>
    <row r="2308" customFormat="false" ht="13.8" hidden="true" customHeight="false" outlineLevel="0" collapsed="false">
      <c r="A2308" s="0" t="s">
        <v>226</v>
      </c>
      <c r="B2308" s="0" t="n">
        <v>21</v>
      </c>
      <c r="C2308" s="0" t="n">
        <v>1.85</v>
      </c>
      <c r="D2308" s="0" t="n">
        <v>0.069</v>
      </c>
    </row>
    <row r="2309" customFormat="false" ht="13.8" hidden="true" customHeight="false" outlineLevel="0" collapsed="false">
      <c r="A2309" s="0" t="s">
        <v>226</v>
      </c>
      <c r="B2309" s="0" t="n">
        <v>21</v>
      </c>
      <c r="C2309" s="0" t="n">
        <v>1.9</v>
      </c>
      <c r="D2309" s="0" t="n">
        <v>0.071</v>
      </c>
    </row>
    <row r="2310" customFormat="false" ht="13.8" hidden="true" customHeight="false" outlineLevel="0" collapsed="false">
      <c r="A2310" s="0" t="s">
        <v>226</v>
      </c>
      <c r="B2310" s="0" t="n">
        <v>21</v>
      </c>
      <c r="C2310" s="0" t="n">
        <v>1.95</v>
      </c>
      <c r="D2310" s="0" t="n">
        <v>0.073</v>
      </c>
    </row>
    <row r="2311" customFormat="false" ht="13.8" hidden="true" customHeight="false" outlineLevel="0" collapsed="false">
      <c r="A2311" s="0" t="s">
        <v>226</v>
      </c>
      <c r="B2311" s="0" t="n">
        <v>21</v>
      </c>
      <c r="C2311" s="0" t="n">
        <v>2</v>
      </c>
      <c r="D2311" s="0" t="n">
        <v>0.077483167</v>
      </c>
    </row>
    <row r="2312" customFormat="false" ht="13.8" hidden="true" customHeight="false" outlineLevel="0" collapsed="false">
      <c r="A2312" s="0" t="s">
        <v>226</v>
      </c>
      <c r="B2312" s="0" t="n">
        <v>21</v>
      </c>
      <c r="C2312" s="0" t="n">
        <v>2.05</v>
      </c>
      <c r="D2312" s="0" t="n">
        <v>0.079420247</v>
      </c>
    </row>
    <row r="2313" customFormat="false" ht="13.8" hidden="true" customHeight="false" outlineLevel="0" collapsed="false">
      <c r="A2313" s="0" t="s">
        <v>226</v>
      </c>
      <c r="B2313" s="0" t="n">
        <v>21</v>
      </c>
      <c r="C2313" s="0" t="n">
        <v>2.1</v>
      </c>
      <c r="D2313" s="0" t="n">
        <v>0.081357326</v>
      </c>
    </row>
    <row r="2314" customFormat="false" ht="13.8" hidden="true" customHeight="false" outlineLevel="0" collapsed="false">
      <c r="A2314" s="0" t="s">
        <v>226</v>
      </c>
      <c r="B2314" s="0" t="n">
        <v>21</v>
      </c>
      <c r="C2314" s="0" t="n">
        <v>2.15</v>
      </c>
      <c r="D2314" s="0" t="n">
        <v>0.083294405</v>
      </c>
    </row>
    <row r="2315" customFormat="false" ht="13.8" hidden="true" customHeight="false" outlineLevel="0" collapsed="false">
      <c r="A2315" s="0" t="s">
        <v>226</v>
      </c>
      <c r="B2315" s="0" t="n">
        <v>21</v>
      </c>
      <c r="C2315" s="0" t="n">
        <v>2.2</v>
      </c>
      <c r="D2315" s="0" t="n">
        <v>0.079747002</v>
      </c>
    </row>
    <row r="2316" customFormat="false" ht="13.8" hidden="true" customHeight="false" outlineLevel="0" collapsed="false">
      <c r="A2316" s="0" t="s">
        <v>226</v>
      </c>
      <c r="B2316" s="0" t="n">
        <v>21</v>
      </c>
      <c r="C2316" s="0" t="n">
        <v>2.25</v>
      </c>
      <c r="D2316" s="0" t="n">
        <v>0.081559434</v>
      </c>
    </row>
    <row r="2317" customFormat="false" ht="13.8" hidden="true" customHeight="false" outlineLevel="0" collapsed="false">
      <c r="A2317" s="0" t="s">
        <v>226</v>
      </c>
      <c r="B2317" s="0" t="n">
        <v>21</v>
      </c>
      <c r="C2317" s="0" t="n">
        <v>2.3</v>
      </c>
      <c r="D2317" s="0" t="n">
        <v>0.083371865</v>
      </c>
    </row>
    <row r="2318" customFormat="false" ht="13.8" hidden="true" customHeight="false" outlineLevel="0" collapsed="false">
      <c r="A2318" s="0" t="s">
        <v>226</v>
      </c>
      <c r="B2318" s="0" t="n">
        <v>21</v>
      </c>
      <c r="C2318" s="0" t="n">
        <v>2.35</v>
      </c>
      <c r="D2318" s="0" t="n">
        <v>0</v>
      </c>
    </row>
    <row r="2319" customFormat="false" ht="13.8" hidden="true" customHeight="false" outlineLevel="0" collapsed="false">
      <c r="A2319" s="0" t="s">
        <v>226</v>
      </c>
      <c r="B2319" s="0" t="n">
        <v>21</v>
      </c>
      <c r="C2319" s="0" t="n">
        <v>2.4</v>
      </c>
      <c r="D2319" s="0" t="n">
        <v>0</v>
      </c>
    </row>
    <row r="2320" customFormat="false" ht="13.8" hidden="true" customHeight="false" outlineLevel="0" collapsed="false">
      <c r="A2320" s="0" t="s">
        <v>226</v>
      </c>
      <c r="B2320" s="0" t="n">
        <v>21</v>
      </c>
      <c r="C2320" s="0" t="n">
        <v>2.45</v>
      </c>
      <c r="D2320" s="0" t="n">
        <v>0</v>
      </c>
    </row>
    <row r="2321" customFormat="false" ht="13.8" hidden="true" customHeight="false" outlineLevel="0" collapsed="false">
      <c r="A2321" s="0" t="s">
        <v>226</v>
      </c>
      <c r="B2321" s="0" t="n">
        <v>21</v>
      </c>
      <c r="C2321" s="0" t="n">
        <v>2.5</v>
      </c>
      <c r="D2321" s="0" t="n">
        <v>0</v>
      </c>
    </row>
    <row r="2322" customFormat="false" ht="13.8" hidden="true" customHeight="false" outlineLevel="0" collapsed="false">
      <c r="A2322" s="0" t="s">
        <v>226</v>
      </c>
      <c r="B2322" s="0" t="n">
        <v>21</v>
      </c>
      <c r="C2322" s="0" t="n">
        <v>2.55</v>
      </c>
      <c r="D2322" s="0" t="n">
        <v>0</v>
      </c>
    </row>
    <row r="2323" customFormat="false" ht="13.8" hidden="true" customHeight="false" outlineLevel="0" collapsed="false">
      <c r="A2323" s="0" t="s">
        <v>226</v>
      </c>
      <c r="B2323" s="0" t="n">
        <v>21</v>
      </c>
      <c r="C2323" s="0" t="n">
        <v>2.6</v>
      </c>
      <c r="D2323" s="0" t="n">
        <v>0</v>
      </c>
    </row>
    <row r="2324" customFormat="false" ht="13.8" hidden="true" customHeight="false" outlineLevel="0" collapsed="false">
      <c r="A2324" s="0" t="s">
        <v>713</v>
      </c>
      <c r="B2324" s="0" t="n">
        <v>16</v>
      </c>
      <c r="C2324" s="0" t="n">
        <v>1.3</v>
      </c>
      <c r="D2324" s="0" t="n">
        <v>0</v>
      </c>
    </row>
    <row r="2325" customFormat="false" ht="13.8" hidden="true" customHeight="false" outlineLevel="0" collapsed="false">
      <c r="A2325" s="0" t="s">
        <v>713</v>
      </c>
      <c r="B2325" s="0" t="n">
        <v>16</v>
      </c>
      <c r="C2325" s="0" t="n">
        <v>1.35</v>
      </c>
      <c r="D2325" s="0" t="n">
        <v>0</v>
      </c>
    </row>
    <row r="2326" customFormat="false" ht="13.8" hidden="true" customHeight="false" outlineLevel="0" collapsed="false">
      <c r="A2326" s="0" t="s">
        <v>713</v>
      </c>
      <c r="B2326" s="0" t="n">
        <v>16</v>
      </c>
      <c r="C2326" s="0" t="n">
        <v>1.4</v>
      </c>
      <c r="D2326" s="0" t="n">
        <v>0</v>
      </c>
    </row>
    <row r="2327" customFormat="false" ht="13.8" hidden="true" customHeight="false" outlineLevel="0" collapsed="false">
      <c r="A2327" s="0" t="s">
        <v>713</v>
      </c>
      <c r="B2327" s="0" t="n">
        <v>16</v>
      </c>
      <c r="C2327" s="0" t="n">
        <v>1.45</v>
      </c>
      <c r="D2327" s="0" t="n">
        <v>0</v>
      </c>
    </row>
    <row r="2328" customFormat="false" ht="13.8" hidden="true" customHeight="false" outlineLevel="0" collapsed="false">
      <c r="A2328" s="0" t="s">
        <v>713</v>
      </c>
      <c r="B2328" s="0" t="n">
        <v>16</v>
      </c>
      <c r="C2328" s="0" t="n">
        <v>1.5</v>
      </c>
      <c r="D2328" s="0" t="n">
        <v>0</v>
      </c>
    </row>
    <row r="2329" customFormat="false" ht="13.8" hidden="true" customHeight="false" outlineLevel="0" collapsed="false">
      <c r="A2329" s="0" t="s">
        <v>713</v>
      </c>
      <c r="B2329" s="0" t="n">
        <v>16</v>
      </c>
      <c r="C2329" s="0" t="n">
        <v>1.55</v>
      </c>
      <c r="D2329" s="0" t="n">
        <v>0</v>
      </c>
    </row>
    <row r="2330" customFormat="false" ht="13.8" hidden="true" customHeight="false" outlineLevel="0" collapsed="false">
      <c r="A2330" s="0" t="s">
        <v>713</v>
      </c>
      <c r="B2330" s="0" t="n">
        <v>16</v>
      </c>
      <c r="C2330" s="0" t="n">
        <v>1.6</v>
      </c>
      <c r="D2330" s="0" t="n">
        <v>0.029</v>
      </c>
    </row>
    <row r="2331" customFormat="false" ht="13.8" hidden="true" customHeight="false" outlineLevel="0" collapsed="false">
      <c r="A2331" s="0" t="s">
        <v>713</v>
      </c>
      <c r="B2331" s="0" t="n">
        <v>16</v>
      </c>
      <c r="C2331" s="0" t="n">
        <v>1.65</v>
      </c>
      <c r="D2331" s="0" t="n">
        <v>0.03</v>
      </c>
    </row>
    <row r="2332" customFormat="false" ht="13.8" hidden="true" customHeight="false" outlineLevel="0" collapsed="false">
      <c r="A2332" s="0" t="s">
        <v>713</v>
      </c>
      <c r="B2332" s="0" t="n">
        <v>16</v>
      </c>
      <c r="C2332" s="0" t="n">
        <v>1.7</v>
      </c>
      <c r="D2332" s="0" t="n">
        <v>0.031</v>
      </c>
    </row>
    <row r="2333" customFormat="false" ht="13.8" hidden="true" customHeight="false" outlineLevel="0" collapsed="false">
      <c r="A2333" s="0" t="s">
        <v>713</v>
      </c>
      <c r="B2333" s="0" t="n">
        <v>16</v>
      </c>
      <c r="C2333" s="0" t="n">
        <v>1.75</v>
      </c>
      <c r="D2333" s="0" t="n">
        <v>0.031</v>
      </c>
    </row>
    <row r="2334" customFormat="false" ht="13.8" hidden="true" customHeight="false" outlineLevel="0" collapsed="false">
      <c r="A2334" s="0" t="s">
        <v>713</v>
      </c>
      <c r="B2334" s="0" t="n">
        <v>16</v>
      </c>
      <c r="C2334" s="0" t="n">
        <v>1.8</v>
      </c>
      <c r="D2334" s="0" t="n">
        <v>0.034</v>
      </c>
    </row>
    <row r="2335" customFormat="false" ht="13.8" hidden="true" customHeight="false" outlineLevel="0" collapsed="false">
      <c r="A2335" s="0" t="s">
        <v>713</v>
      </c>
      <c r="B2335" s="0" t="n">
        <v>16</v>
      </c>
      <c r="C2335" s="0" t="n">
        <v>1.85</v>
      </c>
      <c r="D2335" s="0" t="n">
        <v>0.035</v>
      </c>
    </row>
    <row r="2336" customFormat="false" ht="13.8" hidden="true" customHeight="false" outlineLevel="0" collapsed="false">
      <c r="A2336" s="0" t="s">
        <v>713</v>
      </c>
      <c r="B2336" s="0" t="n">
        <v>16</v>
      </c>
      <c r="C2336" s="0" t="n">
        <v>1.9</v>
      </c>
      <c r="D2336" s="0" t="n">
        <v>0.035</v>
      </c>
    </row>
    <row r="2337" customFormat="false" ht="13.8" hidden="true" customHeight="false" outlineLevel="0" collapsed="false">
      <c r="A2337" s="0" t="s">
        <v>713</v>
      </c>
      <c r="B2337" s="0" t="n">
        <v>16</v>
      </c>
      <c r="C2337" s="0" t="n">
        <v>1.95</v>
      </c>
      <c r="D2337" s="0" t="n">
        <v>0.036</v>
      </c>
    </row>
    <row r="2338" customFormat="false" ht="13.8" hidden="true" customHeight="false" outlineLevel="0" collapsed="false">
      <c r="A2338" s="0" t="s">
        <v>713</v>
      </c>
      <c r="B2338" s="0" t="n">
        <v>16</v>
      </c>
      <c r="C2338" s="0" t="n">
        <v>2</v>
      </c>
      <c r="D2338" s="0" t="n">
        <v>0.038741584</v>
      </c>
    </row>
    <row r="2339" customFormat="false" ht="13.8" hidden="true" customHeight="false" outlineLevel="0" collapsed="false">
      <c r="A2339" s="0" t="s">
        <v>713</v>
      </c>
      <c r="B2339" s="0" t="n">
        <v>16</v>
      </c>
      <c r="C2339" s="0" t="n">
        <v>2.05</v>
      </c>
      <c r="D2339" s="0" t="n">
        <v>0.039710123</v>
      </c>
    </row>
    <row r="2340" customFormat="false" ht="13.8" hidden="true" customHeight="false" outlineLevel="0" collapsed="false">
      <c r="A2340" s="0" t="s">
        <v>713</v>
      </c>
      <c r="B2340" s="0" t="n">
        <v>16</v>
      </c>
      <c r="C2340" s="0" t="n">
        <v>2.1</v>
      </c>
      <c r="D2340" s="0" t="n">
        <v>0.040678663</v>
      </c>
    </row>
    <row r="2341" customFormat="false" ht="13.8" hidden="true" customHeight="false" outlineLevel="0" collapsed="false">
      <c r="A2341" s="0" t="s">
        <v>713</v>
      </c>
      <c r="B2341" s="0" t="n">
        <v>16</v>
      </c>
      <c r="C2341" s="0" t="n">
        <v>2.15</v>
      </c>
      <c r="D2341" s="0" t="n">
        <v>0.041647202</v>
      </c>
    </row>
    <row r="2342" customFormat="false" ht="13.8" hidden="true" customHeight="false" outlineLevel="0" collapsed="false">
      <c r="A2342" s="0" t="s">
        <v>713</v>
      </c>
      <c r="B2342" s="0" t="n">
        <v>16</v>
      </c>
      <c r="C2342" s="0" t="n">
        <v>2.2</v>
      </c>
      <c r="D2342" s="0" t="n">
        <v>0.039873501</v>
      </c>
    </row>
    <row r="2343" customFormat="false" ht="13.8" hidden="true" customHeight="false" outlineLevel="0" collapsed="false">
      <c r="A2343" s="0" t="s">
        <v>713</v>
      </c>
      <c r="B2343" s="0" t="n">
        <v>16</v>
      </c>
      <c r="C2343" s="0" t="n">
        <v>2.25</v>
      </c>
      <c r="D2343" s="0" t="n">
        <v>0.040779717</v>
      </c>
    </row>
    <row r="2344" customFormat="false" ht="13.8" hidden="true" customHeight="false" outlineLevel="0" collapsed="false">
      <c r="A2344" s="0" t="s">
        <v>713</v>
      </c>
      <c r="B2344" s="0" t="n">
        <v>16</v>
      </c>
      <c r="C2344" s="0" t="n">
        <v>2.3</v>
      </c>
      <c r="D2344" s="0" t="n">
        <v>0.041685933</v>
      </c>
    </row>
    <row r="2345" customFormat="false" ht="13.8" hidden="true" customHeight="false" outlineLevel="0" collapsed="false">
      <c r="A2345" s="0" t="s">
        <v>713</v>
      </c>
      <c r="B2345" s="0" t="n">
        <v>16</v>
      </c>
      <c r="C2345" s="0" t="n">
        <v>2.35</v>
      </c>
      <c r="D2345" s="0" t="n">
        <v>0.042592149</v>
      </c>
    </row>
    <row r="2346" customFormat="false" ht="13.8" hidden="true" customHeight="false" outlineLevel="0" collapsed="false">
      <c r="A2346" s="0" t="s">
        <v>713</v>
      </c>
      <c r="B2346" s="0" t="n">
        <v>16</v>
      </c>
      <c r="C2346" s="0" t="n">
        <v>2.4</v>
      </c>
      <c r="D2346" s="0" t="n">
        <v>0.043498365</v>
      </c>
    </row>
    <row r="2347" customFormat="false" ht="13.8" hidden="true" customHeight="false" outlineLevel="0" collapsed="false">
      <c r="A2347" s="0" t="s">
        <v>713</v>
      </c>
      <c r="B2347" s="0" t="n">
        <v>16</v>
      </c>
      <c r="C2347" s="0" t="n">
        <v>2.45</v>
      </c>
      <c r="D2347" s="0" t="n">
        <v>0.044404581</v>
      </c>
    </row>
    <row r="2348" customFormat="false" ht="13.8" hidden="true" customHeight="false" outlineLevel="0" collapsed="false">
      <c r="A2348" s="0" t="s">
        <v>713</v>
      </c>
      <c r="B2348" s="0" t="n">
        <v>16</v>
      </c>
      <c r="C2348" s="0" t="n">
        <v>2.5</v>
      </c>
      <c r="D2348" s="0" t="n">
        <v>0.045310796</v>
      </c>
    </row>
    <row r="2349" customFormat="false" ht="13.8" hidden="true" customHeight="false" outlineLevel="0" collapsed="false">
      <c r="A2349" s="0" t="s">
        <v>713</v>
      </c>
      <c r="B2349" s="0" t="n">
        <v>16</v>
      </c>
      <c r="C2349" s="0" t="n">
        <v>2.55</v>
      </c>
      <c r="D2349" s="0" t="n">
        <v>0.046217012</v>
      </c>
    </row>
    <row r="2350" customFormat="false" ht="13.8" hidden="true" customHeight="false" outlineLevel="0" collapsed="false">
      <c r="A2350" s="0" t="s">
        <v>713</v>
      </c>
      <c r="B2350" s="0" t="n">
        <v>16</v>
      </c>
      <c r="C2350" s="0" t="n">
        <v>2.6</v>
      </c>
      <c r="D2350" s="0" t="n">
        <v>0.047123228</v>
      </c>
    </row>
    <row r="2351" customFormat="false" ht="13.8" hidden="true" customHeight="false" outlineLevel="0" collapsed="false">
      <c r="A2351" s="0" t="s">
        <v>713</v>
      </c>
      <c r="B2351" s="0" t="n">
        <v>17</v>
      </c>
      <c r="C2351" s="0" t="n">
        <v>1.3</v>
      </c>
      <c r="D2351" s="0" t="n">
        <v>0</v>
      </c>
    </row>
    <row r="2352" customFormat="false" ht="13.8" hidden="true" customHeight="false" outlineLevel="0" collapsed="false">
      <c r="A2352" s="0" t="s">
        <v>713</v>
      </c>
      <c r="B2352" s="0" t="n">
        <v>17</v>
      </c>
      <c r="C2352" s="0" t="n">
        <v>1.35</v>
      </c>
      <c r="D2352" s="0" t="n">
        <v>0</v>
      </c>
    </row>
    <row r="2353" customFormat="false" ht="13.8" hidden="true" customHeight="false" outlineLevel="0" collapsed="false">
      <c r="A2353" s="0" t="s">
        <v>713</v>
      </c>
      <c r="B2353" s="0" t="n">
        <v>17</v>
      </c>
      <c r="C2353" s="0" t="n">
        <v>1.4</v>
      </c>
      <c r="D2353" s="0" t="n">
        <v>0</v>
      </c>
    </row>
    <row r="2354" customFormat="false" ht="13.8" hidden="true" customHeight="false" outlineLevel="0" collapsed="false">
      <c r="A2354" s="0" t="s">
        <v>713</v>
      </c>
      <c r="B2354" s="0" t="n">
        <v>17</v>
      </c>
      <c r="C2354" s="0" t="n">
        <v>1.45</v>
      </c>
      <c r="D2354" s="0" t="n">
        <v>0</v>
      </c>
    </row>
    <row r="2355" customFormat="false" ht="13.8" hidden="true" customHeight="false" outlineLevel="0" collapsed="false">
      <c r="A2355" s="0" t="s">
        <v>713</v>
      </c>
      <c r="B2355" s="0" t="n">
        <v>17</v>
      </c>
      <c r="C2355" s="0" t="n">
        <v>1.5</v>
      </c>
      <c r="D2355" s="0" t="n">
        <v>0</v>
      </c>
    </row>
    <row r="2356" customFormat="false" ht="13.8" hidden="true" customHeight="false" outlineLevel="0" collapsed="false">
      <c r="A2356" s="0" t="s">
        <v>713</v>
      </c>
      <c r="B2356" s="0" t="n">
        <v>17</v>
      </c>
      <c r="C2356" s="0" t="n">
        <v>1.55</v>
      </c>
      <c r="D2356" s="0" t="n">
        <v>0</v>
      </c>
    </row>
    <row r="2357" customFormat="false" ht="13.8" hidden="true" customHeight="false" outlineLevel="0" collapsed="false">
      <c r="A2357" s="0" t="s">
        <v>713</v>
      </c>
      <c r="B2357" s="0" t="n">
        <v>17</v>
      </c>
      <c r="C2357" s="0" t="n">
        <v>1.6</v>
      </c>
      <c r="D2357" s="0" t="n">
        <v>0.029</v>
      </c>
    </row>
    <row r="2358" customFormat="false" ht="13.8" hidden="true" customHeight="false" outlineLevel="0" collapsed="false">
      <c r="A2358" s="0" t="s">
        <v>713</v>
      </c>
      <c r="B2358" s="0" t="n">
        <v>17</v>
      </c>
      <c r="C2358" s="0" t="n">
        <v>1.65</v>
      </c>
      <c r="D2358" s="0" t="n">
        <v>0.03</v>
      </c>
    </row>
    <row r="2359" customFormat="false" ht="13.8" hidden="true" customHeight="false" outlineLevel="0" collapsed="false">
      <c r="A2359" s="0" t="s">
        <v>713</v>
      </c>
      <c r="B2359" s="0" t="n">
        <v>17</v>
      </c>
      <c r="C2359" s="0" t="n">
        <v>1.7</v>
      </c>
      <c r="D2359" s="0" t="n">
        <v>0.031</v>
      </c>
    </row>
    <row r="2360" customFormat="false" ht="13.8" hidden="true" customHeight="false" outlineLevel="0" collapsed="false">
      <c r="A2360" s="0" t="s">
        <v>713</v>
      </c>
      <c r="B2360" s="0" t="n">
        <v>17</v>
      </c>
      <c r="C2360" s="0" t="n">
        <v>1.75</v>
      </c>
      <c r="D2360" s="0" t="n">
        <v>0.031</v>
      </c>
    </row>
    <row r="2361" customFormat="false" ht="13.8" hidden="true" customHeight="false" outlineLevel="0" collapsed="false">
      <c r="A2361" s="0" t="s">
        <v>713</v>
      </c>
      <c r="B2361" s="0" t="n">
        <v>17</v>
      </c>
      <c r="C2361" s="0" t="n">
        <v>1.8</v>
      </c>
      <c r="D2361" s="0" t="n">
        <v>0.034</v>
      </c>
    </row>
    <row r="2362" customFormat="false" ht="13.8" hidden="true" customHeight="false" outlineLevel="0" collapsed="false">
      <c r="A2362" s="0" t="s">
        <v>713</v>
      </c>
      <c r="B2362" s="0" t="n">
        <v>17</v>
      </c>
      <c r="C2362" s="0" t="n">
        <v>1.85</v>
      </c>
      <c r="D2362" s="0" t="n">
        <v>0.035</v>
      </c>
    </row>
    <row r="2363" customFormat="false" ht="13.8" hidden="true" customHeight="false" outlineLevel="0" collapsed="false">
      <c r="A2363" s="0" t="s">
        <v>713</v>
      </c>
      <c r="B2363" s="0" t="n">
        <v>17</v>
      </c>
      <c r="C2363" s="0" t="n">
        <v>1.9</v>
      </c>
      <c r="D2363" s="0" t="n">
        <v>0.035</v>
      </c>
    </row>
    <row r="2364" customFormat="false" ht="13.8" hidden="true" customHeight="false" outlineLevel="0" collapsed="false">
      <c r="A2364" s="0" t="s">
        <v>713</v>
      </c>
      <c r="B2364" s="0" t="n">
        <v>17</v>
      </c>
      <c r="C2364" s="0" t="n">
        <v>1.95</v>
      </c>
      <c r="D2364" s="0" t="n">
        <v>0.036</v>
      </c>
    </row>
    <row r="2365" customFormat="false" ht="13.8" hidden="true" customHeight="false" outlineLevel="0" collapsed="false">
      <c r="A2365" s="0" t="s">
        <v>713</v>
      </c>
      <c r="B2365" s="0" t="n">
        <v>17</v>
      </c>
      <c r="C2365" s="0" t="n">
        <v>2</v>
      </c>
      <c r="D2365" s="0" t="n">
        <v>0.038741584</v>
      </c>
    </row>
    <row r="2366" customFormat="false" ht="13.8" hidden="true" customHeight="false" outlineLevel="0" collapsed="false">
      <c r="A2366" s="0" t="s">
        <v>713</v>
      </c>
      <c r="B2366" s="0" t="n">
        <v>17</v>
      </c>
      <c r="C2366" s="0" t="n">
        <v>2.05</v>
      </c>
      <c r="D2366" s="0" t="n">
        <v>0.039710123</v>
      </c>
    </row>
    <row r="2367" customFormat="false" ht="13.8" hidden="true" customHeight="false" outlineLevel="0" collapsed="false">
      <c r="A2367" s="0" t="s">
        <v>713</v>
      </c>
      <c r="B2367" s="0" t="n">
        <v>17</v>
      </c>
      <c r="C2367" s="0" t="n">
        <v>2.1</v>
      </c>
      <c r="D2367" s="0" t="n">
        <v>0.040678663</v>
      </c>
    </row>
    <row r="2368" customFormat="false" ht="13.8" hidden="true" customHeight="false" outlineLevel="0" collapsed="false">
      <c r="A2368" s="0" t="s">
        <v>713</v>
      </c>
      <c r="B2368" s="0" t="n">
        <v>17</v>
      </c>
      <c r="C2368" s="0" t="n">
        <v>2.15</v>
      </c>
      <c r="D2368" s="0" t="n">
        <v>0.041647202</v>
      </c>
    </row>
    <row r="2369" customFormat="false" ht="13.8" hidden="true" customHeight="false" outlineLevel="0" collapsed="false">
      <c r="A2369" s="0" t="s">
        <v>713</v>
      </c>
      <c r="B2369" s="0" t="n">
        <v>17</v>
      </c>
      <c r="C2369" s="0" t="n">
        <v>2.2</v>
      </c>
      <c r="D2369" s="0" t="n">
        <v>0.039873501</v>
      </c>
    </row>
    <row r="2370" customFormat="false" ht="13.8" hidden="true" customHeight="false" outlineLevel="0" collapsed="false">
      <c r="A2370" s="0" t="s">
        <v>713</v>
      </c>
      <c r="B2370" s="0" t="n">
        <v>17</v>
      </c>
      <c r="C2370" s="0" t="n">
        <v>2.25</v>
      </c>
      <c r="D2370" s="0" t="n">
        <v>0.040779717</v>
      </c>
    </row>
    <row r="2371" customFormat="false" ht="13.8" hidden="true" customHeight="false" outlineLevel="0" collapsed="false">
      <c r="A2371" s="0" t="s">
        <v>713</v>
      </c>
      <c r="B2371" s="0" t="n">
        <v>17</v>
      </c>
      <c r="C2371" s="0" t="n">
        <v>2.3</v>
      </c>
      <c r="D2371" s="0" t="n">
        <v>0.041685933</v>
      </c>
    </row>
    <row r="2372" customFormat="false" ht="13.8" hidden="true" customHeight="false" outlineLevel="0" collapsed="false">
      <c r="A2372" s="0" t="s">
        <v>713</v>
      </c>
      <c r="B2372" s="0" t="n">
        <v>17</v>
      </c>
      <c r="C2372" s="0" t="n">
        <v>2.35</v>
      </c>
      <c r="D2372" s="0" t="n">
        <v>0.042592149</v>
      </c>
    </row>
    <row r="2373" customFormat="false" ht="13.8" hidden="true" customHeight="false" outlineLevel="0" collapsed="false">
      <c r="A2373" s="0" t="s">
        <v>713</v>
      </c>
      <c r="B2373" s="0" t="n">
        <v>17</v>
      </c>
      <c r="C2373" s="0" t="n">
        <v>2.4</v>
      </c>
      <c r="D2373" s="0" t="n">
        <v>0.043498365</v>
      </c>
    </row>
    <row r="2374" customFormat="false" ht="13.8" hidden="true" customHeight="false" outlineLevel="0" collapsed="false">
      <c r="A2374" s="0" t="s">
        <v>713</v>
      </c>
      <c r="B2374" s="0" t="n">
        <v>17</v>
      </c>
      <c r="C2374" s="0" t="n">
        <v>2.45</v>
      </c>
      <c r="D2374" s="0" t="n">
        <v>0.044404581</v>
      </c>
    </row>
    <row r="2375" customFormat="false" ht="13.8" hidden="true" customHeight="false" outlineLevel="0" collapsed="false">
      <c r="A2375" s="0" t="s">
        <v>713</v>
      </c>
      <c r="B2375" s="0" t="n">
        <v>17</v>
      </c>
      <c r="C2375" s="0" t="n">
        <v>2.5</v>
      </c>
      <c r="D2375" s="0" t="n">
        <v>0.045310796</v>
      </c>
    </row>
    <row r="2376" customFormat="false" ht="13.8" hidden="true" customHeight="false" outlineLevel="0" collapsed="false">
      <c r="A2376" s="0" t="s">
        <v>713</v>
      </c>
      <c r="B2376" s="0" t="n">
        <v>17</v>
      </c>
      <c r="C2376" s="0" t="n">
        <v>2.55</v>
      </c>
      <c r="D2376" s="0" t="n">
        <v>0.046217012</v>
      </c>
    </row>
    <row r="2377" customFormat="false" ht="13.8" hidden="true" customHeight="false" outlineLevel="0" collapsed="false">
      <c r="A2377" s="0" t="s">
        <v>713</v>
      </c>
      <c r="B2377" s="0" t="n">
        <v>17</v>
      </c>
      <c r="C2377" s="0" t="n">
        <v>2.6</v>
      </c>
      <c r="D2377" s="0" t="n">
        <v>0.047123228</v>
      </c>
    </row>
    <row r="2378" customFormat="false" ht="13.8" hidden="true" customHeight="false" outlineLevel="0" collapsed="false">
      <c r="A2378" s="0" t="s">
        <v>713</v>
      </c>
      <c r="B2378" s="0" t="n">
        <v>18</v>
      </c>
      <c r="C2378" s="0" t="n">
        <v>1.3</v>
      </c>
      <c r="D2378" s="0" t="n">
        <v>0</v>
      </c>
    </row>
    <row r="2379" customFormat="false" ht="13.8" hidden="true" customHeight="false" outlineLevel="0" collapsed="false">
      <c r="A2379" s="0" t="s">
        <v>713</v>
      </c>
      <c r="B2379" s="0" t="n">
        <v>18</v>
      </c>
      <c r="C2379" s="0" t="n">
        <v>1.35</v>
      </c>
      <c r="D2379" s="0" t="n">
        <v>0</v>
      </c>
    </row>
    <row r="2380" customFormat="false" ht="13.8" hidden="true" customHeight="false" outlineLevel="0" collapsed="false">
      <c r="A2380" s="0" t="s">
        <v>713</v>
      </c>
      <c r="B2380" s="0" t="n">
        <v>18</v>
      </c>
      <c r="C2380" s="0" t="n">
        <v>1.4</v>
      </c>
      <c r="D2380" s="0" t="n">
        <v>0</v>
      </c>
    </row>
    <row r="2381" customFormat="false" ht="13.8" hidden="true" customHeight="false" outlineLevel="0" collapsed="false">
      <c r="A2381" s="0" t="s">
        <v>713</v>
      </c>
      <c r="B2381" s="0" t="n">
        <v>18</v>
      </c>
      <c r="C2381" s="0" t="n">
        <v>1.45</v>
      </c>
      <c r="D2381" s="0" t="n">
        <v>0</v>
      </c>
    </row>
    <row r="2382" customFormat="false" ht="13.8" hidden="true" customHeight="false" outlineLevel="0" collapsed="false">
      <c r="A2382" s="0" t="s">
        <v>713</v>
      </c>
      <c r="B2382" s="0" t="n">
        <v>18</v>
      </c>
      <c r="C2382" s="0" t="n">
        <v>1.5</v>
      </c>
      <c r="D2382" s="0" t="n">
        <v>0</v>
      </c>
    </row>
    <row r="2383" customFormat="false" ht="13.8" hidden="true" customHeight="false" outlineLevel="0" collapsed="false">
      <c r="A2383" s="0" t="s">
        <v>713</v>
      </c>
      <c r="B2383" s="0" t="n">
        <v>18</v>
      </c>
      <c r="C2383" s="0" t="n">
        <v>1.55</v>
      </c>
      <c r="D2383" s="0" t="n">
        <v>0</v>
      </c>
    </row>
    <row r="2384" customFormat="false" ht="13.8" hidden="true" customHeight="false" outlineLevel="0" collapsed="false">
      <c r="A2384" s="0" t="s">
        <v>713</v>
      </c>
      <c r="B2384" s="0" t="n">
        <v>18</v>
      </c>
      <c r="C2384" s="0" t="n">
        <v>1.6</v>
      </c>
      <c r="D2384" s="0" t="n">
        <v>0.029</v>
      </c>
    </row>
    <row r="2385" customFormat="false" ht="13.8" hidden="true" customHeight="false" outlineLevel="0" collapsed="false">
      <c r="A2385" s="0" t="s">
        <v>713</v>
      </c>
      <c r="B2385" s="0" t="n">
        <v>18</v>
      </c>
      <c r="C2385" s="0" t="n">
        <v>1.65</v>
      </c>
      <c r="D2385" s="0" t="n">
        <v>0.03</v>
      </c>
    </row>
    <row r="2386" customFormat="false" ht="13.8" hidden="true" customHeight="false" outlineLevel="0" collapsed="false">
      <c r="A2386" s="0" t="s">
        <v>713</v>
      </c>
      <c r="B2386" s="0" t="n">
        <v>18</v>
      </c>
      <c r="C2386" s="0" t="n">
        <v>1.7</v>
      </c>
      <c r="D2386" s="0" t="n">
        <v>0.031</v>
      </c>
    </row>
    <row r="2387" customFormat="false" ht="13.8" hidden="true" customHeight="false" outlineLevel="0" collapsed="false">
      <c r="A2387" s="0" t="s">
        <v>713</v>
      </c>
      <c r="B2387" s="0" t="n">
        <v>18</v>
      </c>
      <c r="C2387" s="0" t="n">
        <v>1.75</v>
      </c>
      <c r="D2387" s="0" t="n">
        <v>0.031</v>
      </c>
    </row>
    <row r="2388" customFormat="false" ht="13.8" hidden="true" customHeight="false" outlineLevel="0" collapsed="false">
      <c r="A2388" s="0" t="s">
        <v>713</v>
      </c>
      <c r="B2388" s="0" t="n">
        <v>18</v>
      </c>
      <c r="C2388" s="0" t="n">
        <v>1.8</v>
      </c>
      <c r="D2388" s="0" t="n">
        <v>0.034</v>
      </c>
    </row>
    <row r="2389" customFormat="false" ht="13.8" hidden="true" customHeight="false" outlineLevel="0" collapsed="false">
      <c r="A2389" s="0" t="s">
        <v>713</v>
      </c>
      <c r="B2389" s="0" t="n">
        <v>18</v>
      </c>
      <c r="C2389" s="0" t="n">
        <v>1.85</v>
      </c>
      <c r="D2389" s="0" t="n">
        <v>0.035</v>
      </c>
    </row>
    <row r="2390" customFormat="false" ht="13.8" hidden="true" customHeight="false" outlineLevel="0" collapsed="false">
      <c r="A2390" s="0" t="s">
        <v>713</v>
      </c>
      <c r="B2390" s="0" t="n">
        <v>18</v>
      </c>
      <c r="C2390" s="0" t="n">
        <v>1.9</v>
      </c>
      <c r="D2390" s="0" t="n">
        <v>0.035</v>
      </c>
    </row>
    <row r="2391" customFormat="false" ht="13.8" hidden="true" customHeight="false" outlineLevel="0" collapsed="false">
      <c r="A2391" s="0" t="s">
        <v>713</v>
      </c>
      <c r="B2391" s="0" t="n">
        <v>18</v>
      </c>
      <c r="C2391" s="0" t="n">
        <v>1.95</v>
      </c>
      <c r="D2391" s="0" t="n">
        <v>0.036</v>
      </c>
    </row>
    <row r="2392" customFormat="false" ht="13.8" hidden="true" customHeight="false" outlineLevel="0" collapsed="false">
      <c r="A2392" s="0" t="s">
        <v>713</v>
      </c>
      <c r="B2392" s="0" t="n">
        <v>18</v>
      </c>
      <c r="C2392" s="0" t="n">
        <v>2</v>
      </c>
      <c r="D2392" s="0" t="n">
        <v>0.038741584</v>
      </c>
    </row>
    <row r="2393" customFormat="false" ht="13.8" hidden="true" customHeight="false" outlineLevel="0" collapsed="false">
      <c r="A2393" s="0" t="s">
        <v>713</v>
      </c>
      <c r="B2393" s="0" t="n">
        <v>18</v>
      </c>
      <c r="C2393" s="0" t="n">
        <v>2.05</v>
      </c>
      <c r="D2393" s="0" t="n">
        <v>0.039710123</v>
      </c>
    </row>
    <row r="2394" customFormat="false" ht="13.8" hidden="true" customHeight="false" outlineLevel="0" collapsed="false">
      <c r="A2394" s="0" t="s">
        <v>713</v>
      </c>
      <c r="B2394" s="0" t="n">
        <v>18</v>
      </c>
      <c r="C2394" s="0" t="n">
        <v>2.1</v>
      </c>
      <c r="D2394" s="0" t="n">
        <v>0.040678663</v>
      </c>
    </row>
    <row r="2395" customFormat="false" ht="13.8" hidden="true" customHeight="false" outlineLevel="0" collapsed="false">
      <c r="A2395" s="0" t="s">
        <v>713</v>
      </c>
      <c r="B2395" s="0" t="n">
        <v>18</v>
      </c>
      <c r="C2395" s="0" t="n">
        <v>2.15</v>
      </c>
      <c r="D2395" s="0" t="n">
        <v>0.041647202</v>
      </c>
    </row>
    <row r="2396" customFormat="false" ht="13.8" hidden="true" customHeight="false" outlineLevel="0" collapsed="false">
      <c r="A2396" s="0" t="s">
        <v>713</v>
      </c>
      <c r="B2396" s="0" t="n">
        <v>18</v>
      </c>
      <c r="C2396" s="0" t="n">
        <v>2.2</v>
      </c>
      <c r="D2396" s="0" t="n">
        <v>0.039873501</v>
      </c>
    </row>
    <row r="2397" customFormat="false" ht="13.8" hidden="true" customHeight="false" outlineLevel="0" collapsed="false">
      <c r="A2397" s="0" t="s">
        <v>713</v>
      </c>
      <c r="B2397" s="0" t="n">
        <v>18</v>
      </c>
      <c r="C2397" s="0" t="n">
        <v>2.25</v>
      </c>
      <c r="D2397" s="0" t="n">
        <v>0.040779717</v>
      </c>
    </row>
    <row r="2398" customFormat="false" ht="13.8" hidden="true" customHeight="false" outlineLevel="0" collapsed="false">
      <c r="A2398" s="0" t="s">
        <v>713</v>
      </c>
      <c r="B2398" s="0" t="n">
        <v>18</v>
      </c>
      <c r="C2398" s="0" t="n">
        <v>2.3</v>
      </c>
      <c r="D2398" s="0" t="n">
        <v>0.041685933</v>
      </c>
    </row>
    <row r="2399" customFormat="false" ht="13.8" hidden="true" customHeight="false" outlineLevel="0" collapsed="false">
      <c r="A2399" s="0" t="s">
        <v>713</v>
      </c>
      <c r="B2399" s="0" t="n">
        <v>18</v>
      </c>
      <c r="C2399" s="0" t="n">
        <v>2.35</v>
      </c>
      <c r="D2399" s="0" t="n">
        <v>0.042592149</v>
      </c>
    </row>
    <row r="2400" customFormat="false" ht="13.8" hidden="true" customHeight="false" outlineLevel="0" collapsed="false">
      <c r="A2400" s="0" t="s">
        <v>713</v>
      </c>
      <c r="B2400" s="0" t="n">
        <v>18</v>
      </c>
      <c r="C2400" s="0" t="n">
        <v>2.4</v>
      </c>
      <c r="D2400" s="0" t="n">
        <v>0.043498365</v>
      </c>
    </row>
    <row r="2401" customFormat="false" ht="13.8" hidden="true" customHeight="false" outlineLevel="0" collapsed="false">
      <c r="A2401" s="0" t="s">
        <v>713</v>
      </c>
      <c r="B2401" s="0" t="n">
        <v>18</v>
      </c>
      <c r="C2401" s="0" t="n">
        <v>2.45</v>
      </c>
      <c r="D2401" s="0" t="n">
        <v>0.044404581</v>
      </c>
    </row>
    <row r="2402" customFormat="false" ht="13.8" hidden="true" customHeight="false" outlineLevel="0" collapsed="false">
      <c r="A2402" s="0" t="s">
        <v>713</v>
      </c>
      <c r="B2402" s="0" t="n">
        <v>18</v>
      </c>
      <c r="C2402" s="0" t="n">
        <v>2.5</v>
      </c>
      <c r="D2402" s="0" t="n">
        <v>0.045310796</v>
      </c>
    </row>
    <row r="2403" customFormat="false" ht="13.8" hidden="true" customHeight="false" outlineLevel="0" collapsed="false">
      <c r="A2403" s="0" t="s">
        <v>713</v>
      </c>
      <c r="B2403" s="0" t="n">
        <v>18</v>
      </c>
      <c r="C2403" s="0" t="n">
        <v>2.55</v>
      </c>
      <c r="D2403" s="0" t="n">
        <v>0.046217012</v>
      </c>
    </row>
    <row r="2404" customFormat="false" ht="13.8" hidden="true" customHeight="false" outlineLevel="0" collapsed="false">
      <c r="A2404" s="0" t="s">
        <v>713</v>
      </c>
      <c r="B2404" s="0" t="n">
        <v>18</v>
      </c>
      <c r="C2404" s="0" t="n">
        <v>2.6</v>
      </c>
      <c r="D2404" s="0" t="n">
        <v>0.047123228</v>
      </c>
    </row>
    <row r="2405" customFormat="false" ht="13.8" hidden="true" customHeight="false" outlineLevel="0" collapsed="false">
      <c r="A2405" s="0" t="s">
        <v>713</v>
      </c>
      <c r="B2405" s="0" t="n">
        <v>19</v>
      </c>
      <c r="C2405" s="0" t="n">
        <v>1.3</v>
      </c>
      <c r="D2405" s="0" t="n">
        <v>0</v>
      </c>
    </row>
    <row r="2406" customFormat="false" ht="13.8" hidden="true" customHeight="false" outlineLevel="0" collapsed="false">
      <c r="A2406" s="0" t="s">
        <v>713</v>
      </c>
      <c r="B2406" s="0" t="n">
        <v>19</v>
      </c>
      <c r="C2406" s="0" t="n">
        <v>1.35</v>
      </c>
      <c r="D2406" s="0" t="n">
        <v>0</v>
      </c>
    </row>
    <row r="2407" customFormat="false" ht="13.8" hidden="true" customHeight="false" outlineLevel="0" collapsed="false">
      <c r="A2407" s="0" t="s">
        <v>713</v>
      </c>
      <c r="B2407" s="0" t="n">
        <v>19</v>
      </c>
      <c r="C2407" s="0" t="n">
        <v>1.4</v>
      </c>
      <c r="D2407" s="0" t="n">
        <v>0</v>
      </c>
    </row>
    <row r="2408" customFormat="false" ht="13.8" hidden="true" customHeight="false" outlineLevel="0" collapsed="false">
      <c r="A2408" s="0" t="s">
        <v>713</v>
      </c>
      <c r="B2408" s="0" t="n">
        <v>19</v>
      </c>
      <c r="C2408" s="0" t="n">
        <v>1.45</v>
      </c>
      <c r="D2408" s="0" t="n">
        <v>0</v>
      </c>
    </row>
    <row r="2409" customFormat="false" ht="13.8" hidden="true" customHeight="false" outlineLevel="0" collapsed="false">
      <c r="A2409" s="0" t="s">
        <v>713</v>
      </c>
      <c r="B2409" s="0" t="n">
        <v>19</v>
      </c>
      <c r="C2409" s="0" t="n">
        <v>1.5</v>
      </c>
      <c r="D2409" s="0" t="n">
        <v>0</v>
      </c>
    </row>
    <row r="2410" customFormat="false" ht="13.8" hidden="true" customHeight="false" outlineLevel="0" collapsed="false">
      <c r="A2410" s="0" t="s">
        <v>713</v>
      </c>
      <c r="B2410" s="0" t="n">
        <v>19</v>
      </c>
      <c r="C2410" s="0" t="n">
        <v>1.55</v>
      </c>
      <c r="D2410" s="0" t="n">
        <v>0</v>
      </c>
    </row>
    <row r="2411" customFormat="false" ht="13.8" hidden="true" customHeight="false" outlineLevel="0" collapsed="false">
      <c r="A2411" s="0" t="s">
        <v>713</v>
      </c>
      <c r="B2411" s="0" t="n">
        <v>19</v>
      </c>
      <c r="C2411" s="0" t="n">
        <v>1.6</v>
      </c>
      <c r="D2411" s="0" t="n">
        <v>0.029</v>
      </c>
    </row>
    <row r="2412" customFormat="false" ht="13.8" hidden="true" customHeight="false" outlineLevel="0" collapsed="false">
      <c r="A2412" s="0" t="s">
        <v>713</v>
      </c>
      <c r="B2412" s="0" t="n">
        <v>19</v>
      </c>
      <c r="C2412" s="0" t="n">
        <v>1.65</v>
      </c>
      <c r="D2412" s="0" t="n">
        <v>0.03</v>
      </c>
    </row>
    <row r="2413" customFormat="false" ht="13.8" hidden="true" customHeight="false" outlineLevel="0" collapsed="false">
      <c r="A2413" s="0" t="s">
        <v>713</v>
      </c>
      <c r="B2413" s="0" t="n">
        <v>19</v>
      </c>
      <c r="C2413" s="0" t="n">
        <v>1.7</v>
      </c>
      <c r="D2413" s="0" t="n">
        <v>0.031</v>
      </c>
    </row>
    <row r="2414" customFormat="false" ht="13.8" hidden="true" customHeight="false" outlineLevel="0" collapsed="false">
      <c r="A2414" s="0" t="s">
        <v>713</v>
      </c>
      <c r="B2414" s="0" t="n">
        <v>19</v>
      </c>
      <c r="C2414" s="0" t="n">
        <v>1.75</v>
      </c>
      <c r="D2414" s="0" t="n">
        <v>0.031</v>
      </c>
    </row>
    <row r="2415" customFormat="false" ht="13.8" hidden="true" customHeight="false" outlineLevel="0" collapsed="false">
      <c r="A2415" s="0" t="s">
        <v>713</v>
      </c>
      <c r="B2415" s="0" t="n">
        <v>19</v>
      </c>
      <c r="C2415" s="0" t="n">
        <v>1.8</v>
      </c>
      <c r="D2415" s="0" t="n">
        <v>0.034</v>
      </c>
    </row>
    <row r="2416" customFormat="false" ht="13.8" hidden="true" customHeight="false" outlineLevel="0" collapsed="false">
      <c r="A2416" s="0" t="s">
        <v>713</v>
      </c>
      <c r="B2416" s="0" t="n">
        <v>19</v>
      </c>
      <c r="C2416" s="0" t="n">
        <v>1.85</v>
      </c>
      <c r="D2416" s="0" t="n">
        <v>0.035</v>
      </c>
    </row>
    <row r="2417" customFormat="false" ht="13.8" hidden="true" customHeight="false" outlineLevel="0" collapsed="false">
      <c r="A2417" s="0" t="s">
        <v>713</v>
      </c>
      <c r="B2417" s="0" t="n">
        <v>19</v>
      </c>
      <c r="C2417" s="0" t="n">
        <v>1.9</v>
      </c>
      <c r="D2417" s="0" t="n">
        <v>0.035</v>
      </c>
    </row>
    <row r="2418" customFormat="false" ht="13.8" hidden="true" customHeight="false" outlineLevel="0" collapsed="false">
      <c r="A2418" s="0" t="s">
        <v>713</v>
      </c>
      <c r="B2418" s="0" t="n">
        <v>19</v>
      </c>
      <c r="C2418" s="0" t="n">
        <v>1.95</v>
      </c>
      <c r="D2418" s="0" t="n">
        <v>0.036</v>
      </c>
    </row>
    <row r="2419" customFormat="false" ht="13.8" hidden="true" customHeight="false" outlineLevel="0" collapsed="false">
      <c r="A2419" s="0" t="s">
        <v>713</v>
      </c>
      <c r="B2419" s="0" t="n">
        <v>19</v>
      </c>
      <c r="C2419" s="0" t="n">
        <v>2</v>
      </c>
      <c r="D2419" s="0" t="n">
        <v>0.038741584</v>
      </c>
    </row>
    <row r="2420" customFormat="false" ht="13.8" hidden="true" customHeight="false" outlineLevel="0" collapsed="false">
      <c r="A2420" s="0" t="s">
        <v>713</v>
      </c>
      <c r="B2420" s="0" t="n">
        <v>19</v>
      </c>
      <c r="C2420" s="0" t="n">
        <v>2.05</v>
      </c>
      <c r="D2420" s="0" t="n">
        <v>0.039710123</v>
      </c>
    </row>
    <row r="2421" customFormat="false" ht="13.8" hidden="true" customHeight="false" outlineLevel="0" collapsed="false">
      <c r="A2421" s="0" t="s">
        <v>713</v>
      </c>
      <c r="B2421" s="0" t="n">
        <v>19</v>
      </c>
      <c r="C2421" s="0" t="n">
        <v>2.1</v>
      </c>
      <c r="D2421" s="0" t="n">
        <v>0.040678663</v>
      </c>
    </row>
    <row r="2422" customFormat="false" ht="13.8" hidden="true" customHeight="false" outlineLevel="0" collapsed="false">
      <c r="A2422" s="0" t="s">
        <v>713</v>
      </c>
      <c r="B2422" s="0" t="n">
        <v>19</v>
      </c>
      <c r="C2422" s="0" t="n">
        <v>2.15</v>
      </c>
      <c r="D2422" s="0" t="n">
        <v>0.041647202</v>
      </c>
    </row>
    <row r="2423" customFormat="false" ht="13.8" hidden="true" customHeight="false" outlineLevel="0" collapsed="false">
      <c r="A2423" s="0" t="s">
        <v>713</v>
      </c>
      <c r="B2423" s="0" t="n">
        <v>19</v>
      </c>
      <c r="C2423" s="0" t="n">
        <v>2.2</v>
      </c>
      <c r="D2423" s="0" t="n">
        <v>0.039873501</v>
      </c>
    </row>
    <row r="2424" customFormat="false" ht="13.8" hidden="true" customHeight="false" outlineLevel="0" collapsed="false">
      <c r="A2424" s="0" t="s">
        <v>713</v>
      </c>
      <c r="B2424" s="0" t="n">
        <v>19</v>
      </c>
      <c r="C2424" s="0" t="n">
        <v>2.25</v>
      </c>
      <c r="D2424" s="0" t="n">
        <v>0.040779717</v>
      </c>
    </row>
    <row r="2425" customFormat="false" ht="13.8" hidden="true" customHeight="false" outlineLevel="0" collapsed="false">
      <c r="A2425" s="0" t="s">
        <v>713</v>
      </c>
      <c r="B2425" s="0" t="n">
        <v>19</v>
      </c>
      <c r="C2425" s="0" t="n">
        <v>2.3</v>
      </c>
      <c r="D2425" s="0" t="n">
        <v>0.041685933</v>
      </c>
    </row>
    <row r="2426" customFormat="false" ht="13.8" hidden="true" customHeight="false" outlineLevel="0" collapsed="false">
      <c r="A2426" s="0" t="s">
        <v>713</v>
      </c>
      <c r="B2426" s="0" t="n">
        <v>19</v>
      </c>
      <c r="C2426" s="0" t="n">
        <v>2.35</v>
      </c>
      <c r="D2426" s="0" t="n">
        <v>0.042592149</v>
      </c>
    </row>
    <row r="2427" customFormat="false" ht="13.8" hidden="true" customHeight="false" outlineLevel="0" collapsed="false">
      <c r="A2427" s="0" t="s">
        <v>713</v>
      </c>
      <c r="B2427" s="0" t="n">
        <v>19</v>
      </c>
      <c r="C2427" s="0" t="n">
        <v>2.4</v>
      </c>
      <c r="D2427" s="0" t="n">
        <v>0.043498365</v>
      </c>
    </row>
    <row r="2428" customFormat="false" ht="13.8" hidden="true" customHeight="false" outlineLevel="0" collapsed="false">
      <c r="A2428" s="0" t="s">
        <v>713</v>
      </c>
      <c r="B2428" s="0" t="n">
        <v>19</v>
      </c>
      <c r="C2428" s="0" t="n">
        <v>2.45</v>
      </c>
      <c r="D2428" s="0" t="n">
        <v>0.044404581</v>
      </c>
    </row>
    <row r="2429" customFormat="false" ht="13.8" hidden="true" customHeight="false" outlineLevel="0" collapsed="false">
      <c r="A2429" s="0" t="s">
        <v>713</v>
      </c>
      <c r="B2429" s="0" t="n">
        <v>19</v>
      </c>
      <c r="C2429" s="0" t="n">
        <v>2.5</v>
      </c>
      <c r="D2429" s="0" t="n">
        <v>0.045310796</v>
      </c>
    </row>
    <row r="2430" customFormat="false" ht="13.8" hidden="true" customHeight="false" outlineLevel="0" collapsed="false">
      <c r="A2430" s="0" t="s">
        <v>713</v>
      </c>
      <c r="B2430" s="0" t="n">
        <v>19</v>
      </c>
      <c r="C2430" s="0" t="n">
        <v>2.55</v>
      </c>
      <c r="D2430" s="0" t="n">
        <v>0.046217012</v>
      </c>
    </row>
    <row r="2431" customFormat="false" ht="13.8" hidden="true" customHeight="false" outlineLevel="0" collapsed="false">
      <c r="A2431" s="0" t="s">
        <v>713</v>
      </c>
      <c r="B2431" s="0" t="n">
        <v>19</v>
      </c>
      <c r="C2431" s="0" t="n">
        <v>2.6</v>
      </c>
      <c r="D2431" s="0" t="n">
        <v>0.047123228</v>
      </c>
    </row>
    <row r="2432" customFormat="false" ht="13.8" hidden="true" customHeight="false" outlineLevel="0" collapsed="false">
      <c r="A2432" s="0" t="s">
        <v>713</v>
      </c>
      <c r="B2432" s="0" t="n">
        <v>20</v>
      </c>
      <c r="C2432" s="0" t="n">
        <v>1.3</v>
      </c>
      <c r="D2432" s="0" t="n">
        <v>0</v>
      </c>
    </row>
    <row r="2433" customFormat="false" ht="13.8" hidden="true" customHeight="false" outlineLevel="0" collapsed="false">
      <c r="A2433" s="0" t="s">
        <v>713</v>
      </c>
      <c r="B2433" s="0" t="n">
        <v>20</v>
      </c>
      <c r="C2433" s="0" t="n">
        <v>1.35</v>
      </c>
      <c r="D2433" s="0" t="n">
        <v>0</v>
      </c>
    </row>
    <row r="2434" customFormat="false" ht="13.8" hidden="true" customHeight="false" outlineLevel="0" collapsed="false">
      <c r="A2434" s="0" t="s">
        <v>713</v>
      </c>
      <c r="B2434" s="0" t="n">
        <v>20</v>
      </c>
      <c r="C2434" s="0" t="n">
        <v>1.4</v>
      </c>
      <c r="D2434" s="0" t="n">
        <v>0</v>
      </c>
    </row>
    <row r="2435" customFormat="false" ht="13.8" hidden="true" customHeight="false" outlineLevel="0" collapsed="false">
      <c r="A2435" s="0" t="s">
        <v>713</v>
      </c>
      <c r="B2435" s="0" t="n">
        <v>20</v>
      </c>
      <c r="C2435" s="0" t="n">
        <v>1.45</v>
      </c>
      <c r="D2435" s="0" t="n">
        <v>0</v>
      </c>
    </row>
    <row r="2436" customFormat="false" ht="13.8" hidden="true" customHeight="false" outlineLevel="0" collapsed="false">
      <c r="A2436" s="0" t="s">
        <v>713</v>
      </c>
      <c r="B2436" s="0" t="n">
        <v>20</v>
      </c>
      <c r="C2436" s="0" t="n">
        <v>1.5</v>
      </c>
      <c r="D2436" s="0" t="n">
        <v>0</v>
      </c>
    </row>
    <row r="2437" customFormat="false" ht="13.8" hidden="true" customHeight="false" outlineLevel="0" collapsed="false">
      <c r="A2437" s="0" t="s">
        <v>713</v>
      </c>
      <c r="B2437" s="0" t="n">
        <v>20</v>
      </c>
      <c r="C2437" s="0" t="n">
        <v>1.55</v>
      </c>
      <c r="D2437" s="0" t="n">
        <v>0</v>
      </c>
    </row>
    <row r="2438" customFormat="false" ht="13.8" hidden="true" customHeight="false" outlineLevel="0" collapsed="false">
      <c r="A2438" s="0" t="s">
        <v>713</v>
      </c>
      <c r="B2438" s="0" t="n">
        <v>20</v>
      </c>
      <c r="C2438" s="0" t="n">
        <v>1.6</v>
      </c>
      <c r="D2438" s="0" t="n">
        <v>0.029</v>
      </c>
    </row>
    <row r="2439" customFormat="false" ht="13.8" hidden="true" customHeight="false" outlineLevel="0" collapsed="false">
      <c r="A2439" s="0" t="s">
        <v>713</v>
      </c>
      <c r="B2439" s="0" t="n">
        <v>20</v>
      </c>
      <c r="C2439" s="0" t="n">
        <v>1.65</v>
      </c>
      <c r="D2439" s="0" t="n">
        <v>0.03</v>
      </c>
    </row>
    <row r="2440" customFormat="false" ht="13.8" hidden="true" customHeight="false" outlineLevel="0" collapsed="false">
      <c r="A2440" s="0" t="s">
        <v>713</v>
      </c>
      <c r="B2440" s="0" t="n">
        <v>20</v>
      </c>
      <c r="C2440" s="0" t="n">
        <v>1.7</v>
      </c>
      <c r="D2440" s="0" t="n">
        <v>0.031</v>
      </c>
    </row>
    <row r="2441" customFormat="false" ht="13.8" hidden="true" customHeight="false" outlineLevel="0" collapsed="false">
      <c r="A2441" s="0" t="s">
        <v>713</v>
      </c>
      <c r="B2441" s="0" t="n">
        <v>20</v>
      </c>
      <c r="C2441" s="0" t="n">
        <v>1.75</v>
      </c>
      <c r="D2441" s="0" t="n">
        <v>0.031</v>
      </c>
    </row>
    <row r="2442" customFormat="false" ht="13.8" hidden="true" customHeight="false" outlineLevel="0" collapsed="false">
      <c r="A2442" s="0" t="s">
        <v>713</v>
      </c>
      <c r="B2442" s="0" t="n">
        <v>20</v>
      </c>
      <c r="C2442" s="0" t="n">
        <v>1.8</v>
      </c>
      <c r="D2442" s="0" t="n">
        <v>0.034</v>
      </c>
    </row>
    <row r="2443" customFormat="false" ht="13.8" hidden="true" customHeight="false" outlineLevel="0" collapsed="false">
      <c r="A2443" s="0" t="s">
        <v>713</v>
      </c>
      <c r="B2443" s="0" t="n">
        <v>20</v>
      </c>
      <c r="C2443" s="0" t="n">
        <v>1.85</v>
      </c>
      <c r="D2443" s="0" t="n">
        <v>0.035</v>
      </c>
    </row>
    <row r="2444" customFormat="false" ht="13.8" hidden="true" customHeight="false" outlineLevel="0" collapsed="false">
      <c r="A2444" s="0" t="s">
        <v>713</v>
      </c>
      <c r="B2444" s="0" t="n">
        <v>20</v>
      </c>
      <c r="C2444" s="0" t="n">
        <v>1.9</v>
      </c>
      <c r="D2444" s="0" t="n">
        <v>0.035</v>
      </c>
    </row>
    <row r="2445" customFormat="false" ht="13.8" hidden="true" customHeight="false" outlineLevel="0" collapsed="false">
      <c r="A2445" s="0" t="s">
        <v>713</v>
      </c>
      <c r="B2445" s="0" t="n">
        <v>20</v>
      </c>
      <c r="C2445" s="0" t="n">
        <v>1.95</v>
      </c>
      <c r="D2445" s="0" t="n">
        <v>0.036</v>
      </c>
    </row>
    <row r="2446" customFormat="false" ht="13.8" hidden="true" customHeight="false" outlineLevel="0" collapsed="false">
      <c r="A2446" s="0" t="s">
        <v>713</v>
      </c>
      <c r="B2446" s="0" t="n">
        <v>20</v>
      </c>
      <c r="C2446" s="0" t="n">
        <v>2</v>
      </c>
      <c r="D2446" s="0" t="n">
        <v>0.038741584</v>
      </c>
    </row>
    <row r="2447" customFormat="false" ht="13.8" hidden="true" customHeight="false" outlineLevel="0" collapsed="false">
      <c r="A2447" s="0" t="s">
        <v>713</v>
      </c>
      <c r="B2447" s="0" t="n">
        <v>20</v>
      </c>
      <c r="C2447" s="0" t="n">
        <v>2.05</v>
      </c>
      <c r="D2447" s="0" t="n">
        <v>0.039710123</v>
      </c>
    </row>
    <row r="2448" customFormat="false" ht="13.8" hidden="true" customHeight="false" outlineLevel="0" collapsed="false">
      <c r="A2448" s="0" t="s">
        <v>713</v>
      </c>
      <c r="B2448" s="0" t="n">
        <v>20</v>
      </c>
      <c r="C2448" s="0" t="n">
        <v>2.1</v>
      </c>
      <c r="D2448" s="0" t="n">
        <v>0.040678663</v>
      </c>
    </row>
    <row r="2449" customFormat="false" ht="13.8" hidden="true" customHeight="false" outlineLevel="0" collapsed="false">
      <c r="A2449" s="0" t="s">
        <v>713</v>
      </c>
      <c r="B2449" s="0" t="n">
        <v>20</v>
      </c>
      <c r="C2449" s="0" t="n">
        <v>2.15</v>
      </c>
      <c r="D2449" s="0" t="n">
        <v>0.041647202</v>
      </c>
    </row>
    <row r="2450" customFormat="false" ht="13.8" hidden="true" customHeight="false" outlineLevel="0" collapsed="false">
      <c r="A2450" s="0" t="s">
        <v>713</v>
      </c>
      <c r="B2450" s="0" t="n">
        <v>20</v>
      </c>
      <c r="C2450" s="0" t="n">
        <v>2.2</v>
      </c>
      <c r="D2450" s="0" t="n">
        <v>0.039873501</v>
      </c>
    </row>
    <row r="2451" customFormat="false" ht="13.8" hidden="true" customHeight="false" outlineLevel="0" collapsed="false">
      <c r="A2451" s="0" t="s">
        <v>713</v>
      </c>
      <c r="B2451" s="0" t="n">
        <v>20</v>
      </c>
      <c r="C2451" s="0" t="n">
        <v>2.25</v>
      </c>
      <c r="D2451" s="0" t="n">
        <v>0.040779717</v>
      </c>
    </row>
    <row r="2452" customFormat="false" ht="13.8" hidden="true" customHeight="false" outlineLevel="0" collapsed="false">
      <c r="A2452" s="0" t="s">
        <v>713</v>
      </c>
      <c r="B2452" s="0" t="n">
        <v>20</v>
      </c>
      <c r="C2452" s="0" t="n">
        <v>2.3</v>
      </c>
      <c r="D2452" s="0" t="n">
        <v>0.041685933</v>
      </c>
    </row>
    <row r="2453" customFormat="false" ht="13.8" hidden="true" customHeight="false" outlineLevel="0" collapsed="false">
      <c r="A2453" s="0" t="s">
        <v>713</v>
      </c>
      <c r="B2453" s="0" t="n">
        <v>20</v>
      </c>
      <c r="C2453" s="0" t="n">
        <v>2.35</v>
      </c>
      <c r="D2453" s="0" t="n">
        <v>0.042592149</v>
      </c>
    </row>
    <row r="2454" customFormat="false" ht="13.8" hidden="true" customHeight="false" outlineLevel="0" collapsed="false">
      <c r="A2454" s="0" t="s">
        <v>713</v>
      </c>
      <c r="B2454" s="0" t="n">
        <v>20</v>
      </c>
      <c r="C2454" s="0" t="n">
        <v>2.4</v>
      </c>
      <c r="D2454" s="0" t="n">
        <v>0.043498365</v>
      </c>
    </row>
    <row r="2455" customFormat="false" ht="13.8" hidden="true" customHeight="false" outlineLevel="0" collapsed="false">
      <c r="A2455" s="0" t="s">
        <v>713</v>
      </c>
      <c r="B2455" s="0" t="n">
        <v>20</v>
      </c>
      <c r="C2455" s="0" t="n">
        <v>2.45</v>
      </c>
      <c r="D2455" s="0" t="n">
        <v>0.044404581</v>
      </c>
    </row>
    <row r="2456" customFormat="false" ht="13.8" hidden="true" customHeight="false" outlineLevel="0" collapsed="false">
      <c r="A2456" s="0" t="s">
        <v>713</v>
      </c>
      <c r="B2456" s="0" t="n">
        <v>20</v>
      </c>
      <c r="C2456" s="0" t="n">
        <v>2.5</v>
      </c>
      <c r="D2456" s="0" t="n">
        <v>0.045310796</v>
      </c>
    </row>
    <row r="2457" customFormat="false" ht="13.8" hidden="true" customHeight="false" outlineLevel="0" collapsed="false">
      <c r="A2457" s="0" t="s">
        <v>713</v>
      </c>
      <c r="B2457" s="0" t="n">
        <v>20</v>
      </c>
      <c r="C2457" s="0" t="n">
        <v>2.55</v>
      </c>
      <c r="D2457" s="0" t="n">
        <v>0.046217012</v>
      </c>
    </row>
    <row r="2458" customFormat="false" ht="13.8" hidden="true" customHeight="false" outlineLevel="0" collapsed="false">
      <c r="A2458" s="0" t="s">
        <v>713</v>
      </c>
      <c r="B2458" s="0" t="n">
        <v>20</v>
      </c>
      <c r="C2458" s="0" t="n">
        <v>2.6</v>
      </c>
      <c r="D2458" s="0" t="n">
        <v>0.047123228</v>
      </c>
    </row>
    <row r="2459" customFormat="false" ht="13.8" hidden="true" customHeight="false" outlineLevel="0" collapsed="false">
      <c r="A2459" s="0" t="s">
        <v>713</v>
      </c>
      <c r="B2459" s="0" t="n">
        <v>21</v>
      </c>
      <c r="C2459" s="0" t="n">
        <v>1.3</v>
      </c>
      <c r="D2459" s="0" t="n">
        <v>0</v>
      </c>
    </row>
    <row r="2460" customFormat="false" ht="13.8" hidden="true" customHeight="false" outlineLevel="0" collapsed="false">
      <c r="A2460" s="0" t="s">
        <v>713</v>
      </c>
      <c r="B2460" s="0" t="n">
        <v>21</v>
      </c>
      <c r="C2460" s="0" t="n">
        <v>1.35</v>
      </c>
      <c r="D2460" s="0" t="n">
        <v>0</v>
      </c>
    </row>
    <row r="2461" customFormat="false" ht="13.8" hidden="true" customHeight="false" outlineLevel="0" collapsed="false">
      <c r="A2461" s="0" t="s">
        <v>713</v>
      </c>
      <c r="B2461" s="0" t="n">
        <v>21</v>
      </c>
      <c r="C2461" s="0" t="n">
        <v>1.4</v>
      </c>
      <c r="D2461" s="0" t="n">
        <v>0</v>
      </c>
    </row>
    <row r="2462" customFormat="false" ht="13.8" hidden="true" customHeight="false" outlineLevel="0" collapsed="false">
      <c r="A2462" s="0" t="s">
        <v>713</v>
      </c>
      <c r="B2462" s="0" t="n">
        <v>21</v>
      </c>
      <c r="C2462" s="0" t="n">
        <v>1.45</v>
      </c>
      <c r="D2462" s="0" t="n">
        <v>0</v>
      </c>
    </row>
    <row r="2463" customFormat="false" ht="13.8" hidden="true" customHeight="false" outlineLevel="0" collapsed="false">
      <c r="A2463" s="0" t="s">
        <v>713</v>
      </c>
      <c r="B2463" s="0" t="n">
        <v>21</v>
      </c>
      <c r="C2463" s="0" t="n">
        <v>1.5</v>
      </c>
      <c r="D2463" s="0" t="n">
        <v>0</v>
      </c>
    </row>
    <row r="2464" customFormat="false" ht="13.8" hidden="true" customHeight="false" outlineLevel="0" collapsed="false">
      <c r="A2464" s="0" t="s">
        <v>713</v>
      </c>
      <c r="B2464" s="0" t="n">
        <v>21</v>
      </c>
      <c r="C2464" s="0" t="n">
        <v>1.55</v>
      </c>
      <c r="D2464" s="0" t="n">
        <v>0</v>
      </c>
    </row>
    <row r="2465" customFormat="false" ht="13.8" hidden="true" customHeight="false" outlineLevel="0" collapsed="false">
      <c r="A2465" s="0" t="s">
        <v>713</v>
      </c>
      <c r="B2465" s="0" t="n">
        <v>21</v>
      </c>
      <c r="C2465" s="0" t="n">
        <v>1.6</v>
      </c>
      <c r="D2465" s="0" t="n">
        <v>0.029</v>
      </c>
    </row>
    <row r="2466" customFormat="false" ht="13.8" hidden="true" customHeight="false" outlineLevel="0" collapsed="false">
      <c r="A2466" s="0" t="s">
        <v>713</v>
      </c>
      <c r="B2466" s="0" t="n">
        <v>21</v>
      </c>
      <c r="C2466" s="0" t="n">
        <v>1.65</v>
      </c>
      <c r="D2466" s="0" t="n">
        <v>0.03</v>
      </c>
    </row>
    <row r="2467" customFormat="false" ht="13.8" hidden="true" customHeight="false" outlineLevel="0" collapsed="false">
      <c r="A2467" s="0" t="s">
        <v>713</v>
      </c>
      <c r="B2467" s="0" t="n">
        <v>21</v>
      </c>
      <c r="C2467" s="0" t="n">
        <v>1.7</v>
      </c>
      <c r="D2467" s="0" t="n">
        <v>0.031</v>
      </c>
    </row>
    <row r="2468" customFormat="false" ht="13.8" hidden="true" customHeight="false" outlineLevel="0" collapsed="false">
      <c r="A2468" s="0" t="s">
        <v>713</v>
      </c>
      <c r="B2468" s="0" t="n">
        <v>21</v>
      </c>
      <c r="C2468" s="0" t="n">
        <v>1.75</v>
      </c>
      <c r="D2468" s="0" t="n">
        <v>0.031</v>
      </c>
    </row>
    <row r="2469" customFormat="false" ht="13.8" hidden="true" customHeight="false" outlineLevel="0" collapsed="false">
      <c r="A2469" s="0" t="s">
        <v>713</v>
      </c>
      <c r="B2469" s="0" t="n">
        <v>21</v>
      </c>
      <c r="C2469" s="0" t="n">
        <v>1.8</v>
      </c>
      <c r="D2469" s="0" t="n">
        <v>0.034</v>
      </c>
    </row>
    <row r="2470" customFormat="false" ht="13.8" hidden="true" customHeight="false" outlineLevel="0" collapsed="false">
      <c r="A2470" s="0" t="s">
        <v>713</v>
      </c>
      <c r="B2470" s="0" t="n">
        <v>21</v>
      </c>
      <c r="C2470" s="0" t="n">
        <v>1.85</v>
      </c>
      <c r="D2470" s="0" t="n">
        <v>0.035</v>
      </c>
    </row>
    <row r="2471" customFormat="false" ht="13.8" hidden="true" customHeight="false" outlineLevel="0" collapsed="false">
      <c r="A2471" s="0" t="s">
        <v>713</v>
      </c>
      <c r="B2471" s="0" t="n">
        <v>21</v>
      </c>
      <c r="C2471" s="0" t="n">
        <v>1.9</v>
      </c>
      <c r="D2471" s="0" t="n">
        <v>0.035</v>
      </c>
    </row>
    <row r="2472" customFormat="false" ht="13.8" hidden="true" customHeight="false" outlineLevel="0" collapsed="false">
      <c r="A2472" s="0" t="s">
        <v>713</v>
      </c>
      <c r="B2472" s="0" t="n">
        <v>21</v>
      </c>
      <c r="C2472" s="0" t="n">
        <v>1.95</v>
      </c>
      <c r="D2472" s="0" t="n">
        <v>0.036</v>
      </c>
    </row>
    <row r="2473" customFormat="false" ht="13.8" hidden="true" customHeight="false" outlineLevel="0" collapsed="false">
      <c r="A2473" s="0" t="s">
        <v>713</v>
      </c>
      <c r="B2473" s="0" t="n">
        <v>21</v>
      </c>
      <c r="C2473" s="0" t="n">
        <v>2</v>
      </c>
      <c r="D2473" s="0" t="n">
        <v>0.038741584</v>
      </c>
    </row>
    <row r="2474" customFormat="false" ht="13.8" hidden="true" customHeight="false" outlineLevel="0" collapsed="false">
      <c r="A2474" s="0" t="s">
        <v>713</v>
      </c>
      <c r="B2474" s="0" t="n">
        <v>21</v>
      </c>
      <c r="C2474" s="0" t="n">
        <v>2.05</v>
      </c>
      <c r="D2474" s="0" t="n">
        <v>0.039710123</v>
      </c>
    </row>
    <row r="2475" customFormat="false" ht="13.8" hidden="true" customHeight="false" outlineLevel="0" collapsed="false">
      <c r="A2475" s="0" t="s">
        <v>713</v>
      </c>
      <c r="B2475" s="0" t="n">
        <v>21</v>
      </c>
      <c r="C2475" s="0" t="n">
        <v>2.1</v>
      </c>
      <c r="D2475" s="0" t="n">
        <v>0.040678663</v>
      </c>
    </row>
    <row r="2476" customFormat="false" ht="13.8" hidden="true" customHeight="false" outlineLevel="0" collapsed="false">
      <c r="A2476" s="0" t="s">
        <v>713</v>
      </c>
      <c r="B2476" s="0" t="n">
        <v>21</v>
      </c>
      <c r="C2476" s="0" t="n">
        <v>2.15</v>
      </c>
      <c r="D2476" s="0" t="n">
        <v>0.041647202</v>
      </c>
    </row>
    <row r="2477" customFormat="false" ht="13.8" hidden="true" customHeight="false" outlineLevel="0" collapsed="false">
      <c r="A2477" s="0" t="s">
        <v>713</v>
      </c>
      <c r="B2477" s="0" t="n">
        <v>21</v>
      </c>
      <c r="C2477" s="0" t="n">
        <v>2.2</v>
      </c>
      <c r="D2477" s="0" t="n">
        <v>0.039873501</v>
      </c>
    </row>
    <row r="2478" customFormat="false" ht="13.8" hidden="true" customHeight="false" outlineLevel="0" collapsed="false">
      <c r="A2478" s="0" t="s">
        <v>713</v>
      </c>
      <c r="B2478" s="0" t="n">
        <v>21</v>
      </c>
      <c r="C2478" s="0" t="n">
        <v>2.25</v>
      </c>
      <c r="D2478" s="0" t="n">
        <v>0.040779717</v>
      </c>
    </row>
    <row r="2479" customFormat="false" ht="13.8" hidden="true" customHeight="false" outlineLevel="0" collapsed="false">
      <c r="A2479" s="0" t="s">
        <v>713</v>
      </c>
      <c r="B2479" s="0" t="n">
        <v>21</v>
      </c>
      <c r="C2479" s="0" t="n">
        <v>2.3</v>
      </c>
      <c r="D2479" s="0" t="n">
        <v>0.041685933</v>
      </c>
    </row>
    <row r="2480" customFormat="false" ht="13.8" hidden="true" customHeight="false" outlineLevel="0" collapsed="false">
      <c r="A2480" s="0" t="s">
        <v>713</v>
      </c>
      <c r="B2480" s="0" t="n">
        <v>21</v>
      </c>
      <c r="C2480" s="0" t="n">
        <v>2.35</v>
      </c>
      <c r="D2480" s="0" t="n">
        <v>0.042592149</v>
      </c>
    </row>
    <row r="2481" customFormat="false" ht="13.8" hidden="true" customHeight="false" outlineLevel="0" collapsed="false">
      <c r="A2481" s="0" t="s">
        <v>713</v>
      </c>
      <c r="B2481" s="0" t="n">
        <v>21</v>
      </c>
      <c r="C2481" s="0" t="n">
        <v>2.4</v>
      </c>
      <c r="D2481" s="0" t="n">
        <v>0.043498365</v>
      </c>
    </row>
    <row r="2482" customFormat="false" ht="13.8" hidden="true" customHeight="false" outlineLevel="0" collapsed="false">
      <c r="A2482" s="0" t="s">
        <v>713</v>
      </c>
      <c r="B2482" s="0" t="n">
        <v>21</v>
      </c>
      <c r="C2482" s="0" t="n">
        <v>2.45</v>
      </c>
      <c r="D2482" s="0" t="n">
        <v>0.044404581</v>
      </c>
    </row>
    <row r="2483" customFormat="false" ht="13.8" hidden="true" customHeight="false" outlineLevel="0" collapsed="false">
      <c r="A2483" s="0" t="s">
        <v>713</v>
      </c>
      <c r="B2483" s="0" t="n">
        <v>21</v>
      </c>
      <c r="C2483" s="0" t="n">
        <v>2.5</v>
      </c>
      <c r="D2483" s="0" t="n">
        <v>0.045310796</v>
      </c>
    </row>
    <row r="2484" customFormat="false" ht="13.8" hidden="true" customHeight="false" outlineLevel="0" collapsed="false">
      <c r="A2484" s="0" t="s">
        <v>713</v>
      </c>
      <c r="B2484" s="0" t="n">
        <v>21</v>
      </c>
      <c r="C2484" s="0" t="n">
        <v>2.55</v>
      </c>
      <c r="D2484" s="0" t="n">
        <v>0.046217012</v>
      </c>
    </row>
    <row r="2485" customFormat="false" ht="13.8" hidden="true" customHeight="false" outlineLevel="0" collapsed="false">
      <c r="A2485" s="0" t="s">
        <v>713</v>
      </c>
      <c r="B2485" s="0" t="n">
        <v>21</v>
      </c>
      <c r="C2485" s="0" t="n">
        <v>2.6</v>
      </c>
      <c r="D2485" s="0" t="n">
        <v>0.047123228</v>
      </c>
    </row>
    <row r="2486" customFormat="false" ht="13.8" hidden="true" customHeight="false" outlineLevel="0" collapsed="false">
      <c r="A2486" s="0" t="s">
        <v>716</v>
      </c>
      <c r="B2486" s="0" t="n">
        <v>16</v>
      </c>
      <c r="C2486" s="0" t="n">
        <v>1.3</v>
      </c>
      <c r="D2486" s="0" t="n">
        <v>0</v>
      </c>
    </row>
    <row r="2487" customFormat="false" ht="13.8" hidden="true" customHeight="false" outlineLevel="0" collapsed="false">
      <c r="A2487" s="0" t="s">
        <v>716</v>
      </c>
      <c r="B2487" s="0" t="n">
        <v>16</v>
      </c>
      <c r="C2487" s="0" t="n">
        <v>1.35</v>
      </c>
      <c r="D2487" s="0" t="n">
        <v>0</v>
      </c>
    </row>
    <row r="2488" customFormat="false" ht="13.8" hidden="true" customHeight="false" outlineLevel="0" collapsed="false">
      <c r="A2488" s="0" t="s">
        <v>716</v>
      </c>
      <c r="B2488" s="0" t="n">
        <v>16</v>
      </c>
      <c r="C2488" s="0" t="n">
        <v>1.4</v>
      </c>
      <c r="D2488" s="0" t="n">
        <v>0</v>
      </c>
    </row>
    <row r="2489" customFormat="false" ht="13.8" hidden="true" customHeight="false" outlineLevel="0" collapsed="false">
      <c r="A2489" s="0" t="s">
        <v>716</v>
      </c>
      <c r="B2489" s="0" t="n">
        <v>16</v>
      </c>
      <c r="C2489" s="0" t="n">
        <v>1.45</v>
      </c>
      <c r="D2489" s="0" t="n">
        <v>0</v>
      </c>
    </row>
    <row r="2490" customFormat="false" ht="13.8" hidden="true" customHeight="false" outlineLevel="0" collapsed="false">
      <c r="A2490" s="0" t="s">
        <v>716</v>
      </c>
      <c r="B2490" s="0" t="n">
        <v>16</v>
      </c>
      <c r="C2490" s="0" t="n">
        <v>1.5</v>
      </c>
      <c r="D2490" s="0" t="n">
        <v>0</v>
      </c>
    </row>
    <row r="2491" customFormat="false" ht="13.8" hidden="true" customHeight="false" outlineLevel="0" collapsed="false">
      <c r="A2491" s="0" t="s">
        <v>716</v>
      </c>
      <c r="B2491" s="0" t="n">
        <v>16</v>
      </c>
      <c r="C2491" s="0" t="n">
        <v>1.55</v>
      </c>
      <c r="D2491" s="0" t="n">
        <v>0</v>
      </c>
    </row>
    <row r="2492" customFormat="false" ht="13.8" hidden="true" customHeight="false" outlineLevel="0" collapsed="false">
      <c r="A2492" s="0" t="s">
        <v>716</v>
      </c>
      <c r="B2492" s="0" t="n">
        <v>16</v>
      </c>
      <c r="C2492" s="0" t="n">
        <v>1.6</v>
      </c>
      <c r="D2492" s="0" t="n">
        <v>0.058</v>
      </c>
    </row>
    <row r="2493" customFormat="false" ht="13.8" hidden="true" customHeight="false" outlineLevel="0" collapsed="false">
      <c r="A2493" s="0" t="s">
        <v>716</v>
      </c>
      <c r="B2493" s="0" t="n">
        <v>16</v>
      </c>
      <c r="C2493" s="0" t="n">
        <v>1.65</v>
      </c>
      <c r="D2493" s="0" t="n">
        <v>0.059</v>
      </c>
    </row>
    <row r="2494" customFormat="false" ht="13.8" hidden="true" customHeight="false" outlineLevel="0" collapsed="false">
      <c r="A2494" s="0" t="s">
        <v>716</v>
      </c>
      <c r="B2494" s="0" t="n">
        <v>16</v>
      </c>
      <c r="C2494" s="0" t="n">
        <v>1.7</v>
      </c>
      <c r="D2494" s="0" t="n">
        <v>0.061</v>
      </c>
    </row>
    <row r="2495" customFormat="false" ht="13.8" hidden="true" customHeight="false" outlineLevel="0" collapsed="false">
      <c r="A2495" s="0" t="s">
        <v>716</v>
      </c>
      <c r="B2495" s="0" t="n">
        <v>16</v>
      </c>
      <c r="C2495" s="0" t="n">
        <v>1.75</v>
      </c>
      <c r="D2495" s="0" t="n">
        <v>0.063</v>
      </c>
    </row>
    <row r="2496" customFormat="false" ht="13.8" hidden="true" customHeight="false" outlineLevel="0" collapsed="false">
      <c r="A2496" s="0" t="s">
        <v>716</v>
      </c>
      <c r="B2496" s="0" t="n">
        <v>16</v>
      </c>
      <c r="C2496" s="0" t="n">
        <v>1.8</v>
      </c>
      <c r="D2496" s="0" t="n">
        <v>0.067</v>
      </c>
    </row>
    <row r="2497" customFormat="false" ht="13.8" hidden="true" customHeight="false" outlineLevel="0" collapsed="false">
      <c r="A2497" s="0" t="s">
        <v>716</v>
      </c>
      <c r="B2497" s="0" t="n">
        <v>16</v>
      </c>
      <c r="C2497" s="0" t="n">
        <v>1.85</v>
      </c>
      <c r="D2497" s="0" t="n">
        <v>0.069</v>
      </c>
    </row>
    <row r="2498" customFormat="false" ht="13.8" hidden="true" customHeight="false" outlineLevel="0" collapsed="false">
      <c r="A2498" s="0" t="s">
        <v>716</v>
      </c>
      <c r="B2498" s="0" t="n">
        <v>16</v>
      </c>
      <c r="C2498" s="0" t="n">
        <v>1.9</v>
      </c>
      <c r="D2498" s="0" t="n">
        <v>0.071</v>
      </c>
    </row>
    <row r="2499" customFormat="false" ht="13.8" hidden="true" customHeight="false" outlineLevel="0" collapsed="false">
      <c r="A2499" s="0" t="s">
        <v>716</v>
      </c>
      <c r="B2499" s="0" t="n">
        <v>16</v>
      </c>
      <c r="C2499" s="0" t="n">
        <v>1.95</v>
      </c>
      <c r="D2499" s="0" t="n">
        <v>0</v>
      </c>
    </row>
    <row r="2500" customFormat="false" ht="13.8" hidden="true" customHeight="false" outlineLevel="0" collapsed="false">
      <c r="A2500" s="0" t="s">
        <v>716</v>
      </c>
      <c r="B2500" s="0" t="n">
        <v>16</v>
      </c>
      <c r="C2500" s="0" t="n">
        <v>2</v>
      </c>
      <c r="D2500" s="0" t="n">
        <v>0</v>
      </c>
    </row>
    <row r="2501" customFormat="false" ht="13.8" hidden="true" customHeight="false" outlineLevel="0" collapsed="false">
      <c r="A2501" s="0" t="s">
        <v>716</v>
      </c>
      <c r="B2501" s="0" t="n">
        <v>16</v>
      </c>
      <c r="C2501" s="0" t="n">
        <v>2.05</v>
      </c>
      <c r="D2501" s="0" t="n">
        <v>0</v>
      </c>
    </row>
    <row r="2502" customFormat="false" ht="13.8" hidden="true" customHeight="false" outlineLevel="0" collapsed="false">
      <c r="A2502" s="0" t="s">
        <v>716</v>
      </c>
      <c r="B2502" s="0" t="n">
        <v>16</v>
      </c>
      <c r="C2502" s="0" t="n">
        <v>2.1</v>
      </c>
      <c r="D2502" s="0" t="n">
        <v>0</v>
      </c>
    </row>
    <row r="2503" customFormat="false" ht="13.8" hidden="true" customHeight="false" outlineLevel="0" collapsed="false">
      <c r="A2503" s="0" t="s">
        <v>716</v>
      </c>
      <c r="B2503" s="0" t="n">
        <v>16</v>
      </c>
      <c r="C2503" s="0" t="n">
        <v>2.15</v>
      </c>
      <c r="D2503" s="0" t="n">
        <v>0</v>
      </c>
    </row>
    <row r="2504" customFormat="false" ht="13.8" hidden="true" customHeight="false" outlineLevel="0" collapsed="false">
      <c r="A2504" s="0" t="s">
        <v>716</v>
      </c>
      <c r="B2504" s="0" t="n">
        <v>16</v>
      </c>
      <c r="C2504" s="0" t="n">
        <v>2.2</v>
      </c>
      <c r="D2504" s="0" t="n">
        <v>0</v>
      </c>
    </row>
    <row r="2505" customFormat="false" ht="13.8" hidden="true" customHeight="false" outlineLevel="0" collapsed="false">
      <c r="A2505" s="0" t="s">
        <v>716</v>
      </c>
      <c r="B2505" s="0" t="n">
        <v>16</v>
      </c>
      <c r="C2505" s="0" t="n">
        <v>2.25</v>
      </c>
      <c r="D2505" s="0" t="n">
        <v>0</v>
      </c>
    </row>
    <row r="2506" customFormat="false" ht="13.8" hidden="true" customHeight="false" outlineLevel="0" collapsed="false">
      <c r="A2506" s="0" t="s">
        <v>716</v>
      </c>
      <c r="B2506" s="0" t="n">
        <v>16</v>
      </c>
      <c r="C2506" s="0" t="n">
        <v>2.3</v>
      </c>
      <c r="D2506" s="0" t="n">
        <v>0</v>
      </c>
    </row>
    <row r="2507" customFormat="false" ht="13.8" hidden="true" customHeight="false" outlineLevel="0" collapsed="false">
      <c r="A2507" s="0" t="s">
        <v>716</v>
      </c>
      <c r="B2507" s="0" t="n">
        <v>16</v>
      </c>
      <c r="C2507" s="0" t="n">
        <v>2.35</v>
      </c>
      <c r="D2507" s="0" t="n">
        <v>0</v>
      </c>
    </row>
    <row r="2508" customFormat="false" ht="13.8" hidden="true" customHeight="false" outlineLevel="0" collapsed="false">
      <c r="A2508" s="0" t="s">
        <v>716</v>
      </c>
      <c r="B2508" s="0" t="n">
        <v>16</v>
      </c>
      <c r="C2508" s="0" t="n">
        <v>2.4</v>
      </c>
      <c r="D2508" s="0" t="n">
        <v>0</v>
      </c>
    </row>
    <row r="2509" customFormat="false" ht="13.8" hidden="true" customHeight="false" outlineLevel="0" collapsed="false">
      <c r="A2509" s="0" t="s">
        <v>716</v>
      </c>
      <c r="B2509" s="0" t="n">
        <v>16</v>
      </c>
      <c r="C2509" s="0" t="n">
        <v>2.45</v>
      </c>
      <c r="D2509" s="0" t="n">
        <v>0</v>
      </c>
    </row>
    <row r="2510" customFormat="false" ht="13.8" hidden="true" customHeight="false" outlineLevel="0" collapsed="false">
      <c r="A2510" s="0" t="s">
        <v>716</v>
      </c>
      <c r="B2510" s="0" t="n">
        <v>16</v>
      </c>
      <c r="C2510" s="0" t="n">
        <v>2.5</v>
      </c>
      <c r="D2510" s="0" t="n">
        <v>0</v>
      </c>
    </row>
    <row r="2511" customFormat="false" ht="13.8" hidden="true" customHeight="false" outlineLevel="0" collapsed="false">
      <c r="A2511" s="0" t="s">
        <v>716</v>
      </c>
      <c r="B2511" s="0" t="n">
        <v>16</v>
      </c>
      <c r="C2511" s="0" t="n">
        <v>2.55</v>
      </c>
      <c r="D2511" s="0" t="n">
        <v>0</v>
      </c>
    </row>
    <row r="2512" customFormat="false" ht="13.8" hidden="true" customHeight="false" outlineLevel="0" collapsed="false">
      <c r="A2512" s="0" t="s">
        <v>716</v>
      </c>
      <c r="B2512" s="0" t="n">
        <v>16</v>
      </c>
      <c r="C2512" s="0" t="n">
        <v>2.6</v>
      </c>
      <c r="D2512" s="0" t="n">
        <v>0</v>
      </c>
    </row>
    <row r="2513" customFormat="false" ht="13.8" hidden="true" customHeight="false" outlineLevel="0" collapsed="false">
      <c r="A2513" s="0" t="s">
        <v>716</v>
      </c>
      <c r="B2513" s="0" t="n">
        <v>17</v>
      </c>
      <c r="C2513" s="0" t="n">
        <v>1.3</v>
      </c>
      <c r="D2513" s="0" t="n">
        <v>0</v>
      </c>
    </row>
    <row r="2514" customFormat="false" ht="13.8" hidden="true" customHeight="false" outlineLevel="0" collapsed="false">
      <c r="A2514" s="0" t="s">
        <v>716</v>
      </c>
      <c r="B2514" s="0" t="n">
        <v>17</v>
      </c>
      <c r="C2514" s="0" t="n">
        <v>1.35</v>
      </c>
      <c r="D2514" s="0" t="n">
        <v>0</v>
      </c>
    </row>
    <row r="2515" customFormat="false" ht="13.8" hidden="true" customHeight="false" outlineLevel="0" collapsed="false">
      <c r="A2515" s="0" t="s">
        <v>716</v>
      </c>
      <c r="B2515" s="0" t="n">
        <v>17</v>
      </c>
      <c r="C2515" s="0" t="n">
        <v>1.4</v>
      </c>
      <c r="D2515" s="0" t="n">
        <v>0</v>
      </c>
    </row>
    <row r="2516" customFormat="false" ht="13.8" hidden="true" customHeight="false" outlineLevel="0" collapsed="false">
      <c r="A2516" s="0" t="s">
        <v>716</v>
      </c>
      <c r="B2516" s="0" t="n">
        <v>17</v>
      </c>
      <c r="C2516" s="0" t="n">
        <v>1.45</v>
      </c>
      <c r="D2516" s="0" t="n">
        <v>0</v>
      </c>
    </row>
    <row r="2517" customFormat="false" ht="13.8" hidden="true" customHeight="false" outlineLevel="0" collapsed="false">
      <c r="A2517" s="0" t="s">
        <v>716</v>
      </c>
      <c r="B2517" s="0" t="n">
        <v>17</v>
      </c>
      <c r="C2517" s="0" t="n">
        <v>1.5</v>
      </c>
      <c r="D2517" s="0" t="n">
        <v>0</v>
      </c>
    </row>
    <row r="2518" customFormat="false" ht="13.8" hidden="true" customHeight="false" outlineLevel="0" collapsed="false">
      <c r="A2518" s="0" t="s">
        <v>716</v>
      </c>
      <c r="B2518" s="0" t="n">
        <v>17</v>
      </c>
      <c r="C2518" s="0" t="n">
        <v>1.55</v>
      </c>
      <c r="D2518" s="0" t="n">
        <v>0</v>
      </c>
    </row>
    <row r="2519" customFormat="false" ht="13.8" hidden="true" customHeight="false" outlineLevel="0" collapsed="false">
      <c r="A2519" s="0" t="s">
        <v>716</v>
      </c>
      <c r="B2519" s="0" t="n">
        <v>17</v>
      </c>
      <c r="C2519" s="0" t="n">
        <v>1.6</v>
      </c>
      <c r="D2519" s="0" t="n">
        <v>0.058</v>
      </c>
    </row>
    <row r="2520" customFormat="false" ht="13.8" hidden="true" customHeight="false" outlineLevel="0" collapsed="false">
      <c r="A2520" s="0" t="s">
        <v>716</v>
      </c>
      <c r="B2520" s="0" t="n">
        <v>17</v>
      </c>
      <c r="C2520" s="0" t="n">
        <v>1.65</v>
      </c>
      <c r="D2520" s="0" t="n">
        <v>0.059</v>
      </c>
    </row>
    <row r="2521" customFormat="false" ht="13.8" hidden="true" customHeight="false" outlineLevel="0" collapsed="false">
      <c r="A2521" s="0" t="s">
        <v>716</v>
      </c>
      <c r="B2521" s="0" t="n">
        <v>17</v>
      </c>
      <c r="C2521" s="0" t="n">
        <v>1.7</v>
      </c>
      <c r="D2521" s="0" t="n">
        <v>0.061</v>
      </c>
    </row>
    <row r="2522" customFormat="false" ht="13.8" hidden="true" customHeight="false" outlineLevel="0" collapsed="false">
      <c r="A2522" s="0" t="s">
        <v>716</v>
      </c>
      <c r="B2522" s="0" t="n">
        <v>17</v>
      </c>
      <c r="C2522" s="0" t="n">
        <v>1.75</v>
      </c>
      <c r="D2522" s="0" t="n">
        <v>0.063</v>
      </c>
    </row>
    <row r="2523" customFormat="false" ht="13.8" hidden="true" customHeight="false" outlineLevel="0" collapsed="false">
      <c r="A2523" s="0" t="s">
        <v>716</v>
      </c>
      <c r="B2523" s="0" t="n">
        <v>17</v>
      </c>
      <c r="C2523" s="0" t="n">
        <v>1.8</v>
      </c>
      <c r="D2523" s="0" t="n">
        <v>0.067</v>
      </c>
    </row>
    <row r="2524" customFormat="false" ht="13.8" hidden="true" customHeight="false" outlineLevel="0" collapsed="false">
      <c r="A2524" s="0" t="s">
        <v>716</v>
      </c>
      <c r="B2524" s="0" t="n">
        <v>17</v>
      </c>
      <c r="C2524" s="0" t="n">
        <v>1.85</v>
      </c>
      <c r="D2524" s="0" t="n">
        <v>0.069</v>
      </c>
    </row>
    <row r="2525" customFormat="false" ht="13.8" hidden="true" customHeight="false" outlineLevel="0" collapsed="false">
      <c r="A2525" s="0" t="s">
        <v>716</v>
      </c>
      <c r="B2525" s="0" t="n">
        <v>17</v>
      </c>
      <c r="C2525" s="0" t="n">
        <v>1.9</v>
      </c>
      <c r="D2525" s="0" t="n">
        <v>0.071</v>
      </c>
    </row>
    <row r="2526" customFormat="false" ht="13.8" hidden="true" customHeight="false" outlineLevel="0" collapsed="false">
      <c r="A2526" s="0" t="s">
        <v>716</v>
      </c>
      <c r="B2526" s="0" t="n">
        <v>17</v>
      </c>
      <c r="C2526" s="0" t="n">
        <v>1.95</v>
      </c>
      <c r="D2526" s="0" t="n">
        <v>0</v>
      </c>
    </row>
    <row r="2527" customFormat="false" ht="13.8" hidden="true" customHeight="false" outlineLevel="0" collapsed="false">
      <c r="A2527" s="0" t="s">
        <v>716</v>
      </c>
      <c r="B2527" s="0" t="n">
        <v>17</v>
      </c>
      <c r="C2527" s="0" t="n">
        <v>2</v>
      </c>
      <c r="D2527" s="0" t="n">
        <v>0</v>
      </c>
    </row>
    <row r="2528" customFormat="false" ht="13.8" hidden="true" customHeight="false" outlineLevel="0" collapsed="false">
      <c r="A2528" s="0" t="s">
        <v>716</v>
      </c>
      <c r="B2528" s="0" t="n">
        <v>17</v>
      </c>
      <c r="C2528" s="0" t="n">
        <v>2.05</v>
      </c>
      <c r="D2528" s="0" t="n">
        <v>0</v>
      </c>
    </row>
    <row r="2529" customFormat="false" ht="13.8" hidden="true" customHeight="false" outlineLevel="0" collapsed="false">
      <c r="A2529" s="0" t="s">
        <v>716</v>
      </c>
      <c r="B2529" s="0" t="n">
        <v>17</v>
      </c>
      <c r="C2529" s="0" t="n">
        <v>2.1</v>
      </c>
      <c r="D2529" s="0" t="n">
        <v>0</v>
      </c>
    </row>
    <row r="2530" customFormat="false" ht="13.8" hidden="true" customHeight="false" outlineLevel="0" collapsed="false">
      <c r="A2530" s="0" t="s">
        <v>716</v>
      </c>
      <c r="B2530" s="0" t="n">
        <v>17</v>
      </c>
      <c r="C2530" s="0" t="n">
        <v>2.15</v>
      </c>
      <c r="D2530" s="0" t="n">
        <v>0</v>
      </c>
    </row>
    <row r="2531" customFormat="false" ht="13.8" hidden="true" customHeight="false" outlineLevel="0" collapsed="false">
      <c r="A2531" s="0" t="s">
        <v>716</v>
      </c>
      <c r="B2531" s="0" t="n">
        <v>17</v>
      </c>
      <c r="C2531" s="0" t="n">
        <v>2.2</v>
      </c>
      <c r="D2531" s="0" t="n">
        <v>0</v>
      </c>
    </row>
    <row r="2532" customFormat="false" ht="13.8" hidden="true" customHeight="false" outlineLevel="0" collapsed="false">
      <c r="A2532" s="0" t="s">
        <v>716</v>
      </c>
      <c r="B2532" s="0" t="n">
        <v>17</v>
      </c>
      <c r="C2532" s="0" t="n">
        <v>2.25</v>
      </c>
      <c r="D2532" s="0" t="n">
        <v>0</v>
      </c>
    </row>
    <row r="2533" customFormat="false" ht="13.8" hidden="true" customHeight="false" outlineLevel="0" collapsed="false">
      <c r="A2533" s="0" t="s">
        <v>716</v>
      </c>
      <c r="B2533" s="0" t="n">
        <v>17</v>
      </c>
      <c r="C2533" s="0" t="n">
        <v>2.3</v>
      </c>
      <c r="D2533" s="0" t="n">
        <v>0</v>
      </c>
    </row>
    <row r="2534" customFormat="false" ht="13.8" hidden="true" customHeight="false" outlineLevel="0" collapsed="false">
      <c r="A2534" s="0" t="s">
        <v>716</v>
      </c>
      <c r="B2534" s="0" t="n">
        <v>17</v>
      </c>
      <c r="C2534" s="0" t="n">
        <v>2.35</v>
      </c>
      <c r="D2534" s="0" t="n">
        <v>0</v>
      </c>
    </row>
    <row r="2535" customFormat="false" ht="13.8" hidden="true" customHeight="false" outlineLevel="0" collapsed="false">
      <c r="A2535" s="0" t="s">
        <v>716</v>
      </c>
      <c r="B2535" s="0" t="n">
        <v>17</v>
      </c>
      <c r="C2535" s="0" t="n">
        <v>2.4</v>
      </c>
      <c r="D2535" s="0" t="n">
        <v>0</v>
      </c>
    </row>
    <row r="2536" customFormat="false" ht="13.8" hidden="true" customHeight="false" outlineLevel="0" collapsed="false">
      <c r="A2536" s="0" t="s">
        <v>716</v>
      </c>
      <c r="B2536" s="0" t="n">
        <v>17</v>
      </c>
      <c r="C2536" s="0" t="n">
        <v>2.45</v>
      </c>
      <c r="D2536" s="0" t="n">
        <v>0</v>
      </c>
    </row>
    <row r="2537" customFormat="false" ht="13.8" hidden="true" customHeight="false" outlineLevel="0" collapsed="false">
      <c r="A2537" s="0" t="s">
        <v>716</v>
      </c>
      <c r="B2537" s="0" t="n">
        <v>17</v>
      </c>
      <c r="C2537" s="0" t="n">
        <v>2.5</v>
      </c>
      <c r="D2537" s="0" t="n">
        <v>0</v>
      </c>
    </row>
    <row r="2538" customFormat="false" ht="13.8" hidden="true" customHeight="false" outlineLevel="0" collapsed="false">
      <c r="A2538" s="0" t="s">
        <v>716</v>
      </c>
      <c r="B2538" s="0" t="n">
        <v>17</v>
      </c>
      <c r="C2538" s="0" t="n">
        <v>2.55</v>
      </c>
      <c r="D2538" s="0" t="n">
        <v>0</v>
      </c>
    </row>
    <row r="2539" customFormat="false" ht="13.8" hidden="true" customHeight="false" outlineLevel="0" collapsed="false">
      <c r="A2539" s="0" t="s">
        <v>716</v>
      </c>
      <c r="B2539" s="0" t="n">
        <v>17</v>
      </c>
      <c r="C2539" s="0" t="n">
        <v>2.6</v>
      </c>
      <c r="D2539" s="0" t="n">
        <v>0</v>
      </c>
    </row>
    <row r="2540" customFormat="false" ht="13.8" hidden="true" customHeight="false" outlineLevel="0" collapsed="false">
      <c r="A2540" s="0" t="s">
        <v>716</v>
      </c>
      <c r="B2540" s="0" t="n">
        <v>18</v>
      </c>
      <c r="C2540" s="0" t="n">
        <v>1.3</v>
      </c>
      <c r="D2540" s="0" t="n">
        <v>0</v>
      </c>
    </row>
    <row r="2541" customFormat="false" ht="13.8" hidden="true" customHeight="false" outlineLevel="0" collapsed="false">
      <c r="A2541" s="0" t="s">
        <v>716</v>
      </c>
      <c r="B2541" s="0" t="n">
        <v>18</v>
      </c>
      <c r="C2541" s="0" t="n">
        <v>1.35</v>
      </c>
      <c r="D2541" s="0" t="n">
        <v>0</v>
      </c>
    </row>
    <row r="2542" customFormat="false" ht="13.8" hidden="true" customHeight="false" outlineLevel="0" collapsed="false">
      <c r="A2542" s="0" t="s">
        <v>716</v>
      </c>
      <c r="B2542" s="0" t="n">
        <v>18</v>
      </c>
      <c r="C2542" s="0" t="n">
        <v>1.4</v>
      </c>
      <c r="D2542" s="0" t="n">
        <v>0</v>
      </c>
    </row>
    <row r="2543" customFormat="false" ht="13.8" hidden="true" customHeight="false" outlineLevel="0" collapsed="false">
      <c r="A2543" s="0" t="s">
        <v>716</v>
      </c>
      <c r="B2543" s="0" t="n">
        <v>18</v>
      </c>
      <c r="C2543" s="0" t="n">
        <v>1.45</v>
      </c>
      <c r="D2543" s="0" t="n">
        <v>0</v>
      </c>
    </row>
    <row r="2544" customFormat="false" ht="13.8" hidden="true" customHeight="false" outlineLevel="0" collapsed="false">
      <c r="A2544" s="0" t="s">
        <v>716</v>
      </c>
      <c r="B2544" s="0" t="n">
        <v>18</v>
      </c>
      <c r="C2544" s="0" t="n">
        <v>1.5</v>
      </c>
      <c r="D2544" s="0" t="n">
        <v>0</v>
      </c>
    </row>
    <row r="2545" customFormat="false" ht="13.8" hidden="true" customHeight="false" outlineLevel="0" collapsed="false">
      <c r="A2545" s="0" t="s">
        <v>716</v>
      </c>
      <c r="B2545" s="0" t="n">
        <v>18</v>
      </c>
      <c r="C2545" s="0" t="n">
        <v>1.55</v>
      </c>
      <c r="D2545" s="0" t="n">
        <v>0</v>
      </c>
    </row>
    <row r="2546" customFormat="false" ht="13.8" hidden="true" customHeight="false" outlineLevel="0" collapsed="false">
      <c r="A2546" s="0" t="s">
        <v>716</v>
      </c>
      <c r="B2546" s="0" t="n">
        <v>18</v>
      </c>
      <c r="C2546" s="0" t="n">
        <v>1.6</v>
      </c>
      <c r="D2546" s="0" t="n">
        <v>0.058</v>
      </c>
    </row>
    <row r="2547" customFormat="false" ht="13.8" hidden="true" customHeight="false" outlineLevel="0" collapsed="false">
      <c r="A2547" s="0" t="s">
        <v>716</v>
      </c>
      <c r="B2547" s="0" t="n">
        <v>18</v>
      </c>
      <c r="C2547" s="0" t="n">
        <v>1.65</v>
      </c>
      <c r="D2547" s="0" t="n">
        <v>0.059</v>
      </c>
    </row>
    <row r="2548" customFormat="false" ht="13.8" hidden="true" customHeight="false" outlineLevel="0" collapsed="false">
      <c r="A2548" s="0" t="s">
        <v>716</v>
      </c>
      <c r="B2548" s="0" t="n">
        <v>18</v>
      </c>
      <c r="C2548" s="0" t="n">
        <v>1.7</v>
      </c>
      <c r="D2548" s="0" t="n">
        <v>0.061</v>
      </c>
    </row>
    <row r="2549" customFormat="false" ht="13.8" hidden="true" customHeight="false" outlineLevel="0" collapsed="false">
      <c r="A2549" s="0" t="s">
        <v>716</v>
      </c>
      <c r="B2549" s="0" t="n">
        <v>18</v>
      </c>
      <c r="C2549" s="0" t="n">
        <v>1.75</v>
      </c>
      <c r="D2549" s="0" t="n">
        <v>0.063</v>
      </c>
    </row>
    <row r="2550" customFormat="false" ht="13.8" hidden="true" customHeight="false" outlineLevel="0" collapsed="false">
      <c r="A2550" s="0" t="s">
        <v>716</v>
      </c>
      <c r="B2550" s="0" t="n">
        <v>18</v>
      </c>
      <c r="C2550" s="0" t="n">
        <v>1.8</v>
      </c>
      <c r="D2550" s="0" t="n">
        <v>0.067</v>
      </c>
    </row>
    <row r="2551" customFormat="false" ht="13.8" hidden="true" customHeight="false" outlineLevel="0" collapsed="false">
      <c r="A2551" s="0" t="s">
        <v>716</v>
      </c>
      <c r="B2551" s="0" t="n">
        <v>18</v>
      </c>
      <c r="C2551" s="0" t="n">
        <v>1.85</v>
      </c>
      <c r="D2551" s="0" t="n">
        <v>0.069</v>
      </c>
    </row>
    <row r="2552" customFormat="false" ht="13.8" hidden="true" customHeight="false" outlineLevel="0" collapsed="false">
      <c r="A2552" s="0" t="s">
        <v>716</v>
      </c>
      <c r="B2552" s="0" t="n">
        <v>18</v>
      </c>
      <c r="C2552" s="0" t="n">
        <v>1.9</v>
      </c>
      <c r="D2552" s="0" t="n">
        <v>0.071</v>
      </c>
    </row>
    <row r="2553" customFormat="false" ht="13.8" hidden="true" customHeight="false" outlineLevel="0" collapsed="false">
      <c r="A2553" s="0" t="s">
        <v>716</v>
      </c>
      <c r="B2553" s="0" t="n">
        <v>18</v>
      </c>
      <c r="C2553" s="0" t="n">
        <v>1.95</v>
      </c>
      <c r="D2553" s="0" t="n">
        <v>0</v>
      </c>
    </row>
    <row r="2554" customFormat="false" ht="13.8" hidden="true" customHeight="false" outlineLevel="0" collapsed="false">
      <c r="A2554" s="0" t="s">
        <v>716</v>
      </c>
      <c r="B2554" s="0" t="n">
        <v>18</v>
      </c>
      <c r="C2554" s="0" t="n">
        <v>2</v>
      </c>
      <c r="D2554" s="0" t="n">
        <v>0</v>
      </c>
    </row>
    <row r="2555" customFormat="false" ht="13.8" hidden="true" customHeight="false" outlineLevel="0" collapsed="false">
      <c r="A2555" s="0" t="s">
        <v>716</v>
      </c>
      <c r="B2555" s="0" t="n">
        <v>18</v>
      </c>
      <c r="C2555" s="0" t="n">
        <v>2.05</v>
      </c>
      <c r="D2555" s="0" t="n">
        <v>0</v>
      </c>
    </row>
    <row r="2556" customFormat="false" ht="13.8" hidden="true" customHeight="false" outlineLevel="0" collapsed="false">
      <c r="A2556" s="0" t="s">
        <v>716</v>
      </c>
      <c r="B2556" s="0" t="n">
        <v>18</v>
      </c>
      <c r="C2556" s="0" t="n">
        <v>2.1</v>
      </c>
      <c r="D2556" s="0" t="n">
        <v>0</v>
      </c>
    </row>
    <row r="2557" customFormat="false" ht="13.8" hidden="true" customHeight="false" outlineLevel="0" collapsed="false">
      <c r="A2557" s="0" t="s">
        <v>716</v>
      </c>
      <c r="B2557" s="0" t="n">
        <v>18</v>
      </c>
      <c r="C2557" s="0" t="n">
        <v>2.15</v>
      </c>
      <c r="D2557" s="0" t="n">
        <v>0</v>
      </c>
    </row>
    <row r="2558" customFormat="false" ht="13.8" hidden="true" customHeight="false" outlineLevel="0" collapsed="false">
      <c r="A2558" s="0" t="s">
        <v>716</v>
      </c>
      <c r="B2558" s="0" t="n">
        <v>18</v>
      </c>
      <c r="C2558" s="0" t="n">
        <v>2.2</v>
      </c>
      <c r="D2558" s="0" t="n">
        <v>0</v>
      </c>
    </row>
    <row r="2559" customFormat="false" ht="13.8" hidden="true" customHeight="false" outlineLevel="0" collapsed="false">
      <c r="A2559" s="0" t="s">
        <v>716</v>
      </c>
      <c r="B2559" s="0" t="n">
        <v>18</v>
      </c>
      <c r="C2559" s="0" t="n">
        <v>2.25</v>
      </c>
      <c r="D2559" s="0" t="n">
        <v>0</v>
      </c>
    </row>
    <row r="2560" customFormat="false" ht="13.8" hidden="true" customHeight="false" outlineLevel="0" collapsed="false">
      <c r="A2560" s="0" t="s">
        <v>716</v>
      </c>
      <c r="B2560" s="0" t="n">
        <v>18</v>
      </c>
      <c r="C2560" s="0" t="n">
        <v>2.3</v>
      </c>
      <c r="D2560" s="0" t="n">
        <v>0</v>
      </c>
    </row>
    <row r="2561" customFormat="false" ht="13.8" hidden="true" customHeight="false" outlineLevel="0" collapsed="false">
      <c r="A2561" s="0" t="s">
        <v>716</v>
      </c>
      <c r="B2561" s="0" t="n">
        <v>18</v>
      </c>
      <c r="C2561" s="0" t="n">
        <v>2.35</v>
      </c>
      <c r="D2561" s="0" t="n">
        <v>0</v>
      </c>
    </row>
    <row r="2562" customFormat="false" ht="13.8" hidden="true" customHeight="false" outlineLevel="0" collapsed="false">
      <c r="A2562" s="0" t="s">
        <v>716</v>
      </c>
      <c r="B2562" s="0" t="n">
        <v>18</v>
      </c>
      <c r="C2562" s="0" t="n">
        <v>2.4</v>
      </c>
      <c r="D2562" s="0" t="n">
        <v>0</v>
      </c>
    </row>
    <row r="2563" customFormat="false" ht="13.8" hidden="true" customHeight="false" outlineLevel="0" collapsed="false">
      <c r="A2563" s="0" t="s">
        <v>716</v>
      </c>
      <c r="B2563" s="0" t="n">
        <v>18</v>
      </c>
      <c r="C2563" s="0" t="n">
        <v>2.45</v>
      </c>
      <c r="D2563" s="0" t="n">
        <v>0</v>
      </c>
    </row>
    <row r="2564" customFormat="false" ht="13.8" hidden="true" customHeight="false" outlineLevel="0" collapsed="false">
      <c r="A2564" s="0" t="s">
        <v>716</v>
      </c>
      <c r="B2564" s="0" t="n">
        <v>18</v>
      </c>
      <c r="C2564" s="0" t="n">
        <v>2.5</v>
      </c>
      <c r="D2564" s="0" t="n">
        <v>0</v>
      </c>
    </row>
    <row r="2565" customFormat="false" ht="13.8" hidden="true" customHeight="false" outlineLevel="0" collapsed="false">
      <c r="A2565" s="0" t="s">
        <v>716</v>
      </c>
      <c r="B2565" s="0" t="n">
        <v>18</v>
      </c>
      <c r="C2565" s="0" t="n">
        <v>2.55</v>
      </c>
      <c r="D2565" s="0" t="n">
        <v>0</v>
      </c>
    </row>
    <row r="2566" customFormat="false" ht="13.8" hidden="true" customHeight="false" outlineLevel="0" collapsed="false">
      <c r="A2566" s="0" t="s">
        <v>716</v>
      </c>
      <c r="B2566" s="0" t="n">
        <v>18</v>
      </c>
      <c r="C2566" s="0" t="n">
        <v>2.6</v>
      </c>
      <c r="D2566" s="0" t="n">
        <v>0</v>
      </c>
    </row>
    <row r="2567" customFormat="false" ht="13.8" hidden="true" customHeight="false" outlineLevel="0" collapsed="false">
      <c r="A2567" s="0" t="s">
        <v>716</v>
      </c>
      <c r="B2567" s="0" t="n">
        <v>19</v>
      </c>
      <c r="C2567" s="0" t="n">
        <v>1.3</v>
      </c>
      <c r="D2567" s="0" t="n">
        <v>0</v>
      </c>
    </row>
    <row r="2568" customFormat="false" ht="13.8" hidden="true" customHeight="false" outlineLevel="0" collapsed="false">
      <c r="A2568" s="0" t="s">
        <v>716</v>
      </c>
      <c r="B2568" s="0" t="n">
        <v>19</v>
      </c>
      <c r="C2568" s="0" t="n">
        <v>1.35</v>
      </c>
      <c r="D2568" s="0" t="n">
        <v>0</v>
      </c>
    </row>
    <row r="2569" customFormat="false" ht="13.8" hidden="true" customHeight="false" outlineLevel="0" collapsed="false">
      <c r="A2569" s="0" t="s">
        <v>716</v>
      </c>
      <c r="B2569" s="0" t="n">
        <v>19</v>
      </c>
      <c r="C2569" s="0" t="n">
        <v>1.4</v>
      </c>
      <c r="D2569" s="0" t="n">
        <v>0</v>
      </c>
    </row>
    <row r="2570" customFormat="false" ht="13.8" hidden="true" customHeight="false" outlineLevel="0" collapsed="false">
      <c r="A2570" s="0" t="s">
        <v>716</v>
      </c>
      <c r="B2570" s="0" t="n">
        <v>19</v>
      </c>
      <c r="C2570" s="0" t="n">
        <v>1.45</v>
      </c>
      <c r="D2570" s="0" t="n">
        <v>0</v>
      </c>
    </row>
    <row r="2571" customFormat="false" ht="13.8" hidden="true" customHeight="false" outlineLevel="0" collapsed="false">
      <c r="A2571" s="0" t="s">
        <v>716</v>
      </c>
      <c r="B2571" s="0" t="n">
        <v>19</v>
      </c>
      <c r="C2571" s="0" t="n">
        <v>1.5</v>
      </c>
      <c r="D2571" s="0" t="n">
        <v>0</v>
      </c>
    </row>
    <row r="2572" customFormat="false" ht="13.8" hidden="true" customHeight="false" outlineLevel="0" collapsed="false">
      <c r="A2572" s="0" t="s">
        <v>716</v>
      </c>
      <c r="B2572" s="0" t="n">
        <v>19</v>
      </c>
      <c r="C2572" s="0" t="n">
        <v>1.55</v>
      </c>
      <c r="D2572" s="0" t="n">
        <v>0</v>
      </c>
    </row>
    <row r="2573" customFormat="false" ht="13.8" hidden="true" customHeight="false" outlineLevel="0" collapsed="false">
      <c r="A2573" s="0" t="s">
        <v>716</v>
      </c>
      <c r="B2573" s="0" t="n">
        <v>19</v>
      </c>
      <c r="C2573" s="0" t="n">
        <v>1.6</v>
      </c>
      <c r="D2573" s="0" t="n">
        <v>0.058</v>
      </c>
    </row>
    <row r="2574" customFormat="false" ht="13.8" hidden="true" customHeight="false" outlineLevel="0" collapsed="false">
      <c r="A2574" s="0" t="s">
        <v>716</v>
      </c>
      <c r="B2574" s="0" t="n">
        <v>19</v>
      </c>
      <c r="C2574" s="0" t="n">
        <v>1.65</v>
      </c>
      <c r="D2574" s="0" t="n">
        <v>0.059</v>
      </c>
    </row>
    <row r="2575" customFormat="false" ht="13.8" hidden="true" customHeight="false" outlineLevel="0" collapsed="false">
      <c r="A2575" s="0" t="s">
        <v>716</v>
      </c>
      <c r="B2575" s="0" t="n">
        <v>19</v>
      </c>
      <c r="C2575" s="0" t="n">
        <v>1.7</v>
      </c>
      <c r="D2575" s="0" t="n">
        <v>0.061</v>
      </c>
    </row>
    <row r="2576" customFormat="false" ht="13.8" hidden="true" customHeight="false" outlineLevel="0" collapsed="false">
      <c r="A2576" s="0" t="s">
        <v>716</v>
      </c>
      <c r="B2576" s="0" t="n">
        <v>19</v>
      </c>
      <c r="C2576" s="0" t="n">
        <v>1.75</v>
      </c>
      <c r="D2576" s="0" t="n">
        <v>0.063</v>
      </c>
    </row>
    <row r="2577" customFormat="false" ht="13.8" hidden="true" customHeight="false" outlineLevel="0" collapsed="false">
      <c r="A2577" s="0" t="s">
        <v>716</v>
      </c>
      <c r="B2577" s="0" t="n">
        <v>19</v>
      </c>
      <c r="C2577" s="0" t="n">
        <v>1.8</v>
      </c>
      <c r="D2577" s="0" t="n">
        <v>0.067</v>
      </c>
    </row>
    <row r="2578" customFormat="false" ht="13.8" hidden="true" customHeight="false" outlineLevel="0" collapsed="false">
      <c r="A2578" s="0" t="s">
        <v>716</v>
      </c>
      <c r="B2578" s="0" t="n">
        <v>19</v>
      </c>
      <c r="C2578" s="0" t="n">
        <v>1.85</v>
      </c>
      <c r="D2578" s="0" t="n">
        <v>0.069</v>
      </c>
    </row>
    <row r="2579" customFormat="false" ht="13.8" hidden="true" customHeight="false" outlineLevel="0" collapsed="false">
      <c r="A2579" s="0" t="s">
        <v>716</v>
      </c>
      <c r="B2579" s="0" t="n">
        <v>19</v>
      </c>
      <c r="C2579" s="0" t="n">
        <v>1.9</v>
      </c>
      <c r="D2579" s="0" t="n">
        <v>0.071</v>
      </c>
    </row>
    <row r="2580" customFormat="false" ht="13.8" hidden="true" customHeight="false" outlineLevel="0" collapsed="false">
      <c r="A2580" s="0" t="s">
        <v>716</v>
      </c>
      <c r="B2580" s="0" t="n">
        <v>19</v>
      </c>
      <c r="C2580" s="0" t="n">
        <v>1.95</v>
      </c>
      <c r="D2580" s="0" t="n">
        <v>0</v>
      </c>
    </row>
    <row r="2581" customFormat="false" ht="13.8" hidden="true" customHeight="false" outlineLevel="0" collapsed="false">
      <c r="A2581" s="0" t="s">
        <v>716</v>
      </c>
      <c r="B2581" s="0" t="n">
        <v>19</v>
      </c>
      <c r="C2581" s="0" t="n">
        <v>2</v>
      </c>
      <c r="D2581" s="0" t="n">
        <v>0</v>
      </c>
    </row>
    <row r="2582" customFormat="false" ht="13.8" hidden="true" customHeight="false" outlineLevel="0" collapsed="false">
      <c r="A2582" s="0" t="s">
        <v>716</v>
      </c>
      <c r="B2582" s="0" t="n">
        <v>19</v>
      </c>
      <c r="C2582" s="0" t="n">
        <v>2.05</v>
      </c>
      <c r="D2582" s="0" t="n">
        <v>0</v>
      </c>
    </row>
    <row r="2583" customFormat="false" ht="13.8" hidden="true" customHeight="false" outlineLevel="0" collapsed="false">
      <c r="A2583" s="0" t="s">
        <v>716</v>
      </c>
      <c r="B2583" s="0" t="n">
        <v>19</v>
      </c>
      <c r="C2583" s="0" t="n">
        <v>2.1</v>
      </c>
      <c r="D2583" s="0" t="n">
        <v>0</v>
      </c>
    </row>
    <row r="2584" customFormat="false" ht="13.8" hidden="true" customHeight="false" outlineLevel="0" collapsed="false">
      <c r="A2584" s="0" t="s">
        <v>716</v>
      </c>
      <c r="B2584" s="0" t="n">
        <v>19</v>
      </c>
      <c r="C2584" s="0" t="n">
        <v>2.15</v>
      </c>
      <c r="D2584" s="0" t="n">
        <v>0</v>
      </c>
    </row>
    <row r="2585" customFormat="false" ht="13.8" hidden="true" customHeight="false" outlineLevel="0" collapsed="false">
      <c r="A2585" s="0" t="s">
        <v>716</v>
      </c>
      <c r="B2585" s="0" t="n">
        <v>19</v>
      </c>
      <c r="C2585" s="0" t="n">
        <v>2.2</v>
      </c>
      <c r="D2585" s="0" t="n">
        <v>0</v>
      </c>
    </row>
    <row r="2586" customFormat="false" ht="13.8" hidden="true" customHeight="false" outlineLevel="0" collapsed="false">
      <c r="A2586" s="0" t="s">
        <v>716</v>
      </c>
      <c r="B2586" s="0" t="n">
        <v>19</v>
      </c>
      <c r="C2586" s="0" t="n">
        <v>2.25</v>
      </c>
      <c r="D2586" s="0" t="n">
        <v>0</v>
      </c>
    </row>
    <row r="2587" customFormat="false" ht="13.8" hidden="true" customHeight="false" outlineLevel="0" collapsed="false">
      <c r="A2587" s="0" t="s">
        <v>716</v>
      </c>
      <c r="B2587" s="0" t="n">
        <v>19</v>
      </c>
      <c r="C2587" s="0" t="n">
        <v>2.3</v>
      </c>
      <c r="D2587" s="0" t="n">
        <v>0</v>
      </c>
    </row>
    <row r="2588" customFormat="false" ht="13.8" hidden="true" customHeight="false" outlineLevel="0" collapsed="false">
      <c r="A2588" s="0" t="s">
        <v>716</v>
      </c>
      <c r="B2588" s="0" t="n">
        <v>19</v>
      </c>
      <c r="C2588" s="0" t="n">
        <v>2.35</v>
      </c>
      <c r="D2588" s="0" t="n">
        <v>0</v>
      </c>
    </row>
    <row r="2589" customFormat="false" ht="13.8" hidden="true" customHeight="false" outlineLevel="0" collapsed="false">
      <c r="A2589" s="0" t="s">
        <v>716</v>
      </c>
      <c r="B2589" s="0" t="n">
        <v>19</v>
      </c>
      <c r="C2589" s="0" t="n">
        <v>2.4</v>
      </c>
      <c r="D2589" s="0" t="n">
        <v>0</v>
      </c>
    </row>
    <row r="2590" customFormat="false" ht="13.8" hidden="true" customHeight="false" outlineLevel="0" collapsed="false">
      <c r="A2590" s="0" t="s">
        <v>716</v>
      </c>
      <c r="B2590" s="0" t="n">
        <v>19</v>
      </c>
      <c r="C2590" s="0" t="n">
        <v>2.45</v>
      </c>
      <c r="D2590" s="0" t="n">
        <v>0</v>
      </c>
    </row>
    <row r="2591" customFormat="false" ht="13.8" hidden="true" customHeight="false" outlineLevel="0" collapsed="false">
      <c r="A2591" s="0" t="s">
        <v>716</v>
      </c>
      <c r="B2591" s="0" t="n">
        <v>19</v>
      </c>
      <c r="C2591" s="0" t="n">
        <v>2.5</v>
      </c>
      <c r="D2591" s="0" t="n">
        <v>0</v>
      </c>
    </row>
    <row r="2592" customFormat="false" ht="13.8" hidden="true" customHeight="false" outlineLevel="0" collapsed="false">
      <c r="A2592" s="0" t="s">
        <v>716</v>
      </c>
      <c r="B2592" s="0" t="n">
        <v>19</v>
      </c>
      <c r="C2592" s="0" t="n">
        <v>2.55</v>
      </c>
      <c r="D2592" s="0" t="n">
        <v>0</v>
      </c>
    </row>
    <row r="2593" customFormat="false" ht="13.8" hidden="true" customHeight="false" outlineLevel="0" collapsed="false">
      <c r="A2593" s="0" t="s">
        <v>716</v>
      </c>
      <c r="B2593" s="0" t="n">
        <v>19</v>
      </c>
      <c r="C2593" s="0" t="n">
        <v>2.6</v>
      </c>
      <c r="D2593" s="0" t="n">
        <v>0</v>
      </c>
    </row>
    <row r="2594" customFormat="false" ht="13.8" hidden="true" customHeight="false" outlineLevel="0" collapsed="false">
      <c r="A2594" s="0" t="s">
        <v>716</v>
      </c>
      <c r="B2594" s="0" t="n">
        <v>20</v>
      </c>
      <c r="C2594" s="0" t="n">
        <v>1.3</v>
      </c>
      <c r="D2594" s="0" t="n">
        <v>0</v>
      </c>
    </row>
    <row r="2595" customFormat="false" ht="13.8" hidden="true" customHeight="false" outlineLevel="0" collapsed="false">
      <c r="A2595" s="0" t="s">
        <v>716</v>
      </c>
      <c r="B2595" s="0" t="n">
        <v>20</v>
      </c>
      <c r="C2595" s="0" t="n">
        <v>1.35</v>
      </c>
      <c r="D2595" s="0" t="n">
        <v>0</v>
      </c>
    </row>
    <row r="2596" customFormat="false" ht="13.8" hidden="true" customHeight="false" outlineLevel="0" collapsed="false">
      <c r="A2596" s="0" t="s">
        <v>716</v>
      </c>
      <c r="B2596" s="0" t="n">
        <v>20</v>
      </c>
      <c r="C2596" s="0" t="n">
        <v>1.4</v>
      </c>
      <c r="D2596" s="0" t="n">
        <v>0</v>
      </c>
    </row>
    <row r="2597" customFormat="false" ht="13.8" hidden="true" customHeight="false" outlineLevel="0" collapsed="false">
      <c r="A2597" s="0" t="s">
        <v>716</v>
      </c>
      <c r="B2597" s="0" t="n">
        <v>20</v>
      </c>
      <c r="C2597" s="0" t="n">
        <v>1.45</v>
      </c>
      <c r="D2597" s="0" t="n">
        <v>0</v>
      </c>
    </row>
    <row r="2598" customFormat="false" ht="13.8" hidden="true" customHeight="false" outlineLevel="0" collapsed="false">
      <c r="A2598" s="0" t="s">
        <v>716</v>
      </c>
      <c r="B2598" s="0" t="n">
        <v>20</v>
      </c>
      <c r="C2598" s="0" t="n">
        <v>1.5</v>
      </c>
      <c r="D2598" s="0" t="n">
        <v>0</v>
      </c>
    </row>
    <row r="2599" customFormat="false" ht="13.8" hidden="true" customHeight="false" outlineLevel="0" collapsed="false">
      <c r="A2599" s="0" t="s">
        <v>716</v>
      </c>
      <c r="B2599" s="0" t="n">
        <v>20</v>
      </c>
      <c r="C2599" s="0" t="n">
        <v>1.55</v>
      </c>
      <c r="D2599" s="0" t="n">
        <v>0</v>
      </c>
    </row>
    <row r="2600" customFormat="false" ht="13.8" hidden="true" customHeight="false" outlineLevel="0" collapsed="false">
      <c r="A2600" s="0" t="s">
        <v>716</v>
      </c>
      <c r="B2600" s="0" t="n">
        <v>20</v>
      </c>
      <c r="C2600" s="0" t="n">
        <v>1.6</v>
      </c>
      <c r="D2600" s="0" t="n">
        <v>0.058</v>
      </c>
    </row>
    <row r="2601" customFormat="false" ht="13.8" hidden="true" customHeight="false" outlineLevel="0" collapsed="false">
      <c r="A2601" s="0" t="s">
        <v>716</v>
      </c>
      <c r="B2601" s="0" t="n">
        <v>20</v>
      </c>
      <c r="C2601" s="0" t="n">
        <v>1.65</v>
      </c>
      <c r="D2601" s="0" t="n">
        <v>0.059</v>
      </c>
    </row>
    <row r="2602" customFormat="false" ht="13.8" hidden="true" customHeight="false" outlineLevel="0" collapsed="false">
      <c r="A2602" s="0" t="s">
        <v>716</v>
      </c>
      <c r="B2602" s="0" t="n">
        <v>20</v>
      </c>
      <c r="C2602" s="0" t="n">
        <v>1.7</v>
      </c>
      <c r="D2602" s="0" t="n">
        <v>0.061</v>
      </c>
    </row>
    <row r="2603" customFormat="false" ht="13.8" hidden="true" customHeight="false" outlineLevel="0" collapsed="false">
      <c r="A2603" s="0" t="s">
        <v>716</v>
      </c>
      <c r="B2603" s="0" t="n">
        <v>20</v>
      </c>
      <c r="C2603" s="0" t="n">
        <v>1.75</v>
      </c>
      <c r="D2603" s="0" t="n">
        <v>0.063</v>
      </c>
    </row>
    <row r="2604" customFormat="false" ht="13.8" hidden="true" customHeight="false" outlineLevel="0" collapsed="false">
      <c r="A2604" s="0" t="s">
        <v>716</v>
      </c>
      <c r="B2604" s="0" t="n">
        <v>20</v>
      </c>
      <c r="C2604" s="0" t="n">
        <v>1.8</v>
      </c>
      <c r="D2604" s="0" t="n">
        <v>0.067</v>
      </c>
    </row>
    <row r="2605" customFormat="false" ht="13.8" hidden="true" customHeight="false" outlineLevel="0" collapsed="false">
      <c r="A2605" s="0" t="s">
        <v>716</v>
      </c>
      <c r="B2605" s="0" t="n">
        <v>20</v>
      </c>
      <c r="C2605" s="0" t="n">
        <v>1.85</v>
      </c>
      <c r="D2605" s="0" t="n">
        <v>0.069</v>
      </c>
    </row>
    <row r="2606" customFormat="false" ht="13.8" hidden="true" customHeight="false" outlineLevel="0" collapsed="false">
      <c r="A2606" s="0" t="s">
        <v>716</v>
      </c>
      <c r="B2606" s="0" t="n">
        <v>20</v>
      </c>
      <c r="C2606" s="0" t="n">
        <v>1.9</v>
      </c>
      <c r="D2606" s="0" t="n">
        <v>0.071</v>
      </c>
    </row>
    <row r="2607" customFormat="false" ht="13.8" hidden="true" customHeight="false" outlineLevel="0" collapsed="false">
      <c r="A2607" s="0" t="s">
        <v>716</v>
      </c>
      <c r="B2607" s="0" t="n">
        <v>20</v>
      </c>
      <c r="C2607" s="0" t="n">
        <v>1.95</v>
      </c>
      <c r="D2607" s="0" t="n">
        <v>0</v>
      </c>
    </row>
    <row r="2608" customFormat="false" ht="13.8" hidden="true" customHeight="false" outlineLevel="0" collapsed="false">
      <c r="A2608" s="0" t="s">
        <v>716</v>
      </c>
      <c r="B2608" s="0" t="n">
        <v>20</v>
      </c>
      <c r="C2608" s="0" t="n">
        <v>2</v>
      </c>
      <c r="D2608" s="0" t="n">
        <v>0</v>
      </c>
    </row>
    <row r="2609" customFormat="false" ht="13.8" hidden="true" customHeight="false" outlineLevel="0" collapsed="false">
      <c r="A2609" s="0" t="s">
        <v>716</v>
      </c>
      <c r="B2609" s="0" t="n">
        <v>20</v>
      </c>
      <c r="C2609" s="0" t="n">
        <v>2.05</v>
      </c>
      <c r="D2609" s="0" t="n">
        <v>0</v>
      </c>
    </row>
    <row r="2610" customFormat="false" ht="13.8" hidden="true" customHeight="false" outlineLevel="0" collapsed="false">
      <c r="A2610" s="0" t="s">
        <v>716</v>
      </c>
      <c r="B2610" s="0" t="n">
        <v>20</v>
      </c>
      <c r="C2610" s="0" t="n">
        <v>2.1</v>
      </c>
      <c r="D2610" s="0" t="n">
        <v>0</v>
      </c>
    </row>
    <row r="2611" customFormat="false" ht="13.8" hidden="true" customHeight="false" outlineLevel="0" collapsed="false">
      <c r="A2611" s="0" t="s">
        <v>716</v>
      </c>
      <c r="B2611" s="0" t="n">
        <v>20</v>
      </c>
      <c r="C2611" s="0" t="n">
        <v>2.15</v>
      </c>
      <c r="D2611" s="0" t="n">
        <v>0</v>
      </c>
    </row>
    <row r="2612" customFormat="false" ht="13.8" hidden="true" customHeight="false" outlineLevel="0" collapsed="false">
      <c r="A2612" s="0" t="s">
        <v>716</v>
      </c>
      <c r="B2612" s="0" t="n">
        <v>20</v>
      </c>
      <c r="C2612" s="0" t="n">
        <v>2.2</v>
      </c>
      <c r="D2612" s="0" t="n">
        <v>0</v>
      </c>
    </row>
    <row r="2613" customFormat="false" ht="13.8" hidden="true" customHeight="false" outlineLevel="0" collapsed="false">
      <c r="A2613" s="0" t="s">
        <v>716</v>
      </c>
      <c r="B2613" s="0" t="n">
        <v>20</v>
      </c>
      <c r="C2613" s="0" t="n">
        <v>2.25</v>
      </c>
      <c r="D2613" s="0" t="n">
        <v>0</v>
      </c>
    </row>
    <row r="2614" customFormat="false" ht="13.8" hidden="true" customHeight="false" outlineLevel="0" collapsed="false">
      <c r="A2614" s="0" t="s">
        <v>716</v>
      </c>
      <c r="B2614" s="0" t="n">
        <v>20</v>
      </c>
      <c r="C2614" s="0" t="n">
        <v>2.3</v>
      </c>
      <c r="D2614" s="0" t="n">
        <v>0</v>
      </c>
    </row>
    <row r="2615" customFormat="false" ht="13.8" hidden="true" customHeight="false" outlineLevel="0" collapsed="false">
      <c r="A2615" s="0" t="s">
        <v>716</v>
      </c>
      <c r="B2615" s="0" t="n">
        <v>20</v>
      </c>
      <c r="C2615" s="0" t="n">
        <v>2.35</v>
      </c>
      <c r="D2615" s="0" t="n">
        <v>0</v>
      </c>
    </row>
    <row r="2616" customFormat="false" ht="13.8" hidden="true" customHeight="false" outlineLevel="0" collapsed="false">
      <c r="A2616" s="0" t="s">
        <v>716</v>
      </c>
      <c r="B2616" s="0" t="n">
        <v>20</v>
      </c>
      <c r="C2616" s="0" t="n">
        <v>2.4</v>
      </c>
      <c r="D2616" s="0" t="n">
        <v>0</v>
      </c>
    </row>
    <row r="2617" customFormat="false" ht="13.8" hidden="true" customHeight="false" outlineLevel="0" collapsed="false">
      <c r="A2617" s="0" t="s">
        <v>716</v>
      </c>
      <c r="B2617" s="0" t="n">
        <v>20</v>
      </c>
      <c r="C2617" s="0" t="n">
        <v>2.45</v>
      </c>
      <c r="D2617" s="0" t="n">
        <v>0</v>
      </c>
    </row>
    <row r="2618" customFormat="false" ht="13.8" hidden="true" customHeight="false" outlineLevel="0" collapsed="false">
      <c r="A2618" s="0" t="s">
        <v>716</v>
      </c>
      <c r="B2618" s="0" t="n">
        <v>20</v>
      </c>
      <c r="C2618" s="0" t="n">
        <v>2.5</v>
      </c>
      <c r="D2618" s="0" t="n">
        <v>0</v>
      </c>
    </row>
    <row r="2619" customFormat="false" ht="13.8" hidden="true" customHeight="false" outlineLevel="0" collapsed="false">
      <c r="A2619" s="0" t="s">
        <v>716</v>
      </c>
      <c r="B2619" s="0" t="n">
        <v>20</v>
      </c>
      <c r="C2619" s="0" t="n">
        <v>2.55</v>
      </c>
      <c r="D2619" s="0" t="n">
        <v>0</v>
      </c>
    </row>
    <row r="2620" customFormat="false" ht="13.8" hidden="true" customHeight="false" outlineLevel="0" collapsed="false">
      <c r="A2620" s="0" t="s">
        <v>716</v>
      </c>
      <c r="B2620" s="0" t="n">
        <v>20</v>
      </c>
      <c r="C2620" s="0" t="n">
        <v>2.6</v>
      </c>
      <c r="D2620" s="0" t="n">
        <v>0</v>
      </c>
    </row>
    <row r="2621" customFormat="false" ht="13.8" hidden="true" customHeight="false" outlineLevel="0" collapsed="false">
      <c r="A2621" s="0" t="s">
        <v>716</v>
      </c>
      <c r="B2621" s="0" t="n">
        <v>21</v>
      </c>
      <c r="C2621" s="0" t="n">
        <v>1.3</v>
      </c>
      <c r="D2621" s="0" t="n">
        <v>0</v>
      </c>
    </row>
    <row r="2622" customFormat="false" ht="13.8" hidden="true" customHeight="false" outlineLevel="0" collapsed="false">
      <c r="A2622" s="0" t="s">
        <v>716</v>
      </c>
      <c r="B2622" s="0" t="n">
        <v>21</v>
      </c>
      <c r="C2622" s="0" t="n">
        <v>1.35</v>
      </c>
      <c r="D2622" s="0" t="n">
        <v>0</v>
      </c>
    </row>
    <row r="2623" customFormat="false" ht="13.8" hidden="true" customHeight="false" outlineLevel="0" collapsed="false">
      <c r="A2623" s="0" t="s">
        <v>716</v>
      </c>
      <c r="B2623" s="0" t="n">
        <v>21</v>
      </c>
      <c r="C2623" s="0" t="n">
        <v>1.4</v>
      </c>
      <c r="D2623" s="0" t="n">
        <v>0</v>
      </c>
    </row>
    <row r="2624" customFormat="false" ht="13.8" hidden="true" customHeight="false" outlineLevel="0" collapsed="false">
      <c r="A2624" s="0" t="s">
        <v>716</v>
      </c>
      <c r="B2624" s="0" t="n">
        <v>21</v>
      </c>
      <c r="C2624" s="0" t="n">
        <v>1.45</v>
      </c>
      <c r="D2624" s="0" t="n">
        <v>0</v>
      </c>
    </row>
    <row r="2625" customFormat="false" ht="13.8" hidden="true" customHeight="false" outlineLevel="0" collapsed="false">
      <c r="A2625" s="0" t="s">
        <v>716</v>
      </c>
      <c r="B2625" s="0" t="n">
        <v>21</v>
      </c>
      <c r="C2625" s="0" t="n">
        <v>1.5</v>
      </c>
      <c r="D2625" s="0" t="n">
        <v>0</v>
      </c>
    </row>
    <row r="2626" customFormat="false" ht="13.8" hidden="true" customHeight="false" outlineLevel="0" collapsed="false">
      <c r="A2626" s="0" t="s">
        <v>716</v>
      </c>
      <c r="B2626" s="0" t="n">
        <v>21</v>
      </c>
      <c r="C2626" s="0" t="n">
        <v>1.55</v>
      </c>
      <c r="D2626" s="0" t="n">
        <v>0</v>
      </c>
    </row>
    <row r="2627" customFormat="false" ht="13.8" hidden="true" customHeight="false" outlineLevel="0" collapsed="false">
      <c r="A2627" s="0" t="s">
        <v>716</v>
      </c>
      <c r="B2627" s="0" t="n">
        <v>21</v>
      </c>
      <c r="C2627" s="0" t="n">
        <v>1.6</v>
      </c>
      <c r="D2627" s="0" t="n">
        <v>0.058</v>
      </c>
    </row>
    <row r="2628" customFormat="false" ht="13.8" hidden="true" customHeight="false" outlineLevel="0" collapsed="false">
      <c r="A2628" s="0" t="s">
        <v>716</v>
      </c>
      <c r="B2628" s="0" t="n">
        <v>21</v>
      </c>
      <c r="C2628" s="0" t="n">
        <v>1.65</v>
      </c>
      <c r="D2628" s="0" t="n">
        <v>0.059</v>
      </c>
    </row>
    <row r="2629" customFormat="false" ht="13.8" hidden="true" customHeight="false" outlineLevel="0" collapsed="false">
      <c r="A2629" s="0" t="s">
        <v>716</v>
      </c>
      <c r="B2629" s="0" t="n">
        <v>21</v>
      </c>
      <c r="C2629" s="0" t="n">
        <v>1.7</v>
      </c>
      <c r="D2629" s="0" t="n">
        <v>0.061</v>
      </c>
    </row>
    <row r="2630" customFormat="false" ht="13.8" hidden="true" customHeight="false" outlineLevel="0" collapsed="false">
      <c r="A2630" s="0" t="s">
        <v>716</v>
      </c>
      <c r="B2630" s="0" t="n">
        <v>21</v>
      </c>
      <c r="C2630" s="0" t="n">
        <v>1.75</v>
      </c>
      <c r="D2630" s="0" t="n">
        <v>0.063</v>
      </c>
    </row>
    <row r="2631" customFormat="false" ht="13.8" hidden="true" customHeight="false" outlineLevel="0" collapsed="false">
      <c r="A2631" s="0" t="s">
        <v>716</v>
      </c>
      <c r="B2631" s="0" t="n">
        <v>21</v>
      </c>
      <c r="C2631" s="0" t="n">
        <v>1.8</v>
      </c>
      <c r="D2631" s="0" t="n">
        <v>0.067</v>
      </c>
    </row>
    <row r="2632" customFormat="false" ht="13.8" hidden="true" customHeight="false" outlineLevel="0" collapsed="false">
      <c r="A2632" s="0" t="s">
        <v>716</v>
      </c>
      <c r="B2632" s="0" t="n">
        <v>21</v>
      </c>
      <c r="C2632" s="0" t="n">
        <v>1.85</v>
      </c>
      <c r="D2632" s="0" t="n">
        <v>0.069</v>
      </c>
    </row>
    <row r="2633" customFormat="false" ht="13.8" hidden="true" customHeight="false" outlineLevel="0" collapsed="false">
      <c r="A2633" s="0" t="s">
        <v>716</v>
      </c>
      <c r="B2633" s="0" t="n">
        <v>21</v>
      </c>
      <c r="C2633" s="0" t="n">
        <v>1.9</v>
      </c>
      <c r="D2633" s="0" t="n">
        <v>0.071</v>
      </c>
    </row>
    <row r="2634" customFormat="false" ht="13.8" hidden="true" customHeight="false" outlineLevel="0" collapsed="false">
      <c r="A2634" s="0" t="s">
        <v>716</v>
      </c>
      <c r="B2634" s="0" t="n">
        <v>21</v>
      </c>
      <c r="C2634" s="0" t="n">
        <v>1.95</v>
      </c>
      <c r="D2634" s="0" t="n">
        <v>0</v>
      </c>
    </row>
    <row r="2635" customFormat="false" ht="13.8" hidden="true" customHeight="false" outlineLevel="0" collapsed="false">
      <c r="A2635" s="0" t="s">
        <v>716</v>
      </c>
      <c r="B2635" s="0" t="n">
        <v>21</v>
      </c>
      <c r="C2635" s="0" t="n">
        <v>2</v>
      </c>
      <c r="D2635" s="0" t="n">
        <v>0</v>
      </c>
    </row>
    <row r="2636" customFormat="false" ht="13.8" hidden="true" customHeight="false" outlineLevel="0" collapsed="false">
      <c r="A2636" s="0" t="s">
        <v>716</v>
      </c>
      <c r="B2636" s="0" t="n">
        <v>21</v>
      </c>
      <c r="C2636" s="0" t="n">
        <v>2.05</v>
      </c>
      <c r="D2636" s="0" t="n">
        <v>0</v>
      </c>
    </row>
    <row r="2637" customFormat="false" ht="13.8" hidden="true" customHeight="false" outlineLevel="0" collapsed="false">
      <c r="A2637" s="0" t="s">
        <v>716</v>
      </c>
      <c r="B2637" s="0" t="n">
        <v>21</v>
      </c>
      <c r="C2637" s="0" t="n">
        <v>2.1</v>
      </c>
      <c r="D2637" s="0" t="n">
        <v>0</v>
      </c>
    </row>
    <row r="2638" customFormat="false" ht="13.8" hidden="true" customHeight="false" outlineLevel="0" collapsed="false">
      <c r="A2638" s="0" t="s">
        <v>716</v>
      </c>
      <c r="B2638" s="0" t="n">
        <v>21</v>
      </c>
      <c r="C2638" s="0" t="n">
        <v>2.15</v>
      </c>
      <c r="D2638" s="0" t="n">
        <v>0</v>
      </c>
    </row>
    <row r="2639" customFormat="false" ht="13.8" hidden="true" customHeight="false" outlineLevel="0" collapsed="false">
      <c r="A2639" s="0" t="s">
        <v>716</v>
      </c>
      <c r="B2639" s="0" t="n">
        <v>21</v>
      </c>
      <c r="C2639" s="0" t="n">
        <v>2.2</v>
      </c>
      <c r="D2639" s="0" t="n">
        <v>0</v>
      </c>
    </row>
    <row r="2640" customFormat="false" ht="13.8" hidden="true" customHeight="false" outlineLevel="0" collapsed="false">
      <c r="A2640" s="0" t="s">
        <v>716</v>
      </c>
      <c r="B2640" s="0" t="n">
        <v>21</v>
      </c>
      <c r="C2640" s="0" t="n">
        <v>2.25</v>
      </c>
      <c r="D2640" s="0" t="n">
        <v>0</v>
      </c>
    </row>
    <row r="2641" customFormat="false" ht="13.8" hidden="true" customHeight="false" outlineLevel="0" collapsed="false">
      <c r="A2641" s="0" t="s">
        <v>716</v>
      </c>
      <c r="B2641" s="0" t="n">
        <v>21</v>
      </c>
      <c r="C2641" s="0" t="n">
        <v>2.3</v>
      </c>
      <c r="D2641" s="0" t="n">
        <v>0</v>
      </c>
    </row>
    <row r="2642" customFormat="false" ht="13.8" hidden="true" customHeight="false" outlineLevel="0" collapsed="false">
      <c r="A2642" s="0" t="s">
        <v>716</v>
      </c>
      <c r="B2642" s="0" t="n">
        <v>21</v>
      </c>
      <c r="C2642" s="0" t="n">
        <v>2.35</v>
      </c>
      <c r="D2642" s="0" t="n">
        <v>0</v>
      </c>
    </row>
    <row r="2643" customFormat="false" ht="13.8" hidden="true" customHeight="false" outlineLevel="0" collapsed="false">
      <c r="A2643" s="0" t="s">
        <v>716</v>
      </c>
      <c r="B2643" s="0" t="n">
        <v>21</v>
      </c>
      <c r="C2643" s="0" t="n">
        <v>2.4</v>
      </c>
      <c r="D2643" s="0" t="n">
        <v>0</v>
      </c>
    </row>
    <row r="2644" customFormat="false" ht="13.8" hidden="true" customHeight="false" outlineLevel="0" collapsed="false">
      <c r="A2644" s="0" t="s">
        <v>716</v>
      </c>
      <c r="B2644" s="0" t="n">
        <v>21</v>
      </c>
      <c r="C2644" s="0" t="n">
        <v>2.45</v>
      </c>
      <c r="D2644" s="0" t="n">
        <v>0</v>
      </c>
    </row>
    <row r="2645" customFormat="false" ht="13.8" hidden="true" customHeight="false" outlineLevel="0" collapsed="false">
      <c r="A2645" s="0" t="s">
        <v>716</v>
      </c>
      <c r="B2645" s="0" t="n">
        <v>21</v>
      </c>
      <c r="C2645" s="0" t="n">
        <v>2.5</v>
      </c>
      <c r="D2645" s="0" t="n">
        <v>0</v>
      </c>
    </row>
    <row r="2646" customFormat="false" ht="13.8" hidden="true" customHeight="false" outlineLevel="0" collapsed="false">
      <c r="A2646" s="0" t="s">
        <v>716</v>
      </c>
      <c r="B2646" s="0" t="n">
        <v>21</v>
      </c>
      <c r="C2646" s="0" t="n">
        <v>2.55</v>
      </c>
      <c r="D2646" s="0" t="n">
        <v>0</v>
      </c>
    </row>
    <row r="2647" customFormat="false" ht="13.8" hidden="true" customHeight="false" outlineLevel="0" collapsed="false">
      <c r="A2647" s="0" t="s">
        <v>716</v>
      </c>
      <c r="B2647" s="0" t="n">
        <v>21</v>
      </c>
      <c r="C2647" s="0" t="n">
        <v>2.6</v>
      </c>
      <c r="D2647" s="0" t="n">
        <v>0</v>
      </c>
    </row>
    <row r="2648" customFormat="false" ht="13.8" hidden="true" customHeight="false" outlineLevel="0" collapsed="false">
      <c r="A2648" s="0" t="s">
        <v>719</v>
      </c>
      <c r="B2648" s="0" t="n">
        <v>16</v>
      </c>
      <c r="C2648" s="0" t="n">
        <v>1.3</v>
      </c>
      <c r="D2648" s="0" t="n">
        <v>0</v>
      </c>
    </row>
    <row r="2649" customFormat="false" ht="13.8" hidden="true" customHeight="false" outlineLevel="0" collapsed="false">
      <c r="A2649" s="0" t="s">
        <v>719</v>
      </c>
      <c r="B2649" s="0" t="n">
        <v>16</v>
      </c>
      <c r="C2649" s="0" t="n">
        <v>1.35</v>
      </c>
      <c r="D2649" s="0" t="n">
        <v>0</v>
      </c>
    </row>
    <row r="2650" customFormat="false" ht="13.8" hidden="true" customHeight="false" outlineLevel="0" collapsed="false">
      <c r="A2650" s="0" t="s">
        <v>719</v>
      </c>
      <c r="B2650" s="0" t="n">
        <v>16</v>
      </c>
      <c r="C2650" s="0" t="n">
        <v>1.4</v>
      </c>
      <c r="D2650" s="0" t="n">
        <v>0</v>
      </c>
    </row>
    <row r="2651" customFormat="false" ht="13.8" hidden="true" customHeight="false" outlineLevel="0" collapsed="false">
      <c r="A2651" s="0" t="s">
        <v>719</v>
      </c>
      <c r="B2651" s="0" t="n">
        <v>16</v>
      </c>
      <c r="C2651" s="0" t="n">
        <v>1.45</v>
      </c>
      <c r="D2651" s="0" t="n">
        <v>0</v>
      </c>
    </row>
    <row r="2652" customFormat="false" ht="13.8" hidden="true" customHeight="false" outlineLevel="0" collapsed="false">
      <c r="A2652" s="0" t="s">
        <v>719</v>
      </c>
      <c r="B2652" s="0" t="n">
        <v>16</v>
      </c>
      <c r="C2652" s="0" t="n">
        <v>1.5</v>
      </c>
      <c r="D2652" s="0" t="n">
        <v>0</v>
      </c>
    </row>
    <row r="2653" customFormat="false" ht="13.8" hidden="true" customHeight="false" outlineLevel="0" collapsed="false">
      <c r="A2653" s="0" t="s">
        <v>719</v>
      </c>
      <c r="B2653" s="0" t="n">
        <v>16</v>
      </c>
      <c r="C2653" s="0" t="n">
        <v>1.55</v>
      </c>
      <c r="D2653" s="0" t="n">
        <v>0</v>
      </c>
    </row>
    <row r="2654" customFormat="false" ht="13.8" hidden="true" customHeight="false" outlineLevel="0" collapsed="false">
      <c r="A2654" s="0" t="s">
        <v>719</v>
      </c>
      <c r="B2654" s="0" t="n">
        <v>16</v>
      </c>
      <c r="C2654" s="0" t="n">
        <v>1.6</v>
      </c>
      <c r="D2654" s="0" t="n">
        <v>0</v>
      </c>
    </row>
    <row r="2655" customFormat="false" ht="13.8" hidden="true" customHeight="false" outlineLevel="0" collapsed="false">
      <c r="A2655" s="0" t="s">
        <v>719</v>
      </c>
      <c r="B2655" s="0" t="n">
        <v>16</v>
      </c>
      <c r="C2655" s="0" t="n">
        <v>1.65</v>
      </c>
      <c r="D2655" s="0" t="n">
        <v>0</v>
      </c>
    </row>
    <row r="2656" customFormat="false" ht="13.8" hidden="true" customHeight="false" outlineLevel="0" collapsed="false">
      <c r="A2656" s="0" t="s">
        <v>719</v>
      </c>
      <c r="B2656" s="0" t="n">
        <v>16</v>
      </c>
      <c r="C2656" s="0" t="n">
        <v>1.7</v>
      </c>
      <c r="D2656" s="0" t="n">
        <v>0</v>
      </c>
    </row>
    <row r="2657" customFormat="false" ht="13.8" hidden="true" customHeight="false" outlineLevel="0" collapsed="false">
      <c r="A2657" s="0" t="s">
        <v>719</v>
      </c>
      <c r="B2657" s="0" t="n">
        <v>16</v>
      </c>
      <c r="C2657" s="0" t="n">
        <v>1.75</v>
      </c>
      <c r="D2657" s="0" t="n">
        <v>0</v>
      </c>
    </row>
    <row r="2658" customFormat="false" ht="13.8" hidden="true" customHeight="false" outlineLevel="0" collapsed="false">
      <c r="A2658" s="0" t="s">
        <v>719</v>
      </c>
      <c r="B2658" s="0" t="n">
        <v>16</v>
      </c>
      <c r="C2658" s="0" t="n">
        <v>1.8</v>
      </c>
      <c r="D2658" s="0" t="n">
        <v>0</v>
      </c>
    </row>
    <row r="2659" customFormat="false" ht="13.8" hidden="true" customHeight="false" outlineLevel="0" collapsed="false">
      <c r="A2659" s="0" t="s">
        <v>719</v>
      </c>
      <c r="B2659" s="0" t="n">
        <v>16</v>
      </c>
      <c r="C2659" s="0" t="n">
        <v>1.85</v>
      </c>
      <c r="D2659" s="0" t="n">
        <v>0.069</v>
      </c>
    </row>
    <row r="2660" customFormat="false" ht="13.8" hidden="true" customHeight="false" outlineLevel="0" collapsed="false">
      <c r="A2660" s="0" t="s">
        <v>719</v>
      </c>
      <c r="B2660" s="0" t="n">
        <v>16</v>
      </c>
      <c r="C2660" s="0" t="n">
        <v>1.9</v>
      </c>
      <c r="D2660" s="0" t="n">
        <v>0.071</v>
      </c>
    </row>
    <row r="2661" customFormat="false" ht="13.8" hidden="true" customHeight="false" outlineLevel="0" collapsed="false">
      <c r="A2661" s="0" t="s">
        <v>719</v>
      </c>
      <c r="B2661" s="0" t="n">
        <v>16</v>
      </c>
      <c r="C2661" s="0" t="n">
        <v>1.95</v>
      </c>
      <c r="D2661" s="0" t="n">
        <v>0.073</v>
      </c>
    </row>
    <row r="2662" customFormat="false" ht="13.8" hidden="true" customHeight="false" outlineLevel="0" collapsed="false">
      <c r="A2662" s="0" t="s">
        <v>719</v>
      </c>
      <c r="B2662" s="0" t="n">
        <v>16</v>
      </c>
      <c r="C2662" s="0" t="n">
        <v>2</v>
      </c>
      <c r="D2662" s="0" t="n">
        <v>0.077483167</v>
      </c>
    </row>
    <row r="2663" customFormat="false" ht="13.8" hidden="true" customHeight="false" outlineLevel="0" collapsed="false">
      <c r="A2663" s="0" t="s">
        <v>719</v>
      </c>
      <c r="B2663" s="0" t="n">
        <v>16</v>
      </c>
      <c r="C2663" s="0" t="n">
        <v>2.05</v>
      </c>
      <c r="D2663" s="0" t="n">
        <v>0.079420247</v>
      </c>
    </row>
    <row r="2664" customFormat="false" ht="13.8" hidden="true" customHeight="false" outlineLevel="0" collapsed="false">
      <c r="A2664" s="0" t="s">
        <v>719</v>
      </c>
      <c r="B2664" s="0" t="n">
        <v>16</v>
      </c>
      <c r="C2664" s="0" t="n">
        <v>2.1</v>
      </c>
      <c r="D2664" s="0" t="n">
        <v>0.081357326</v>
      </c>
    </row>
    <row r="2665" customFormat="false" ht="13.8" hidden="true" customHeight="false" outlineLevel="0" collapsed="false">
      <c r="A2665" s="0" t="s">
        <v>719</v>
      </c>
      <c r="B2665" s="0" t="n">
        <v>16</v>
      </c>
      <c r="C2665" s="0" t="n">
        <v>2.15</v>
      </c>
      <c r="D2665" s="0" t="n">
        <v>0.083294405</v>
      </c>
    </row>
    <row r="2666" customFormat="false" ht="13.8" hidden="true" customHeight="false" outlineLevel="0" collapsed="false">
      <c r="A2666" s="0" t="s">
        <v>719</v>
      </c>
      <c r="B2666" s="0" t="n">
        <v>16</v>
      </c>
      <c r="C2666" s="0" t="n">
        <v>2.2</v>
      </c>
      <c r="D2666" s="0" t="n">
        <v>0.079747002</v>
      </c>
    </row>
    <row r="2667" customFormat="false" ht="13.8" hidden="true" customHeight="false" outlineLevel="0" collapsed="false">
      <c r="A2667" s="0" t="s">
        <v>719</v>
      </c>
      <c r="B2667" s="0" t="n">
        <v>16</v>
      </c>
      <c r="C2667" s="0" t="n">
        <v>2.25</v>
      </c>
      <c r="D2667" s="0" t="n">
        <v>0.081559434</v>
      </c>
    </row>
    <row r="2668" customFormat="false" ht="13.8" hidden="true" customHeight="false" outlineLevel="0" collapsed="false">
      <c r="A2668" s="0" t="s">
        <v>719</v>
      </c>
      <c r="B2668" s="0" t="n">
        <v>16</v>
      </c>
      <c r="C2668" s="0" t="n">
        <v>2.3</v>
      </c>
      <c r="D2668" s="0" t="n">
        <v>0.083371865</v>
      </c>
    </row>
    <row r="2669" customFormat="false" ht="13.8" hidden="true" customHeight="false" outlineLevel="0" collapsed="false">
      <c r="A2669" s="0" t="s">
        <v>719</v>
      </c>
      <c r="B2669" s="0" t="n">
        <v>16</v>
      </c>
      <c r="C2669" s="0" t="n">
        <v>2.35</v>
      </c>
      <c r="D2669" s="0" t="n">
        <v>0.085184297</v>
      </c>
    </row>
    <row r="2670" customFormat="false" ht="13.8" hidden="true" customHeight="false" outlineLevel="0" collapsed="false">
      <c r="A2670" s="0" t="s">
        <v>719</v>
      </c>
      <c r="B2670" s="0" t="n">
        <v>16</v>
      </c>
      <c r="C2670" s="0" t="n">
        <v>2.4</v>
      </c>
      <c r="D2670" s="0" t="n">
        <v>0.086996729</v>
      </c>
    </row>
    <row r="2671" customFormat="false" ht="13.8" hidden="true" customHeight="false" outlineLevel="0" collapsed="false">
      <c r="A2671" s="0" t="s">
        <v>719</v>
      </c>
      <c r="B2671" s="0" t="n">
        <v>16</v>
      </c>
      <c r="C2671" s="0" t="n">
        <v>2.45</v>
      </c>
      <c r="D2671" s="0" t="n">
        <v>0.088809161</v>
      </c>
    </row>
    <row r="2672" customFormat="false" ht="13.8" hidden="true" customHeight="false" outlineLevel="0" collapsed="false">
      <c r="A2672" s="0" t="s">
        <v>719</v>
      </c>
      <c r="B2672" s="0" t="n">
        <v>16</v>
      </c>
      <c r="C2672" s="0" t="n">
        <v>2.5</v>
      </c>
      <c r="D2672" s="0" t="n">
        <v>0.090621593</v>
      </c>
    </row>
    <row r="2673" customFormat="false" ht="13.8" hidden="true" customHeight="false" outlineLevel="0" collapsed="false">
      <c r="A2673" s="0" t="s">
        <v>719</v>
      </c>
      <c r="B2673" s="0" t="n">
        <v>16</v>
      </c>
      <c r="C2673" s="0" t="n">
        <v>2.55</v>
      </c>
      <c r="D2673" s="0" t="n">
        <v>0.092434025</v>
      </c>
    </row>
    <row r="2674" customFormat="false" ht="13.8" hidden="true" customHeight="false" outlineLevel="0" collapsed="false">
      <c r="A2674" s="0" t="s">
        <v>719</v>
      </c>
      <c r="B2674" s="0" t="n">
        <v>16</v>
      </c>
      <c r="C2674" s="0" t="n">
        <v>2.6</v>
      </c>
      <c r="D2674" s="0" t="n">
        <v>0.094246457</v>
      </c>
    </row>
    <row r="2675" customFormat="false" ht="13.8" hidden="true" customHeight="false" outlineLevel="0" collapsed="false">
      <c r="A2675" s="0" t="s">
        <v>719</v>
      </c>
      <c r="B2675" s="0" t="n">
        <v>17</v>
      </c>
      <c r="C2675" s="0" t="n">
        <v>1.3</v>
      </c>
      <c r="D2675" s="0" t="n">
        <v>0</v>
      </c>
    </row>
    <row r="2676" customFormat="false" ht="13.8" hidden="true" customHeight="false" outlineLevel="0" collapsed="false">
      <c r="A2676" s="0" t="s">
        <v>719</v>
      </c>
      <c r="B2676" s="0" t="n">
        <v>17</v>
      </c>
      <c r="C2676" s="0" t="n">
        <v>1.35</v>
      </c>
      <c r="D2676" s="0" t="n">
        <v>0</v>
      </c>
    </row>
    <row r="2677" customFormat="false" ht="13.8" hidden="true" customHeight="false" outlineLevel="0" collapsed="false">
      <c r="A2677" s="0" t="s">
        <v>719</v>
      </c>
      <c r="B2677" s="0" t="n">
        <v>17</v>
      </c>
      <c r="C2677" s="0" t="n">
        <v>1.4</v>
      </c>
      <c r="D2677" s="0" t="n">
        <v>0</v>
      </c>
    </row>
    <row r="2678" customFormat="false" ht="13.8" hidden="true" customHeight="false" outlineLevel="0" collapsed="false">
      <c r="A2678" s="0" t="s">
        <v>719</v>
      </c>
      <c r="B2678" s="0" t="n">
        <v>17</v>
      </c>
      <c r="C2678" s="0" t="n">
        <v>1.45</v>
      </c>
      <c r="D2678" s="0" t="n">
        <v>0</v>
      </c>
    </row>
    <row r="2679" customFormat="false" ht="13.8" hidden="true" customHeight="false" outlineLevel="0" collapsed="false">
      <c r="A2679" s="0" t="s">
        <v>719</v>
      </c>
      <c r="B2679" s="0" t="n">
        <v>17</v>
      </c>
      <c r="C2679" s="0" t="n">
        <v>1.5</v>
      </c>
      <c r="D2679" s="0" t="n">
        <v>0</v>
      </c>
    </row>
    <row r="2680" customFormat="false" ht="13.8" hidden="true" customHeight="false" outlineLevel="0" collapsed="false">
      <c r="A2680" s="0" t="s">
        <v>719</v>
      </c>
      <c r="B2680" s="0" t="n">
        <v>17</v>
      </c>
      <c r="C2680" s="0" t="n">
        <v>1.55</v>
      </c>
      <c r="D2680" s="0" t="n">
        <v>0</v>
      </c>
    </row>
    <row r="2681" customFormat="false" ht="13.8" hidden="true" customHeight="false" outlineLevel="0" collapsed="false">
      <c r="A2681" s="0" t="s">
        <v>719</v>
      </c>
      <c r="B2681" s="0" t="n">
        <v>17</v>
      </c>
      <c r="C2681" s="0" t="n">
        <v>1.6</v>
      </c>
      <c r="D2681" s="0" t="n">
        <v>0</v>
      </c>
    </row>
    <row r="2682" customFormat="false" ht="13.8" hidden="true" customHeight="false" outlineLevel="0" collapsed="false">
      <c r="A2682" s="0" t="s">
        <v>719</v>
      </c>
      <c r="B2682" s="0" t="n">
        <v>17</v>
      </c>
      <c r="C2682" s="0" t="n">
        <v>1.65</v>
      </c>
      <c r="D2682" s="0" t="n">
        <v>0</v>
      </c>
    </row>
    <row r="2683" customFormat="false" ht="13.8" hidden="true" customHeight="false" outlineLevel="0" collapsed="false">
      <c r="A2683" s="0" t="s">
        <v>719</v>
      </c>
      <c r="B2683" s="0" t="n">
        <v>17</v>
      </c>
      <c r="C2683" s="0" t="n">
        <v>1.7</v>
      </c>
      <c r="D2683" s="0" t="n">
        <v>0</v>
      </c>
    </row>
    <row r="2684" customFormat="false" ht="13.8" hidden="true" customHeight="false" outlineLevel="0" collapsed="false">
      <c r="A2684" s="0" t="s">
        <v>719</v>
      </c>
      <c r="B2684" s="0" t="n">
        <v>17</v>
      </c>
      <c r="C2684" s="0" t="n">
        <v>1.75</v>
      </c>
      <c r="D2684" s="0" t="n">
        <v>0</v>
      </c>
    </row>
    <row r="2685" customFormat="false" ht="13.8" hidden="true" customHeight="false" outlineLevel="0" collapsed="false">
      <c r="A2685" s="0" t="s">
        <v>719</v>
      </c>
      <c r="B2685" s="0" t="n">
        <v>17</v>
      </c>
      <c r="C2685" s="0" t="n">
        <v>1.8</v>
      </c>
      <c r="D2685" s="0" t="n">
        <v>0</v>
      </c>
    </row>
    <row r="2686" customFormat="false" ht="13.8" hidden="true" customHeight="false" outlineLevel="0" collapsed="false">
      <c r="A2686" s="0" t="s">
        <v>719</v>
      </c>
      <c r="B2686" s="0" t="n">
        <v>17</v>
      </c>
      <c r="C2686" s="0" t="n">
        <v>1.85</v>
      </c>
      <c r="D2686" s="0" t="n">
        <v>0.069</v>
      </c>
    </row>
    <row r="2687" customFormat="false" ht="13.8" hidden="true" customHeight="false" outlineLevel="0" collapsed="false">
      <c r="A2687" s="0" t="s">
        <v>719</v>
      </c>
      <c r="B2687" s="0" t="n">
        <v>17</v>
      </c>
      <c r="C2687" s="0" t="n">
        <v>1.9</v>
      </c>
      <c r="D2687" s="0" t="n">
        <v>0.071</v>
      </c>
    </row>
    <row r="2688" customFormat="false" ht="13.8" hidden="true" customHeight="false" outlineLevel="0" collapsed="false">
      <c r="A2688" s="0" t="s">
        <v>719</v>
      </c>
      <c r="B2688" s="0" t="n">
        <v>17</v>
      </c>
      <c r="C2688" s="0" t="n">
        <v>1.95</v>
      </c>
      <c r="D2688" s="0" t="n">
        <v>0.073</v>
      </c>
    </row>
    <row r="2689" customFormat="false" ht="13.8" hidden="true" customHeight="false" outlineLevel="0" collapsed="false">
      <c r="A2689" s="0" t="s">
        <v>719</v>
      </c>
      <c r="B2689" s="0" t="n">
        <v>17</v>
      </c>
      <c r="C2689" s="0" t="n">
        <v>2</v>
      </c>
      <c r="D2689" s="0" t="n">
        <v>0.077483167</v>
      </c>
    </row>
    <row r="2690" customFormat="false" ht="13.8" hidden="true" customHeight="false" outlineLevel="0" collapsed="false">
      <c r="A2690" s="0" t="s">
        <v>719</v>
      </c>
      <c r="B2690" s="0" t="n">
        <v>17</v>
      </c>
      <c r="C2690" s="0" t="n">
        <v>2.05</v>
      </c>
      <c r="D2690" s="0" t="n">
        <v>0.079420247</v>
      </c>
    </row>
    <row r="2691" customFormat="false" ht="13.8" hidden="true" customHeight="false" outlineLevel="0" collapsed="false">
      <c r="A2691" s="0" t="s">
        <v>719</v>
      </c>
      <c r="B2691" s="0" t="n">
        <v>17</v>
      </c>
      <c r="C2691" s="0" t="n">
        <v>2.1</v>
      </c>
      <c r="D2691" s="0" t="n">
        <v>0.081357326</v>
      </c>
    </row>
    <row r="2692" customFormat="false" ht="13.8" hidden="true" customHeight="false" outlineLevel="0" collapsed="false">
      <c r="A2692" s="0" t="s">
        <v>719</v>
      </c>
      <c r="B2692" s="0" t="n">
        <v>17</v>
      </c>
      <c r="C2692" s="0" t="n">
        <v>2.15</v>
      </c>
      <c r="D2692" s="0" t="n">
        <v>0.083294405</v>
      </c>
    </row>
    <row r="2693" customFormat="false" ht="13.8" hidden="true" customHeight="false" outlineLevel="0" collapsed="false">
      <c r="A2693" s="0" t="s">
        <v>719</v>
      </c>
      <c r="B2693" s="0" t="n">
        <v>17</v>
      </c>
      <c r="C2693" s="0" t="n">
        <v>2.2</v>
      </c>
      <c r="D2693" s="0" t="n">
        <v>0.079747002</v>
      </c>
    </row>
    <row r="2694" customFormat="false" ht="13.8" hidden="true" customHeight="false" outlineLevel="0" collapsed="false">
      <c r="A2694" s="0" t="s">
        <v>719</v>
      </c>
      <c r="B2694" s="0" t="n">
        <v>17</v>
      </c>
      <c r="C2694" s="0" t="n">
        <v>2.25</v>
      </c>
      <c r="D2694" s="0" t="n">
        <v>0.081559434</v>
      </c>
    </row>
    <row r="2695" customFormat="false" ht="13.8" hidden="true" customHeight="false" outlineLevel="0" collapsed="false">
      <c r="A2695" s="0" t="s">
        <v>719</v>
      </c>
      <c r="B2695" s="0" t="n">
        <v>17</v>
      </c>
      <c r="C2695" s="0" t="n">
        <v>2.3</v>
      </c>
      <c r="D2695" s="0" t="n">
        <v>0.083371865</v>
      </c>
    </row>
    <row r="2696" customFormat="false" ht="13.8" hidden="true" customHeight="false" outlineLevel="0" collapsed="false">
      <c r="A2696" s="0" t="s">
        <v>719</v>
      </c>
      <c r="B2696" s="0" t="n">
        <v>17</v>
      </c>
      <c r="C2696" s="0" t="n">
        <v>2.35</v>
      </c>
      <c r="D2696" s="0" t="n">
        <v>0.085184297</v>
      </c>
    </row>
    <row r="2697" customFormat="false" ht="13.8" hidden="true" customHeight="false" outlineLevel="0" collapsed="false">
      <c r="A2697" s="0" t="s">
        <v>719</v>
      </c>
      <c r="B2697" s="0" t="n">
        <v>17</v>
      </c>
      <c r="C2697" s="0" t="n">
        <v>2.4</v>
      </c>
      <c r="D2697" s="0" t="n">
        <v>0.086996729</v>
      </c>
    </row>
    <row r="2698" customFormat="false" ht="13.8" hidden="true" customHeight="false" outlineLevel="0" collapsed="false">
      <c r="A2698" s="0" t="s">
        <v>719</v>
      </c>
      <c r="B2698" s="0" t="n">
        <v>17</v>
      </c>
      <c r="C2698" s="0" t="n">
        <v>2.45</v>
      </c>
      <c r="D2698" s="0" t="n">
        <v>0.088809161</v>
      </c>
    </row>
    <row r="2699" customFormat="false" ht="13.8" hidden="true" customHeight="false" outlineLevel="0" collapsed="false">
      <c r="A2699" s="0" t="s">
        <v>719</v>
      </c>
      <c r="B2699" s="0" t="n">
        <v>17</v>
      </c>
      <c r="C2699" s="0" t="n">
        <v>2.5</v>
      </c>
      <c r="D2699" s="0" t="n">
        <v>0.090621593</v>
      </c>
    </row>
    <row r="2700" customFormat="false" ht="13.8" hidden="true" customHeight="false" outlineLevel="0" collapsed="false">
      <c r="A2700" s="0" t="s">
        <v>719</v>
      </c>
      <c r="B2700" s="0" t="n">
        <v>17</v>
      </c>
      <c r="C2700" s="0" t="n">
        <v>2.55</v>
      </c>
      <c r="D2700" s="0" t="n">
        <v>0.092434025</v>
      </c>
    </row>
    <row r="2701" customFormat="false" ht="13.8" hidden="true" customHeight="false" outlineLevel="0" collapsed="false">
      <c r="A2701" s="0" t="s">
        <v>719</v>
      </c>
      <c r="B2701" s="0" t="n">
        <v>17</v>
      </c>
      <c r="C2701" s="0" t="n">
        <v>2.6</v>
      </c>
      <c r="D2701" s="0" t="n">
        <v>0.094246457</v>
      </c>
    </row>
    <row r="2702" customFormat="false" ht="13.8" hidden="true" customHeight="false" outlineLevel="0" collapsed="false">
      <c r="A2702" s="0" t="s">
        <v>719</v>
      </c>
      <c r="B2702" s="0" t="n">
        <v>18</v>
      </c>
      <c r="C2702" s="0" t="n">
        <v>1.3</v>
      </c>
      <c r="D2702" s="0" t="n">
        <v>0</v>
      </c>
    </row>
    <row r="2703" customFormat="false" ht="13.8" hidden="true" customHeight="false" outlineLevel="0" collapsed="false">
      <c r="A2703" s="0" t="s">
        <v>719</v>
      </c>
      <c r="B2703" s="0" t="n">
        <v>18</v>
      </c>
      <c r="C2703" s="0" t="n">
        <v>1.35</v>
      </c>
      <c r="D2703" s="0" t="n">
        <v>0</v>
      </c>
    </row>
    <row r="2704" customFormat="false" ht="13.8" hidden="true" customHeight="false" outlineLevel="0" collapsed="false">
      <c r="A2704" s="0" t="s">
        <v>719</v>
      </c>
      <c r="B2704" s="0" t="n">
        <v>18</v>
      </c>
      <c r="C2704" s="0" t="n">
        <v>1.4</v>
      </c>
      <c r="D2704" s="0" t="n">
        <v>0</v>
      </c>
    </row>
    <row r="2705" customFormat="false" ht="13.8" hidden="true" customHeight="false" outlineLevel="0" collapsed="false">
      <c r="A2705" s="0" t="s">
        <v>719</v>
      </c>
      <c r="B2705" s="0" t="n">
        <v>18</v>
      </c>
      <c r="C2705" s="0" t="n">
        <v>1.45</v>
      </c>
      <c r="D2705" s="0" t="n">
        <v>0</v>
      </c>
    </row>
    <row r="2706" customFormat="false" ht="13.8" hidden="true" customHeight="false" outlineLevel="0" collapsed="false">
      <c r="A2706" s="0" t="s">
        <v>719</v>
      </c>
      <c r="B2706" s="0" t="n">
        <v>18</v>
      </c>
      <c r="C2706" s="0" t="n">
        <v>1.5</v>
      </c>
      <c r="D2706" s="0" t="n">
        <v>0</v>
      </c>
    </row>
    <row r="2707" customFormat="false" ht="13.8" hidden="true" customHeight="false" outlineLevel="0" collapsed="false">
      <c r="A2707" s="0" t="s">
        <v>719</v>
      </c>
      <c r="B2707" s="0" t="n">
        <v>18</v>
      </c>
      <c r="C2707" s="0" t="n">
        <v>1.55</v>
      </c>
      <c r="D2707" s="0" t="n">
        <v>0</v>
      </c>
    </row>
    <row r="2708" customFormat="false" ht="13.8" hidden="true" customHeight="false" outlineLevel="0" collapsed="false">
      <c r="A2708" s="0" t="s">
        <v>719</v>
      </c>
      <c r="B2708" s="0" t="n">
        <v>18</v>
      </c>
      <c r="C2708" s="0" t="n">
        <v>1.6</v>
      </c>
      <c r="D2708" s="0" t="n">
        <v>0</v>
      </c>
    </row>
    <row r="2709" customFormat="false" ht="13.8" hidden="true" customHeight="false" outlineLevel="0" collapsed="false">
      <c r="A2709" s="0" t="s">
        <v>719</v>
      </c>
      <c r="B2709" s="0" t="n">
        <v>18</v>
      </c>
      <c r="C2709" s="0" t="n">
        <v>1.65</v>
      </c>
      <c r="D2709" s="0" t="n">
        <v>0</v>
      </c>
    </row>
    <row r="2710" customFormat="false" ht="13.8" hidden="true" customHeight="false" outlineLevel="0" collapsed="false">
      <c r="A2710" s="0" t="s">
        <v>719</v>
      </c>
      <c r="B2710" s="0" t="n">
        <v>18</v>
      </c>
      <c r="C2710" s="0" t="n">
        <v>1.7</v>
      </c>
      <c r="D2710" s="0" t="n">
        <v>0</v>
      </c>
    </row>
    <row r="2711" customFormat="false" ht="13.8" hidden="true" customHeight="false" outlineLevel="0" collapsed="false">
      <c r="A2711" s="0" t="s">
        <v>719</v>
      </c>
      <c r="B2711" s="0" t="n">
        <v>18</v>
      </c>
      <c r="C2711" s="0" t="n">
        <v>1.75</v>
      </c>
      <c r="D2711" s="0" t="n">
        <v>0</v>
      </c>
    </row>
    <row r="2712" customFormat="false" ht="13.8" hidden="true" customHeight="false" outlineLevel="0" collapsed="false">
      <c r="A2712" s="0" t="s">
        <v>719</v>
      </c>
      <c r="B2712" s="0" t="n">
        <v>18</v>
      </c>
      <c r="C2712" s="0" t="n">
        <v>1.8</v>
      </c>
      <c r="D2712" s="0" t="n">
        <v>0</v>
      </c>
    </row>
    <row r="2713" customFormat="false" ht="13.8" hidden="true" customHeight="false" outlineLevel="0" collapsed="false">
      <c r="A2713" s="0" t="s">
        <v>719</v>
      </c>
      <c r="B2713" s="0" t="n">
        <v>18</v>
      </c>
      <c r="C2713" s="0" t="n">
        <v>1.85</v>
      </c>
      <c r="D2713" s="0" t="n">
        <v>0.069</v>
      </c>
    </row>
    <row r="2714" customFormat="false" ht="13.8" hidden="true" customHeight="false" outlineLevel="0" collapsed="false">
      <c r="A2714" s="0" t="s">
        <v>719</v>
      </c>
      <c r="B2714" s="0" t="n">
        <v>18</v>
      </c>
      <c r="C2714" s="0" t="n">
        <v>1.9</v>
      </c>
      <c r="D2714" s="0" t="n">
        <v>0.071</v>
      </c>
    </row>
    <row r="2715" customFormat="false" ht="13.8" hidden="true" customHeight="false" outlineLevel="0" collapsed="false">
      <c r="A2715" s="0" t="s">
        <v>719</v>
      </c>
      <c r="B2715" s="0" t="n">
        <v>18</v>
      </c>
      <c r="C2715" s="0" t="n">
        <v>1.95</v>
      </c>
      <c r="D2715" s="0" t="n">
        <v>0.073</v>
      </c>
    </row>
    <row r="2716" customFormat="false" ht="13.8" hidden="true" customHeight="false" outlineLevel="0" collapsed="false">
      <c r="A2716" s="0" t="s">
        <v>719</v>
      </c>
      <c r="B2716" s="0" t="n">
        <v>18</v>
      </c>
      <c r="C2716" s="0" t="n">
        <v>2</v>
      </c>
      <c r="D2716" s="0" t="n">
        <v>0.077483167</v>
      </c>
    </row>
    <row r="2717" customFormat="false" ht="13.8" hidden="true" customHeight="false" outlineLevel="0" collapsed="false">
      <c r="A2717" s="0" t="s">
        <v>719</v>
      </c>
      <c r="B2717" s="0" t="n">
        <v>18</v>
      </c>
      <c r="C2717" s="0" t="n">
        <v>2.05</v>
      </c>
      <c r="D2717" s="0" t="n">
        <v>0.079420247</v>
      </c>
    </row>
    <row r="2718" customFormat="false" ht="13.8" hidden="true" customHeight="false" outlineLevel="0" collapsed="false">
      <c r="A2718" s="0" t="s">
        <v>719</v>
      </c>
      <c r="B2718" s="0" t="n">
        <v>18</v>
      </c>
      <c r="C2718" s="0" t="n">
        <v>2.1</v>
      </c>
      <c r="D2718" s="0" t="n">
        <v>0.081357326</v>
      </c>
    </row>
    <row r="2719" customFormat="false" ht="13.8" hidden="true" customHeight="false" outlineLevel="0" collapsed="false">
      <c r="A2719" s="0" t="s">
        <v>719</v>
      </c>
      <c r="B2719" s="0" t="n">
        <v>18</v>
      </c>
      <c r="C2719" s="0" t="n">
        <v>2.15</v>
      </c>
      <c r="D2719" s="0" t="n">
        <v>0.083294405</v>
      </c>
    </row>
    <row r="2720" customFormat="false" ht="13.8" hidden="true" customHeight="false" outlineLevel="0" collapsed="false">
      <c r="A2720" s="0" t="s">
        <v>719</v>
      </c>
      <c r="B2720" s="0" t="n">
        <v>18</v>
      </c>
      <c r="C2720" s="0" t="n">
        <v>2.2</v>
      </c>
      <c r="D2720" s="0" t="n">
        <v>0.079747002</v>
      </c>
    </row>
    <row r="2721" customFormat="false" ht="13.8" hidden="true" customHeight="false" outlineLevel="0" collapsed="false">
      <c r="A2721" s="0" t="s">
        <v>719</v>
      </c>
      <c r="B2721" s="0" t="n">
        <v>18</v>
      </c>
      <c r="C2721" s="0" t="n">
        <v>2.25</v>
      </c>
      <c r="D2721" s="0" t="n">
        <v>0.081559434</v>
      </c>
    </row>
    <row r="2722" customFormat="false" ht="13.8" hidden="true" customHeight="false" outlineLevel="0" collapsed="false">
      <c r="A2722" s="0" t="s">
        <v>719</v>
      </c>
      <c r="B2722" s="0" t="n">
        <v>18</v>
      </c>
      <c r="C2722" s="0" t="n">
        <v>2.3</v>
      </c>
      <c r="D2722" s="0" t="n">
        <v>0.083371865</v>
      </c>
    </row>
    <row r="2723" customFormat="false" ht="13.8" hidden="true" customHeight="false" outlineLevel="0" collapsed="false">
      <c r="A2723" s="0" t="s">
        <v>719</v>
      </c>
      <c r="B2723" s="0" t="n">
        <v>18</v>
      </c>
      <c r="C2723" s="0" t="n">
        <v>2.35</v>
      </c>
      <c r="D2723" s="0" t="n">
        <v>0.085184297</v>
      </c>
    </row>
    <row r="2724" customFormat="false" ht="13.8" hidden="true" customHeight="false" outlineLevel="0" collapsed="false">
      <c r="A2724" s="0" t="s">
        <v>719</v>
      </c>
      <c r="B2724" s="0" t="n">
        <v>18</v>
      </c>
      <c r="C2724" s="0" t="n">
        <v>2.4</v>
      </c>
      <c r="D2724" s="0" t="n">
        <v>0.086996729</v>
      </c>
    </row>
    <row r="2725" customFormat="false" ht="13.8" hidden="true" customHeight="false" outlineLevel="0" collapsed="false">
      <c r="A2725" s="0" t="s">
        <v>719</v>
      </c>
      <c r="B2725" s="0" t="n">
        <v>18</v>
      </c>
      <c r="C2725" s="0" t="n">
        <v>2.45</v>
      </c>
      <c r="D2725" s="0" t="n">
        <v>0.088809161</v>
      </c>
    </row>
    <row r="2726" customFormat="false" ht="13.8" hidden="true" customHeight="false" outlineLevel="0" collapsed="false">
      <c r="A2726" s="0" t="s">
        <v>719</v>
      </c>
      <c r="B2726" s="0" t="n">
        <v>18</v>
      </c>
      <c r="C2726" s="0" t="n">
        <v>2.5</v>
      </c>
      <c r="D2726" s="0" t="n">
        <v>0.090621593</v>
      </c>
    </row>
    <row r="2727" customFormat="false" ht="13.8" hidden="true" customHeight="false" outlineLevel="0" collapsed="false">
      <c r="A2727" s="0" t="s">
        <v>719</v>
      </c>
      <c r="B2727" s="0" t="n">
        <v>18</v>
      </c>
      <c r="C2727" s="0" t="n">
        <v>2.55</v>
      </c>
      <c r="D2727" s="0" t="n">
        <v>0.092434025</v>
      </c>
    </row>
    <row r="2728" customFormat="false" ht="13.8" hidden="true" customHeight="false" outlineLevel="0" collapsed="false">
      <c r="A2728" s="0" t="s">
        <v>719</v>
      </c>
      <c r="B2728" s="0" t="n">
        <v>18</v>
      </c>
      <c r="C2728" s="0" t="n">
        <v>2.6</v>
      </c>
      <c r="D2728" s="0" t="n">
        <v>0.094246457</v>
      </c>
    </row>
    <row r="2729" customFormat="false" ht="13.8" hidden="true" customHeight="false" outlineLevel="0" collapsed="false">
      <c r="A2729" s="0" t="s">
        <v>719</v>
      </c>
      <c r="B2729" s="0" t="n">
        <v>19</v>
      </c>
      <c r="C2729" s="0" t="n">
        <v>1.3</v>
      </c>
      <c r="D2729" s="0" t="n">
        <v>0</v>
      </c>
    </row>
    <row r="2730" customFormat="false" ht="13.8" hidden="true" customHeight="false" outlineLevel="0" collapsed="false">
      <c r="A2730" s="0" t="s">
        <v>719</v>
      </c>
      <c r="B2730" s="0" t="n">
        <v>19</v>
      </c>
      <c r="C2730" s="0" t="n">
        <v>1.35</v>
      </c>
      <c r="D2730" s="0" t="n">
        <v>0</v>
      </c>
    </row>
    <row r="2731" customFormat="false" ht="13.8" hidden="true" customHeight="false" outlineLevel="0" collapsed="false">
      <c r="A2731" s="0" t="s">
        <v>719</v>
      </c>
      <c r="B2731" s="0" t="n">
        <v>19</v>
      </c>
      <c r="C2731" s="0" t="n">
        <v>1.4</v>
      </c>
      <c r="D2731" s="0" t="n">
        <v>0</v>
      </c>
    </row>
    <row r="2732" customFormat="false" ht="13.8" hidden="true" customHeight="false" outlineLevel="0" collapsed="false">
      <c r="A2732" s="0" t="s">
        <v>719</v>
      </c>
      <c r="B2732" s="0" t="n">
        <v>19</v>
      </c>
      <c r="C2732" s="0" t="n">
        <v>1.45</v>
      </c>
      <c r="D2732" s="0" t="n">
        <v>0</v>
      </c>
    </row>
    <row r="2733" customFormat="false" ht="13.8" hidden="true" customHeight="false" outlineLevel="0" collapsed="false">
      <c r="A2733" s="0" t="s">
        <v>719</v>
      </c>
      <c r="B2733" s="0" t="n">
        <v>19</v>
      </c>
      <c r="C2733" s="0" t="n">
        <v>1.5</v>
      </c>
      <c r="D2733" s="0" t="n">
        <v>0</v>
      </c>
    </row>
    <row r="2734" customFormat="false" ht="13.8" hidden="true" customHeight="false" outlineLevel="0" collapsed="false">
      <c r="A2734" s="0" t="s">
        <v>719</v>
      </c>
      <c r="B2734" s="0" t="n">
        <v>19</v>
      </c>
      <c r="C2734" s="0" t="n">
        <v>1.55</v>
      </c>
      <c r="D2734" s="0" t="n">
        <v>0</v>
      </c>
    </row>
    <row r="2735" customFormat="false" ht="13.8" hidden="true" customHeight="false" outlineLevel="0" collapsed="false">
      <c r="A2735" s="0" t="s">
        <v>719</v>
      </c>
      <c r="B2735" s="0" t="n">
        <v>19</v>
      </c>
      <c r="C2735" s="0" t="n">
        <v>1.6</v>
      </c>
      <c r="D2735" s="0" t="n">
        <v>0</v>
      </c>
    </row>
    <row r="2736" customFormat="false" ht="13.8" hidden="true" customHeight="false" outlineLevel="0" collapsed="false">
      <c r="A2736" s="0" t="s">
        <v>719</v>
      </c>
      <c r="B2736" s="0" t="n">
        <v>19</v>
      </c>
      <c r="C2736" s="0" t="n">
        <v>1.65</v>
      </c>
      <c r="D2736" s="0" t="n">
        <v>0</v>
      </c>
    </row>
    <row r="2737" customFormat="false" ht="13.8" hidden="true" customHeight="false" outlineLevel="0" collapsed="false">
      <c r="A2737" s="0" t="s">
        <v>719</v>
      </c>
      <c r="B2737" s="0" t="n">
        <v>19</v>
      </c>
      <c r="C2737" s="0" t="n">
        <v>1.7</v>
      </c>
      <c r="D2737" s="0" t="n">
        <v>0</v>
      </c>
    </row>
    <row r="2738" customFormat="false" ht="13.8" hidden="true" customHeight="false" outlineLevel="0" collapsed="false">
      <c r="A2738" s="0" t="s">
        <v>719</v>
      </c>
      <c r="B2738" s="0" t="n">
        <v>19</v>
      </c>
      <c r="C2738" s="0" t="n">
        <v>1.75</v>
      </c>
      <c r="D2738" s="0" t="n">
        <v>0</v>
      </c>
    </row>
    <row r="2739" customFormat="false" ht="13.8" hidden="true" customHeight="false" outlineLevel="0" collapsed="false">
      <c r="A2739" s="0" t="s">
        <v>719</v>
      </c>
      <c r="B2739" s="0" t="n">
        <v>19</v>
      </c>
      <c r="C2739" s="0" t="n">
        <v>1.8</v>
      </c>
      <c r="D2739" s="0" t="n">
        <v>0</v>
      </c>
    </row>
    <row r="2740" customFormat="false" ht="13.8" hidden="true" customHeight="false" outlineLevel="0" collapsed="false">
      <c r="A2740" s="0" t="s">
        <v>719</v>
      </c>
      <c r="B2740" s="0" t="n">
        <v>19</v>
      </c>
      <c r="C2740" s="0" t="n">
        <v>1.85</v>
      </c>
      <c r="D2740" s="0" t="n">
        <v>0.069</v>
      </c>
    </row>
    <row r="2741" customFormat="false" ht="13.8" hidden="true" customHeight="false" outlineLevel="0" collapsed="false">
      <c r="A2741" s="0" t="s">
        <v>719</v>
      </c>
      <c r="B2741" s="0" t="n">
        <v>19</v>
      </c>
      <c r="C2741" s="0" t="n">
        <v>1.9</v>
      </c>
      <c r="D2741" s="0" t="n">
        <v>0.071</v>
      </c>
    </row>
    <row r="2742" customFormat="false" ht="13.8" hidden="true" customHeight="false" outlineLevel="0" collapsed="false">
      <c r="A2742" s="0" t="s">
        <v>719</v>
      </c>
      <c r="B2742" s="0" t="n">
        <v>19</v>
      </c>
      <c r="C2742" s="0" t="n">
        <v>1.95</v>
      </c>
      <c r="D2742" s="0" t="n">
        <v>0.073</v>
      </c>
    </row>
    <row r="2743" customFormat="false" ht="13.8" hidden="true" customHeight="false" outlineLevel="0" collapsed="false">
      <c r="A2743" s="0" t="s">
        <v>719</v>
      </c>
      <c r="B2743" s="0" t="n">
        <v>19</v>
      </c>
      <c r="C2743" s="0" t="n">
        <v>2</v>
      </c>
      <c r="D2743" s="0" t="n">
        <v>0.077483167</v>
      </c>
    </row>
    <row r="2744" customFormat="false" ht="13.8" hidden="true" customHeight="false" outlineLevel="0" collapsed="false">
      <c r="A2744" s="0" t="s">
        <v>719</v>
      </c>
      <c r="B2744" s="0" t="n">
        <v>19</v>
      </c>
      <c r="C2744" s="0" t="n">
        <v>2.05</v>
      </c>
      <c r="D2744" s="0" t="n">
        <v>0.079420247</v>
      </c>
    </row>
    <row r="2745" customFormat="false" ht="13.8" hidden="true" customHeight="false" outlineLevel="0" collapsed="false">
      <c r="A2745" s="0" t="s">
        <v>719</v>
      </c>
      <c r="B2745" s="0" t="n">
        <v>19</v>
      </c>
      <c r="C2745" s="0" t="n">
        <v>2.1</v>
      </c>
      <c r="D2745" s="0" t="n">
        <v>0.081357326</v>
      </c>
    </row>
    <row r="2746" customFormat="false" ht="13.8" hidden="true" customHeight="false" outlineLevel="0" collapsed="false">
      <c r="A2746" s="0" t="s">
        <v>719</v>
      </c>
      <c r="B2746" s="0" t="n">
        <v>19</v>
      </c>
      <c r="C2746" s="0" t="n">
        <v>2.15</v>
      </c>
      <c r="D2746" s="0" t="n">
        <v>0.083294405</v>
      </c>
    </row>
    <row r="2747" customFormat="false" ht="13.8" hidden="true" customHeight="false" outlineLevel="0" collapsed="false">
      <c r="A2747" s="0" t="s">
        <v>719</v>
      </c>
      <c r="B2747" s="0" t="n">
        <v>19</v>
      </c>
      <c r="C2747" s="0" t="n">
        <v>2.2</v>
      </c>
      <c r="D2747" s="0" t="n">
        <v>0.079747002</v>
      </c>
    </row>
    <row r="2748" customFormat="false" ht="13.8" hidden="true" customHeight="false" outlineLevel="0" collapsed="false">
      <c r="A2748" s="0" t="s">
        <v>719</v>
      </c>
      <c r="B2748" s="0" t="n">
        <v>19</v>
      </c>
      <c r="C2748" s="0" t="n">
        <v>2.25</v>
      </c>
      <c r="D2748" s="0" t="n">
        <v>0.081559434</v>
      </c>
    </row>
    <row r="2749" customFormat="false" ht="13.8" hidden="true" customHeight="false" outlineLevel="0" collapsed="false">
      <c r="A2749" s="0" t="s">
        <v>719</v>
      </c>
      <c r="B2749" s="0" t="n">
        <v>19</v>
      </c>
      <c r="C2749" s="0" t="n">
        <v>2.3</v>
      </c>
      <c r="D2749" s="0" t="n">
        <v>0.083371865</v>
      </c>
    </row>
    <row r="2750" customFormat="false" ht="13.8" hidden="true" customHeight="false" outlineLevel="0" collapsed="false">
      <c r="A2750" s="0" t="s">
        <v>719</v>
      </c>
      <c r="B2750" s="0" t="n">
        <v>19</v>
      </c>
      <c r="C2750" s="0" t="n">
        <v>2.35</v>
      </c>
      <c r="D2750" s="0" t="n">
        <v>0.085184297</v>
      </c>
    </row>
    <row r="2751" customFormat="false" ht="13.8" hidden="true" customHeight="false" outlineLevel="0" collapsed="false">
      <c r="A2751" s="0" t="s">
        <v>719</v>
      </c>
      <c r="B2751" s="0" t="n">
        <v>19</v>
      </c>
      <c r="C2751" s="0" t="n">
        <v>2.4</v>
      </c>
      <c r="D2751" s="0" t="n">
        <v>0.086996729</v>
      </c>
    </row>
    <row r="2752" customFormat="false" ht="13.8" hidden="true" customHeight="false" outlineLevel="0" collapsed="false">
      <c r="A2752" s="0" t="s">
        <v>719</v>
      </c>
      <c r="B2752" s="0" t="n">
        <v>19</v>
      </c>
      <c r="C2752" s="0" t="n">
        <v>2.45</v>
      </c>
      <c r="D2752" s="0" t="n">
        <v>0.088809161</v>
      </c>
    </row>
    <row r="2753" customFormat="false" ht="13.8" hidden="true" customHeight="false" outlineLevel="0" collapsed="false">
      <c r="A2753" s="0" t="s">
        <v>719</v>
      </c>
      <c r="B2753" s="0" t="n">
        <v>19</v>
      </c>
      <c r="C2753" s="0" t="n">
        <v>2.5</v>
      </c>
      <c r="D2753" s="0" t="n">
        <v>0.090621593</v>
      </c>
    </row>
    <row r="2754" customFormat="false" ht="13.8" hidden="true" customHeight="false" outlineLevel="0" collapsed="false">
      <c r="A2754" s="0" t="s">
        <v>719</v>
      </c>
      <c r="B2754" s="0" t="n">
        <v>19</v>
      </c>
      <c r="C2754" s="0" t="n">
        <v>2.55</v>
      </c>
      <c r="D2754" s="0" t="n">
        <v>0.092434025</v>
      </c>
    </row>
    <row r="2755" customFormat="false" ht="13.8" hidden="true" customHeight="false" outlineLevel="0" collapsed="false">
      <c r="A2755" s="0" t="s">
        <v>719</v>
      </c>
      <c r="B2755" s="0" t="n">
        <v>19</v>
      </c>
      <c r="C2755" s="0" t="n">
        <v>2.6</v>
      </c>
      <c r="D2755" s="0" t="n">
        <v>0.094246457</v>
      </c>
    </row>
    <row r="2756" customFormat="false" ht="13.8" hidden="true" customHeight="false" outlineLevel="0" collapsed="false">
      <c r="A2756" s="0" t="s">
        <v>719</v>
      </c>
      <c r="B2756" s="0" t="n">
        <v>20</v>
      </c>
      <c r="C2756" s="0" t="n">
        <v>1.3</v>
      </c>
      <c r="D2756" s="0" t="n">
        <v>0</v>
      </c>
    </row>
    <row r="2757" customFormat="false" ht="13.8" hidden="true" customHeight="false" outlineLevel="0" collapsed="false">
      <c r="A2757" s="0" t="s">
        <v>719</v>
      </c>
      <c r="B2757" s="0" t="n">
        <v>20</v>
      </c>
      <c r="C2757" s="0" t="n">
        <v>1.35</v>
      </c>
      <c r="D2757" s="0" t="n">
        <v>0</v>
      </c>
    </row>
    <row r="2758" customFormat="false" ht="13.8" hidden="true" customHeight="false" outlineLevel="0" collapsed="false">
      <c r="A2758" s="0" t="s">
        <v>719</v>
      </c>
      <c r="B2758" s="0" t="n">
        <v>20</v>
      </c>
      <c r="C2758" s="0" t="n">
        <v>1.4</v>
      </c>
      <c r="D2758" s="0" t="n">
        <v>0</v>
      </c>
    </row>
    <row r="2759" customFormat="false" ht="13.8" hidden="true" customHeight="false" outlineLevel="0" collapsed="false">
      <c r="A2759" s="0" t="s">
        <v>719</v>
      </c>
      <c r="B2759" s="0" t="n">
        <v>20</v>
      </c>
      <c r="C2759" s="0" t="n">
        <v>1.45</v>
      </c>
      <c r="D2759" s="0" t="n">
        <v>0</v>
      </c>
    </row>
    <row r="2760" customFormat="false" ht="13.8" hidden="true" customHeight="false" outlineLevel="0" collapsed="false">
      <c r="A2760" s="0" t="s">
        <v>719</v>
      </c>
      <c r="B2760" s="0" t="n">
        <v>20</v>
      </c>
      <c r="C2760" s="0" t="n">
        <v>1.5</v>
      </c>
      <c r="D2760" s="0" t="n">
        <v>0</v>
      </c>
    </row>
    <row r="2761" customFormat="false" ht="13.8" hidden="true" customHeight="false" outlineLevel="0" collapsed="false">
      <c r="A2761" s="0" t="s">
        <v>719</v>
      </c>
      <c r="B2761" s="0" t="n">
        <v>20</v>
      </c>
      <c r="C2761" s="0" t="n">
        <v>1.55</v>
      </c>
      <c r="D2761" s="0" t="n">
        <v>0</v>
      </c>
    </row>
    <row r="2762" customFormat="false" ht="13.8" hidden="true" customHeight="false" outlineLevel="0" collapsed="false">
      <c r="A2762" s="0" t="s">
        <v>719</v>
      </c>
      <c r="B2762" s="0" t="n">
        <v>20</v>
      </c>
      <c r="C2762" s="0" t="n">
        <v>1.6</v>
      </c>
      <c r="D2762" s="0" t="n">
        <v>0</v>
      </c>
    </row>
    <row r="2763" customFormat="false" ht="13.8" hidden="true" customHeight="false" outlineLevel="0" collapsed="false">
      <c r="A2763" s="0" t="s">
        <v>719</v>
      </c>
      <c r="B2763" s="0" t="n">
        <v>20</v>
      </c>
      <c r="C2763" s="0" t="n">
        <v>1.65</v>
      </c>
      <c r="D2763" s="0" t="n">
        <v>0</v>
      </c>
    </row>
    <row r="2764" customFormat="false" ht="13.8" hidden="true" customHeight="false" outlineLevel="0" collapsed="false">
      <c r="A2764" s="0" t="s">
        <v>719</v>
      </c>
      <c r="B2764" s="0" t="n">
        <v>20</v>
      </c>
      <c r="C2764" s="0" t="n">
        <v>1.7</v>
      </c>
      <c r="D2764" s="0" t="n">
        <v>0</v>
      </c>
    </row>
    <row r="2765" customFormat="false" ht="13.8" hidden="true" customHeight="false" outlineLevel="0" collapsed="false">
      <c r="A2765" s="0" t="s">
        <v>719</v>
      </c>
      <c r="B2765" s="0" t="n">
        <v>20</v>
      </c>
      <c r="C2765" s="0" t="n">
        <v>1.75</v>
      </c>
      <c r="D2765" s="0" t="n">
        <v>0</v>
      </c>
    </row>
    <row r="2766" customFormat="false" ht="13.8" hidden="true" customHeight="false" outlineLevel="0" collapsed="false">
      <c r="A2766" s="0" t="s">
        <v>719</v>
      </c>
      <c r="B2766" s="0" t="n">
        <v>20</v>
      </c>
      <c r="C2766" s="0" t="n">
        <v>1.8</v>
      </c>
      <c r="D2766" s="0" t="n">
        <v>0</v>
      </c>
    </row>
    <row r="2767" customFormat="false" ht="13.8" hidden="true" customHeight="false" outlineLevel="0" collapsed="false">
      <c r="A2767" s="0" t="s">
        <v>719</v>
      </c>
      <c r="B2767" s="0" t="n">
        <v>20</v>
      </c>
      <c r="C2767" s="0" t="n">
        <v>1.85</v>
      </c>
      <c r="D2767" s="0" t="n">
        <v>0.069</v>
      </c>
    </row>
    <row r="2768" customFormat="false" ht="13.8" hidden="true" customHeight="false" outlineLevel="0" collapsed="false">
      <c r="A2768" s="0" t="s">
        <v>719</v>
      </c>
      <c r="B2768" s="0" t="n">
        <v>20</v>
      </c>
      <c r="C2768" s="0" t="n">
        <v>1.9</v>
      </c>
      <c r="D2768" s="0" t="n">
        <v>0.071</v>
      </c>
    </row>
    <row r="2769" customFormat="false" ht="13.8" hidden="true" customHeight="false" outlineLevel="0" collapsed="false">
      <c r="A2769" s="0" t="s">
        <v>719</v>
      </c>
      <c r="B2769" s="0" t="n">
        <v>20</v>
      </c>
      <c r="C2769" s="0" t="n">
        <v>1.95</v>
      </c>
      <c r="D2769" s="0" t="n">
        <v>0.073</v>
      </c>
    </row>
    <row r="2770" customFormat="false" ht="13.8" hidden="true" customHeight="false" outlineLevel="0" collapsed="false">
      <c r="A2770" s="0" t="s">
        <v>719</v>
      </c>
      <c r="B2770" s="0" t="n">
        <v>20</v>
      </c>
      <c r="C2770" s="0" t="n">
        <v>2</v>
      </c>
      <c r="D2770" s="0" t="n">
        <v>0.077483167</v>
      </c>
    </row>
    <row r="2771" customFormat="false" ht="13.8" hidden="true" customHeight="false" outlineLevel="0" collapsed="false">
      <c r="A2771" s="0" t="s">
        <v>719</v>
      </c>
      <c r="B2771" s="0" t="n">
        <v>20</v>
      </c>
      <c r="C2771" s="0" t="n">
        <v>2.05</v>
      </c>
      <c r="D2771" s="0" t="n">
        <v>0.079420247</v>
      </c>
    </row>
    <row r="2772" customFormat="false" ht="13.8" hidden="true" customHeight="false" outlineLevel="0" collapsed="false">
      <c r="A2772" s="0" t="s">
        <v>719</v>
      </c>
      <c r="B2772" s="0" t="n">
        <v>20</v>
      </c>
      <c r="C2772" s="0" t="n">
        <v>2.1</v>
      </c>
      <c r="D2772" s="0" t="n">
        <v>0.081357326</v>
      </c>
    </row>
    <row r="2773" customFormat="false" ht="13.8" hidden="true" customHeight="false" outlineLevel="0" collapsed="false">
      <c r="A2773" s="0" t="s">
        <v>719</v>
      </c>
      <c r="B2773" s="0" t="n">
        <v>20</v>
      </c>
      <c r="C2773" s="0" t="n">
        <v>2.15</v>
      </c>
      <c r="D2773" s="0" t="n">
        <v>0.083294405</v>
      </c>
    </row>
    <row r="2774" customFormat="false" ht="13.8" hidden="true" customHeight="false" outlineLevel="0" collapsed="false">
      <c r="A2774" s="0" t="s">
        <v>719</v>
      </c>
      <c r="B2774" s="0" t="n">
        <v>20</v>
      </c>
      <c r="C2774" s="0" t="n">
        <v>2.2</v>
      </c>
      <c r="D2774" s="0" t="n">
        <v>0.079747002</v>
      </c>
    </row>
    <row r="2775" customFormat="false" ht="13.8" hidden="true" customHeight="false" outlineLevel="0" collapsed="false">
      <c r="A2775" s="0" t="s">
        <v>719</v>
      </c>
      <c r="B2775" s="0" t="n">
        <v>20</v>
      </c>
      <c r="C2775" s="0" t="n">
        <v>2.25</v>
      </c>
      <c r="D2775" s="0" t="n">
        <v>0.081559434</v>
      </c>
    </row>
    <row r="2776" customFormat="false" ht="13.8" hidden="true" customHeight="false" outlineLevel="0" collapsed="false">
      <c r="A2776" s="0" t="s">
        <v>719</v>
      </c>
      <c r="B2776" s="0" t="n">
        <v>20</v>
      </c>
      <c r="C2776" s="0" t="n">
        <v>2.3</v>
      </c>
      <c r="D2776" s="0" t="n">
        <v>0.083371865</v>
      </c>
    </row>
    <row r="2777" customFormat="false" ht="13.8" hidden="true" customHeight="false" outlineLevel="0" collapsed="false">
      <c r="A2777" s="0" t="s">
        <v>719</v>
      </c>
      <c r="B2777" s="0" t="n">
        <v>20</v>
      </c>
      <c r="C2777" s="0" t="n">
        <v>2.35</v>
      </c>
      <c r="D2777" s="0" t="n">
        <v>0.085184297</v>
      </c>
    </row>
    <row r="2778" customFormat="false" ht="13.8" hidden="true" customHeight="false" outlineLevel="0" collapsed="false">
      <c r="A2778" s="0" t="s">
        <v>719</v>
      </c>
      <c r="B2778" s="0" t="n">
        <v>20</v>
      </c>
      <c r="C2778" s="0" t="n">
        <v>2.4</v>
      </c>
      <c r="D2778" s="0" t="n">
        <v>0.086996729</v>
      </c>
    </row>
    <row r="2779" customFormat="false" ht="13.8" hidden="true" customHeight="false" outlineLevel="0" collapsed="false">
      <c r="A2779" s="0" t="s">
        <v>719</v>
      </c>
      <c r="B2779" s="0" t="n">
        <v>20</v>
      </c>
      <c r="C2779" s="0" t="n">
        <v>2.45</v>
      </c>
      <c r="D2779" s="0" t="n">
        <v>0.088809161</v>
      </c>
    </row>
    <row r="2780" customFormat="false" ht="13.8" hidden="true" customHeight="false" outlineLevel="0" collapsed="false">
      <c r="A2780" s="0" t="s">
        <v>719</v>
      </c>
      <c r="B2780" s="0" t="n">
        <v>20</v>
      </c>
      <c r="C2780" s="0" t="n">
        <v>2.5</v>
      </c>
      <c r="D2780" s="0" t="n">
        <v>0.090621593</v>
      </c>
    </row>
    <row r="2781" customFormat="false" ht="13.8" hidden="true" customHeight="false" outlineLevel="0" collapsed="false">
      <c r="A2781" s="0" t="s">
        <v>719</v>
      </c>
      <c r="B2781" s="0" t="n">
        <v>20</v>
      </c>
      <c r="C2781" s="0" t="n">
        <v>2.55</v>
      </c>
      <c r="D2781" s="0" t="n">
        <v>0.092434025</v>
      </c>
    </row>
    <row r="2782" customFormat="false" ht="13.8" hidden="true" customHeight="false" outlineLevel="0" collapsed="false">
      <c r="A2782" s="0" t="s">
        <v>719</v>
      </c>
      <c r="B2782" s="0" t="n">
        <v>20</v>
      </c>
      <c r="C2782" s="0" t="n">
        <v>2.6</v>
      </c>
      <c r="D2782" s="0" t="n">
        <v>0.094246457</v>
      </c>
    </row>
    <row r="2783" customFormat="false" ht="13.8" hidden="true" customHeight="false" outlineLevel="0" collapsed="false">
      <c r="A2783" s="0" t="s">
        <v>719</v>
      </c>
      <c r="B2783" s="0" t="n">
        <v>21</v>
      </c>
      <c r="C2783" s="0" t="n">
        <v>1.3</v>
      </c>
      <c r="D2783" s="0" t="n">
        <v>0</v>
      </c>
    </row>
    <row r="2784" customFormat="false" ht="13.8" hidden="true" customHeight="false" outlineLevel="0" collapsed="false">
      <c r="A2784" s="0" t="s">
        <v>719</v>
      </c>
      <c r="B2784" s="0" t="n">
        <v>21</v>
      </c>
      <c r="C2784" s="0" t="n">
        <v>1.35</v>
      </c>
      <c r="D2784" s="0" t="n">
        <v>0</v>
      </c>
    </row>
    <row r="2785" customFormat="false" ht="13.8" hidden="true" customHeight="false" outlineLevel="0" collapsed="false">
      <c r="A2785" s="0" t="s">
        <v>719</v>
      </c>
      <c r="B2785" s="0" t="n">
        <v>21</v>
      </c>
      <c r="C2785" s="0" t="n">
        <v>1.4</v>
      </c>
      <c r="D2785" s="0" t="n">
        <v>0</v>
      </c>
    </row>
    <row r="2786" customFormat="false" ht="13.8" hidden="true" customHeight="false" outlineLevel="0" collapsed="false">
      <c r="A2786" s="0" t="s">
        <v>719</v>
      </c>
      <c r="B2786" s="0" t="n">
        <v>21</v>
      </c>
      <c r="C2786" s="0" t="n">
        <v>1.45</v>
      </c>
      <c r="D2786" s="0" t="n">
        <v>0</v>
      </c>
    </row>
    <row r="2787" customFormat="false" ht="13.8" hidden="true" customHeight="false" outlineLevel="0" collapsed="false">
      <c r="A2787" s="0" t="s">
        <v>719</v>
      </c>
      <c r="B2787" s="0" t="n">
        <v>21</v>
      </c>
      <c r="C2787" s="0" t="n">
        <v>1.5</v>
      </c>
      <c r="D2787" s="0" t="n">
        <v>0</v>
      </c>
    </row>
    <row r="2788" customFormat="false" ht="13.8" hidden="true" customHeight="false" outlineLevel="0" collapsed="false">
      <c r="A2788" s="0" t="s">
        <v>719</v>
      </c>
      <c r="B2788" s="0" t="n">
        <v>21</v>
      </c>
      <c r="C2788" s="0" t="n">
        <v>1.55</v>
      </c>
      <c r="D2788" s="0" t="n">
        <v>0</v>
      </c>
    </row>
    <row r="2789" customFormat="false" ht="13.8" hidden="true" customHeight="false" outlineLevel="0" collapsed="false">
      <c r="A2789" s="0" t="s">
        <v>719</v>
      </c>
      <c r="B2789" s="0" t="n">
        <v>21</v>
      </c>
      <c r="C2789" s="0" t="n">
        <v>1.6</v>
      </c>
      <c r="D2789" s="0" t="n">
        <v>0</v>
      </c>
    </row>
    <row r="2790" customFormat="false" ht="13.8" hidden="true" customHeight="false" outlineLevel="0" collapsed="false">
      <c r="A2790" s="0" t="s">
        <v>719</v>
      </c>
      <c r="B2790" s="0" t="n">
        <v>21</v>
      </c>
      <c r="C2790" s="0" t="n">
        <v>1.65</v>
      </c>
      <c r="D2790" s="0" t="n">
        <v>0</v>
      </c>
    </row>
    <row r="2791" customFormat="false" ht="13.8" hidden="true" customHeight="false" outlineLevel="0" collapsed="false">
      <c r="A2791" s="0" t="s">
        <v>719</v>
      </c>
      <c r="B2791" s="0" t="n">
        <v>21</v>
      </c>
      <c r="C2791" s="0" t="n">
        <v>1.7</v>
      </c>
      <c r="D2791" s="0" t="n">
        <v>0</v>
      </c>
    </row>
    <row r="2792" customFormat="false" ht="13.8" hidden="true" customHeight="false" outlineLevel="0" collapsed="false">
      <c r="A2792" s="0" t="s">
        <v>719</v>
      </c>
      <c r="B2792" s="0" t="n">
        <v>21</v>
      </c>
      <c r="C2792" s="0" t="n">
        <v>1.75</v>
      </c>
      <c r="D2792" s="0" t="n">
        <v>0</v>
      </c>
    </row>
    <row r="2793" customFormat="false" ht="13.8" hidden="true" customHeight="false" outlineLevel="0" collapsed="false">
      <c r="A2793" s="0" t="s">
        <v>719</v>
      </c>
      <c r="B2793" s="0" t="n">
        <v>21</v>
      </c>
      <c r="C2793" s="0" t="n">
        <v>1.8</v>
      </c>
      <c r="D2793" s="0" t="n">
        <v>0</v>
      </c>
    </row>
    <row r="2794" customFormat="false" ht="13.8" hidden="true" customHeight="false" outlineLevel="0" collapsed="false">
      <c r="A2794" s="0" t="s">
        <v>719</v>
      </c>
      <c r="B2794" s="0" t="n">
        <v>21</v>
      </c>
      <c r="C2794" s="0" t="n">
        <v>1.85</v>
      </c>
      <c r="D2794" s="0" t="n">
        <v>0.069</v>
      </c>
    </row>
    <row r="2795" customFormat="false" ht="13.8" hidden="true" customHeight="false" outlineLevel="0" collapsed="false">
      <c r="A2795" s="0" t="s">
        <v>719</v>
      </c>
      <c r="B2795" s="0" t="n">
        <v>21</v>
      </c>
      <c r="C2795" s="0" t="n">
        <v>1.9</v>
      </c>
      <c r="D2795" s="0" t="n">
        <v>0.071</v>
      </c>
    </row>
    <row r="2796" customFormat="false" ht="13.8" hidden="true" customHeight="false" outlineLevel="0" collapsed="false">
      <c r="A2796" s="0" t="s">
        <v>719</v>
      </c>
      <c r="B2796" s="0" t="n">
        <v>21</v>
      </c>
      <c r="C2796" s="0" t="n">
        <v>1.95</v>
      </c>
      <c r="D2796" s="0" t="n">
        <v>0.073</v>
      </c>
    </row>
    <row r="2797" customFormat="false" ht="13.8" hidden="true" customHeight="false" outlineLevel="0" collapsed="false">
      <c r="A2797" s="0" t="s">
        <v>719</v>
      </c>
      <c r="B2797" s="0" t="n">
        <v>21</v>
      </c>
      <c r="C2797" s="0" t="n">
        <v>2</v>
      </c>
      <c r="D2797" s="0" t="n">
        <v>0.077483167</v>
      </c>
    </row>
    <row r="2798" customFormat="false" ht="13.8" hidden="true" customHeight="false" outlineLevel="0" collapsed="false">
      <c r="A2798" s="0" t="s">
        <v>719</v>
      </c>
      <c r="B2798" s="0" t="n">
        <v>21</v>
      </c>
      <c r="C2798" s="0" t="n">
        <v>2.05</v>
      </c>
      <c r="D2798" s="0" t="n">
        <v>0.079420247</v>
      </c>
    </row>
    <row r="2799" customFormat="false" ht="13.8" hidden="true" customHeight="false" outlineLevel="0" collapsed="false">
      <c r="A2799" s="0" t="s">
        <v>719</v>
      </c>
      <c r="B2799" s="0" t="n">
        <v>21</v>
      </c>
      <c r="C2799" s="0" t="n">
        <v>2.1</v>
      </c>
      <c r="D2799" s="0" t="n">
        <v>0.081357326</v>
      </c>
    </row>
    <row r="2800" customFormat="false" ht="13.8" hidden="true" customHeight="false" outlineLevel="0" collapsed="false">
      <c r="A2800" s="0" t="s">
        <v>719</v>
      </c>
      <c r="B2800" s="0" t="n">
        <v>21</v>
      </c>
      <c r="C2800" s="0" t="n">
        <v>2.15</v>
      </c>
      <c r="D2800" s="0" t="n">
        <v>0.083294405</v>
      </c>
    </row>
    <row r="2801" customFormat="false" ht="13.8" hidden="true" customHeight="false" outlineLevel="0" collapsed="false">
      <c r="A2801" s="0" t="s">
        <v>719</v>
      </c>
      <c r="B2801" s="0" t="n">
        <v>21</v>
      </c>
      <c r="C2801" s="0" t="n">
        <v>2.2</v>
      </c>
      <c r="D2801" s="0" t="n">
        <v>0.079747002</v>
      </c>
    </row>
    <row r="2802" customFormat="false" ht="13.8" hidden="true" customHeight="false" outlineLevel="0" collapsed="false">
      <c r="A2802" s="0" t="s">
        <v>719</v>
      </c>
      <c r="B2802" s="0" t="n">
        <v>21</v>
      </c>
      <c r="C2802" s="0" t="n">
        <v>2.25</v>
      </c>
      <c r="D2802" s="0" t="n">
        <v>0.081559434</v>
      </c>
    </row>
    <row r="2803" customFormat="false" ht="13.8" hidden="true" customHeight="false" outlineLevel="0" collapsed="false">
      <c r="A2803" s="0" t="s">
        <v>719</v>
      </c>
      <c r="B2803" s="0" t="n">
        <v>21</v>
      </c>
      <c r="C2803" s="0" t="n">
        <v>2.3</v>
      </c>
      <c r="D2803" s="0" t="n">
        <v>0.083371865</v>
      </c>
    </row>
    <row r="2804" customFormat="false" ht="13.8" hidden="true" customHeight="false" outlineLevel="0" collapsed="false">
      <c r="A2804" s="0" t="s">
        <v>719</v>
      </c>
      <c r="B2804" s="0" t="n">
        <v>21</v>
      </c>
      <c r="C2804" s="0" t="n">
        <v>2.35</v>
      </c>
      <c r="D2804" s="0" t="n">
        <v>0.085184297</v>
      </c>
    </row>
    <row r="2805" customFormat="false" ht="13.8" hidden="true" customHeight="false" outlineLevel="0" collapsed="false">
      <c r="A2805" s="0" t="s">
        <v>719</v>
      </c>
      <c r="B2805" s="0" t="n">
        <v>21</v>
      </c>
      <c r="C2805" s="0" t="n">
        <v>2.4</v>
      </c>
      <c r="D2805" s="0" t="n">
        <v>0.086996729</v>
      </c>
    </row>
    <row r="2806" customFormat="false" ht="13.8" hidden="true" customHeight="false" outlineLevel="0" collapsed="false">
      <c r="A2806" s="0" t="s">
        <v>719</v>
      </c>
      <c r="B2806" s="0" t="n">
        <v>21</v>
      </c>
      <c r="C2806" s="0" t="n">
        <v>2.45</v>
      </c>
      <c r="D2806" s="0" t="n">
        <v>0.088809161</v>
      </c>
    </row>
    <row r="2807" customFormat="false" ht="13.8" hidden="true" customHeight="false" outlineLevel="0" collapsed="false">
      <c r="A2807" s="0" t="s">
        <v>719</v>
      </c>
      <c r="B2807" s="0" t="n">
        <v>21</v>
      </c>
      <c r="C2807" s="0" t="n">
        <v>2.5</v>
      </c>
      <c r="D2807" s="0" t="n">
        <v>0.090621593</v>
      </c>
    </row>
    <row r="2808" customFormat="false" ht="13.8" hidden="true" customHeight="false" outlineLevel="0" collapsed="false">
      <c r="A2808" s="0" t="s">
        <v>719</v>
      </c>
      <c r="B2808" s="0" t="n">
        <v>21</v>
      </c>
      <c r="C2808" s="0" t="n">
        <v>2.55</v>
      </c>
      <c r="D2808" s="0" t="n">
        <v>0.092434025</v>
      </c>
    </row>
    <row r="2809" customFormat="false" ht="13.8" hidden="true" customHeight="false" outlineLevel="0" collapsed="false">
      <c r="A2809" s="0" t="s">
        <v>719</v>
      </c>
      <c r="B2809" s="0" t="n">
        <v>21</v>
      </c>
      <c r="C2809" s="0" t="n">
        <v>2.6</v>
      </c>
      <c r="D2809" s="0" t="n">
        <v>0.094246457</v>
      </c>
    </row>
    <row r="2810" customFormat="false" ht="13.8" hidden="true" customHeight="false" outlineLevel="0" collapsed="false">
      <c r="A2810" s="0" t="s">
        <v>123</v>
      </c>
      <c r="B2810" s="0" t="n">
        <v>9</v>
      </c>
      <c r="C2810" s="0" t="n">
        <v>1.3</v>
      </c>
      <c r="D2810" s="0" t="n">
        <v>0</v>
      </c>
    </row>
    <row r="2811" customFormat="false" ht="13.8" hidden="true" customHeight="false" outlineLevel="0" collapsed="false">
      <c r="A2811" s="0" t="s">
        <v>123</v>
      </c>
      <c r="B2811" s="0" t="n">
        <v>9</v>
      </c>
      <c r="C2811" s="0" t="n">
        <v>1.35</v>
      </c>
      <c r="D2811" s="0" t="n">
        <v>0</v>
      </c>
    </row>
    <row r="2812" customFormat="false" ht="13.8" hidden="true" customHeight="false" outlineLevel="0" collapsed="false">
      <c r="A2812" s="0" t="s">
        <v>123</v>
      </c>
      <c r="B2812" s="0" t="n">
        <v>9</v>
      </c>
      <c r="C2812" s="0" t="n">
        <v>1.4</v>
      </c>
      <c r="D2812" s="0" t="n">
        <v>0</v>
      </c>
    </row>
    <row r="2813" customFormat="false" ht="13.8" hidden="true" customHeight="false" outlineLevel="0" collapsed="false">
      <c r="A2813" s="0" t="s">
        <v>123</v>
      </c>
      <c r="B2813" s="0" t="n">
        <v>9</v>
      </c>
      <c r="C2813" s="0" t="n">
        <v>1.45</v>
      </c>
      <c r="D2813" s="0" t="n">
        <v>0</v>
      </c>
    </row>
    <row r="2814" customFormat="false" ht="13.8" hidden="true" customHeight="false" outlineLevel="0" collapsed="false">
      <c r="A2814" s="0" t="s">
        <v>123</v>
      </c>
      <c r="B2814" s="0" t="n">
        <v>9</v>
      </c>
      <c r="C2814" s="0" t="n">
        <v>1.5</v>
      </c>
      <c r="D2814" s="0" t="n">
        <v>0</v>
      </c>
    </row>
    <row r="2815" customFormat="false" ht="13.8" hidden="true" customHeight="false" outlineLevel="0" collapsed="false">
      <c r="A2815" s="0" t="s">
        <v>123</v>
      </c>
      <c r="B2815" s="0" t="n">
        <v>9</v>
      </c>
      <c r="C2815" s="0" t="n">
        <v>1.55</v>
      </c>
      <c r="D2815" s="0" t="n">
        <v>0</v>
      </c>
    </row>
    <row r="2816" customFormat="false" ht="13.8" hidden="true" customHeight="false" outlineLevel="0" collapsed="false">
      <c r="A2816" s="0" t="s">
        <v>123</v>
      </c>
      <c r="B2816" s="0" t="n">
        <v>9</v>
      </c>
      <c r="C2816" s="0" t="n">
        <v>1.6</v>
      </c>
      <c r="D2816" s="0" t="n">
        <v>0.028</v>
      </c>
    </row>
    <row r="2817" customFormat="false" ht="13.8" hidden="true" customHeight="false" outlineLevel="0" collapsed="false">
      <c r="A2817" s="0" t="s">
        <v>123</v>
      </c>
      <c r="B2817" s="0" t="n">
        <v>9</v>
      </c>
      <c r="C2817" s="0" t="n">
        <v>1.65</v>
      </c>
      <c r="D2817" s="0" t="n">
        <v>0.029</v>
      </c>
    </row>
    <row r="2818" customFormat="false" ht="13.8" hidden="true" customHeight="false" outlineLevel="0" collapsed="false">
      <c r="A2818" s="0" t="s">
        <v>123</v>
      </c>
      <c r="B2818" s="0" t="n">
        <v>9</v>
      </c>
      <c r="C2818" s="0" t="n">
        <v>1.7</v>
      </c>
      <c r="D2818" s="0" t="n">
        <v>0.03</v>
      </c>
    </row>
    <row r="2819" customFormat="false" ht="13.8" hidden="true" customHeight="false" outlineLevel="0" collapsed="false">
      <c r="A2819" s="0" t="s">
        <v>123</v>
      </c>
      <c r="B2819" s="0" t="n">
        <v>9</v>
      </c>
      <c r="C2819" s="0" t="n">
        <v>1.75</v>
      </c>
      <c r="D2819" s="0" t="n">
        <v>0.031</v>
      </c>
    </row>
    <row r="2820" customFormat="false" ht="13.8" hidden="true" customHeight="false" outlineLevel="0" collapsed="false">
      <c r="A2820" s="0" t="s">
        <v>123</v>
      </c>
      <c r="B2820" s="0" t="n">
        <v>9</v>
      </c>
      <c r="C2820" s="0" t="n">
        <v>1.8</v>
      </c>
      <c r="D2820" s="0" t="n">
        <v>0.034</v>
      </c>
    </row>
    <row r="2821" customFormat="false" ht="13.8" hidden="true" customHeight="false" outlineLevel="0" collapsed="false">
      <c r="A2821" s="0" t="s">
        <v>123</v>
      </c>
      <c r="B2821" s="0" t="n">
        <v>9</v>
      </c>
      <c r="C2821" s="0" t="n">
        <v>1.85</v>
      </c>
      <c r="D2821" s="0" t="n">
        <v>0.035</v>
      </c>
    </row>
    <row r="2822" customFormat="false" ht="13.8" hidden="true" customHeight="false" outlineLevel="0" collapsed="false">
      <c r="A2822" s="0" t="s">
        <v>123</v>
      </c>
      <c r="B2822" s="0" t="n">
        <v>9</v>
      </c>
      <c r="C2822" s="0" t="n">
        <v>1.9</v>
      </c>
      <c r="D2822" s="0" t="n">
        <v>0.036</v>
      </c>
    </row>
    <row r="2823" customFormat="false" ht="13.8" hidden="true" customHeight="false" outlineLevel="0" collapsed="false">
      <c r="A2823" s="0" t="s">
        <v>123</v>
      </c>
      <c r="B2823" s="0" t="n">
        <v>9</v>
      </c>
      <c r="C2823" s="0" t="n">
        <v>1.95</v>
      </c>
      <c r="D2823" s="0" t="n">
        <v>0.036</v>
      </c>
    </row>
    <row r="2824" customFormat="false" ht="13.8" hidden="true" customHeight="false" outlineLevel="0" collapsed="false">
      <c r="A2824" s="0" t="s">
        <v>123</v>
      </c>
      <c r="B2824" s="0" t="n">
        <v>9</v>
      </c>
      <c r="C2824" s="0" t="n">
        <v>2</v>
      </c>
      <c r="D2824" s="0" t="n">
        <v>0.039566549</v>
      </c>
    </row>
    <row r="2825" customFormat="false" ht="13.8" hidden="true" customHeight="false" outlineLevel="0" collapsed="false">
      <c r="A2825" s="0" t="s">
        <v>123</v>
      </c>
      <c r="B2825" s="0" t="n">
        <v>9</v>
      </c>
      <c r="C2825" s="0" t="n">
        <v>2.05</v>
      </c>
      <c r="D2825" s="0" t="n">
        <v>0.040555713</v>
      </c>
    </row>
    <row r="2826" customFormat="false" ht="13.8" hidden="true" customHeight="false" outlineLevel="0" collapsed="false">
      <c r="A2826" s="0" t="s">
        <v>123</v>
      </c>
      <c r="B2826" s="0" t="n">
        <v>9</v>
      </c>
      <c r="C2826" s="0" t="n">
        <v>2.1</v>
      </c>
      <c r="D2826" s="0" t="n">
        <v>0.041544877</v>
      </c>
    </row>
    <row r="2827" customFormat="false" ht="13.8" hidden="true" customHeight="false" outlineLevel="0" collapsed="false">
      <c r="A2827" s="0" t="s">
        <v>123</v>
      </c>
      <c r="B2827" s="0" t="n">
        <v>9</v>
      </c>
      <c r="C2827" s="0" t="n">
        <v>2.15</v>
      </c>
      <c r="D2827" s="0" t="n">
        <v>0.04253404</v>
      </c>
    </row>
    <row r="2828" customFormat="false" ht="13.8" hidden="true" customHeight="false" outlineLevel="0" collapsed="false">
      <c r="A2828" s="0" t="s">
        <v>123</v>
      </c>
      <c r="B2828" s="0" t="n">
        <v>9</v>
      </c>
      <c r="C2828" s="0" t="n">
        <v>2.2</v>
      </c>
      <c r="D2828" s="0" t="n">
        <v>0.041382052</v>
      </c>
    </row>
    <row r="2829" customFormat="false" ht="13.8" hidden="true" customHeight="false" outlineLevel="0" collapsed="false">
      <c r="A2829" s="0" t="s">
        <v>123</v>
      </c>
      <c r="B2829" s="0" t="n">
        <v>9</v>
      </c>
      <c r="C2829" s="0" t="n">
        <v>2.25</v>
      </c>
      <c r="D2829" s="0" t="n">
        <v>0.042322553</v>
      </c>
    </row>
    <row r="2830" customFormat="false" ht="13.8" hidden="true" customHeight="false" outlineLevel="0" collapsed="false">
      <c r="A2830" s="0" t="s">
        <v>123</v>
      </c>
      <c r="B2830" s="0" t="n">
        <v>9</v>
      </c>
      <c r="C2830" s="0" t="n">
        <v>2.3</v>
      </c>
      <c r="D2830" s="0" t="n">
        <v>0.043263055</v>
      </c>
    </row>
    <row r="2831" customFormat="false" ht="13.8" hidden="true" customHeight="false" outlineLevel="0" collapsed="false">
      <c r="A2831" s="0" t="s">
        <v>123</v>
      </c>
      <c r="B2831" s="0" t="n">
        <v>9</v>
      </c>
      <c r="C2831" s="0" t="n">
        <v>2.35</v>
      </c>
      <c r="D2831" s="0" t="n">
        <v>0.044203556</v>
      </c>
    </row>
    <row r="2832" customFormat="false" ht="13.8" hidden="true" customHeight="false" outlineLevel="0" collapsed="false">
      <c r="A2832" s="0" t="s">
        <v>123</v>
      </c>
      <c r="B2832" s="0" t="n">
        <v>9</v>
      </c>
      <c r="C2832" s="0" t="n">
        <v>2.4</v>
      </c>
      <c r="D2832" s="0" t="n">
        <v>0.045144057</v>
      </c>
    </row>
    <row r="2833" customFormat="false" ht="13.8" hidden="true" customHeight="false" outlineLevel="0" collapsed="false">
      <c r="A2833" s="0" t="s">
        <v>123</v>
      </c>
      <c r="B2833" s="0" t="n">
        <v>9</v>
      </c>
      <c r="C2833" s="0" t="n">
        <v>2.45</v>
      </c>
      <c r="D2833" s="0" t="n">
        <v>0.046084558</v>
      </c>
    </row>
    <row r="2834" customFormat="false" ht="13.8" hidden="true" customHeight="false" outlineLevel="0" collapsed="false">
      <c r="A2834" s="0" t="s">
        <v>123</v>
      </c>
      <c r="B2834" s="0" t="n">
        <v>9</v>
      </c>
      <c r="C2834" s="0" t="n">
        <v>2.5</v>
      </c>
      <c r="D2834" s="0" t="n">
        <v>0.047025059</v>
      </c>
    </row>
    <row r="2835" customFormat="false" ht="13.8" hidden="true" customHeight="false" outlineLevel="0" collapsed="false">
      <c r="A2835" s="0" t="s">
        <v>123</v>
      </c>
      <c r="B2835" s="0" t="n">
        <v>9</v>
      </c>
      <c r="C2835" s="0" t="n">
        <v>2.55</v>
      </c>
      <c r="D2835" s="0" t="n">
        <v>0.047965561</v>
      </c>
    </row>
    <row r="2836" customFormat="false" ht="13.8" hidden="true" customHeight="false" outlineLevel="0" collapsed="false">
      <c r="A2836" s="0" t="s">
        <v>123</v>
      </c>
      <c r="B2836" s="0" t="n">
        <v>9</v>
      </c>
      <c r="C2836" s="0" t="n">
        <v>2.6</v>
      </c>
      <c r="D2836" s="0" t="n">
        <v>0.048906062</v>
      </c>
    </row>
    <row r="2837" customFormat="false" ht="13.8" hidden="true" customHeight="false" outlineLevel="0" collapsed="false">
      <c r="A2837" s="0" t="s">
        <v>123</v>
      </c>
      <c r="B2837" s="0" t="n">
        <v>10</v>
      </c>
      <c r="C2837" s="0" t="n">
        <v>1.3</v>
      </c>
      <c r="D2837" s="0" t="n">
        <v>0</v>
      </c>
    </row>
    <row r="2838" customFormat="false" ht="13.8" hidden="true" customHeight="false" outlineLevel="0" collapsed="false">
      <c r="A2838" s="0" t="s">
        <v>123</v>
      </c>
      <c r="B2838" s="0" t="n">
        <v>10</v>
      </c>
      <c r="C2838" s="0" t="n">
        <v>1.35</v>
      </c>
      <c r="D2838" s="0" t="n">
        <v>0</v>
      </c>
    </row>
    <row r="2839" customFormat="false" ht="13.8" hidden="true" customHeight="false" outlineLevel="0" collapsed="false">
      <c r="A2839" s="0" t="s">
        <v>123</v>
      </c>
      <c r="B2839" s="0" t="n">
        <v>10</v>
      </c>
      <c r="C2839" s="0" t="n">
        <v>1.4</v>
      </c>
      <c r="D2839" s="0" t="n">
        <v>0</v>
      </c>
    </row>
    <row r="2840" customFormat="false" ht="13.8" hidden="true" customHeight="false" outlineLevel="0" collapsed="false">
      <c r="A2840" s="0" t="s">
        <v>123</v>
      </c>
      <c r="B2840" s="0" t="n">
        <v>10</v>
      </c>
      <c r="C2840" s="0" t="n">
        <v>1.45</v>
      </c>
      <c r="D2840" s="0" t="n">
        <v>0</v>
      </c>
    </row>
    <row r="2841" customFormat="false" ht="13.8" hidden="true" customHeight="false" outlineLevel="0" collapsed="false">
      <c r="A2841" s="0" t="s">
        <v>123</v>
      </c>
      <c r="B2841" s="0" t="n">
        <v>10</v>
      </c>
      <c r="C2841" s="0" t="n">
        <v>1.5</v>
      </c>
      <c r="D2841" s="0" t="n">
        <v>0</v>
      </c>
    </row>
    <row r="2842" customFormat="false" ht="13.8" hidden="true" customHeight="false" outlineLevel="0" collapsed="false">
      <c r="A2842" s="0" t="s">
        <v>123</v>
      </c>
      <c r="B2842" s="0" t="n">
        <v>10</v>
      </c>
      <c r="C2842" s="0" t="n">
        <v>1.55</v>
      </c>
      <c r="D2842" s="0" t="n">
        <v>0</v>
      </c>
    </row>
    <row r="2843" customFormat="false" ht="13.8" hidden="true" customHeight="false" outlineLevel="0" collapsed="false">
      <c r="A2843" s="0" t="s">
        <v>123</v>
      </c>
      <c r="B2843" s="0" t="n">
        <v>10</v>
      </c>
      <c r="C2843" s="0" t="n">
        <v>1.6</v>
      </c>
      <c r="D2843" s="0" t="n">
        <v>0.028</v>
      </c>
    </row>
    <row r="2844" customFormat="false" ht="13.8" hidden="true" customHeight="false" outlineLevel="0" collapsed="false">
      <c r="A2844" s="0" t="s">
        <v>123</v>
      </c>
      <c r="B2844" s="0" t="n">
        <v>10</v>
      </c>
      <c r="C2844" s="0" t="n">
        <v>1.65</v>
      </c>
      <c r="D2844" s="0" t="n">
        <v>0.029</v>
      </c>
    </row>
    <row r="2845" customFormat="false" ht="13.8" hidden="true" customHeight="false" outlineLevel="0" collapsed="false">
      <c r="A2845" s="0" t="s">
        <v>123</v>
      </c>
      <c r="B2845" s="0" t="n">
        <v>10</v>
      </c>
      <c r="C2845" s="0" t="n">
        <v>1.7</v>
      </c>
      <c r="D2845" s="0" t="n">
        <v>0.03</v>
      </c>
    </row>
    <row r="2846" customFormat="false" ht="13.8" hidden="true" customHeight="false" outlineLevel="0" collapsed="false">
      <c r="A2846" s="0" t="s">
        <v>123</v>
      </c>
      <c r="B2846" s="0" t="n">
        <v>10</v>
      </c>
      <c r="C2846" s="0" t="n">
        <v>1.75</v>
      </c>
      <c r="D2846" s="0" t="n">
        <v>0.031</v>
      </c>
    </row>
    <row r="2847" customFormat="false" ht="13.8" hidden="true" customHeight="false" outlineLevel="0" collapsed="false">
      <c r="A2847" s="0" t="s">
        <v>123</v>
      </c>
      <c r="B2847" s="0" t="n">
        <v>10</v>
      </c>
      <c r="C2847" s="0" t="n">
        <v>1.8</v>
      </c>
      <c r="D2847" s="0" t="n">
        <v>0.034</v>
      </c>
    </row>
    <row r="2848" customFormat="false" ht="13.8" hidden="true" customHeight="false" outlineLevel="0" collapsed="false">
      <c r="A2848" s="0" t="s">
        <v>123</v>
      </c>
      <c r="B2848" s="0" t="n">
        <v>10</v>
      </c>
      <c r="C2848" s="0" t="n">
        <v>1.85</v>
      </c>
      <c r="D2848" s="0" t="n">
        <v>0.035</v>
      </c>
    </row>
    <row r="2849" customFormat="false" ht="13.8" hidden="true" customHeight="false" outlineLevel="0" collapsed="false">
      <c r="A2849" s="0" t="s">
        <v>123</v>
      </c>
      <c r="B2849" s="0" t="n">
        <v>10</v>
      </c>
      <c r="C2849" s="0" t="n">
        <v>1.9</v>
      </c>
      <c r="D2849" s="0" t="n">
        <v>0.036</v>
      </c>
    </row>
    <row r="2850" customFormat="false" ht="13.8" hidden="true" customHeight="false" outlineLevel="0" collapsed="false">
      <c r="A2850" s="0" t="s">
        <v>123</v>
      </c>
      <c r="B2850" s="0" t="n">
        <v>10</v>
      </c>
      <c r="C2850" s="0" t="n">
        <v>1.95</v>
      </c>
      <c r="D2850" s="0" t="n">
        <v>0.036</v>
      </c>
    </row>
    <row r="2851" customFormat="false" ht="13.8" hidden="true" customHeight="false" outlineLevel="0" collapsed="false">
      <c r="A2851" s="0" t="s">
        <v>123</v>
      </c>
      <c r="B2851" s="0" t="n">
        <v>10</v>
      </c>
      <c r="C2851" s="0" t="n">
        <v>2</v>
      </c>
      <c r="D2851" s="0" t="n">
        <v>0.039566549</v>
      </c>
    </row>
    <row r="2852" customFormat="false" ht="13.8" hidden="true" customHeight="false" outlineLevel="0" collapsed="false">
      <c r="A2852" s="0" t="s">
        <v>123</v>
      </c>
      <c r="B2852" s="0" t="n">
        <v>10</v>
      </c>
      <c r="C2852" s="0" t="n">
        <v>2.05</v>
      </c>
      <c r="D2852" s="0" t="n">
        <v>0.040555713</v>
      </c>
    </row>
    <row r="2853" customFormat="false" ht="13.8" hidden="true" customHeight="false" outlineLevel="0" collapsed="false">
      <c r="A2853" s="0" t="s">
        <v>123</v>
      </c>
      <c r="B2853" s="0" t="n">
        <v>10</v>
      </c>
      <c r="C2853" s="0" t="n">
        <v>2.1</v>
      </c>
      <c r="D2853" s="0" t="n">
        <v>0.041544877</v>
      </c>
    </row>
    <row r="2854" customFormat="false" ht="13.8" hidden="true" customHeight="false" outlineLevel="0" collapsed="false">
      <c r="A2854" s="0" t="s">
        <v>123</v>
      </c>
      <c r="B2854" s="0" t="n">
        <v>10</v>
      </c>
      <c r="C2854" s="0" t="n">
        <v>2.15</v>
      </c>
      <c r="D2854" s="0" t="n">
        <v>0.04253404</v>
      </c>
    </row>
    <row r="2855" customFormat="false" ht="13.8" hidden="true" customHeight="false" outlineLevel="0" collapsed="false">
      <c r="A2855" s="0" t="s">
        <v>123</v>
      </c>
      <c r="B2855" s="0" t="n">
        <v>10</v>
      </c>
      <c r="C2855" s="0" t="n">
        <v>2.2</v>
      </c>
      <c r="D2855" s="0" t="n">
        <v>0.041382052</v>
      </c>
    </row>
    <row r="2856" customFormat="false" ht="13.8" hidden="true" customHeight="false" outlineLevel="0" collapsed="false">
      <c r="A2856" s="0" t="s">
        <v>123</v>
      </c>
      <c r="B2856" s="0" t="n">
        <v>10</v>
      </c>
      <c r="C2856" s="0" t="n">
        <v>2.25</v>
      </c>
      <c r="D2856" s="0" t="n">
        <v>0.042322553</v>
      </c>
    </row>
    <row r="2857" customFormat="false" ht="13.8" hidden="true" customHeight="false" outlineLevel="0" collapsed="false">
      <c r="A2857" s="0" t="s">
        <v>123</v>
      </c>
      <c r="B2857" s="0" t="n">
        <v>10</v>
      </c>
      <c r="C2857" s="0" t="n">
        <v>2.3</v>
      </c>
      <c r="D2857" s="0" t="n">
        <v>0.043263055</v>
      </c>
    </row>
    <row r="2858" customFormat="false" ht="13.8" hidden="true" customHeight="false" outlineLevel="0" collapsed="false">
      <c r="A2858" s="0" t="s">
        <v>123</v>
      </c>
      <c r="B2858" s="0" t="n">
        <v>10</v>
      </c>
      <c r="C2858" s="0" t="n">
        <v>2.35</v>
      </c>
      <c r="D2858" s="0" t="n">
        <v>0.044203556</v>
      </c>
    </row>
    <row r="2859" customFormat="false" ht="13.8" hidden="true" customHeight="false" outlineLevel="0" collapsed="false">
      <c r="A2859" s="0" t="s">
        <v>123</v>
      </c>
      <c r="B2859" s="0" t="n">
        <v>10</v>
      </c>
      <c r="C2859" s="0" t="n">
        <v>2.4</v>
      </c>
      <c r="D2859" s="0" t="n">
        <v>0.045144057</v>
      </c>
    </row>
    <row r="2860" customFormat="false" ht="13.8" hidden="true" customHeight="false" outlineLevel="0" collapsed="false">
      <c r="A2860" s="0" t="s">
        <v>123</v>
      </c>
      <c r="B2860" s="0" t="n">
        <v>10</v>
      </c>
      <c r="C2860" s="0" t="n">
        <v>2.45</v>
      </c>
      <c r="D2860" s="0" t="n">
        <v>0.046084558</v>
      </c>
    </row>
    <row r="2861" customFormat="false" ht="13.8" hidden="true" customHeight="false" outlineLevel="0" collapsed="false">
      <c r="A2861" s="0" t="s">
        <v>123</v>
      </c>
      <c r="B2861" s="0" t="n">
        <v>10</v>
      </c>
      <c r="C2861" s="0" t="n">
        <v>2.5</v>
      </c>
      <c r="D2861" s="0" t="n">
        <v>0.047025059</v>
      </c>
    </row>
    <row r="2862" customFormat="false" ht="13.8" hidden="true" customHeight="false" outlineLevel="0" collapsed="false">
      <c r="A2862" s="0" t="s">
        <v>123</v>
      </c>
      <c r="B2862" s="0" t="n">
        <v>10</v>
      </c>
      <c r="C2862" s="0" t="n">
        <v>2.55</v>
      </c>
      <c r="D2862" s="0" t="n">
        <v>0.047965561</v>
      </c>
    </row>
    <row r="2863" customFormat="false" ht="13.8" hidden="true" customHeight="false" outlineLevel="0" collapsed="false">
      <c r="A2863" s="0" t="s">
        <v>123</v>
      </c>
      <c r="B2863" s="0" t="n">
        <v>10</v>
      </c>
      <c r="C2863" s="0" t="n">
        <v>2.6</v>
      </c>
      <c r="D2863" s="0" t="n">
        <v>0.048906062</v>
      </c>
    </row>
    <row r="2864" customFormat="false" ht="13.8" hidden="true" customHeight="false" outlineLevel="0" collapsed="false">
      <c r="A2864" s="0" t="s">
        <v>123</v>
      </c>
      <c r="B2864" s="0" t="n">
        <v>11</v>
      </c>
      <c r="C2864" s="0" t="n">
        <v>1.3</v>
      </c>
      <c r="D2864" s="0" t="n">
        <v>0</v>
      </c>
    </row>
    <row r="2865" customFormat="false" ht="13.8" hidden="true" customHeight="false" outlineLevel="0" collapsed="false">
      <c r="A2865" s="0" t="s">
        <v>123</v>
      </c>
      <c r="B2865" s="0" t="n">
        <v>11</v>
      </c>
      <c r="C2865" s="0" t="n">
        <v>1.35</v>
      </c>
      <c r="D2865" s="0" t="n">
        <v>0</v>
      </c>
    </row>
    <row r="2866" customFormat="false" ht="13.8" hidden="true" customHeight="false" outlineLevel="0" collapsed="false">
      <c r="A2866" s="0" t="s">
        <v>123</v>
      </c>
      <c r="B2866" s="0" t="n">
        <v>11</v>
      </c>
      <c r="C2866" s="0" t="n">
        <v>1.4</v>
      </c>
      <c r="D2866" s="0" t="n">
        <v>0</v>
      </c>
    </row>
    <row r="2867" customFormat="false" ht="13.8" hidden="true" customHeight="false" outlineLevel="0" collapsed="false">
      <c r="A2867" s="0" t="s">
        <v>123</v>
      </c>
      <c r="B2867" s="0" t="n">
        <v>11</v>
      </c>
      <c r="C2867" s="0" t="n">
        <v>1.45</v>
      </c>
      <c r="D2867" s="0" t="n">
        <v>0</v>
      </c>
    </row>
    <row r="2868" customFormat="false" ht="13.8" hidden="true" customHeight="false" outlineLevel="0" collapsed="false">
      <c r="A2868" s="0" t="s">
        <v>123</v>
      </c>
      <c r="B2868" s="0" t="n">
        <v>11</v>
      </c>
      <c r="C2868" s="0" t="n">
        <v>1.5</v>
      </c>
      <c r="D2868" s="0" t="n">
        <v>0</v>
      </c>
    </row>
    <row r="2869" customFormat="false" ht="13.8" hidden="true" customHeight="false" outlineLevel="0" collapsed="false">
      <c r="A2869" s="0" t="s">
        <v>123</v>
      </c>
      <c r="B2869" s="0" t="n">
        <v>11</v>
      </c>
      <c r="C2869" s="0" t="n">
        <v>1.55</v>
      </c>
      <c r="D2869" s="0" t="n">
        <v>0</v>
      </c>
    </row>
    <row r="2870" customFormat="false" ht="13.8" hidden="true" customHeight="false" outlineLevel="0" collapsed="false">
      <c r="A2870" s="0" t="s">
        <v>123</v>
      </c>
      <c r="B2870" s="0" t="n">
        <v>11</v>
      </c>
      <c r="C2870" s="0" t="n">
        <v>1.6</v>
      </c>
      <c r="D2870" s="0" t="n">
        <v>0.028</v>
      </c>
    </row>
    <row r="2871" customFormat="false" ht="13.8" hidden="true" customHeight="false" outlineLevel="0" collapsed="false">
      <c r="A2871" s="0" t="s">
        <v>123</v>
      </c>
      <c r="B2871" s="0" t="n">
        <v>11</v>
      </c>
      <c r="C2871" s="0" t="n">
        <v>1.65</v>
      </c>
      <c r="D2871" s="0" t="n">
        <v>0.029</v>
      </c>
    </row>
    <row r="2872" customFormat="false" ht="13.8" hidden="true" customHeight="false" outlineLevel="0" collapsed="false">
      <c r="A2872" s="0" t="s">
        <v>123</v>
      </c>
      <c r="B2872" s="0" t="n">
        <v>11</v>
      </c>
      <c r="C2872" s="0" t="n">
        <v>1.7</v>
      </c>
      <c r="D2872" s="0" t="n">
        <v>0.03</v>
      </c>
    </row>
    <row r="2873" customFormat="false" ht="13.8" hidden="true" customHeight="false" outlineLevel="0" collapsed="false">
      <c r="A2873" s="0" t="s">
        <v>123</v>
      </c>
      <c r="B2873" s="0" t="n">
        <v>11</v>
      </c>
      <c r="C2873" s="0" t="n">
        <v>1.75</v>
      </c>
      <c r="D2873" s="0" t="n">
        <v>0.031</v>
      </c>
    </row>
    <row r="2874" customFormat="false" ht="13.8" hidden="true" customHeight="false" outlineLevel="0" collapsed="false">
      <c r="A2874" s="0" t="s">
        <v>123</v>
      </c>
      <c r="B2874" s="0" t="n">
        <v>11</v>
      </c>
      <c r="C2874" s="0" t="n">
        <v>1.8</v>
      </c>
      <c r="D2874" s="0" t="n">
        <v>0.034</v>
      </c>
    </row>
    <row r="2875" customFormat="false" ht="13.8" hidden="true" customHeight="false" outlineLevel="0" collapsed="false">
      <c r="A2875" s="0" t="s">
        <v>123</v>
      </c>
      <c r="B2875" s="0" t="n">
        <v>11</v>
      </c>
      <c r="C2875" s="0" t="n">
        <v>1.85</v>
      </c>
      <c r="D2875" s="0" t="n">
        <v>0.035</v>
      </c>
    </row>
    <row r="2876" customFormat="false" ht="13.8" hidden="true" customHeight="false" outlineLevel="0" collapsed="false">
      <c r="A2876" s="0" t="s">
        <v>123</v>
      </c>
      <c r="B2876" s="0" t="n">
        <v>11</v>
      </c>
      <c r="C2876" s="0" t="n">
        <v>1.9</v>
      </c>
      <c r="D2876" s="0" t="n">
        <v>0.036</v>
      </c>
    </row>
    <row r="2877" customFormat="false" ht="13.8" hidden="true" customHeight="false" outlineLevel="0" collapsed="false">
      <c r="A2877" s="0" t="s">
        <v>123</v>
      </c>
      <c r="B2877" s="0" t="n">
        <v>11</v>
      </c>
      <c r="C2877" s="0" t="n">
        <v>1.95</v>
      </c>
      <c r="D2877" s="0" t="n">
        <v>0.036</v>
      </c>
    </row>
    <row r="2878" customFormat="false" ht="13.8" hidden="true" customHeight="false" outlineLevel="0" collapsed="false">
      <c r="A2878" s="0" t="s">
        <v>123</v>
      </c>
      <c r="B2878" s="0" t="n">
        <v>11</v>
      </c>
      <c r="C2878" s="0" t="n">
        <v>2</v>
      </c>
      <c r="D2878" s="0" t="n">
        <v>0.039566549</v>
      </c>
    </row>
    <row r="2879" customFormat="false" ht="13.8" hidden="true" customHeight="false" outlineLevel="0" collapsed="false">
      <c r="A2879" s="0" t="s">
        <v>123</v>
      </c>
      <c r="B2879" s="0" t="n">
        <v>11</v>
      </c>
      <c r="C2879" s="0" t="n">
        <v>2.05</v>
      </c>
      <c r="D2879" s="0" t="n">
        <v>0.040555713</v>
      </c>
    </row>
    <row r="2880" customFormat="false" ht="13.8" hidden="true" customHeight="false" outlineLevel="0" collapsed="false">
      <c r="A2880" s="0" t="s">
        <v>123</v>
      </c>
      <c r="B2880" s="0" t="n">
        <v>11</v>
      </c>
      <c r="C2880" s="0" t="n">
        <v>2.1</v>
      </c>
      <c r="D2880" s="0" t="n">
        <v>0.041544877</v>
      </c>
    </row>
    <row r="2881" customFormat="false" ht="13.8" hidden="true" customHeight="false" outlineLevel="0" collapsed="false">
      <c r="A2881" s="0" t="s">
        <v>123</v>
      </c>
      <c r="B2881" s="0" t="n">
        <v>11</v>
      </c>
      <c r="C2881" s="0" t="n">
        <v>2.15</v>
      </c>
      <c r="D2881" s="0" t="n">
        <v>0.04253404</v>
      </c>
    </row>
    <row r="2882" customFormat="false" ht="13.8" hidden="true" customHeight="false" outlineLevel="0" collapsed="false">
      <c r="A2882" s="0" t="s">
        <v>123</v>
      </c>
      <c r="B2882" s="0" t="n">
        <v>11</v>
      </c>
      <c r="C2882" s="0" t="n">
        <v>2.2</v>
      </c>
      <c r="D2882" s="0" t="n">
        <v>0.041382052</v>
      </c>
    </row>
    <row r="2883" customFormat="false" ht="13.8" hidden="true" customHeight="false" outlineLevel="0" collapsed="false">
      <c r="A2883" s="0" t="s">
        <v>123</v>
      </c>
      <c r="B2883" s="0" t="n">
        <v>11</v>
      </c>
      <c r="C2883" s="0" t="n">
        <v>2.25</v>
      </c>
      <c r="D2883" s="0" t="n">
        <v>0.042322553</v>
      </c>
    </row>
    <row r="2884" customFormat="false" ht="13.8" hidden="true" customHeight="false" outlineLevel="0" collapsed="false">
      <c r="A2884" s="0" t="s">
        <v>123</v>
      </c>
      <c r="B2884" s="0" t="n">
        <v>11</v>
      </c>
      <c r="C2884" s="0" t="n">
        <v>2.3</v>
      </c>
      <c r="D2884" s="0" t="n">
        <v>0.043263055</v>
      </c>
    </row>
    <row r="2885" customFormat="false" ht="13.8" hidden="true" customHeight="false" outlineLevel="0" collapsed="false">
      <c r="A2885" s="0" t="s">
        <v>123</v>
      </c>
      <c r="B2885" s="0" t="n">
        <v>11</v>
      </c>
      <c r="C2885" s="0" t="n">
        <v>2.35</v>
      </c>
      <c r="D2885" s="0" t="n">
        <v>0.044203556</v>
      </c>
    </row>
    <row r="2886" customFormat="false" ht="13.8" hidden="true" customHeight="false" outlineLevel="0" collapsed="false">
      <c r="A2886" s="0" t="s">
        <v>123</v>
      </c>
      <c r="B2886" s="0" t="n">
        <v>11</v>
      </c>
      <c r="C2886" s="0" t="n">
        <v>2.4</v>
      </c>
      <c r="D2886" s="0" t="n">
        <v>0.045144057</v>
      </c>
    </row>
    <row r="2887" customFormat="false" ht="13.8" hidden="true" customHeight="false" outlineLevel="0" collapsed="false">
      <c r="A2887" s="0" t="s">
        <v>123</v>
      </c>
      <c r="B2887" s="0" t="n">
        <v>11</v>
      </c>
      <c r="C2887" s="0" t="n">
        <v>2.45</v>
      </c>
      <c r="D2887" s="0" t="n">
        <v>0.046084558</v>
      </c>
    </row>
    <row r="2888" customFormat="false" ht="13.8" hidden="true" customHeight="false" outlineLevel="0" collapsed="false">
      <c r="A2888" s="0" t="s">
        <v>123</v>
      </c>
      <c r="B2888" s="0" t="n">
        <v>11</v>
      </c>
      <c r="C2888" s="0" t="n">
        <v>2.5</v>
      </c>
      <c r="D2888" s="0" t="n">
        <v>0.047025059</v>
      </c>
    </row>
    <row r="2889" customFormat="false" ht="13.8" hidden="true" customHeight="false" outlineLevel="0" collapsed="false">
      <c r="A2889" s="0" t="s">
        <v>123</v>
      </c>
      <c r="B2889" s="0" t="n">
        <v>11</v>
      </c>
      <c r="C2889" s="0" t="n">
        <v>2.55</v>
      </c>
      <c r="D2889" s="0" t="n">
        <v>0.047965561</v>
      </c>
    </row>
    <row r="2890" customFormat="false" ht="13.8" hidden="true" customHeight="false" outlineLevel="0" collapsed="false">
      <c r="A2890" s="0" t="s">
        <v>123</v>
      </c>
      <c r="B2890" s="0" t="n">
        <v>11</v>
      </c>
      <c r="C2890" s="0" t="n">
        <v>2.6</v>
      </c>
      <c r="D2890" s="0" t="n">
        <v>0.048906062</v>
      </c>
    </row>
    <row r="2891" customFormat="false" ht="13.8" hidden="true" customHeight="false" outlineLevel="0" collapsed="false">
      <c r="A2891" s="0" t="s">
        <v>123</v>
      </c>
      <c r="B2891" s="0" t="n">
        <v>12</v>
      </c>
      <c r="C2891" s="0" t="n">
        <v>1.3</v>
      </c>
      <c r="D2891" s="0" t="n">
        <v>0</v>
      </c>
    </row>
    <row r="2892" customFormat="false" ht="13.8" hidden="true" customHeight="false" outlineLevel="0" collapsed="false">
      <c r="A2892" s="0" t="s">
        <v>123</v>
      </c>
      <c r="B2892" s="0" t="n">
        <v>12</v>
      </c>
      <c r="C2892" s="0" t="n">
        <v>1.35</v>
      </c>
      <c r="D2892" s="0" t="n">
        <v>0</v>
      </c>
    </row>
    <row r="2893" customFormat="false" ht="13.8" hidden="true" customHeight="false" outlineLevel="0" collapsed="false">
      <c r="A2893" s="0" t="s">
        <v>123</v>
      </c>
      <c r="B2893" s="0" t="n">
        <v>12</v>
      </c>
      <c r="C2893" s="0" t="n">
        <v>1.4</v>
      </c>
      <c r="D2893" s="0" t="n">
        <v>0</v>
      </c>
    </row>
    <row r="2894" customFormat="false" ht="13.8" hidden="true" customHeight="false" outlineLevel="0" collapsed="false">
      <c r="A2894" s="0" t="s">
        <v>123</v>
      </c>
      <c r="B2894" s="0" t="n">
        <v>12</v>
      </c>
      <c r="C2894" s="0" t="n">
        <v>1.45</v>
      </c>
      <c r="D2894" s="0" t="n">
        <v>0</v>
      </c>
    </row>
    <row r="2895" customFormat="false" ht="13.8" hidden="true" customHeight="false" outlineLevel="0" collapsed="false">
      <c r="A2895" s="0" t="s">
        <v>123</v>
      </c>
      <c r="B2895" s="0" t="n">
        <v>12</v>
      </c>
      <c r="C2895" s="0" t="n">
        <v>1.5</v>
      </c>
      <c r="D2895" s="0" t="n">
        <v>0</v>
      </c>
    </row>
    <row r="2896" customFormat="false" ht="13.8" hidden="true" customHeight="false" outlineLevel="0" collapsed="false">
      <c r="A2896" s="0" t="s">
        <v>123</v>
      </c>
      <c r="B2896" s="0" t="n">
        <v>12</v>
      </c>
      <c r="C2896" s="0" t="n">
        <v>1.55</v>
      </c>
      <c r="D2896" s="0" t="n">
        <v>0</v>
      </c>
    </row>
    <row r="2897" customFormat="false" ht="13.8" hidden="true" customHeight="false" outlineLevel="0" collapsed="false">
      <c r="A2897" s="0" t="s">
        <v>123</v>
      </c>
      <c r="B2897" s="0" t="n">
        <v>12</v>
      </c>
      <c r="C2897" s="0" t="n">
        <v>1.6</v>
      </c>
      <c r="D2897" s="0" t="n">
        <v>0.028</v>
      </c>
    </row>
    <row r="2898" customFormat="false" ht="13.8" hidden="true" customHeight="false" outlineLevel="0" collapsed="false">
      <c r="A2898" s="0" t="s">
        <v>123</v>
      </c>
      <c r="B2898" s="0" t="n">
        <v>12</v>
      </c>
      <c r="C2898" s="0" t="n">
        <v>1.65</v>
      </c>
      <c r="D2898" s="0" t="n">
        <v>0.029</v>
      </c>
    </row>
    <row r="2899" customFormat="false" ht="13.8" hidden="true" customHeight="false" outlineLevel="0" collapsed="false">
      <c r="A2899" s="0" t="s">
        <v>123</v>
      </c>
      <c r="B2899" s="0" t="n">
        <v>12</v>
      </c>
      <c r="C2899" s="0" t="n">
        <v>1.7</v>
      </c>
      <c r="D2899" s="0" t="n">
        <v>0.03</v>
      </c>
    </row>
    <row r="2900" customFormat="false" ht="13.8" hidden="true" customHeight="false" outlineLevel="0" collapsed="false">
      <c r="A2900" s="0" t="s">
        <v>123</v>
      </c>
      <c r="B2900" s="0" t="n">
        <v>12</v>
      </c>
      <c r="C2900" s="0" t="n">
        <v>1.75</v>
      </c>
      <c r="D2900" s="0" t="n">
        <v>0.031</v>
      </c>
    </row>
    <row r="2901" customFormat="false" ht="13.8" hidden="true" customHeight="false" outlineLevel="0" collapsed="false">
      <c r="A2901" s="0" t="s">
        <v>123</v>
      </c>
      <c r="B2901" s="0" t="n">
        <v>12</v>
      </c>
      <c r="C2901" s="0" t="n">
        <v>1.8</v>
      </c>
      <c r="D2901" s="0" t="n">
        <v>0.034</v>
      </c>
    </row>
    <row r="2902" customFormat="false" ht="13.8" hidden="true" customHeight="false" outlineLevel="0" collapsed="false">
      <c r="A2902" s="0" t="s">
        <v>123</v>
      </c>
      <c r="B2902" s="0" t="n">
        <v>12</v>
      </c>
      <c r="C2902" s="0" t="n">
        <v>1.85</v>
      </c>
      <c r="D2902" s="0" t="n">
        <v>0.035</v>
      </c>
    </row>
    <row r="2903" customFormat="false" ht="13.8" hidden="true" customHeight="false" outlineLevel="0" collapsed="false">
      <c r="A2903" s="0" t="s">
        <v>123</v>
      </c>
      <c r="B2903" s="0" t="n">
        <v>12</v>
      </c>
      <c r="C2903" s="0" t="n">
        <v>1.9</v>
      </c>
      <c r="D2903" s="0" t="n">
        <v>0.036</v>
      </c>
    </row>
    <row r="2904" customFormat="false" ht="13.8" hidden="true" customHeight="false" outlineLevel="0" collapsed="false">
      <c r="A2904" s="0" t="s">
        <v>123</v>
      </c>
      <c r="B2904" s="0" t="n">
        <v>12</v>
      </c>
      <c r="C2904" s="0" t="n">
        <v>1.95</v>
      </c>
      <c r="D2904" s="0" t="n">
        <v>0.036</v>
      </c>
    </row>
    <row r="2905" customFormat="false" ht="13.8" hidden="true" customHeight="false" outlineLevel="0" collapsed="false">
      <c r="A2905" s="0" t="s">
        <v>123</v>
      </c>
      <c r="B2905" s="0" t="n">
        <v>12</v>
      </c>
      <c r="C2905" s="0" t="n">
        <v>2</v>
      </c>
      <c r="D2905" s="0" t="n">
        <v>0.039566549</v>
      </c>
    </row>
    <row r="2906" customFormat="false" ht="13.8" hidden="true" customHeight="false" outlineLevel="0" collapsed="false">
      <c r="A2906" s="0" t="s">
        <v>123</v>
      </c>
      <c r="B2906" s="0" t="n">
        <v>12</v>
      </c>
      <c r="C2906" s="0" t="n">
        <v>2.05</v>
      </c>
      <c r="D2906" s="0" t="n">
        <v>0.040555713</v>
      </c>
    </row>
    <row r="2907" customFormat="false" ht="13.8" hidden="true" customHeight="false" outlineLevel="0" collapsed="false">
      <c r="A2907" s="0" t="s">
        <v>123</v>
      </c>
      <c r="B2907" s="0" t="n">
        <v>12</v>
      </c>
      <c r="C2907" s="0" t="n">
        <v>2.1</v>
      </c>
      <c r="D2907" s="0" t="n">
        <v>0.041544877</v>
      </c>
    </row>
    <row r="2908" customFormat="false" ht="13.8" hidden="true" customHeight="false" outlineLevel="0" collapsed="false">
      <c r="A2908" s="0" t="s">
        <v>123</v>
      </c>
      <c r="B2908" s="0" t="n">
        <v>12</v>
      </c>
      <c r="C2908" s="0" t="n">
        <v>2.15</v>
      </c>
      <c r="D2908" s="0" t="n">
        <v>0.04253404</v>
      </c>
    </row>
    <row r="2909" customFormat="false" ht="13.8" hidden="true" customHeight="false" outlineLevel="0" collapsed="false">
      <c r="A2909" s="0" t="s">
        <v>123</v>
      </c>
      <c r="B2909" s="0" t="n">
        <v>12</v>
      </c>
      <c r="C2909" s="0" t="n">
        <v>2.2</v>
      </c>
      <c r="D2909" s="0" t="n">
        <v>0.041382052</v>
      </c>
    </row>
    <row r="2910" customFormat="false" ht="13.8" hidden="true" customHeight="false" outlineLevel="0" collapsed="false">
      <c r="A2910" s="0" t="s">
        <v>123</v>
      </c>
      <c r="B2910" s="0" t="n">
        <v>12</v>
      </c>
      <c r="C2910" s="0" t="n">
        <v>2.25</v>
      </c>
      <c r="D2910" s="0" t="n">
        <v>0.042322553</v>
      </c>
    </row>
    <row r="2911" customFormat="false" ht="13.8" hidden="true" customHeight="false" outlineLevel="0" collapsed="false">
      <c r="A2911" s="0" t="s">
        <v>123</v>
      </c>
      <c r="B2911" s="0" t="n">
        <v>12</v>
      </c>
      <c r="C2911" s="0" t="n">
        <v>2.3</v>
      </c>
      <c r="D2911" s="0" t="n">
        <v>0.043263055</v>
      </c>
    </row>
    <row r="2912" customFormat="false" ht="13.8" hidden="true" customHeight="false" outlineLevel="0" collapsed="false">
      <c r="A2912" s="0" t="s">
        <v>123</v>
      </c>
      <c r="B2912" s="0" t="n">
        <v>12</v>
      </c>
      <c r="C2912" s="0" t="n">
        <v>2.35</v>
      </c>
      <c r="D2912" s="0" t="n">
        <v>0.044203556</v>
      </c>
    </row>
    <row r="2913" customFormat="false" ht="13.8" hidden="true" customHeight="false" outlineLevel="0" collapsed="false">
      <c r="A2913" s="0" t="s">
        <v>123</v>
      </c>
      <c r="B2913" s="0" t="n">
        <v>12</v>
      </c>
      <c r="C2913" s="0" t="n">
        <v>2.4</v>
      </c>
      <c r="D2913" s="0" t="n">
        <v>0.045144057</v>
      </c>
    </row>
    <row r="2914" customFormat="false" ht="13.8" hidden="true" customHeight="false" outlineLevel="0" collapsed="false">
      <c r="A2914" s="0" t="s">
        <v>123</v>
      </c>
      <c r="B2914" s="0" t="n">
        <v>12</v>
      </c>
      <c r="C2914" s="0" t="n">
        <v>2.45</v>
      </c>
      <c r="D2914" s="0" t="n">
        <v>0.046084558</v>
      </c>
    </row>
    <row r="2915" customFormat="false" ht="13.8" hidden="true" customHeight="false" outlineLevel="0" collapsed="false">
      <c r="A2915" s="0" t="s">
        <v>123</v>
      </c>
      <c r="B2915" s="0" t="n">
        <v>12</v>
      </c>
      <c r="C2915" s="0" t="n">
        <v>2.5</v>
      </c>
      <c r="D2915" s="0" t="n">
        <v>0.047025059</v>
      </c>
    </row>
    <row r="2916" customFormat="false" ht="13.8" hidden="true" customHeight="false" outlineLevel="0" collapsed="false">
      <c r="A2916" s="0" t="s">
        <v>123</v>
      </c>
      <c r="B2916" s="0" t="n">
        <v>12</v>
      </c>
      <c r="C2916" s="0" t="n">
        <v>2.55</v>
      </c>
      <c r="D2916" s="0" t="n">
        <v>0.047965561</v>
      </c>
    </row>
    <row r="2917" customFormat="false" ht="13.8" hidden="true" customHeight="false" outlineLevel="0" collapsed="false">
      <c r="A2917" s="0" t="s">
        <v>123</v>
      </c>
      <c r="B2917" s="0" t="n">
        <v>12</v>
      </c>
      <c r="C2917" s="0" t="n">
        <v>2.6</v>
      </c>
      <c r="D2917" s="0" t="n">
        <v>0.048906062</v>
      </c>
    </row>
    <row r="2918" customFormat="false" ht="13.8" hidden="true" customHeight="false" outlineLevel="0" collapsed="false">
      <c r="A2918" s="0" t="s">
        <v>123</v>
      </c>
      <c r="B2918" s="0" t="n">
        <v>13</v>
      </c>
      <c r="C2918" s="0" t="n">
        <v>1.3</v>
      </c>
      <c r="D2918" s="0" t="n">
        <v>0</v>
      </c>
    </row>
    <row r="2919" customFormat="false" ht="13.8" hidden="true" customHeight="false" outlineLevel="0" collapsed="false">
      <c r="A2919" s="0" t="s">
        <v>123</v>
      </c>
      <c r="B2919" s="0" t="n">
        <v>13</v>
      </c>
      <c r="C2919" s="0" t="n">
        <v>1.35</v>
      </c>
      <c r="D2919" s="0" t="n">
        <v>0</v>
      </c>
    </row>
    <row r="2920" customFormat="false" ht="13.8" hidden="true" customHeight="false" outlineLevel="0" collapsed="false">
      <c r="A2920" s="0" t="s">
        <v>123</v>
      </c>
      <c r="B2920" s="0" t="n">
        <v>13</v>
      </c>
      <c r="C2920" s="0" t="n">
        <v>1.4</v>
      </c>
      <c r="D2920" s="0" t="n">
        <v>0</v>
      </c>
    </row>
    <row r="2921" customFormat="false" ht="13.8" hidden="true" customHeight="false" outlineLevel="0" collapsed="false">
      <c r="A2921" s="0" t="s">
        <v>123</v>
      </c>
      <c r="B2921" s="0" t="n">
        <v>13</v>
      </c>
      <c r="C2921" s="0" t="n">
        <v>1.45</v>
      </c>
      <c r="D2921" s="0" t="n">
        <v>0</v>
      </c>
    </row>
    <row r="2922" customFormat="false" ht="13.8" hidden="true" customHeight="false" outlineLevel="0" collapsed="false">
      <c r="A2922" s="0" t="s">
        <v>123</v>
      </c>
      <c r="B2922" s="0" t="n">
        <v>13</v>
      </c>
      <c r="C2922" s="0" t="n">
        <v>1.5</v>
      </c>
      <c r="D2922" s="0" t="n">
        <v>0</v>
      </c>
    </row>
    <row r="2923" customFormat="false" ht="13.8" hidden="true" customHeight="false" outlineLevel="0" collapsed="false">
      <c r="A2923" s="0" t="s">
        <v>123</v>
      </c>
      <c r="B2923" s="0" t="n">
        <v>13</v>
      </c>
      <c r="C2923" s="0" t="n">
        <v>1.55</v>
      </c>
      <c r="D2923" s="0" t="n">
        <v>0</v>
      </c>
    </row>
    <row r="2924" customFormat="false" ht="13.8" hidden="true" customHeight="false" outlineLevel="0" collapsed="false">
      <c r="A2924" s="0" t="s">
        <v>123</v>
      </c>
      <c r="B2924" s="0" t="n">
        <v>13</v>
      </c>
      <c r="C2924" s="0" t="n">
        <v>1.6</v>
      </c>
      <c r="D2924" s="0" t="n">
        <v>0.028</v>
      </c>
    </row>
    <row r="2925" customFormat="false" ht="13.8" hidden="true" customHeight="false" outlineLevel="0" collapsed="false">
      <c r="A2925" s="0" t="s">
        <v>123</v>
      </c>
      <c r="B2925" s="0" t="n">
        <v>13</v>
      </c>
      <c r="C2925" s="0" t="n">
        <v>1.65</v>
      </c>
      <c r="D2925" s="0" t="n">
        <v>0.029</v>
      </c>
    </row>
    <row r="2926" customFormat="false" ht="13.8" hidden="true" customHeight="false" outlineLevel="0" collapsed="false">
      <c r="A2926" s="0" t="s">
        <v>123</v>
      </c>
      <c r="B2926" s="0" t="n">
        <v>13</v>
      </c>
      <c r="C2926" s="0" t="n">
        <v>1.7</v>
      </c>
      <c r="D2926" s="0" t="n">
        <v>0.03</v>
      </c>
    </row>
    <row r="2927" customFormat="false" ht="13.8" hidden="true" customHeight="false" outlineLevel="0" collapsed="false">
      <c r="A2927" s="0" t="s">
        <v>123</v>
      </c>
      <c r="B2927" s="0" t="n">
        <v>13</v>
      </c>
      <c r="C2927" s="0" t="n">
        <v>1.75</v>
      </c>
      <c r="D2927" s="0" t="n">
        <v>0.031</v>
      </c>
    </row>
    <row r="2928" customFormat="false" ht="13.8" hidden="true" customHeight="false" outlineLevel="0" collapsed="false">
      <c r="A2928" s="0" t="s">
        <v>123</v>
      </c>
      <c r="B2928" s="0" t="n">
        <v>13</v>
      </c>
      <c r="C2928" s="0" t="n">
        <v>1.8</v>
      </c>
      <c r="D2928" s="0" t="n">
        <v>0.034</v>
      </c>
    </row>
    <row r="2929" customFormat="false" ht="13.8" hidden="true" customHeight="false" outlineLevel="0" collapsed="false">
      <c r="A2929" s="0" t="s">
        <v>123</v>
      </c>
      <c r="B2929" s="0" t="n">
        <v>13</v>
      </c>
      <c r="C2929" s="0" t="n">
        <v>1.85</v>
      </c>
      <c r="D2929" s="0" t="n">
        <v>0.035</v>
      </c>
    </row>
    <row r="2930" customFormat="false" ht="13.8" hidden="true" customHeight="false" outlineLevel="0" collapsed="false">
      <c r="A2930" s="0" t="s">
        <v>123</v>
      </c>
      <c r="B2930" s="0" t="n">
        <v>13</v>
      </c>
      <c r="C2930" s="0" t="n">
        <v>1.9</v>
      </c>
      <c r="D2930" s="0" t="n">
        <v>0.036</v>
      </c>
    </row>
    <row r="2931" customFormat="false" ht="13.8" hidden="true" customHeight="false" outlineLevel="0" collapsed="false">
      <c r="A2931" s="0" t="s">
        <v>123</v>
      </c>
      <c r="B2931" s="0" t="n">
        <v>13</v>
      </c>
      <c r="C2931" s="0" t="n">
        <v>1.95</v>
      </c>
      <c r="D2931" s="0" t="n">
        <v>0.036</v>
      </c>
    </row>
    <row r="2932" customFormat="false" ht="13.8" hidden="true" customHeight="false" outlineLevel="0" collapsed="false">
      <c r="A2932" s="0" t="s">
        <v>123</v>
      </c>
      <c r="B2932" s="0" t="n">
        <v>13</v>
      </c>
      <c r="C2932" s="0" t="n">
        <v>2</v>
      </c>
      <c r="D2932" s="0" t="n">
        <v>0.04</v>
      </c>
    </row>
    <row r="2933" customFormat="false" ht="13.8" hidden="true" customHeight="false" outlineLevel="0" collapsed="false">
      <c r="A2933" s="0" t="s">
        <v>123</v>
      </c>
      <c r="B2933" s="0" t="n">
        <v>13</v>
      </c>
      <c r="C2933" s="0" t="n">
        <v>2.05</v>
      </c>
      <c r="D2933" s="0" t="n">
        <v>0.041</v>
      </c>
    </row>
    <row r="2934" customFormat="false" ht="13.8" hidden="true" customHeight="false" outlineLevel="0" collapsed="false">
      <c r="A2934" s="0" t="s">
        <v>123</v>
      </c>
      <c r="B2934" s="0" t="n">
        <v>13</v>
      </c>
      <c r="C2934" s="0" t="n">
        <v>2.1</v>
      </c>
      <c r="D2934" s="0" t="n">
        <v>0.042</v>
      </c>
    </row>
    <row r="2935" customFormat="false" ht="13.8" hidden="true" customHeight="false" outlineLevel="0" collapsed="false">
      <c r="A2935" s="0" t="s">
        <v>123</v>
      </c>
      <c r="B2935" s="0" t="n">
        <v>13</v>
      </c>
      <c r="C2935" s="0" t="n">
        <v>2.15</v>
      </c>
      <c r="D2935" s="0" t="n">
        <v>0.04253404</v>
      </c>
    </row>
    <row r="2936" customFormat="false" ht="13.8" hidden="true" customHeight="false" outlineLevel="0" collapsed="false">
      <c r="A2936" s="0" t="s">
        <v>123</v>
      </c>
      <c r="B2936" s="0" t="n">
        <v>13</v>
      </c>
      <c r="C2936" s="0" t="n">
        <v>2.2</v>
      </c>
      <c r="D2936" s="0" t="n">
        <v>0.041382052</v>
      </c>
    </row>
    <row r="2937" customFormat="false" ht="13.8" hidden="true" customHeight="false" outlineLevel="0" collapsed="false">
      <c r="A2937" s="0" t="s">
        <v>123</v>
      </c>
      <c r="B2937" s="0" t="n">
        <v>13</v>
      </c>
      <c r="C2937" s="0" t="n">
        <v>2.25</v>
      </c>
      <c r="D2937" s="0" t="n">
        <v>0.042322553</v>
      </c>
    </row>
    <row r="2938" customFormat="false" ht="13.8" hidden="true" customHeight="false" outlineLevel="0" collapsed="false">
      <c r="A2938" s="0" t="s">
        <v>123</v>
      </c>
      <c r="B2938" s="0" t="n">
        <v>13</v>
      </c>
      <c r="C2938" s="0" t="n">
        <v>2.3</v>
      </c>
      <c r="D2938" s="0" t="n">
        <v>0.043263055</v>
      </c>
    </row>
    <row r="2939" customFormat="false" ht="13.8" hidden="true" customHeight="false" outlineLevel="0" collapsed="false">
      <c r="A2939" s="0" t="s">
        <v>123</v>
      </c>
      <c r="B2939" s="0" t="n">
        <v>13</v>
      </c>
      <c r="C2939" s="0" t="n">
        <v>2.35</v>
      </c>
      <c r="D2939" s="0" t="n">
        <v>0.044203556</v>
      </c>
    </row>
    <row r="2940" customFormat="false" ht="13.8" hidden="true" customHeight="false" outlineLevel="0" collapsed="false">
      <c r="A2940" s="0" t="s">
        <v>123</v>
      </c>
      <c r="B2940" s="0" t="n">
        <v>13</v>
      </c>
      <c r="C2940" s="0" t="n">
        <v>2.4</v>
      </c>
      <c r="D2940" s="0" t="n">
        <v>0.045144057</v>
      </c>
    </row>
    <row r="2941" customFormat="false" ht="13.8" hidden="true" customHeight="false" outlineLevel="0" collapsed="false">
      <c r="A2941" s="0" t="s">
        <v>123</v>
      </c>
      <c r="B2941" s="0" t="n">
        <v>13</v>
      </c>
      <c r="C2941" s="0" t="n">
        <v>2.45</v>
      </c>
      <c r="D2941" s="0" t="n">
        <v>0.046084558</v>
      </c>
    </row>
    <row r="2942" customFormat="false" ht="13.8" hidden="true" customHeight="false" outlineLevel="0" collapsed="false">
      <c r="A2942" s="0" t="s">
        <v>123</v>
      </c>
      <c r="B2942" s="0" t="n">
        <v>13</v>
      </c>
      <c r="C2942" s="0" t="n">
        <v>2.5</v>
      </c>
      <c r="D2942" s="0" t="n">
        <v>0.047025059</v>
      </c>
    </row>
    <row r="2943" customFormat="false" ht="13.8" hidden="true" customHeight="false" outlineLevel="0" collapsed="false">
      <c r="A2943" s="0" t="s">
        <v>123</v>
      </c>
      <c r="B2943" s="0" t="n">
        <v>13</v>
      </c>
      <c r="C2943" s="0" t="n">
        <v>2.55</v>
      </c>
      <c r="D2943" s="0" t="n">
        <v>0.047965561</v>
      </c>
    </row>
    <row r="2944" customFormat="false" ht="13.8" hidden="true" customHeight="false" outlineLevel="0" collapsed="false">
      <c r="A2944" s="0" t="s">
        <v>123</v>
      </c>
      <c r="B2944" s="0" t="n">
        <v>13</v>
      </c>
      <c r="C2944" s="0" t="n">
        <v>2.6</v>
      </c>
      <c r="D2944" s="0" t="n">
        <v>0.048906062</v>
      </c>
    </row>
    <row r="2945" customFormat="false" ht="13.8" hidden="true" customHeight="false" outlineLevel="0" collapsed="false">
      <c r="A2945" s="0" t="s">
        <v>123</v>
      </c>
      <c r="B2945" s="0" t="n">
        <v>14</v>
      </c>
      <c r="C2945" s="0" t="n">
        <v>1.3</v>
      </c>
      <c r="D2945" s="0" t="n">
        <v>0</v>
      </c>
    </row>
    <row r="2946" customFormat="false" ht="13.8" hidden="true" customHeight="false" outlineLevel="0" collapsed="false">
      <c r="A2946" s="0" t="s">
        <v>123</v>
      </c>
      <c r="B2946" s="0" t="n">
        <v>14</v>
      </c>
      <c r="C2946" s="0" t="n">
        <v>1.35</v>
      </c>
      <c r="D2946" s="0" t="n">
        <v>0</v>
      </c>
    </row>
    <row r="2947" customFormat="false" ht="13.8" hidden="true" customHeight="false" outlineLevel="0" collapsed="false">
      <c r="A2947" s="0" t="s">
        <v>123</v>
      </c>
      <c r="B2947" s="0" t="n">
        <v>14</v>
      </c>
      <c r="C2947" s="0" t="n">
        <v>1.4</v>
      </c>
      <c r="D2947" s="0" t="n">
        <v>0</v>
      </c>
    </row>
    <row r="2948" customFormat="false" ht="13.8" hidden="true" customHeight="false" outlineLevel="0" collapsed="false">
      <c r="A2948" s="0" t="s">
        <v>123</v>
      </c>
      <c r="B2948" s="0" t="n">
        <v>14</v>
      </c>
      <c r="C2948" s="0" t="n">
        <v>1.45</v>
      </c>
      <c r="D2948" s="0" t="n">
        <v>0</v>
      </c>
    </row>
    <row r="2949" customFormat="false" ht="13.8" hidden="true" customHeight="false" outlineLevel="0" collapsed="false">
      <c r="A2949" s="0" t="s">
        <v>123</v>
      </c>
      <c r="B2949" s="0" t="n">
        <v>14</v>
      </c>
      <c r="C2949" s="0" t="n">
        <v>1.5</v>
      </c>
      <c r="D2949" s="0" t="n">
        <v>0</v>
      </c>
    </row>
    <row r="2950" customFormat="false" ht="13.8" hidden="true" customHeight="false" outlineLevel="0" collapsed="false">
      <c r="A2950" s="0" t="s">
        <v>123</v>
      </c>
      <c r="B2950" s="0" t="n">
        <v>14</v>
      </c>
      <c r="C2950" s="0" t="n">
        <v>1.55</v>
      </c>
      <c r="D2950" s="0" t="n">
        <v>0</v>
      </c>
    </row>
    <row r="2951" customFormat="false" ht="13.8" hidden="true" customHeight="false" outlineLevel="0" collapsed="false">
      <c r="A2951" s="0" t="s">
        <v>123</v>
      </c>
      <c r="B2951" s="0" t="n">
        <v>14</v>
      </c>
      <c r="C2951" s="0" t="n">
        <v>1.6</v>
      </c>
      <c r="D2951" s="0" t="n">
        <v>0.028</v>
      </c>
    </row>
    <row r="2952" customFormat="false" ht="13.8" hidden="true" customHeight="false" outlineLevel="0" collapsed="false">
      <c r="A2952" s="0" t="s">
        <v>123</v>
      </c>
      <c r="B2952" s="0" t="n">
        <v>14</v>
      </c>
      <c r="C2952" s="0" t="n">
        <v>1.65</v>
      </c>
      <c r="D2952" s="0" t="n">
        <v>0.029</v>
      </c>
    </row>
    <row r="2953" customFormat="false" ht="13.8" hidden="true" customHeight="false" outlineLevel="0" collapsed="false">
      <c r="A2953" s="0" t="s">
        <v>123</v>
      </c>
      <c r="B2953" s="0" t="n">
        <v>14</v>
      </c>
      <c r="C2953" s="0" t="n">
        <v>1.7</v>
      </c>
      <c r="D2953" s="0" t="n">
        <v>0.03</v>
      </c>
    </row>
    <row r="2954" customFormat="false" ht="13.8" hidden="true" customHeight="false" outlineLevel="0" collapsed="false">
      <c r="A2954" s="0" t="s">
        <v>123</v>
      </c>
      <c r="B2954" s="0" t="n">
        <v>14</v>
      </c>
      <c r="C2954" s="0" t="n">
        <v>1.75</v>
      </c>
      <c r="D2954" s="0" t="n">
        <v>0.031</v>
      </c>
    </row>
    <row r="2955" customFormat="false" ht="13.8" hidden="true" customHeight="false" outlineLevel="0" collapsed="false">
      <c r="A2955" s="0" t="s">
        <v>123</v>
      </c>
      <c r="B2955" s="0" t="n">
        <v>14</v>
      </c>
      <c r="C2955" s="0" t="n">
        <v>1.8</v>
      </c>
      <c r="D2955" s="0" t="n">
        <v>0.034</v>
      </c>
    </row>
    <row r="2956" customFormat="false" ht="13.8" hidden="true" customHeight="false" outlineLevel="0" collapsed="false">
      <c r="A2956" s="0" t="s">
        <v>123</v>
      </c>
      <c r="B2956" s="0" t="n">
        <v>14</v>
      </c>
      <c r="C2956" s="0" t="n">
        <v>1.85</v>
      </c>
      <c r="D2956" s="0" t="n">
        <v>0.035</v>
      </c>
    </row>
    <row r="2957" customFormat="false" ht="13.8" hidden="true" customHeight="false" outlineLevel="0" collapsed="false">
      <c r="A2957" s="0" t="s">
        <v>123</v>
      </c>
      <c r="B2957" s="0" t="n">
        <v>14</v>
      </c>
      <c r="C2957" s="0" t="n">
        <v>1.9</v>
      </c>
      <c r="D2957" s="0" t="n">
        <v>0.036</v>
      </c>
    </row>
    <row r="2958" customFormat="false" ht="13.8" hidden="true" customHeight="false" outlineLevel="0" collapsed="false">
      <c r="A2958" s="0" t="s">
        <v>123</v>
      </c>
      <c r="B2958" s="0" t="n">
        <v>14</v>
      </c>
      <c r="C2958" s="0" t="n">
        <v>1.95</v>
      </c>
      <c r="D2958" s="0" t="n">
        <v>0.036</v>
      </c>
    </row>
    <row r="2959" customFormat="false" ht="13.8" hidden="true" customHeight="false" outlineLevel="0" collapsed="false">
      <c r="A2959" s="0" t="s">
        <v>123</v>
      </c>
      <c r="B2959" s="0" t="n">
        <v>14</v>
      </c>
      <c r="C2959" s="0" t="n">
        <v>2</v>
      </c>
      <c r="D2959" s="0" t="n">
        <v>0.039566549</v>
      </c>
    </row>
    <row r="2960" customFormat="false" ht="13.8" hidden="true" customHeight="false" outlineLevel="0" collapsed="false">
      <c r="A2960" s="0" t="s">
        <v>123</v>
      </c>
      <c r="B2960" s="0" t="n">
        <v>14</v>
      </c>
      <c r="C2960" s="0" t="n">
        <v>2.05</v>
      </c>
      <c r="D2960" s="0" t="n">
        <v>0.040555713</v>
      </c>
    </row>
    <row r="2961" customFormat="false" ht="13.8" hidden="true" customHeight="false" outlineLevel="0" collapsed="false">
      <c r="A2961" s="0" t="s">
        <v>123</v>
      </c>
      <c r="B2961" s="0" t="n">
        <v>14</v>
      </c>
      <c r="C2961" s="0" t="n">
        <v>2.1</v>
      </c>
      <c r="D2961" s="0" t="n">
        <v>0.041544877</v>
      </c>
    </row>
    <row r="2962" customFormat="false" ht="13.8" hidden="true" customHeight="false" outlineLevel="0" collapsed="false">
      <c r="A2962" s="0" t="s">
        <v>123</v>
      </c>
      <c r="B2962" s="0" t="n">
        <v>14</v>
      </c>
      <c r="C2962" s="0" t="n">
        <v>2.15</v>
      </c>
      <c r="D2962" s="0" t="n">
        <v>0.04253404</v>
      </c>
    </row>
    <row r="2963" customFormat="false" ht="13.8" hidden="true" customHeight="false" outlineLevel="0" collapsed="false">
      <c r="A2963" s="0" t="s">
        <v>123</v>
      </c>
      <c r="B2963" s="0" t="n">
        <v>14</v>
      </c>
      <c r="C2963" s="0" t="n">
        <v>2.2</v>
      </c>
      <c r="D2963" s="0" t="n">
        <v>0.041382052</v>
      </c>
    </row>
    <row r="2964" customFormat="false" ht="13.8" hidden="true" customHeight="false" outlineLevel="0" collapsed="false">
      <c r="A2964" s="0" t="s">
        <v>123</v>
      </c>
      <c r="B2964" s="0" t="n">
        <v>14</v>
      </c>
      <c r="C2964" s="0" t="n">
        <v>2.25</v>
      </c>
      <c r="D2964" s="0" t="n">
        <v>0.042322553</v>
      </c>
    </row>
    <row r="2965" customFormat="false" ht="13.8" hidden="true" customHeight="false" outlineLevel="0" collapsed="false">
      <c r="A2965" s="0" t="s">
        <v>123</v>
      </c>
      <c r="B2965" s="0" t="n">
        <v>14</v>
      </c>
      <c r="C2965" s="0" t="n">
        <v>2.3</v>
      </c>
      <c r="D2965" s="0" t="n">
        <v>0.043263055</v>
      </c>
    </row>
    <row r="2966" customFormat="false" ht="13.8" hidden="true" customHeight="false" outlineLevel="0" collapsed="false">
      <c r="A2966" s="0" t="s">
        <v>123</v>
      </c>
      <c r="B2966" s="0" t="n">
        <v>14</v>
      </c>
      <c r="C2966" s="0" t="n">
        <v>2.35</v>
      </c>
      <c r="D2966" s="0" t="n">
        <v>0.044203556</v>
      </c>
    </row>
    <row r="2967" customFormat="false" ht="13.8" hidden="true" customHeight="false" outlineLevel="0" collapsed="false">
      <c r="A2967" s="0" t="s">
        <v>123</v>
      </c>
      <c r="B2967" s="0" t="n">
        <v>14</v>
      </c>
      <c r="C2967" s="0" t="n">
        <v>2.4</v>
      </c>
      <c r="D2967" s="0" t="n">
        <v>0.045144057</v>
      </c>
    </row>
    <row r="2968" customFormat="false" ht="13.8" hidden="true" customHeight="false" outlineLevel="0" collapsed="false">
      <c r="A2968" s="0" t="s">
        <v>123</v>
      </c>
      <c r="B2968" s="0" t="n">
        <v>14</v>
      </c>
      <c r="C2968" s="0" t="n">
        <v>2.45</v>
      </c>
      <c r="D2968" s="0" t="n">
        <v>0.046084558</v>
      </c>
    </row>
    <row r="2969" customFormat="false" ht="13.8" hidden="true" customHeight="false" outlineLevel="0" collapsed="false">
      <c r="A2969" s="0" t="s">
        <v>123</v>
      </c>
      <c r="B2969" s="0" t="n">
        <v>14</v>
      </c>
      <c r="C2969" s="0" t="n">
        <v>2.5</v>
      </c>
      <c r="D2969" s="0" t="n">
        <v>0.047025059</v>
      </c>
    </row>
    <row r="2970" customFormat="false" ht="13.8" hidden="true" customHeight="false" outlineLevel="0" collapsed="false">
      <c r="A2970" s="0" t="s">
        <v>123</v>
      </c>
      <c r="B2970" s="0" t="n">
        <v>14</v>
      </c>
      <c r="C2970" s="0" t="n">
        <v>2.55</v>
      </c>
      <c r="D2970" s="0" t="n">
        <v>0.047965561</v>
      </c>
    </row>
    <row r="2971" customFormat="false" ht="13.8" hidden="true" customHeight="false" outlineLevel="0" collapsed="false">
      <c r="A2971" s="0" t="s">
        <v>123</v>
      </c>
      <c r="B2971" s="0" t="n">
        <v>14</v>
      </c>
      <c r="C2971" s="0" t="n">
        <v>2.6</v>
      </c>
      <c r="D2971" s="0" t="n">
        <v>0.048906062</v>
      </c>
    </row>
    <row r="2972" customFormat="false" ht="13.8" hidden="true" customHeight="false" outlineLevel="0" collapsed="false">
      <c r="A2972" s="0" t="s">
        <v>123</v>
      </c>
      <c r="B2972" s="0" t="n">
        <v>15</v>
      </c>
      <c r="C2972" s="0" t="n">
        <v>1.3</v>
      </c>
      <c r="D2972" s="0" t="n">
        <v>0</v>
      </c>
    </row>
    <row r="2973" customFormat="false" ht="13.8" hidden="true" customHeight="false" outlineLevel="0" collapsed="false">
      <c r="A2973" s="0" t="s">
        <v>123</v>
      </c>
      <c r="B2973" s="0" t="n">
        <v>15</v>
      </c>
      <c r="C2973" s="0" t="n">
        <v>1.35</v>
      </c>
      <c r="D2973" s="0" t="n">
        <v>0</v>
      </c>
    </row>
    <row r="2974" customFormat="false" ht="13.8" hidden="true" customHeight="false" outlineLevel="0" collapsed="false">
      <c r="A2974" s="0" t="s">
        <v>123</v>
      </c>
      <c r="B2974" s="0" t="n">
        <v>15</v>
      </c>
      <c r="C2974" s="0" t="n">
        <v>1.4</v>
      </c>
      <c r="D2974" s="0" t="n">
        <v>0</v>
      </c>
    </row>
    <row r="2975" customFormat="false" ht="13.8" hidden="true" customHeight="false" outlineLevel="0" collapsed="false">
      <c r="A2975" s="0" t="s">
        <v>123</v>
      </c>
      <c r="B2975" s="0" t="n">
        <v>15</v>
      </c>
      <c r="C2975" s="0" t="n">
        <v>1.45</v>
      </c>
      <c r="D2975" s="0" t="n">
        <v>0</v>
      </c>
    </row>
    <row r="2976" customFormat="false" ht="13.8" hidden="true" customHeight="false" outlineLevel="0" collapsed="false">
      <c r="A2976" s="0" t="s">
        <v>123</v>
      </c>
      <c r="B2976" s="0" t="n">
        <v>15</v>
      </c>
      <c r="C2976" s="0" t="n">
        <v>1.5</v>
      </c>
      <c r="D2976" s="0" t="n">
        <v>0</v>
      </c>
    </row>
    <row r="2977" customFormat="false" ht="13.8" hidden="true" customHeight="false" outlineLevel="0" collapsed="false">
      <c r="A2977" s="0" t="s">
        <v>123</v>
      </c>
      <c r="B2977" s="0" t="n">
        <v>15</v>
      </c>
      <c r="C2977" s="0" t="n">
        <v>1.55</v>
      </c>
      <c r="D2977" s="0" t="n">
        <v>0</v>
      </c>
    </row>
    <row r="2978" customFormat="false" ht="13.8" hidden="true" customHeight="false" outlineLevel="0" collapsed="false">
      <c r="A2978" s="0" t="s">
        <v>123</v>
      </c>
      <c r="B2978" s="0" t="n">
        <v>15</v>
      </c>
      <c r="C2978" s="0" t="n">
        <v>1.6</v>
      </c>
      <c r="D2978" s="0" t="n">
        <v>0.028</v>
      </c>
    </row>
    <row r="2979" customFormat="false" ht="13.8" hidden="true" customHeight="false" outlineLevel="0" collapsed="false">
      <c r="A2979" s="0" t="s">
        <v>123</v>
      </c>
      <c r="B2979" s="0" t="n">
        <v>15</v>
      </c>
      <c r="C2979" s="0" t="n">
        <v>1.65</v>
      </c>
      <c r="D2979" s="0" t="n">
        <v>0.029</v>
      </c>
    </row>
    <row r="2980" customFormat="false" ht="13.8" hidden="true" customHeight="false" outlineLevel="0" collapsed="false">
      <c r="A2980" s="0" t="s">
        <v>123</v>
      </c>
      <c r="B2980" s="0" t="n">
        <v>15</v>
      </c>
      <c r="C2980" s="0" t="n">
        <v>1.7</v>
      </c>
      <c r="D2980" s="0" t="n">
        <v>0.03</v>
      </c>
    </row>
    <row r="2981" customFormat="false" ht="13.8" hidden="true" customHeight="false" outlineLevel="0" collapsed="false">
      <c r="A2981" s="0" t="s">
        <v>123</v>
      </c>
      <c r="B2981" s="0" t="n">
        <v>15</v>
      </c>
      <c r="C2981" s="0" t="n">
        <v>1.75</v>
      </c>
      <c r="D2981" s="0" t="n">
        <v>0.031</v>
      </c>
    </row>
    <row r="2982" customFormat="false" ht="13.8" hidden="true" customHeight="false" outlineLevel="0" collapsed="false">
      <c r="A2982" s="0" t="s">
        <v>123</v>
      </c>
      <c r="B2982" s="0" t="n">
        <v>15</v>
      </c>
      <c r="C2982" s="0" t="n">
        <v>1.8</v>
      </c>
      <c r="D2982" s="0" t="n">
        <v>0.034</v>
      </c>
    </row>
    <row r="2983" customFormat="false" ht="13.8" hidden="true" customHeight="false" outlineLevel="0" collapsed="false">
      <c r="A2983" s="0" t="s">
        <v>123</v>
      </c>
      <c r="B2983" s="0" t="n">
        <v>15</v>
      </c>
      <c r="C2983" s="0" t="n">
        <v>1.85</v>
      </c>
      <c r="D2983" s="0" t="n">
        <v>0.035</v>
      </c>
    </row>
    <row r="2984" customFormat="false" ht="13.8" hidden="true" customHeight="false" outlineLevel="0" collapsed="false">
      <c r="A2984" s="0" t="s">
        <v>123</v>
      </c>
      <c r="B2984" s="0" t="n">
        <v>15</v>
      </c>
      <c r="C2984" s="0" t="n">
        <v>1.9</v>
      </c>
      <c r="D2984" s="0" t="n">
        <v>0.036</v>
      </c>
    </row>
    <row r="2985" customFormat="false" ht="13.8" hidden="true" customHeight="false" outlineLevel="0" collapsed="false">
      <c r="A2985" s="0" t="s">
        <v>123</v>
      </c>
      <c r="B2985" s="0" t="n">
        <v>15</v>
      </c>
      <c r="C2985" s="0" t="n">
        <v>1.95</v>
      </c>
      <c r="D2985" s="0" t="n">
        <v>0.036</v>
      </c>
    </row>
    <row r="2986" customFormat="false" ht="13.8" hidden="true" customHeight="false" outlineLevel="0" collapsed="false">
      <c r="A2986" s="0" t="s">
        <v>123</v>
      </c>
      <c r="B2986" s="0" t="n">
        <v>15</v>
      </c>
      <c r="C2986" s="0" t="n">
        <v>2</v>
      </c>
      <c r="D2986" s="0" t="n">
        <v>0.039566549</v>
      </c>
    </row>
    <row r="2987" customFormat="false" ht="13.8" hidden="true" customHeight="false" outlineLevel="0" collapsed="false">
      <c r="A2987" s="0" t="s">
        <v>123</v>
      </c>
      <c r="B2987" s="0" t="n">
        <v>15</v>
      </c>
      <c r="C2987" s="0" t="n">
        <v>2.05</v>
      </c>
      <c r="D2987" s="0" t="n">
        <v>0.040555713</v>
      </c>
    </row>
    <row r="2988" customFormat="false" ht="13.8" hidden="true" customHeight="false" outlineLevel="0" collapsed="false">
      <c r="A2988" s="0" t="s">
        <v>123</v>
      </c>
      <c r="B2988" s="0" t="n">
        <v>15</v>
      </c>
      <c r="C2988" s="0" t="n">
        <v>2.1</v>
      </c>
      <c r="D2988" s="0" t="n">
        <v>0.041544877</v>
      </c>
    </row>
    <row r="2989" customFormat="false" ht="13.8" hidden="true" customHeight="false" outlineLevel="0" collapsed="false">
      <c r="A2989" s="0" t="s">
        <v>123</v>
      </c>
      <c r="B2989" s="0" t="n">
        <v>15</v>
      </c>
      <c r="C2989" s="0" t="n">
        <v>2.15</v>
      </c>
      <c r="D2989" s="0" t="n">
        <v>0.04253404</v>
      </c>
    </row>
    <row r="2990" customFormat="false" ht="13.8" hidden="true" customHeight="false" outlineLevel="0" collapsed="false">
      <c r="A2990" s="0" t="s">
        <v>123</v>
      </c>
      <c r="B2990" s="0" t="n">
        <v>15</v>
      </c>
      <c r="C2990" s="0" t="n">
        <v>2.2</v>
      </c>
      <c r="D2990" s="0" t="n">
        <v>0.041382052</v>
      </c>
    </row>
    <row r="2991" customFormat="false" ht="13.8" hidden="true" customHeight="false" outlineLevel="0" collapsed="false">
      <c r="A2991" s="0" t="s">
        <v>123</v>
      </c>
      <c r="B2991" s="0" t="n">
        <v>15</v>
      </c>
      <c r="C2991" s="0" t="n">
        <v>2.25</v>
      </c>
      <c r="D2991" s="0" t="n">
        <v>0.042322553</v>
      </c>
    </row>
    <row r="2992" customFormat="false" ht="13.8" hidden="true" customHeight="false" outlineLevel="0" collapsed="false">
      <c r="A2992" s="0" t="s">
        <v>123</v>
      </c>
      <c r="B2992" s="0" t="n">
        <v>15</v>
      </c>
      <c r="C2992" s="0" t="n">
        <v>2.3</v>
      </c>
      <c r="D2992" s="0" t="n">
        <v>0.043263055</v>
      </c>
    </row>
    <row r="2993" customFormat="false" ht="13.8" hidden="true" customHeight="false" outlineLevel="0" collapsed="false">
      <c r="A2993" s="0" t="s">
        <v>123</v>
      </c>
      <c r="B2993" s="0" t="n">
        <v>15</v>
      </c>
      <c r="C2993" s="0" t="n">
        <v>2.35</v>
      </c>
      <c r="D2993" s="0" t="n">
        <v>0.044203556</v>
      </c>
    </row>
    <row r="2994" customFormat="false" ht="13.8" hidden="true" customHeight="false" outlineLevel="0" collapsed="false">
      <c r="A2994" s="0" t="s">
        <v>123</v>
      </c>
      <c r="B2994" s="0" t="n">
        <v>15</v>
      </c>
      <c r="C2994" s="0" t="n">
        <v>2.4</v>
      </c>
      <c r="D2994" s="0" t="n">
        <v>0.045144057</v>
      </c>
    </row>
    <row r="2995" customFormat="false" ht="13.8" hidden="true" customHeight="false" outlineLevel="0" collapsed="false">
      <c r="A2995" s="0" t="s">
        <v>123</v>
      </c>
      <c r="B2995" s="0" t="n">
        <v>15</v>
      </c>
      <c r="C2995" s="0" t="n">
        <v>2.45</v>
      </c>
      <c r="D2995" s="0" t="n">
        <v>0.046084558</v>
      </c>
    </row>
    <row r="2996" customFormat="false" ht="13.8" hidden="true" customHeight="false" outlineLevel="0" collapsed="false">
      <c r="A2996" s="0" t="s">
        <v>123</v>
      </c>
      <c r="B2996" s="0" t="n">
        <v>15</v>
      </c>
      <c r="C2996" s="0" t="n">
        <v>2.5</v>
      </c>
      <c r="D2996" s="0" t="n">
        <v>0.047025059</v>
      </c>
    </row>
    <row r="2997" customFormat="false" ht="13.8" hidden="true" customHeight="false" outlineLevel="0" collapsed="false">
      <c r="A2997" s="0" t="s">
        <v>123</v>
      </c>
      <c r="B2997" s="0" t="n">
        <v>15</v>
      </c>
      <c r="C2997" s="0" t="n">
        <v>2.55</v>
      </c>
      <c r="D2997" s="0" t="n">
        <v>0.047965561</v>
      </c>
    </row>
    <row r="2998" customFormat="false" ht="13.8" hidden="true" customHeight="false" outlineLevel="0" collapsed="false">
      <c r="A2998" s="0" t="s">
        <v>123</v>
      </c>
      <c r="B2998" s="0" t="n">
        <v>15</v>
      </c>
      <c r="C2998" s="0" t="n">
        <v>2.6</v>
      </c>
      <c r="D2998" s="0" t="n">
        <v>0.048906062</v>
      </c>
    </row>
    <row r="2999" customFormat="false" ht="13.8" hidden="true" customHeight="false" outlineLevel="0" collapsed="false">
      <c r="A2999" s="0" t="s">
        <v>227</v>
      </c>
      <c r="B2999" s="0" t="n">
        <v>9</v>
      </c>
      <c r="C2999" s="0" t="n">
        <v>1.3</v>
      </c>
      <c r="D2999" s="0" t="n">
        <v>0</v>
      </c>
    </row>
    <row r="3000" customFormat="false" ht="13.8" hidden="true" customHeight="false" outlineLevel="0" collapsed="false">
      <c r="A3000" s="0" t="s">
        <v>227</v>
      </c>
      <c r="B3000" s="0" t="n">
        <v>9</v>
      </c>
      <c r="C3000" s="0" t="n">
        <v>1.35</v>
      </c>
      <c r="D3000" s="0" t="n">
        <v>0</v>
      </c>
    </row>
    <row r="3001" customFormat="false" ht="13.8" hidden="true" customHeight="false" outlineLevel="0" collapsed="false">
      <c r="A3001" s="0" t="s">
        <v>227</v>
      </c>
      <c r="B3001" s="0" t="n">
        <v>9</v>
      </c>
      <c r="C3001" s="0" t="n">
        <v>1.4</v>
      </c>
      <c r="D3001" s="0" t="n">
        <v>0</v>
      </c>
    </row>
    <row r="3002" customFormat="false" ht="13.8" hidden="true" customHeight="false" outlineLevel="0" collapsed="false">
      <c r="A3002" s="0" t="s">
        <v>227</v>
      </c>
      <c r="B3002" s="0" t="n">
        <v>9</v>
      </c>
      <c r="C3002" s="0" t="n">
        <v>1.45</v>
      </c>
      <c r="D3002" s="0" t="n">
        <v>0</v>
      </c>
    </row>
    <row r="3003" customFormat="false" ht="13.8" hidden="true" customHeight="false" outlineLevel="0" collapsed="false">
      <c r="A3003" s="0" t="s">
        <v>227</v>
      </c>
      <c r="B3003" s="0" t="n">
        <v>9</v>
      </c>
      <c r="C3003" s="0" t="n">
        <v>1.5</v>
      </c>
      <c r="D3003" s="0" t="n">
        <v>0</v>
      </c>
    </row>
    <row r="3004" customFormat="false" ht="13.8" hidden="true" customHeight="false" outlineLevel="0" collapsed="false">
      <c r="A3004" s="0" t="s">
        <v>227</v>
      </c>
      <c r="B3004" s="0" t="n">
        <v>9</v>
      </c>
      <c r="C3004" s="0" t="n">
        <v>1.55</v>
      </c>
      <c r="D3004" s="0" t="n">
        <v>0</v>
      </c>
    </row>
    <row r="3005" customFormat="false" ht="13.8" hidden="true" customHeight="false" outlineLevel="0" collapsed="false">
      <c r="A3005" s="0" t="s">
        <v>227</v>
      </c>
      <c r="B3005" s="0" t="n">
        <v>9</v>
      </c>
      <c r="C3005" s="0" t="n">
        <v>1.6</v>
      </c>
      <c r="D3005" s="0" t="n">
        <v>0.028</v>
      </c>
    </row>
    <row r="3006" customFormat="false" ht="13.8" hidden="true" customHeight="false" outlineLevel="0" collapsed="false">
      <c r="A3006" s="0" t="s">
        <v>227</v>
      </c>
      <c r="B3006" s="0" t="n">
        <v>9</v>
      </c>
      <c r="C3006" s="0" t="n">
        <v>1.65</v>
      </c>
      <c r="D3006" s="0" t="n">
        <v>0.029</v>
      </c>
    </row>
    <row r="3007" customFormat="false" ht="13.8" hidden="true" customHeight="false" outlineLevel="0" collapsed="false">
      <c r="A3007" s="0" t="s">
        <v>227</v>
      </c>
      <c r="B3007" s="0" t="n">
        <v>9</v>
      </c>
      <c r="C3007" s="0" t="n">
        <v>1.7</v>
      </c>
      <c r="D3007" s="0" t="n">
        <v>0.03</v>
      </c>
    </row>
    <row r="3008" customFormat="false" ht="13.8" hidden="true" customHeight="false" outlineLevel="0" collapsed="false">
      <c r="A3008" s="0" t="s">
        <v>227</v>
      </c>
      <c r="B3008" s="0" t="n">
        <v>9</v>
      </c>
      <c r="C3008" s="0" t="n">
        <v>1.75</v>
      </c>
      <c r="D3008" s="0" t="n">
        <v>0.031</v>
      </c>
    </row>
    <row r="3009" customFormat="false" ht="13.8" hidden="true" customHeight="false" outlineLevel="0" collapsed="false">
      <c r="A3009" s="0" t="s">
        <v>227</v>
      </c>
      <c r="B3009" s="0" t="n">
        <v>9</v>
      </c>
      <c r="C3009" s="0" t="n">
        <v>1.8</v>
      </c>
      <c r="D3009" s="0" t="n">
        <v>0.034</v>
      </c>
    </row>
    <row r="3010" customFormat="false" ht="13.8" hidden="true" customHeight="false" outlineLevel="0" collapsed="false">
      <c r="A3010" s="0" t="s">
        <v>227</v>
      </c>
      <c r="B3010" s="0" t="n">
        <v>9</v>
      </c>
      <c r="C3010" s="0" t="n">
        <v>1.85</v>
      </c>
      <c r="D3010" s="0" t="n">
        <v>0.035</v>
      </c>
    </row>
    <row r="3011" customFormat="false" ht="13.8" hidden="true" customHeight="false" outlineLevel="0" collapsed="false">
      <c r="A3011" s="0" t="s">
        <v>227</v>
      </c>
      <c r="B3011" s="0" t="n">
        <v>9</v>
      </c>
      <c r="C3011" s="0" t="n">
        <v>1.9</v>
      </c>
      <c r="D3011" s="0" t="n">
        <v>0.036</v>
      </c>
    </row>
    <row r="3012" customFormat="false" ht="13.8" hidden="true" customHeight="false" outlineLevel="0" collapsed="false">
      <c r="A3012" s="0" t="s">
        <v>227</v>
      </c>
      <c r="B3012" s="0" t="n">
        <v>9</v>
      </c>
      <c r="C3012" s="0" t="n">
        <v>1.95</v>
      </c>
      <c r="D3012" s="0" t="n">
        <v>0.036</v>
      </c>
    </row>
    <row r="3013" customFormat="false" ht="13.8" hidden="true" customHeight="false" outlineLevel="0" collapsed="false">
      <c r="A3013" s="0" t="s">
        <v>227</v>
      </c>
      <c r="B3013" s="0" t="n">
        <v>9</v>
      </c>
      <c r="C3013" s="0" t="n">
        <v>2</v>
      </c>
      <c r="D3013" s="0" t="n">
        <v>0.039566549</v>
      </c>
    </row>
    <row r="3014" customFormat="false" ht="13.8" hidden="true" customHeight="false" outlineLevel="0" collapsed="false">
      <c r="A3014" s="0" t="s">
        <v>227</v>
      </c>
      <c r="B3014" s="0" t="n">
        <v>9</v>
      </c>
      <c r="C3014" s="0" t="n">
        <v>2.05</v>
      </c>
      <c r="D3014" s="0" t="n">
        <v>0.040555713</v>
      </c>
    </row>
    <row r="3015" customFormat="false" ht="13.8" hidden="true" customHeight="false" outlineLevel="0" collapsed="false">
      <c r="A3015" s="0" t="s">
        <v>227</v>
      </c>
      <c r="B3015" s="0" t="n">
        <v>9</v>
      </c>
      <c r="C3015" s="0" t="n">
        <v>2.1</v>
      </c>
      <c r="D3015" s="0" t="n">
        <v>0.041544877</v>
      </c>
    </row>
    <row r="3016" customFormat="false" ht="13.8" hidden="true" customHeight="false" outlineLevel="0" collapsed="false">
      <c r="A3016" s="0" t="s">
        <v>227</v>
      </c>
      <c r="B3016" s="0" t="n">
        <v>9</v>
      </c>
      <c r="C3016" s="0" t="n">
        <v>2.15</v>
      </c>
      <c r="D3016" s="0" t="n">
        <v>0.04253404</v>
      </c>
    </row>
    <row r="3017" customFormat="false" ht="13.8" hidden="true" customHeight="false" outlineLevel="0" collapsed="false">
      <c r="A3017" s="0" t="s">
        <v>227</v>
      </c>
      <c r="B3017" s="0" t="n">
        <v>9</v>
      </c>
      <c r="C3017" s="0" t="n">
        <v>2.2</v>
      </c>
      <c r="D3017" s="0" t="n">
        <v>0.041382052</v>
      </c>
    </row>
    <row r="3018" customFormat="false" ht="13.8" hidden="true" customHeight="false" outlineLevel="0" collapsed="false">
      <c r="A3018" s="0" t="s">
        <v>227</v>
      </c>
      <c r="B3018" s="0" t="n">
        <v>9</v>
      </c>
      <c r="C3018" s="0" t="n">
        <v>2.25</v>
      </c>
      <c r="D3018" s="0" t="n">
        <v>0.042322553</v>
      </c>
    </row>
    <row r="3019" customFormat="false" ht="13.8" hidden="true" customHeight="false" outlineLevel="0" collapsed="false">
      <c r="A3019" s="0" t="s">
        <v>227</v>
      </c>
      <c r="B3019" s="0" t="n">
        <v>9</v>
      </c>
      <c r="C3019" s="0" t="n">
        <v>2.3</v>
      </c>
      <c r="D3019" s="0" t="n">
        <v>0.043263055</v>
      </c>
    </row>
    <row r="3020" customFormat="false" ht="13.8" hidden="true" customHeight="false" outlineLevel="0" collapsed="false">
      <c r="A3020" s="0" t="s">
        <v>227</v>
      </c>
      <c r="B3020" s="0" t="n">
        <v>9</v>
      </c>
      <c r="C3020" s="0" t="n">
        <v>2.35</v>
      </c>
      <c r="D3020" s="0" t="n">
        <v>0.044203556</v>
      </c>
    </row>
    <row r="3021" customFormat="false" ht="13.8" hidden="true" customHeight="false" outlineLevel="0" collapsed="false">
      <c r="A3021" s="0" t="s">
        <v>227</v>
      </c>
      <c r="B3021" s="0" t="n">
        <v>9</v>
      </c>
      <c r="C3021" s="0" t="n">
        <v>2.4</v>
      </c>
      <c r="D3021" s="0" t="n">
        <v>0.045144057</v>
      </c>
    </row>
    <row r="3022" customFormat="false" ht="13.8" hidden="true" customHeight="false" outlineLevel="0" collapsed="false">
      <c r="A3022" s="0" t="s">
        <v>227</v>
      </c>
      <c r="B3022" s="0" t="n">
        <v>9</v>
      </c>
      <c r="C3022" s="0" t="n">
        <v>2.45</v>
      </c>
      <c r="D3022" s="0" t="n">
        <v>0.046084558</v>
      </c>
    </row>
    <row r="3023" customFormat="false" ht="13.8" hidden="true" customHeight="false" outlineLevel="0" collapsed="false">
      <c r="A3023" s="0" t="s">
        <v>227</v>
      </c>
      <c r="B3023" s="0" t="n">
        <v>9</v>
      </c>
      <c r="C3023" s="0" t="n">
        <v>2.5</v>
      </c>
      <c r="D3023" s="0" t="n">
        <v>0.047025059</v>
      </c>
    </row>
    <row r="3024" customFormat="false" ht="13.8" hidden="true" customHeight="false" outlineLevel="0" collapsed="false">
      <c r="A3024" s="0" t="s">
        <v>227</v>
      </c>
      <c r="B3024" s="0" t="n">
        <v>9</v>
      </c>
      <c r="C3024" s="0" t="n">
        <v>2.55</v>
      </c>
      <c r="D3024" s="0" t="n">
        <v>0.047965561</v>
      </c>
    </row>
    <row r="3025" customFormat="false" ht="13.8" hidden="true" customHeight="false" outlineLevel="0" collapsed="false">
      <c r="A3025" s="0" t="s">
        <v>227</v>
      </c>
      <c r="B3025" s="0" t="n">
        <v>9</v>
      </c>
      <c r="C3025" s="0" t="n">
        <v>2.6</v>
      </c>
      <c r="D3025" s="0" t="n">
        <v>0.048906062</v>
      </c>
    </row>
    <row r="3026" customFormat="false" ht="13.8" hidden="true" customHeight="false" outlineLevel="0" collapsed="false">
      <c r="A3026" s="0" t="s">
        <v>227</v>
      </c>
      <c r="B3026" s="0" t="n">
        <v>10</v>
      </c>
      <c r="C3026" s="0" t="n">
        <v>1.3</v>
      </c>
      <c r="D3026" s="0" t="n">
        <v>0</v>
      </c>
    </row>
    <row r="3027" customFormat="false" ht="13.8" hidden="true" customHeight="false" outlineLevel="0" collapsed="false">
      <c r="A3027" s="0" t="s">
        <v>227</v>
      </c>
      <c r="B3027" s="0" t="n">
        <v>10</v>
      </c>
      <c r="C3027" s="0" t="n">
        <v>1.35</v>
      </c>
      <c r="D3027" s="0" t="n">
        <v>0</v>
      </c>
    </row>
    <row r="3028" customFormat="false" ht="13.8" hidden="true" customHeight="false" outlineLevel="0" collapsed="false">
      <c r="A3028" s="0" t="s">
        <v>227</v>
      </c>
      <c r="B3028" s="0" t="n">
        <v>10</v>
      </c>
      <c r="C3028" s="0" t="n">
        <v>1.4</v>
      </c>
      <c r="D3028" s="0" t="n">
        <v>0</v>
      </c>
    </row>
    <row r="3029" customFormat="false" ht="13.8" hidden="true" customHeight="false" outlineLevel="0" collapsed="false">
      <c r="A3029" s="0" t="s">
        <v>227</v>
      </c>
      <c r="B3029" s="0" t="n">
        <v>10</v>
      </c>
      <c r="C3029" s="0" t="n">
        <v>1.45</v>
      </c>
      <c r="D3029" s="0" t="n">
        <v>0</v>
      </c>
    </row>
    <row r="3030" customFormat="false" ht="13.8" hidden="true" customHeight="false" outlineLevel="0" collapsed="false">
      <c r="A3030" s="0" t="s">
        <v>227</v>
      </c>
      <c r="B3030" s="0" t="n">
        <v>10</v>
      </c>
      <c r="C3030" s="0" t="n">
        <v>1.5</v>
      </c>
      <c r="D3030" s="0" t="n">
        <v>0</v>
      </c>
    </row>
    <row r="3031" customFormat="false" ht="13.8" hidden="true" customHeight="false" outlineLevel="0" collapsed="false">
      <c r="A3031" s="0" t="s">
        <v>227</v>
      </c>
      <c r="B3031" s="0" t="n">
        <v>10</v>
      </c>
      <c r="C3031" s="0" t="n">
        <v>1.55</v>
      </c>
      <c r="D3031" s="0" t="n">
        <v>0</v>
      </c>
    </row>
    <row r="3032" customFormat="false" ht="13.8" hidden="true" customHeight="false" outlineLevel="0" collapsed="false">
      <c r="A3032" s="0" t="s">
        <v>227</v>
      </c>
      <c r="B3032" s="0" t="n">
        <v>10</v>
      </c>
      <c r="C3032" s="0" t="n">
        <v>1.6</v>
      </c>
      <c r="D3032" s="0" t="n">
        <v>0.028</v>
      </c>
    </row>
    <row r="3033" customFormat="false" ht="13.8" hidden="true" customHeight="false" outlineLevel="0" collapsed="false">
      <c r="A3033" s="0" t="s">
        <v>227</v>
      </c>
      <c r="B3033" s="0" t="n">
        <v>10</v>
      </c>
      <c r="C3033" s="0" t="n">
        <v>1.65</v>
      </c>
      <c r="D3033" s="0" t="n">
        <v>0.029</v>
      </c>
    </row>
    <row r="3034" customFormat="false" ht="13.8" hidden="true" customHeight="false" outlineLevel="0" collapsed="false">
      <c r="A3034" s="0" t="s">
        <v>227</v>
      </c>
      <c r="B3034" s="0" t="n">
        <v>10</v>
      </c>
      <c r="C3034" s="0" t="n">
        <v>1.7</v>
      </c>
      <c r="D3034" s="0" t="n">
        <v>0.03</v>
      </c>
    </row>
    <row r="3035" customFormat="false" ht="13.8" hidden="true" customHeight="false" outlineLevel="0" collapsed="false">
      <c r="A3035" s="0" t="s">
        <v>227</v>
      </c>
      <c r="B3035" s="0" t="n">
        <v>10</v>
      </c>
      <c r="C3035" s="0" t="n">
        <v>1.75</v>
      </c>
      <c r="D3035" s="0" t="n">
        <v>0.031</v>
      </c>
    </row>
    <row r="3036" customFormat="false" ht="13.8" hidden="true" customHeight="false" outlineLevel="0" collapsed="false">
      <c r="A3036" s="0" t="s">
        <v>227</v>
      </c>
      <c r="B3036" s="0" t="n">
        <v>10</v>
      </c>
      <c r="C3036" s="0" t="n">
        <v>1.8</v>
      </c>
      <c r="D3036" s="0" t="n">
        <v>0.034</v>
      </c>
    </row>
    <row r="3037" customFormat="false" ht="13.8" hidden="true" customHeight="false" outlineLevel="0" collapsed="false">
      <c r="A3037" s="0" t="s">
        <v>227</v>
      </c>
      <c r="B3037" s="0" t="n">
        <v>10</v>
      </c>
      <c r="C3037" s="0" t="n">
        <v>1.85</v>
      </c>
      <c r="D3037" s="0" t="n">
        <v>0.035</v>
      </c>
    </row>
    <row r="3038" customFormat="false" ht="13.8" hidden="true" customHeight="false" outlineLevel="0" collapsed="false">
      <c r="A3038" s="0" t="s">
        <v>227</v>
      </c>
      <c r="B3038" s="0" t="n">
        <v>10</v>
      </c>
      <c r="C3038" s="0" t="n">
        <v>1.9</v>
      </c>
      <c r="D3038" s="0" t="n">
        <v>0.036</v>
      </c>
    </row>
    <row r="3039" customFormat="false" ht="13.8" hidden="true" customHeight="false" outlineLevel="0" collapsed="false">
      <c r="A3039" s="0" t="s">
        <v>227</v>
      </c>
      <c r="B3039" s="0" t="n">
        <v>10</v>
      </c>
      <c r="C3039" s="0" t="n">
        <v>1.95</v>
      </c>
      <c r="D3039" s="0" t="n">
        <v>0.036</v>
      </c>
    </row>
    <row r="3040" customFormat="false" ht="13.8" hidden="true" customHeight="false" outlineLevel="0" collapsed="false">
      <c r="A3040" s="0" t="s">
        <v>227</v>
      </c>
      <c r="B3040" s="0" t="n">
        <v>10</v>
      </c>
      <c r="C3040" s="0" t="n">
        <v>2</v>
      </c>
      <c r="D3040" s="0" t="n">
        <v>0.04</v>
      </c>
    </row>
    <row r="3041" customFormat="false" ht="13.8" hidden="true" customHeight="false" outlineLevel="0" collapsed="false">
      <c r="A3041" s="0" t="s">
        <v>227</v>
      </c>
      <c r="B3041" s="0" t="n">
        <v>10</v>
      </c>
      <c r="C3041" s="0" t="n">
        <v>2.05</v>
      </c>
      <c r="D3041" s="0" t="n">
        <v>0.041</v>
      </c>
    </row>
    <row r="3042" customFormat="false" ht="13.8" hidden="true" customHeight="false" outlineLevel="0" collapsed="false">
      <c r="A3042" s="0" t="s">
        <v>227</v>
      </c>
      <c r="B3042" s="0" t="n">
        <v>10</v>
      </c>
      <c r="C3042" s="0" t="n">
        <v>2.1</v>
      </c>
      <c r="D3042" s="0" t="n">
        <v>0.042</v>
      </c>
    </row>
    <row r="3043" customFormat="false" ht="13.8" hidden="true" customHeight="false" outlineLevel="0" collapsed="false">
      <c r="A3043" s="0" t="s">
        <v>227</v>
      </c>
      <c r="B3043" s="0" t="n">
        <v>10</v>
      </c>
      <c r="C3043" s="0" t="n">
        <v>2.15</v>
      </c>
      <c r="D3043" s="0" t="n">
        <v>0.04253404</v>
      </c>
    </row>
    <row r="3044" customFormat="false" ht="13.8" hidden="true" customHeight="false" outlineLevel="0" collapsed="false">
      <c r="A3044" s="0" t="s">
        <v>227</v>
      </c>
      <c r="B3044" s="0" t="n">
        <v>10</v>
      </c>
      <c r="C3044" s="0" t="n">
        <v>2.2</v>
      </c>
      <c r="D3044" s="0" t="n">
        <v>0.041382052</v>
      </c>
    </row>
    <row r="3045" customFormat="false" ht="13.8" hidden="true" customHeight="false" outlineLevel="0" collapsed="false">
      <c r="A3045" s="0" t="s">
        <v>227</v>
      </c>
      <c r="B3045" s="0" t="n">
        <v>10</v>
      </c>
      <c r="C3045" s="0" t="n">
        <v>2.25</v>
      </c>
      <c r="D3045" s="0" t="n">
        <v>0.042322553</v>
      </c>
    </row>
    <row r="3046" customFormat="false" ht="13.8" hidden="true" customHeight="false" outlineLevel="0" collapsed="false">
      <c r="A3046" s="0" t="s">
        <v>227</v>
      </c>
      <c r="B3046" s="0" t="n">
        <v>10</v>
      </c>
      <c r="C3046" s="0" t="n">
        <v>2.3</v>
      </c>
      <c r="D3046" s="0" t="n">
        <v>0.043263055</v>
      </c>
    </row>
    <row r="3047" customFormat="false" ht="13.8" hidden="true" customHeight="false" outlineLevel="0" collapsed="false">
      <c r="A3047" s="0" t="s">
        <v>227</v>
      </c>
      <c r="B3047" s="0" t="n">
        <v>10</v>
      </c>
      <c r="C3047" s="0" t="n">
        <v>2.35</v>
      </c>
      <c r="D3047" s="0" t="n">
        <v>0.044203556</v>
      </c>
    </row>
    <row r="3048" customFormat="false" ht="13.8" hidden="true" customHeight="false" outlineLevel="0" collapsed="false">
      <c r="A3048" s="0" t="s">
        <v>227</v>
      </c>
      <c r="B3048" s="0" t="n">
        <v>10</v>
      </c>
      <c r="C3048" s="0" t="n">
        <v>2.4</v>
      </c>
      <c r="D3048" s="0" t="n">
        <v>0.045144057</v>
      </c>
    </row>
    <row r="3049" customFormat="false" ht="13.8" hidden="true" customHeight="false" outlineLevel="0" collapsed="false">
      <c r="A3049" s="0" t="s">
        <v>227</v>
      </c>
      <c r="B3049" s="0" t="n">
        <v>10</v>
      </c>
      <c r="C3049" s="0" t="n">
        <v>2.45</v>
      </c>
      <c r="D3049" s="0" t="n">
        <v>0.046084558</v>
      </c>
    </row>
    <row r="3050" customFormat="false" ht="13.8" hidden="true" customHeight="false" outlineLevel="0" collapsed="false">
      <c r="A3050" s="0" t="s">
        <v>227</v>
      </c>
      <c r="B3050" s="0" t="n">
        <v>10</v>
      </c>
      <c r="C3050" s="0" t="n">
        <v>2.5</v>
      </c>
      <c r="D3050" s="0" t="n">
        <v>0.047025059</v>
      </c>
    </row>
    <row r="3051" customFormat="false" ht="13.8" hidden="true" customHeight="false" outlineLevel="0" collapsed="false">
      <c r="A3051" s="0" t="s">
        <v>227</v>
      </c>
      <c r="B3051" s="0" t="n">
        <v>10</v>
      </c>
      <c r="C3051" s="0" t="n">
        <v>2.55</v>
      </c>
      <c r="D3051" s="0" t="n">
        <v>0.047965561</v>
      </c>
    </row>
    <row r="3052" customFormat="false" ht="13.8" hidden="true" customHeight="false" outlineLevel="0" collapsed="false">
      <c r="A3052" s="0" t="s">
        <v>227</v>
      </c>
      <c r="B3052" s="0" t="n">
        <v>10</v>
      </c>
      <c r="C3052" s="0" t="n">
        <v>2.6</v>
      </c>
      <c r="D3052" s="0" t="n">
        <v>0.048906062</v>
      </c>
    </row>
    <row r="3053" customFormat="false" ht="13.8" hidden="true" customHeight="false" outlineLevel="0" collapsed="false">
      <c r="A3053" s="0" t="s">
        <v>227</v>
      </c>
      <c r="B3053" s="0" t="n">
        <v>11</v>
      </c>
      <c r="C3053" s="0" t="n">
        <v>1.3</v>
      </c>
      <c r="D3053" s="0" t="n">
        <v>0</v>
      </c>
    </row>
    <row r="3054" customFormat="false" ht="13.8" hidden="true" customHeight="false" outlineLevel="0" collapsed="false">
      <c r="A3054" s="0" t="s">
        <v>227</v>
      </c>
      <c r="B3054" s="0" t="n">
        <v>11</v>
      </c>
      <c r="C3054" s="0" t="n">
        <v>1.35</v>
      </c>
      <c r="D3054" s="0" t="n">
        <v>0</v>
      </c>
    </row>
    <row r="3055" customFormat="false" ht="13.8" hidden="true" customHeight="false" outlineLevel="0" collapsed="false">
      <c r="A3055" s="0" t="s">
        <v>227</v>
      </c>
      <c r="B3055" s="0" t="n">
        <v>11</v>
      </c>
      <c r="C3055" s="0" t="n">
        <v>1.4</v>
      </c>
      <c r="D3055" s="0" t="n">
        <v>0</v>
      </c>
    </row>
    <row r="3056" customFormat="false" ht="13.8" hidden="true" customHeight="false" outlineLevel="0" collapsed="false">
      <c r="A3056" s="0" t="s">
        <v>227</v>
      </c>
      <c r="B3056" s="0" t="n">
        <v>11</v>
      </c>
      <c r="C3056" s="0" t="n">
        <v>1.45</v>
      </c>
      <c r="D3056" s="0" t="n">
        <v>0</v>
      </c>
    </row>
    <row r="3057" customFormat="false" ht="13.8" hidden="true" customHeight="false" outlineLevel="0" collapsed="false">
      <c r="A3057" s="0" t="s">
        <v>227</v>
      </c>
      <c r="B3057" s="0" t="n">
        <v>11</v>
      </c>
      <c r="C3057" s="0" t="n">
        <v>1.5</v>
      </c>
      <c r="D3057" s="0" t="n">
        <v>0</v>
      </c>
    </row>
    <row r="3058" customFormat="false" ht="13.8" hidden="true" customHeight="false" outlineLevel="0" collapsed="false">
      <c r="A3058" s="0" t="s">
        <v>227</v>
      </c>
      <c r="B3058" s="0" t="n">
        <v>11</v>
      </c>
      <c r="C3058" s="0" t="n">
        <v>1.55</v>
      </c>
      <c r="D3058" s="0" t="n">
        <v>0</v>
      </c>
    </row>
    <row r="3059" customFormat="false" ht="13.8" hidden="true" customHeight="false" outlineLevel="0" collapsed="false">
      <c r="A3059" s="0" t="s">
        <v>227</v>
      </c>
      <c r="B3059" s="0" t="n">
        <v>11</v>
      </c>
      <c r="C3059" s="0" t="n">
        <v>1.6</v>
      </c>
      <c r="D3059" s="0" t="n">
        <v>0.028</v>
      </c>
    </row>
    <row r="3060" customFormat="false" ht="13.8" hidden="true" customHeight="false" outlineLevel="0" collapsed="false">
      <c r="A3060" s="0" t="s">
        <v>227</v>
      </c>
      <c r="B3060" s="0" t="n">
        <v>11</v>
      </c>
      <c r="C3060" s="0" t="n">
        <v>1.65</v>
      </c>
      <c r="D3060" s="0" t="n">
        <v>0.029</v>
      </c>
    </row>
    <row r="3061" customFormat="false" ht="13.8" hidden="true" customHeight="false" outlineLevel="0" collapsed="false">
      <c r="A3061" s="0" t="s">
        <v>227</v>
      </c>
      <c r="B3061" s="0" t="n">
        <v>11</v>
      </c>
      <c r="C3061" s="0" t="n">
        <v>1.7</v>
      </c>
      <c r="D3061" s="0" t="n">
        <v>0.03</v>
      </c>
    </row>
    <row r="3062" customFormat="false" ht="13.8" hidden="true" customHeight="false" outlineLevel="0" collapsed="false">
      <c r="A3062" s="0" t="s">
        <v>227</v>
      </c>
      <c r="B3062" s="0" t="n">
        <v>11</v>
      </c>
      <c r="C3062" s="0" t="n">
        <v>1.75</v>
      </c>
      <c r="D3062" s="0" t="n">
        <v>0.031</v>
      </c>
    </row>
    <row r="3063" customFormat="false" ht="13.8" hidden="true" customHeight="false" outlineLevel="0" collapsed="false">
      <c r="A3063" s="0" t="s">
        <v>227</v>
      </c>
      <c r="B3063" s="0" t="n">
        <v>11</v>
      </c>
      <c r="C3063" s="0" t="n">
        <v>1.8</v>
      </c>
      <c r="D3063" s="0" t="n">
        <v>0.034</v>
      </c>
    </row>
    <row r="3064" customFormat="false" ht="13.8" hidden="true" customHeight="false" outlineLevel="0" collapsed="false">
      <c r="A3064" s="0" t="s">
        <v>227</v>
      </c>
      <c r="B3064" s="0" t="n">
        <v>11</v>
      </c>
      <c r="C3064" s="0" t="n">
        <v>1.85</v>
      </c>
      <c r="D3064" s="0" t="n">
        <v>0.035</v>
      </c>
    </row>
    <row r="3065" customFormat="false" ht="13.8" hidden="true" customHeight="false" outlineLevel="0" collapsed="false">
      <c r="A3065" s="0" t="s">
        <v>227</v>
      </c>
      <c r="B3065" s="0" t="n">
        <v>11</v>
      </c>
      <c r="C3065" s="0" t="n">
        <v>1.9</v>
      </c>
      <c r="D3065" s="0" t="n">
        <v>0.036</v>
      </c>
    </row>
    <row r="3066" customFormat="false" ht="13.8" hidden="true" customHeight="false" outlineLevel="0" collapsed="false">
      <c r="A3066" s="0" t="s">
        <v>227</v>
      </c>
      <c r="B3066" s="0" t="n">
        <v>11</v>
      </c>
      <c r="C3066" s="0" t="n">
        <v>1.95</v>
      </c>
      <c r="D3066" s="0" t="n">
        <v>0.036</v>
      </c>
    </row>
    <row r="3067" customFormat="false" ht="13.8" hidden="true" customHeight="false" outlineLevel="0" collapsed="false">
      <c r="A3067" s="0" t="s">
        <v>227</v>
      </c>
      <c r="B3067" s="0" t="n">
        <v>11</v>
      </c>
      <c r="C3067" s="0" t="n">
        <v>2</v>
      </c>
      <c r="D3067" s="0" t="n">
        <v>0.039566549</v>
      </c>
    </row>
    <row r="3068" customFormat="false" ht="13.8" hidden="true" customHeight="false" outlineLevel="0" collapsed="false">
      <c r="A3068" s="0" t="s">
        <v>227</v>
      </c>
      <c r="B3068" s="0" t="n">
        <v>11</v>
      </c>
      <c r="C3068" s="0" t="n">
        <v>2.05</v>
      </c>
      <c r="D3068" s="0" t="n">
        <v>0.040555713</v>
      </c>
    </row>
    <row r="3069" customFormat="false" ht="13.8" hidden="true" customHeight="false" outlineLevel="0" collapsed="false">
      <c r="A3069" s="0" t="s">
        <v>227</v>
      </c>
      <c r="B3069" s="0" t="n">
        <v>11</v>
      </c>
      <c r="C3069" s="0" t="n">
        <v>2.1</v>
      </c>
      <c r="D3069" s="0" t="n">
        <v>0.041544877</v>
      </c>
    </row>
    <row r="3070" customFormat="false" ht="13.8" hidden="true" customHeight="false" outlineLevel="0" collapsed="false">
      <c r="A3070" s="0" t="s">
        <v>227</v>
      </c>
      <c r="B3070" s="0" t="n">
        <v>11</v>
      </c>
      <c r="C3070" s="0" t="n">
        <v>2.15</v>
      </c>
      <c r="D3070" s="0" t="n">
        <v>0.04253404</v>
      </c>
    </row>
    <row r="3071" customFormat="false" ht="13.8" hidden="true" customHeight="false" outlineLevel="0" collapsed="false">
      <c r="A3071" s="0" t="s">
        <v>227</v>
      </c>
      <c r="B3071" s="0" t="n">
        <v>11</v>
      </c>
      <c r="C3071" s="0" t="n">
        <v>2.2</v>
      </c>
      <c r="D3071" s="0" t="n">
        <v>0.041382052</v>
      </c>
    </row>
    <row r="3072" customFormat="false" ht="13.8" hidden="true" customHeight="false" outlineLevel="0" collapsed="false">
      <c r="A3072" s="0" t="s">
        <v>227</v>
      </c>
      <c r="B3072" s="0" t="n">
        <v>11</v>
      </c>
      <c r="C3072" s="0" t="n">
        <v>2.25</v>
      </c>
      <c r="D3072" s="0" t="n">
        <v>0.042322553</v>
      </c>
    </row>
    <row r="3073" customFormat="false" ht="13.8" hidden="true" customHeight="false" outlineLevel="0" collapsed="false">
      <c r="A3073" s="0" t="s">
        <v>227</v>
      </c>
      <c r="B3073" s="0" t="n">
        <v>11</v>
      </c>
      <c r="C3073" s="0" t="n">
        <v>2.3</v>
      </c>
      <c r="D3073" s="0" t="n">
        <v>0.043263055</v>
      </c>
    </row>
    <row r="3074" customFormat="false" ht="13.8" hidden="true" customHeight="false" outlineLevel="0" collapsed="false">
      <c r="A3074" s="0" t="s">
        <v>227</v>
      </c>
      <c r="B3074" s="0" t="n">
        <v>11</v>
      </c>
      <c r="C3074" s="0" t="n">
        <v>2.35</v>
      </c>
      <c r="D3074" s="0" t="n">
        <v>0.044203556</v>
      </c>
    </row>
    <row r="3075" customFormat="false" ht="13.8" hidden="true" customHeight="false" outlineLevel="0" collapsed="false">
      <c r="A3075" s="0" t="s">
        <v>227</v>
      </c>
      <c r="B3075" s="0" t="n">
        <v>11</v>
      </c>
      <c r="C3075" s="0" t="n">
        <v>2.4</v>
      </c>
      <c r="D3075" s="0" t="n">
        <v>0.045144057</v>
      </c>
    </row>
    <row r="3076" customFormat="false" ht="13.8" hidden="true" customHeight="false" outlineLevel="0" collapsed="false">
      <c r="A3076" s="0" t="s">
        <v>227</v>
      </c>
      <c r="B3076" s="0" t="n">
        <v>11</v>
      </c>
      <c r="C3076" s="0" t="n">
        <v>2.45</v>
      </c>
      <c r="D3076" s="0" t="n">
        <v>0.046084558</v>
      </c>
    </row>
    <row r="3077" customFormat="false" ht="13.8" hidden="true" customHeight="false" outlineLevel="0" collapsed="false">
      <c r="A3077" s="0" t="s">
        <v>227</v>
      </c>
      <c r="B3077" s="0" t="n">
        <v>11</v>
      </c>
      <c r="C3077" s="0" t="n">
        <v>2.5</v>
      </c>
      <c r="D3077" s="0" t="n">
        <v>0.047025059</v>
      </c>
    </row>
    <row r="3078" customFormat="false" ht="13.8" hidden="true" customHeight="false" outlineLevel="0" collapsed="false">
      <c r="A3078" s="0" t="s">
        <v>227</v>
      </c>
      <c r="B3078" s="0" t="n">
        <v>11</v>
      </c>
      <c r="C3078" s="0" t="n">
        <v>2.55</v>
      </c>
      <c r="D3078" s="0" t="n">
        <v>0.047965561</v>
      </c>
    </row>
    <row r="3079" customFormat="false" ht="13.8" hidden="true" customHeight="false" outlineLevel="0" collapsed="false">
      <c r="A3079" s="0" t="s">
        <v>227</v>
      </c>
      <c r="B3079" s="0" t="n">
        <v>11</v>
      </c>
      <c r="C3079" s="0" t="n">
        <v>2.6</v>
      </c>
      <c r="D3079" s="0" t="n">
        <v>0.048906062</v>
      </c>
    </row>
    <row r="3080" customFormat="false" ht="13.8" hidden="true" customHeight="false" outlineLevel="0" collapsed="false">
      <c r="A3080" s="0" t="s">
        <v>227</v>
      </c>
      <c r="B3080" s="0" t="n">
        <v>12</v>
      </c>
      <c r="C3080" s="0" t="n">
        <v>1.3</v>
      </c>
      <c r="D3080" s="0" t="n">
        <v>0</v>
      </c>
    </row>
    <row r="3081" customFormat="false" ht="13.8" hidden="true" customHeight="false" outlineLevel="0" collapsed="false">
      <c r="A3081" s="0" t="s">
        <v>227</v>
      </c>
      <c r="B3081" s="0" t="n">
        <v>12</v>
      </c>
      <c r="C3081" s="0" t="n">
        <v>1.35</v>
      </c>
      <c r="D3081" s="0" t="n">
        <v>0</v>
      </c>
    </row>
    <row r="3082" customFormat="false" ht="13.8" hidden="true" customHeight="false" outlineLevel="0" collapsed="false">
      <c r="A3082" s="0" t="s">
        <v>227</v>
      </c>
      <c r="B3082" s="0" t="n">
        <v>12</v>
      </c>
      <c r="C3082" s="0" t="n">
        <v>1.4</v>
      </c>
      <c r="D3082" s="0" t="n">
        <v>0</v>
      </c>
    </row>
    <row r="3083" customFormat="false" ht="13.8" hidden="true" customHeight="false" outlineLevel="0" collapsed="false">
      <c r="A3083" s="0" t="s">
        <v>227</v>
      </c>
      <c r="B3083" s="0" t="n">
        <v>12</v>
      </c>
      <c r="C3083" s="0" t="n">
        <v>1.45</v>
      </c>
      <c r="D3083" s="0" t="n">
        <v>0</v>
      </c>
    </row>
    <row r="3084" customFormat="false" ht="13.8" hidden="true" customHeight="false" outlineLevel="0" collapsed="false">
      <c r="A3084" s="0" t="s">
        <v>227</v>
      </c>
      <c r="B3084" s="0" t="n">
        <v>12</v>
      </c>
      <c r="C3084" s="0" t="n">
        <v>1.5</v>
      </c>
      <c r="D3084" s="0" t="n">
        <v>0</v>
      </c>
    </row>
    <row r="3085" customFormat="false" ht="13.8" hidden="true" customHeight="false" outlineLevel="0" collapsed="false">
      <c r="A3085" s="0" t="s">
        <v>227</v>
      </c>
      <c r="B3085" s="0" t="n">
        <v>12</v>
      </c>
      <c r="C3085" s="0" t="n">
        <v>1.55</v>
      </c>
      <c r="D3085" s="0" t="n">
        <v>0</v>
      </c>
    </row>
    <row r="3086" customFormat="false" ht="13.8" hidden="true" customHeight="false" outlineLevel="0" collapsed="false">
      <c r="A3086" s="0" t="s">
        <v>227</v>
      </c>
      <c r="B3086" s="0" t="n">
        <v>12</v>
      </c>
      <c r="C3086" s="0" t="n">
        <v>1.6</v>
      </c>
      <c r="D3086" s="0" t="n">
        <v>0.028</v>
      </c>
    </row>
    <row r="3087" customFormat="false" ht="13.8" hidden="true" customHeight="false" outlineLevel="0" collapsed="false">
      <c r="A3087" s="0" t="s">
        <v>227</v>
      </c>
      <c r="B3087" s="0" t="n">
        <v>12</v>
      </c>
      <c r="C3087" s="0" t="n">
        <v>1.65</v>
      </c>
      <c r="D3087" s="0" t="n">
        <v>0.029</v>
      </c>
    </row>
    <row r="3088" customFormat="false" ht="13.8" hidden="true" customHeight="false" outlineLevel="0" collapsed="false">
      <c r="A3088" s="0" t="s">
        <v>227</v>
      </c>
      <c r="B3088" s="0" t="n">
        <v>12</v>
      </c>
      <c r="C3088" s="0" t="n">
        <v>1.7</v>
      </c>
      <c r="D3088" s="0" t="n">
        <v>0.03</v>
      </c>
    </row>
    <row r="3089" customFormat="false" ht="13.8" hidden="true" customHeight="false" outlineLevel="0" collapsed="false">
      <c r="A3089" s="0" t="s">
        <v>227</v>
      </c>
      <c r="B3089" s="0" t="n">
        <v>12</v>
      </c>
      <c r="C3089" s="0" t="n">
        <v>1.75</v>
      </c>
      <c r="D3089" s="0" t="n">
        <v>0.031</v>
      </c>
    </row>
    <row r="3090" customFormat="false" ht="13.8" hidden="true" customHeight="false" outlineLevel="0" collapsed="false">
      <c r="A3090" s="0" t="s">
        <v>227</v>
      </c>
      <c r="B3090" s="0" t="n">
        <v>12</v>
      </c>
      <c r="C3090" s="0" t="n">
        <v>1.8</v>
      </c>
      <c r="D3090" s="0" t="n">
        <v>0.034</v>
      </c>
    </row>
    <row r="3091" customFormat="false" ht="13.8" hidden="true" customHeight="false" outlineLevel="0" collapsed="false">
      <c r="A3091" s="0" t="s">
        <v>227</v>
      </c>
      <c r="B3091" s="0" t="n">
        <v>12</v>
      </c>
      <c r="C3091" s="0" t="n">
        <v>1.85</v>
      </c>
      <c r="D3091" s="0" t="n">
        <v>0.035</v>
      </c>
    </row>
    <row r="3092" customFormat="false" ht="13.8" hidden="true" customHeight="false" outlineLevel="0" collapsed="false">
      <c r="A3092" s="0" t="s">
        <v>227</v>
      </c>
      <c r="B3092" s="0" t="n">
        <v>12</v>
      </c>
      <c r="C3092" s="0" t="n">
        <v>1.9</v>
      </c>
      <c r="D3092" s="0" t="n">
        <v>0.036</v>
      </c>
    </row>
    <row r="3093" customFormat="false" ht="13.8" hidden="true" customHeight="false" outlineLevel="0" collapsed="false">
      <c r="A3093" s="0" t="s">
        <v>227</v>
      </c>
      <c r="B3093" s="0" t="n">
        <v>12</v>
      </c>
      <c r="C3093" s="0" t="n">
        <v>1.95</v>
      </c>
      <c r="D3093" s="0" t="n">
        <v>0.036</v>
      </c>
    </row>
    <row r="3094" customFormat="false" ht="13.8" hidden="true" customHeight="false" outlineLevel="0" collapsed="false">
      <c r="A3094" s="0" t="s">
        <v>227</v>
      </c>
      <c r="B3094" s="0" t="n">
        <v>12</v>
      </c>
      <c r="C3094" s="0" t="n">
        <v>2</v>
      </c>
      <c r="D3094" s="0" t="n">
        <v>0.039566549</v>
      </c>
    </row>
    <row r="3095" customFormat="false" ht="13.8" hidden="true" customHeight="false" outlineLevel="0" collapsed="false">
      <c r="A3095" s="0" t="s">
        <v>227</v>
      </c>
      <c r="B3095" s="0" t="n">
        <v>12</v>
      </c>
      <c r="C3095" s="0" t="n">
        <v>2.05</v>
      </c>
      <c r="D3095" s="0" t="n">
        <v>0.040555713</v>
      </c>
    </row>
    <row r="3096" customFormat="false" ht="13.8" hidden="true" customHeight="false" outlineLevel="0" collapsed="false">
      <c r="A3096" s="0" t="s">
        <v>227</v>
      </c>
      <c r="B3096" s="0" t="n">
        <v>12</v>
      </c>
      <c r="C3096" s="0" t="n">
        <v>2.1</v>
      </c>
      <c r="D3096" s="0" t="n">
        <v>0.041544877</v>
      </c>
    </row>
    <row r="3097" customFormat="false" ht="13.8" hidden="true" customHeight="false" outlineLevel="0" collapsed="false">
      <c r="A3097" s="0" t="s">
        <v>227</v>
      </c>
      <c r="B3097" s="0" t="n">
        <v>12</v>
      </c>
      <c r="C3097" s="0" t="n">
        <v>2.15</v>
      </c>
      <c r="D3097" s="0" t="n">
        <v>0.04253404</v>
      </c>
    </row>
    <row r="3098" customFormat="false" ht="13.8" hidden="true" customHeight="false" outlineLevel="0" collapsed="false">
      <c r="A3098" s="0" t="s">
        <v>227</v>
      </c>
      <c r="B3098" s="0" t="n">
        <v>12</v>
      </c>
      <c r="C3098" s="0" t="n">
        <v>2.2</v>
      </c>
      <c r="D3098" s="0" t="n">
        <v>0.041382052</v>
      </c>
    </row>
    <row r="3099" customFormat="false" ht="13.8" hidden="true" customHeight="false" outlineLevel="0" collapsed="false">
      <c r="A3099" s="0" t="s">
        <v>227</v>
      </c>
      <c r="B3099" s="0" t="n">
        <v>12</v>
      </c>
      <c r="C3099" s="0" t="n">
        <v>2.25</v>
      </c>
      <c r="D3099" s="0" t="n">
        <v>0.042322553</v>
      </c>
    </row>
    <row r="3100" customFormat="false" ht="13.8" hidden="true" customHeight="false" outlineLevel="0" collapsed="false">
      <c r="A3100" s="0" t="s">
        <v>227</v>
      </c>
      <c r="B3100" s="0" t="n">
        <v>12</v>
      </c>
      <c r="C3100" s="0" t="n">
        <v>2.3</v>
      </c>
      <c r="D3100" s="0" t="n">
        <v>0.043263055</v>
      </c>
    </row>
    <row r="3101" customFormat="false" ht="13.8" hidden="true" customHeight="false" outlineLevel="0" collapsed="false">
      <c r="A3101" s="0" t="s">
        <v>227</v>
      </c>
      <c r="B3101" s="0" t="n">
        <v>12</v>
      </c>
      <c r="C3101" s="0" t="n">
        <v>2.35</v>
      </c>
      <c r="D3101" s="0" t="n">
        <v>0.044203556</v>
      </c>
    </row>
    <row r="3102" customFormat="false" ht="13.8" hidden="true" customHeight="false" outlineLevel="0" collapsed="false">
      <c r="A3102" s="0" t="s">
        <v>227</v>
      </c>
      <c r="B3102" s="0" t="n">
        <v>12</v>
      </c>
      <c r="C3102" s="0" t="n">
        <v>2.4</v>
      </c>
      <c r="D3102" s="0" t="n">
        <v>0.045144057</v>
      </c>
    </row>
    <row r="3103" customFormat="false" ht="13.8" hidden="true" customHeight="false" outlineLevel="0" collapsed="false">
      <c r="A3103" s="0" t="s">
        <v>227</v>
      </c>
      <c r="B3103" s="0" t="n">
        <v>12</v>
      </c>
      <c r="C3103" s="0" t="n">
        <v>2.45</v>
      </c>
      <c r="D3103" s="0" t="n">
        <v>0.046084558</v>
      </c>
    </row>
    <row r="3104" customFormat="false" ht="13.8" hidden="true" customHeight="false" outlineLevel="0" collapsed="false">
      <c r="A3104" s="0" t="s">
        <v>227</v>
      </c>
      <c r="B3104" s="0" t="n">
        <v>12</v>
      </c>
      <c r="C3104" s="0" t="n">
        <v>2.5</v>
      </c>
      <c r="D3104" s="0" t="n">
        <v>0.047025059</v>
      </c>
    </row>
    <row r="3105" customFormat="false" ht="13.8" hidden="true" customHeight="false" outlineLevel="0" collapsed="false">
      <c r="A3105" s="0" t="s">
        <v>227</v>
      </c>
      <c r="B3105" s="0" t="n">
        <v>12</v>
      </c>
      <c r="C3105" s="0" t="n">
        <v>2.55</v>
      </c>
      <c r="D3105" s="0" t="n">
        <v>0.047965561</v>
      </c>
    </row>
    <row r="3106" customFormat="false" ht="13.8" hidden="true" customHeight="false" outlineLevel="0" collapsed="false">
      <c r="A3106" s="0" t="s">
        <v>227</v>
      </c>
      <c r="B3106" s="0" t="n">
        <v>12</v>
      </c>
      <c r="C3106" s="0" t="n">
        <v>2.6</v>
      </c>
      <c r="D3106" s="0" t="n">
        <v>0.048906062</v>
      </c>
    </row>
    <row r="3107" customFormat="false" ht="13.8" hidden="true" customHeight="false" outlineLevel="0" collapsed="false">
      <c r="A3107" s="0" t="s">
        <v>227</v>
      </c>
      <c r="B3107" s="0" t="n">
        <v>13</v>
      </c>
      <c r="C3107" s="0" t="n">
        <v>1.3</v>
      </c>
      <c r="D3107" s="0" t="n">
        <v>0</v>
      </c>
    </row>
    <row r="3108" customFormat="false" ht="13.8" hidden="true" customHeight="false" outlineLevel="0" collapsed="false">
      <c r="A3108" s="0" t="s">
        <v>227</v>
      </c>
      <c r="B3108" s="0" t="n">
        <v>13</v>
      </c>
      <c r="C3108" s="0" t="n">
        <v>1.35</v>
      </c>
      <c r="D3108" s="0" t="n">
        <v>0</v>
      </c>
    </row>
    <row r="3109" customFormat="false" ht="13.8" hidden="true" customHeight="false" outlineLevel="0" collapsed="false">
      <c r="A3109" s="0" t="s">
        <v>227</v>
      </c>
      <c r="B3109" s="0" t="n">
        <v>13</v>
      </c>
      <c r="C3109" s="0" t="n">
        <v>1.4</v>
      </c>
      <c r="D3109" s="0" t="n">
        <v>0</v>
      </c>
    </row>
    <row r="3110" customFormat="false" ht="13.8" hidden="true" customHeight="false" outlineLevel="0" collapsed="false">
      <c r="A3110" s="0" t="s">
        <v>227</v>
      </c>
      <c r="B3110" s="0" t="n">
        <v>13</v>
      </c>
      <c r="C3110" s="0" t="n">
        <v>1.45</v>
      </c>
      <c r="D3110" s="0" t="n">
        <v>0</v>
      </c>
    </row>
    <row r="3111" customFormat="false" ht="13.8" hidden="true" customHeight="false" outlineLevel="0" collapsed="false">
      <c r="A3111" s="0" t="s">
        <v>227</v>
      </c>
      <c r="B3111" s="0" t="n">
        <v>13</v>
      </c>
      <c r="C3111" s="0" t="n">
        <v>1.5</v>
      </c>
      <c r="D3111" s="0" t="n">
        <v>0</v>
      </c>
    </row>
    <row r="3112" customFormat="false" ht="13.8" hidden="true" customHeight="false" outlineLevel="0" collapsed="false">
      <c r="A3112" s="0" t="s">
        <v>227</v>
      </c>
      <c r="B3112" s="0" t="n">
        <v>13</v>
      </c>
      <c r="C3112" s="0" t="n">
        <v>1.55</v>
      </c>
      <c r="D3112" s="0" t="n">
        <v>0</v>
      </c>
    </row>
    <row r="3113" customFormat="false" ht="13.8" hidden="true" customHeight="false" outlineLevel="0" collapsed="false">
      <c r="A3113" s="0" t="s">
        <v>227</v>
      </c>
      <c r="B3113" s="0" t="n">
        <v>13</v>
      </c>
      <c r="C3113" s="0" t="n">
        <v>1.6</v>
      </c>
      <c r="D3113" s="0" t="n">
        <v>0.028</v>
      </c>
    </row>
    <row r="3114" customFormat="false" ht="13.8" hidden="true" customHeight="false" outlineLevel="0" collapsed="false">
      <c r="A3114" s="0" t="s">
        <v>227</v>
      </c>
      <c r="B3114" s="0" t="n">
        <v>13</v>
      </c>
      <c r="C3114" s="0" t="n">
        <v>1.65</v>
      </c>
      <c r="D3114" s="0" t="n">
        <v>0.029</v>
      </c>
    </row>
    <row r="3115" customFormat="false" ht="13.8" hidden="true" customHeight="false" outlineLevel="0" collapsed="false">
      <c r="A3115" s="0" t="s">
        <v>227</v>
      </c>
      <c r="B3115" s="0" t="n">
        <v>13</v>
      </c>
      <c r="C3115" s="0" t="n">
        <v>1.7</v>
      </c>
      <c r="D3115" s="0" t="n">
        <v>0.03</v>
      </c>
    </row>
    <row r="3116" customFormat="false" ht="13.8" hidden="true" customHeight="false" outlineLevel="0" collapsed="false">
      <c r="A3116" s="0" t="s">
        <v>227</v>
      </c>
      <c r="B3116" s="0" t="n">
        <v>13</v>
      </c>
      <c r="C3116" s="0" t="n">
        <v>1.75</v>
      </c>
      <c r="D3116" s="0" t="n">
        <v>0.031</v>
      </c>
    </row>
    <row r="3117" customFormat="false" ht="13.8" hidden="true" customHeight="false" outlineLevel="0" collapsed="false">
      <c r="A3117" s="0" t="s">
        <v>227</v>
      </c>
      <c r="B3117" s="0" t="n">
        <v>13</v>
      </c>
      <c r="C3117" s="0" t="n">
        <v>1.8</v>
      </c>
      <c r="D3117" s="0" t="n">
        <v>0.034</v>
      </c>
    </row>
    <row r="3118" customFormat="false" ht="13.8" hidden="true" customHeight="false" outlineLevel="0" collapsed="false">
      <c r="A3118" s="0" t="s">
        <v>227</v>
      </c>
      <c r="B3118" s="0" t="n">
        <v>13</v>
      </c>
      <c r="C3118" s="0" t="n">
        <v>1.85</v>
      </c>
      <c r="D3118" s="0" t="n">
        <v>0.035</v>
      </c>
    </row>
    <row r="3119" customFormat="false" ht="13.8" hidden="true" customHeight="false" outlineLevel="0" collapsed="false">
      <c r="A3119" s="0" t="s">
        <v>227</v>
      </c>
      <c r="B3119" s="0" t="n">
        <v>13</v>
      </c>
      <c r="C3119" s="0" t="n">
        <v>1.9</v>
      </c>
      <c r="D3119" s="0" t="n">
        <v>0.036</v>
      </c>
    </row>
    <row r="3120" customFormat="false" ht="13.8" hidden="true" customHeight="false" outlineLevel="0" collapsed="false">
      <c r="A3120" s="0" t="s">
        <v>227</v>
      </c>
      <c r="B3120" s="0" t="n">
        <v>13</v>
      </c>
      <c r="C3120" s="0" t="n">
        <v>1.95</v>
      </c>
      <c r="D3120" s="0" t="n">
        <v>0.036</v>
      </c>
    </row>
    <row r="3121" customFormat="false" ht="13.8" hidden="true" customHeight="false" outlineLevel="0" collapsed="false">
      <c r="A3121" s="0" t="s">
        <v>227</v>
      </c>
      <c r="B3121" s="0" t="n">
        <v>13</v>
      </c>
      <c r="C3121" s="0" t="n">
        <v>2</v>
      </c>
      <c r="D3121" s="0" t="n">
        <v>0.039566549</v>
      </c>
    </row>
    <row r="3122" customFormat="false" ht="13.8" hidden="true" customHeight="false" outlineLevel="0" collapsed="false">
      <c r="A3122" s="0" t="s">
        <v>227</v>
      </c>
      <c r="B3122" s="0" t="n">
        <v>13</v>
      </c>
      <c r="C3122" s="0" t="n">
        <v>2.05</v>
      </c>
      <c r="D3122" s="0" t="n">
        <v>0.040555713</v>
      </c>
    </row>
    <row r="3123" customFormat="false" ht="13.8" hidden="true" customHeight="false" outlineLevel="0" collapsed="false">
      <c r="A3123" s="0" t="s">
        <v>227</v>
      </c>
      <c r="B3123" s="0" t="n">
        <v>13</v>
      </c>
      <c r="C3123" s="0" t="n">
        <v>2.1</v>
      </c>
      <c r="D3123" s="0" t="n">
        <v>0.041544877</v>
      </c>
    </row>
    <row r="3124" customFormat="false" ht="13.8" hidden="true" customHeight="false" outlineLevel="0" collapsed="false">
      <c r="A3124" s="0" t="s">
        <v>227</v>
      </c>
      <c r="B3124" s="0" t="n">
        <v>13</v>
      </c>
      <c r="C3124" s="0" t="n">
        <v>2.15</v>
      </c>
      <c r="D3124" s="0" t="n">
        <v>0.04253404</v>
      </c>
    </row>
    <row r="3125" customFormat="false" ht="13.8" hidden="true" customHeight="false" outlineLevel="0" collapsed="false">
      <c r="A3125" s="0" t="s">
        <v>227</v>
      </c>
      <c r="B3125" s="0" t="n">
        <v>13</v>
      </c>
      <c r="C3125" s="0" t="n">
        <v>2.2</v>
      </c>
      <c r="D3125" s="0" t="n">
        <v>0.041382052</v>
      </c>
    </row>
    <row r="3126" customFormat="false" ht="13.8" hidden="true" customHeight="false" outlineLevel="0" collapsed="false">
      <c r="A3126" s="0" t="s">
        <v>227</v>
      </c>
      <c r="B3126" s="0" t="n">
        <v>13</v>
      </c>
      <c r="C3126" s="0" t="n">
        <v>2.25</v>
      </c>
      <c r="D3126" s="0" t="n">
        <v>0.042322553</v>
      </c>
    </row>
    <row r="3127" customFormat="false" ht="13.8" hidden="true" customHeight="false" outlineLevel="0" collapsed="false">
      <c r="A3127" s="0" t="s">
        <v>227</v>
      </c>
      <c r="B3127" s="0" t="n">
        <v>13</v>
      </c>
      <c r="C3127" s="0" t="n">
        <v>2.3</v>
      </c>
      <c r="D3127" s="0" t="n">
        <v>0.043263055</v>
      </c>
    </row>
    <row r="3128" customFormat="false" ht="13.8" hidden="true" customHeight="false" outlineLevel="0" collapsed="false">
      <c r="A3128" s="0" t="s">
        <v>227</v>
      </c>
      <c r="B3128" s="0" t="n">
        <v>13</v>
      </c>
      <c r="C3128" s="0" t="n">
        <v>2.35</v>
      </c>
      <c r="D3128" s="0" t="n">
        <v>0.044203556</v>
      </c>
    </row>
    <row r="3129" customFormat="false" ht="13.8" hidden="true" customHeight="false" outlineLevel="0" collapsed="false">
      <c r="A3129" s="0" t="s">
        <v>227</v>
      </c>
      <c r="B3129" s="0" t="n">
        <v>13</v>
      </c>
      <c r="C3129" s="0" t="n">
        <v>2.4</v>
      </c>
      <c r="D3129" s="0" t="n">
        <v>0.045144057</v>
      </c>
    </row>
    <row r="3130" customFormat="false" ht="13.8" hidden="true" customHeight="false" outlineLevel="0" collapsed="false">
      <c r="A3130" s="0" t="s">
        <v>227</v>
      </c>
      <c r="B3130" s="0" t="n">
        <v>13</v>
      </c>
      <c r="C3130" s="0" t="n">
        <v>2.45</v>
      </c>
      <c r="D3130" s="0" t="n">
        <v>0.046084558</v>
      </c>
    </row>
    <row r="3131" customFormat="false" ht="13.8" hidden="true" customHeight="false" outlineLevel="0" collapsed="false">
      <c r="A3131" s="0" t="s">
        <v>227</v>
      </c>
      <c r="B3131" s="0" t="n">
        <v>13</v>
      </c>
      <c r="C3131" s="0" t="n">
        <v>2.5</v>
      </c>
      <c r="D3131" s="0" t="n">
        <v>0.047025059</v>
      </c>
    </row>
    <row r="3132" customFormat="false" ht="13.8" hidden="true" customHeight="false" outlineLevel="0" collapsed="false">
      <c r="A3132" s="0" t="s">
        <v>227</v>
      </c>
      <c r="B3132" s="0" t="n">
        <v>13</v>
      </c>
      <c r="C3132" s="0" t="n">
        <v>2.55</v>
      </c>
      <c r="D3132" s="0" t="n">
        <v>0.047965561</v>
      </c>
    </row>
    <row r="3133" customFormat="false" ht="13.8" hidden="true" customHeight="false" outlineLevel="0" collapsed="false">
      <c r="A3133" s="0" t="s">
        <v>227</v>
      </c>
      <c r="B3133" s="0" t="n">
        <v>13</v>
      </c>
      <c r="C3133" s="0" t="n">
        <v>2.6</v>
      </c>
      <c r="D3133" s="0" t="n">
        <v>0.048906062</v>
      </c>
    </row>
    <row r="3134" customFormat="false" ht="13.8" hidden="true" customHeight="false" outlineLevel="0" collapsed="false">
      <c r="A3134" s="0" t="s">
        <v>227</v>
      </c>
      <c r="B3134" s="0" t="n">
        <v>14</v>
      </c>
      <c r="C3134" s="0" t="n">
        <v>1.3</v>
      </c>
      <c r="D3134" s="0" t="n">
        <v>0</v>
      </c>
    </row>
    <row r="3135" customFormat="false" ht="13.8" hidden="true" customHeight="false" outlineLevel="0" collapsed="false">
      <c r="A3135" s="0" t="s">
        <v>227</v>
      </c>
      <c r="B3135" s="0" t="n">
        <v>14</v>
      </c>
      <c r="C3135" s="0" t="n">
        <v>1.35</v>
      </c>
      <c r="D3135" s="0" t="n">
        <v>0</v>
      </c>
    </row>
    <row r="3136" customFormat="false" ht="13.8" hidden="true" customHeight="false" outlineLevel="0" collapsed="false">
      <c r="A3136" s="0" t="s">
        <v>227</v>
      </c>
      <c r="B3136" s="0" t="n">
        <v>14</v>
      </c>
      <c r="C3136" s="0" t="n">
        <v>1.4</v>
      </c>
      <c r="D3136" s="0" t="n">
        <v>0</v>
      </c>
    </row>
    <row r="3137" customFormat="false" ht="13.8" hidden="true" customHeight="false" outlineLevel="0" collapsed="false">
      <c r="A3137" s="0" t="s">
        <v>227</v>
      </c>
      <c r="B3137" s="0" t="n">
        <v>14</v>
      </c>
      <c r="C3137" s="0" t="n">
        <v>1.45</v>
      </c>
      <c r="D3137" s="0" t="n">
        <v>0</v>
      </c>
    </row>
    <row r="3138" customFormat="false" ht="13.8" hidden="true" customHeight="false" outlineLevel="0" collapsed="false">
      <c r="A3138" s="0" t="s">
        <v>227</v>
      </c>
      <c r="B3138" s="0" t="n">
        <v>14</v>
      </c>
      <c r="C3138" s="0" t="n">
        <v>1.5</v>
      </c>
      <c r="D3138" s="0" t="n">
        <v>0</v>
      </c>
    </row>
    <row r="3139" customFormat="false" ht="13.8" hidden="true" customHeight="false" outlineLevel="0" collapsed="false">
      <c r="A3139" s="0" t="s">
        <v>227</v>
      </c>
      <c r="B3139" s="0" t="n">
        <v>14</v>
      </c>
      <c r="C3139" s="0" t="n">
        <v>1.55</v>
      </c>
      <c r="D3139" s="0" t="n">
        <v>0</v>
      </c>
    </row>
    <row r="3140" customFormat="false" ht="13.8" hidden="true" customHeight="false" outlineLevel="0" collapsed="false">
      <c r="A3140" s="0" t="s">
        <v>227</v>
      </c>
      <c r="B3140" s="0" t="n">
        <v>14</v>
      </c>
      <c r="C3140" s="0" t="n">
        <v>1.6</v>
      </c>
      <c r="D3140" s="0" t="n">
        <v>0.028</v>
      </c>
    </row>
    <row r="3141" customFormat="false" ht="13.8" hidden="true" customHeight="false" outlineLevel="0" collapsed="false">
      <c r="A3141" s="0" t="s">
        <v>227</v>
      </c>
      <c r="B3141" s="0" t="n">
        <v>14</v>
      </c>
      <c r="C3141" s="0" t="n">
        <v>1.65</v>
      </c>
      <c r="D3141" s="0" t="n">
        <v>0.029</v>
      </c>
    </row>
    <row r="3142" customFormat="false" ht="13.8" hidden="true" customHeight="false" outlineLevel="0" collapsed="false">
      <c r="A3142" s="0" t="s">
        <v>227</v>
      </c>
      <c r="B3142" s="0" t="n">
        <v>14</v>
      </c>
      <c r="C3142" s="0" t="n">
        <v>1.7</v>
      </c>
      <c r="D3142" s="0" t="n">
        <v>0.03</v>
      </c>
    </row>
    <row r="3143" customFormat="false" ht="13.8" hidden="true" customHeight="false" outlineLevel="0" collapsed="false">
      <c r="A3143" s="0" t="s">
        <v>227</v>
      </c>
      <c r="B3143" s="0" t="n">
        <v>14</v>
      </c>
      <c r="C3143" s="0" t="n">
        <v>1.75</v>
      </c>
      <c r="D3143" s="0" t="n">
        <v>0.031</v>
      </c>
    </row>
    <row r="3144" customFormat="false" ht="13.8" hidden="true" customHeight="false" outlineLevel="0" collapsed="false">
      <c r="A3144" s="0" t="s">
        <v>227</v>
      </c>
      <c r="B3144" s="0" t="n">
        <v>14</v>
      </c>
      <c r="C3144" s="0" t="n">
        <v>1.8</v>
      </c>
      <c r="D3144" s="0" t="n">
        <v>0.034</v>
      </c>
    </row>
    <row r="3145" customFormat="false" ht="13.8" hidden="true" customHeight="false" outlineLevel="0" collapsed="false">
      <c r="A3145" s="0" t="s">
        <v>227</v>
      </c>
      <c r="B3145" s="0" t="n">
        <v>14</v>
      </c>
      <c r="C3145" s="0" t="n">
        <v>1.85</v>
      </c>
      <c r="D3145" s="0" t="n">
        <v>0.035</v>
      </c>
    </row>
    <row r="3146" customFormat="false" ht="13.8" hidden="true" customHeight="false" outlineLevel="0" collapsed="false">
      <c r="A3146" s="0" t="s">
        <v>227</v>
      </c>
      <c r="B3146" s="0" t="n">
        <v>14</v>
      </c>
      <c r="C3146" s="0" t="n">
        <v>1.9</v>
      </c>
      <c r="D3146" s="0" t="n">
        <v>0.036</v>
      </c>
    </row>
    <row r="3147" customFormat="false" ht="13.8" hidden="true" customHeight="false" outlineLevel="0" collapsed="false">
      <c r="A3147" s="0" t="s">
        <v>227</v>
      </c>
      <c r="B3147" s="0" t="n">
        <v>14</v>
      </c>
      <c r="C3147" s="0" t="n">
        <v>1.95</v>
      </c>
      <c r="D3147" s="0" t="n">
        <v>0.036</v>
      </c>
    </row>
    <row r="3148" customFormat="false" ht="13.8" hidden="true" customHeight="false" outlineLevel="0" collapsed="false">
      <c r="A3148" s="0" t="s">
        <v>227</v>
      </c>
      <c r="B3148" s="0" t="n">
        <v>14</v>
      </c>
      <c r="C3148" s="0" t="n">
        <v>2</v>
      </c>
      <c r="D3148" s="0" t="n">
        <v>0.039566549</v>
      </c>
    </row>
    <row r="3149" customFormat="false" ht="13.8" hidden="true" customHeight="false" outlineLevel="0" collapsed="false">
      <c r="A3149" s="0" t="s">
        <v>227</v>
      </c>
      <c r="B3149" s="0" t="n">
        <v>14</v>
      </c>
      <c r="C3149" s="0" t="n">
        <v>2.05</v>
      </c>
      <c r="D3149" s="0" t="n">
        <v>0.040555713</v>
      </c>
    </row>
    <row r="3150" customFormat="false" ht="13.8" hidden="true" customHeight="false" outlineLevel="0" collapsed="false">
      <c r="A3150" s="0" t="s">
        <v>227</v>
      </c>
      <c r="B3150" s="0" t="n">
        <v>14</v>
      </c>
      <c r="C3150" s="0" t="n">
        <v>2.1</v>
      </c>
      <c r="D3150" s="0" t="n">
        <v>0.041544877</v>
      </c>
    </row>
    <row r="3151" customFormat="false" ht="13.8" hidden="true" customHeight="false" outlineLevel="0" collapsed="false">
      <c r="A3151" s="0" t="s">
        <v>227</v>
      </c>
      <c r="B3151" s="0" t="n">
        <v>14</v>
      </c>
      <c r="C3151" s="0" t="n">
        <v>2.15</v>
      </c>
      <c r="D3151" s="0" t="n">
        <v>0.04253404</v>
      </c>
    </row>
    <row r="3152" customFormat="false" ht="13.8" hidden="true" customHeight="false" outlineLevel="0" collapsed="false">
      <c r="A3152" s="0" t="s">
        <v>227</v>
      </c>
      <c r="B3152" s="0" t="n">
        <v>14</v>
      </c>
      <c r="C3152" s="0" t="n">
        <v>2.2</v>
      </c>
      <c r="D3152" s="0" t="n">
        <v>0.041382052</v>
      </c>
    </row>
    <row r="3153" customFormat="false" ht="13.8" hidden="true" customHeight="false" outlineLevel="0" collapsed="false">
      <c r="A3153" s="0" t="s">
        <v>227</v>
      </c>
      <c r="B3153" s="0" t="n">
        <v>14</v>
      </c>
      <c r="C3153" s="0" t="n">
        <v>2.25</v>
      </c>
      <c r="D3153" s="0" t="n">
        <v>0.042322553</v>
      </c>
    </row>
    <row r="3154" customFormat="false" ht="13.8" hidden="true" customHeight="false" outlineLevel="0" collapsed="false">
      <c r="A3154" s="0" t="s">
        <v>227</v>
      </c>
      <c r="B3154" s="0" t="n">
        <v>14</v>
      </c>
      <c r="C3154" s="0" t="n">
        <v>2.3</v>
      </c>
      <c r="D3154" s="0" t="n">
        <v>0.043263055</v>
      </c>
    </row>
    <row r="3155" customFormat="false" ht="13.8" hidden="true" customHeight="false" outlineLevel="0" collapsed="false">
      <c r="A3155" s="0" t="s">
        <v>227</v>
      </c>
      <c r="B3155" s="0" t="n">
        <v>14</v>
      </c>
      <c r="C3155" s="0" t="n">
        <v>2.35</v>
      </c>
      <c r="D3155" s="0" t="n">
        <v>0.044203556</v>
      </c>
    </row>
    <row r="3156" customFormat="false" ht="13.8" hidden="true" customHeight="false" outlineLevel="0" collapsed="false">
      <c r="A3156" s="0" t="s">
        <v>227</v>
      </c>
      <c r="B3156" s="0" t="n">
        <v>14</v>
      </c>
      <c r="C3156" s="0" t="n">
        <v>2.4</v>
      </c>
      <c r="D3156" s="0" t="n">
        <v>0.045144057</v>
      </c>
    </row>
    <row r="3157" customFormat="false" ht="13.8" hidden="true" customHeight="false" outlineLevel="0" collapsed="false">
      <c r="A3157" s="0" t="s">
        <v>227</v>
      </c>
      <c r="B3157" s="0" t="n">
        <v>14</v>
      </c>
      <c r="C3157" s="0" t="n">
        <v>2.45</v>
      </c>
      <c r="D3157" s="0" t="n">
        <v>0.046084558</v>
      </c>
    </row>
    <row r="3158" customFormat="false" ht="13.8" hidden="true" customHeight="false" outlineLevel="0" collapsed="false">
      <c r="A3158" s="0" t="s">
        <v>227</v>
      </c>
      <c r="B3158" s="0" t="n">
        <v>14</v>
      </c>
      <c r="C3158" s="0" t="n">
        <v>2.5</v>
      </c>
      <c r="D3158" s="0" t="n">
        <v>0.047025059</v>
      </c>
    </row>
    <row r="3159" customFormat="false" ht="13.8" hidden="true" customHeight="false" outlineLevel="0" collapsed="false">
      <c r="A3159" s="0" t="s">
        <v>227</v>
      </c>
      <c r="B3159" s="0" t="n">
        <v>14</v>
      </c>
      <c r="C3159" s="0" t="n">
        <v>2.55</v>
      </c>
      <c r="D3159" s="0" t="n">
        <v>0.047965561</v>
      </c>
    </row>
    <row r="3160" customFormat="false" ht="13.8" hidden="true" customHeight="false" outlineLevel="0" collapsed="false">
      <c r="A3160" s="0" t="s">
        <v>227</v>
      </c>
      <c r="B3160" s="0" t="n">
        <v>14</v>
      </c>
      <c r="C3160" s="0" t="n">
        <v>2.6</v>
      </c>
      <c r="D3160" s="0" t="n">
        <v>0.048906062</v>
      </c>
    </row>
    <row r="3161" customFormat="false" ht="13.8" hidden="true" customHeight="false" outlineLevel="0" collapsed="false">
      <c r="A3161" s="0" t="s">
        <v>227</v>
      </c>
      <c r="B3161" s="0" t="n">
        <v>15</v>
      </c>
      <c r="C3161" s="0" t="n">
        <v>1.3</v>
      </c>
      <c r="D3161" s="0" t="n">
        <v>0</v>
      </c>
    </row>
    <row r="3162" customFormat="false" ht="13.8" hidden="true" customHeight="false" outlineLevel="0" collapsed="false">
      <c r="A3162" s="0" t="s">
        <v>227</v>
      </c>
      <c r="B3162" s="0" t="n">
        <v>15</v>
      </c>
      <c r="C3162" s="0" t="n">
        <v>1.35</v>
      </c>
      <c r="D3162" s="0" t="n">
        <v>0</v>
      </c>
    </row>
    <row r="3163" customFormat="false" ht="13.8" hidden="true" customHeight="false" outlineLevel="0" collapsed="false">
      <c r="A3163" s="0" t="s">
        <v>227</v>
      </c>
      <c r="B3163" s="0" t="n">
        <v>15</v>
      </c>
      <c r="C3163" s="0" t="n">
        <v>1.4</v>
      </c>
      <c r="D3163" s="0" t="n">
        <v>0</v>
      </c>
    </row>
    <row r="3164" customFormat="false" ht="13.8" hidden="true" customHeight="false" outlineLevel="0" collapsed="false">
      <c r="A3164" s="0" t="s">
        <v>227</v>
      </c>
      <c r="B3164" s="0" t="n">
        <v>15</v>
      </c>
      <c r="C3164" s="0" t="n">
        <v>1.45</v>
      </c>
      <c r="D3164" s="0" t="n">
        <v>0</v>
      </c>
    </row>
    <row r="3165" customFormat="false" ht="13.8" hidden="true" customHeight="false" outlineLevel="0" collapsed="false">
      <c r="A3165" s="0" t="s">
        <v>227</v>
      </c>
      <c r="B3165" s="0" t="n">
        <v>15</v>
      </c>
      <c r="C3165" s="0" t="n">
        <v>1.5</v>
      </c>
      <c r="D3165" s="0" t="n">
        <v>0</v>
      </c>
    </row>
    <row r="3166" customFormat="false" ht="13.8" hidden="true" customHeight="false" outlineLevel="0" collapsed="false">
      <c r="A3166" s="0" t="s">
        <v>227</v>
      </c>
      <c r="B3166" s="0" t="n">
        <v>15</v>
      </c>
      <c r="C3166" s="0" t="n">
        <v>1.55</v>
      </c>
      <c r="D3166" s="0" t="n">
        <v>0</v>
      </c>
    </row>
    <row r="3167" customFormat="false" ht="13.8" hidden="true" customHeight="false" outlineLevel="0" collapsed="false">
      <c r="A3167" s="0" t="s">
        <v>227</v>
      </c>
      <c r="B3167" s="0" t="n">
        <v>15</v>
      </c>
      <c r="C3167" s="0" t="n">
        <v>1.6</v>
      </c>
      <c r="D3167" s="0" t="n">
        <v>0.028</v>
      </c>
    </row>
    <row r="3168" customFormat="false" ht="13.8" hidden="true" customHeight="false" outlineLevel="0" collapsed="false">
      <c r="A3168" s="0" t="s">
        <v>227</v>
      </c>
      <c r="B3168" s="0" t="n">
        <v>15</v>
      </c>
      <c r="C3168" s="0" t="n">
        <v>1.65</v>
      </c>
      <c r="D3168" s="0" t="n">
        <v>0.029</v>
      </c>
    </row>
    <row r="3169" customFormat="false" ht="13.8" hidden="true" customHeight="false" outlineLevel="0" collapsed="false">
      <c r="A3169" s="0" t="s">
        <v>227</v>
      </c>
      <c r="B3169" s="0" t="n">
        <v>15</v>
      </c>
      <c r="C3169" s="0" t="n">
        <v>1.7</v>
      </c>
      <c r="D3169" s="0" t="n">
        <v>0.03</v>
      </c>
    </row>
    <row r="3170" customFormat="false" ht="13.8" hidden="true" customHeight="false" outlineLevel="0" collapsed="false">
      <c r="A3170" s="0" t="s">
        <v>227</v>
      </c>
      <c r="B3170" s="0" t="n">
        <v>15</v>
      </c>
      <c r="C3170" s="0" t="n">
        <v>1.75</v>
      </c>
      <c r="D3170" s="0" t="n">
        <v>0.031</v>
      </c>
    </row>
    <row r="3171" customFormat="false" ht="13.8" hidden="true" customHeight="false" outlineLevel="0" collapsed="false">
      <c r="A3171" s="0" t="s">
        <v>227</v>
      </c>
      <c r="B3171" s="0" t="n">
        <v>15</v>
      </c>
      <c r="C3171" s="0" t="n">
        <v>1.8</v>
      </c>
      <c r="D3171" s="0" t="n">
        <v>0.034</v>
      </c>
    </row>
    <row r="3172" customFormat="false" ht="13.8" hidden="true" customHeight="false" outlineLevel="0" collapsed="false">
      <c r="A3172" s="0" t="s">
        <v>227</v>
      </c>
      <c r="B3172" s="0" t="n">
        <v>15</v>
      </c>
      <c r="C3172" s="0" t="n">
        <v>1.85</v>
      </c>
      <c r="D3172" s="0" t="n">
        <v>0.035</v>
      </c>
    </row>
    <row r="3173" customFormat="false" ht="13.8" hidden="true" customHeight="false" outlineLevel="0" collapsed="false">
      <c r="A3173" s="0" t="s">
        <v>227</v>
      </c>
      <c r="B3173" s="0" t="n">
        <v>15</v>
      </c>
      <c r="C3173" s="0" t="n">
        <v>1.9</v>
      </c>
      <c r="D3173" s="0" t="n">
        <v>0.036</v>
      </c>
    </row>
    <row r="3174" customFormat="false" ht="13.8" hidden="true" customHeight="false" outlineLevel="0" collapsed="false">
      <c r="A3174" s="0" t="s">
        <v>227</v>
      </c>
      <c r="B3174" s="0" t="n">
        <v>15</v>
      </c>
      <c r="C3174" s="0" t="n">
        <v>1.95</v>
      </c>
      <c r="D3174" s="0" t="n">
        <v>0.036</v>
      </c>
    </row>
    <row r="3175" customFormat="false" ht="13.8" hidden="true" customHeight="false" outlineLevel="0" collapsed="false">
      <c r="A3175" s="0" t="s">
        <v>227</v>
      </c>
      <c r="B3175" s="0" t="n">
        <v>15</v>
      </c>
      <c r="C3175" s="0" t="n">
        <v>2</v>
      </c>
      <c r="D3175" s="0" t="n">
        <v>0.039566549</v>
      </c>
    </row>
    <row r="3176" customFormat="false" ht="13.8" hidden="true" customHeight="false" outlineLevel="0" collapsed="false">
      <c r="A3176" s="0" t="s">
        <v>227</v>
      </c>
      <c r="B3176" s="0" t="n">
        <v>15</v>
      </c>
      <c r="C3176" s="0" t="n">
        <v>2.05</v>
      </c>
      <c r="D3176" s="0" t="n">
        <v>0.040555713</v>
      </c>
    </row>
    <row r="3177" customFormat="false" ht="13.8" hidden="true" customHeight="false" outlineLevel="0" collapsed="false">
      <c r="A3177" s="0" t="s">
        <v>227</v>
      </c>
      <c r="B3177" s="0" t="n">
        <v>15</v>
      </c>
      <c r="C3177" s="0" t="n">
        <v>2.1</v>
      </c>
      <c r="D3177" s="0" t="n">
        <v>0.041544877</v>
      </c>
    </row>
    <row r="3178" customFormat="false" ht="13.8" hidden="true" customHeight="false" outlineLevel="0" collapsed="false">
      <c r="A3178" s="0" t="s">
        <v>227</v>
      </c>
      <c r="B3178" s="0" t="n">
        <v>15</v>
      </c>
      <c r="C3178" s="0" t="n">
        <v>2.15</v>
      </c>
      <c r="D3178" s="0" t="n">
        <v>0.04253404</v>
      </c>
    </row>
    <row r="3179" customFormat="false" ht="13.8" hidden="true" customHeight="false" outlineLevel="0" collapsed="false">
      <c r="A3179" s="0" t="s">
        <v>227</v>
      </c>
      <c r="B3179" s="0" t="n">
        <v>15</v>
      </c>
      <c r="C3179" s="0" t="n">
        <v>2.2</v>
      </c>
      <c r="D3179" s="0" t="n">
        <v>0.041382052</v>
      </c>
    </row>
    <row r="3180" customFormat="false" ht="13.8" hidden="true" customHeight="false" outlineLevel="0" collapsed="false">
      <c r="A3180" s="0" t="s">
        <v>227</v>
      </c>
      <c r="B3180" s="0" t="n">
        <v>15</v>
      </c>
      <c r="C3180" s="0" t="n">
        <v>2.25</v>
      </c>
      <c r="D3180" s="0" t="n">
        <v>0.042322553</v>
      </c>
    </row>
    <row r="3181" customFormat="false" ht="13.8" hidden="true" customHeight="false" outlineLevel="0" collapsed="false">
      <c r="A3181" s="0" t="s">
        <v>227</v>
      </c>
      <c r="B3181" s="0" t="n">
        <v>15</v>
      </c>
      <c r="C3181" s="0" t="n">
        <v>2.3</v>
      </c>
      <c r="D3181" s="0" t="n">
        <v>0.043263055</v>
      </c>
    </row>
    <row r="3182" customFormat="false" ht="13.8" hidden="true" customHeight="false" outlineLevel="0" collapsed="false">
      <c r="A3182" s="0" t="s">
        <v>227</v>
      </c>
      <c r="B3182" s="0" t="n">
        <v>15</v>
      </c>
      <c r="C3182" s="0" t="n">
        <v>2.35</v>
      </c>
      <c r="D3182" s="0" t="n">
        <v>0.044203556</v>
      </c>
    </row>
    <row r="3183" customFormat="false" ht="13.8" hidden="true" customHeight="false" outlineLevel="0" collapsed="false">
      <c r="A3183" s="0" t="s">
        <v>227</v>
      </c>
      <c r="B3183" s="0" t="n">
        <v>15</v>
      </c>
      <c r="C3183" s="0" t="n">
        <v>2.4</v>
      </c>
      <c r="D3183" s="0" t="n">
        <v>0.045144057</v>
      </c>
    </row>
    <row r="3184" customFormat="false" ht="13.8" hidden="true" customHeight="false" outlineLevel="0" collapsed="false">
      <c r="A3184" s="0" t="s">
        <v>227</v>
      </c>
      <c r="B3184" s="0" t="n">
        <v>15</v>
      </c>
      <c r="C3184" s="0" t="n">
        <v>2.45</v>
      </c>
      <c r="D3184" s="0" t="n">
        <v>0.046084558</v>
      </c>
    </row>
    <row r="3185" customFormat="false" ht="13.8" hidden="true" customHeight="false" outlineLevel="0" collapsed="false">
      <c r="A3185" s="0" t="s">
        <v>227</v>
      </c>
      <c r="B3185" s="0" t="n">
        <v>15</v>
      </c>
      <c r="C3185" s="0" t="n">
        <v>2.5</v>
      </c>
      <c r="D3185" s="0" t="n">
        <v>0.047025059</v>
      </c>
    </row>
    <row r="3186" customFormat="false" ht="13.8" hidden="true" customHeight="false" outlineLevel="0" collapsed="false">
      <c r="A3186" s="0" t="s">
        <v>227</v>
      </c>
      <c r="B3186" s="0" t="n">
        <v>15</v>
      </c>
      <c r="C3186" s="0" t="n">
        <v>2.55</v>
      </c>
      <c r="D3186" s="0" t="n">
        <v>0.047965561</v>
      </c>
    </row>
    <row r="3187" customFormat="false" ht="13.8" hidden="true" customHeight="false" outlineLevel="0" collapsed="false">
      <c r="A3187" s="0" t="s">
        <v>227</v>
      </c>
      <c r="B3187" s="0" t="n">
        <v>15</v>
      </c>
      <c r="C3187" s="0" t="n">
        <v>2.6</v>
      </c>
      <c r="D3187" s="0" t="n">
        <v>0.048906062</v>
      </c>
    </row>
    <row r="3188" customFormat="false" ht="13.8" hidden="true" customHeight="false" outlineLevel="0" collapsed="false">
      <c r="A3188" s="0" t="s">
        <v>726</v>
      </c>
      <c r="B3188" s="0" t="n">
        <v>9</v>
      </c>
      <c r="C3188" s="0" t="n">
        <v>1.3</v>
      </c>
      <c r="D3188" s="0" t="n">
        <v>0</v>
      </c>
    </row>
    <row r="3189" customFormat="false" ht="13.8" hidden="true" customHeight="false" outlineLevel="0" collapsed="false">
      <c r="A3189" s="0" t="s">
        <v>726</v>
      </c>
      <c r="B3189" s="0" t="n">
        <v>9</v>
      </c>
      <c r="C3189" s="0" t="n">
        <v>1.35</v>
      </c>
      <c r="D3189" s="0" t="n">
        <v>0</v>
      </c>
    </row>
    <row r="3190" customFormat="false" ht="13.8" hidden="true" customHeight="false" outlineLevel="0" collapsed="false">
      <c r="A3190" s="0" t="s">
        <v>726</v>
      </c>
      <c r="B3190" s="0" t="n">
        <v>9</v>
      </c>
      <c r="C3190" s="0" t="n">
        <v>1.4</v>
      </c>
      <c r="D3190" s="0" t="n">
        <v>0</v>
      </c>
    </row>
    <row r="3191" customFormat="false" ht="13.8" hidden="true" customHeight="false" outlineLevel="0" collapsed="false">
      <c r="A3191" s="0" t="s">
        <v>726</v>
      </c>
      <c r="B3191" s="0" t="n">
        <v>9</v>
      </c>
      <c r="C3191" s="0" t="n">
        <v>1.45</v>
      </c>
      <c r="D3191" s="0" t="n">
        <v>0</v>
      </c>
    </row>
    <row r="3192" customFormat="false" ht="13.8" hidden="true" customHeight="false" outlineLevel="0" collapsed="false">
      <c r="A3192" s="0" t="s">
        <v>726</v>
      </c>
      <c r="B3192" s="0" t="n">
        <v>9</v>
      </c>
      <c r="C3192" s="0" t="n">
        <v>1.5</v>
      </c>
      <c r="D3192" s="0" t="n">
        <v>0</v>
      </c>
    </row>
    <row r="3193" customFormat="false" ht="13.8" hidden="true" customHeight="false" outlineLevel="0" collapsed="false">
      <c r="A3193" s="0" t="s">
        <v>726</v>
      </c>
      <c r="B3193" s="0" t="n">
        <v>9</v>
      </c>
      <c r="C3193" s="0" t="n">
        <v>1.55</v>
      </c>
      <c r="D3193" s="0" t="n">
        <v>0</v>
      </c>
    </row>
    <row r="3194" customFormat="false" ht="13.8" hidden="true" customHeight="false" outlineLevel="0" collapsed="false">
      <c r="A3194" s="0" t="s">
        <v>726</v>
      </c>
      <c r="B3194" s="0" t="n">
        <v>9</v>
      </c>
      <c r="C3194" s="0" t="n">
        <v>1.6</v>
      </c>
      <c r="D3194" s="0" t="n">
        <v>0.028</v>
      </c>
    </row>
    <row r="3195" customFormat="false" ht="13.8" hidden="true" customHeight="false" outlineLevel="0" collapsed="false">
      <c r="A3195" s="0" t="s">
        <v>726</v>
      </c>
      <c r="B3195" s="0" t="n">
        <v>9</v>
      </c>
      <c r="C3195" s="0" t="n">
        <v>1.65</v>
      </c>
      <c r="D3195" s="0" t="n">
        <v>0.029</v>
      </c>
    </row>
    <row r="3196" customFormat="false" ht="13.8" hidden="true" customHeight="false" outlineLevel="0" collapsed="false">
      <c r="A3196" s="0" t="s">
        <v>726</v>
      </c>
      <c r="B3196" s="0" t="n">
        <v>9</v>
      </c>
      <c r="C3196" s="0" t="n">
        <v>1.7</v>
      </c>
      <c r="D3196" s="0" t="n">
        <v>0.03</v>
      </c>
    </row>
    <row r="3197" customFormat="false" ht="13.8" hidden="true" customHeight="false" outlineLevel="0" collapsed="false">
      <c r="A3197" s="0" t="s">
        <v>726</v>
      </c>
      <c r="B3197" s="0" t="n">
        <v>9</v>
      </c>
      <c r="C3197" s="0" t="n">
        <v>1.75</v>
      </c>
      <c r="D3197" s="0" t="n">
        <v>0.031</v>
      </c>
    </row>
    <row r="3198" customFormat="false" ht="13.8" hidden="true" customHeight="false" outlineLevel="0" collapsed="false">
      <c r="A3198" s="0" t="s">
        <v>726</v>
      </c>
      <c r="B3198" s="0" t="n">
        <v>9</v>
      </c>
      <c r="C3198" s="0" t="n">
        <v>1.8</v>
      </c>
      <c r="D3198" s="0" t="n">
        <v>0.034</v>
      </c>
    </row>
    <row r="3199" customFormat="false" ht="13.8" hidden="true" customHeight="false" outlineLevel="0" collapsed="false">
      <c r="A3199" s="0" t="s">
        <v>726</v>
      </c>
      <c r="B3199" s="0" t="n">
        <v>9</v>
      </c>
      <c r="C3199" s="0" t="n">
        <v>1.85</v>
      </c>
      <c r="D3199" s="0" t="n">
        <v>0.035</v>
      </c>
    </row>
    <row r="3200" customFormat="false" ht="13.8" hidden="true" customHeight="false" outlineLevel="0" collapsed="false">
      <c r="A3200" s="0" t="s">
        <v>726</v>
      </c>
      <c r="B3200" s="0" t="n">
        <v>9</v>
      </c>
      <c r="C3200" s="0" t="n">
        <v>1.9</v>
      </c>
      <c r="D3200" s="0" t="n">
        <v>0.036</v>
      </c>
    </row>
    <row r="3201" customFormat="false" ht="13.8" hidden="true" customHeight="false" outlineLevel="0" collapsed="false">
      <c r="A3201" s="0" t="s">
        <v>726</v>
      </c>
      <c r="B3201" s="0" t="n">
        <v>9</v>
      </c>
      <c r="C3201" s="0" t="n">
        <v>1.95</v>
      </c>
      <c r="D3201" s="0" t="n">
        <v>0.036</v>
      </c>
    </row>
    <row r="3202" customFormat="false" ht="13.8" hidden="true" customHeight="false" outlineLevel="0" collapsed="false">
      <c r="A3202" s="0" t="s">
        <v>726</v>
      </c>
      <c r="B3202" s="0" t="n">
        <v>9</v>
      </c>
      <c r="C3202" s="0" t="n">
        <v>2</v>
      </c>
      <c r="D3202" s="0" t="n">
        <v>0.039566549</v>
      </c>
    </row>
    <row r="3203" customFormat="false" ht="13.8" hidden="true" customHeight="false" outlineLevel="0" collapsed="false">
      <c r="A3203" s="0" t="s">
        <v>726</v>
      </c>
      <c r="B3203" s="0" t="n">
        <v>9</v>
      </c>
      <c r="C3203" s="0" t="n">
        <v>2.05</v>
      </c>
      <c r="D3203" s="0" t="n">
        <v>0.040555713</v>
      </c>
    </row>
    <row r="3204" customFormat="false" ht="13.8" hidden="true" customHeight="false" outlineLevel="0" collapsed="false">
      <c r="A3204" s="0" t="s">
        <v>726</v>
      </c>
      <c r="B3204" s="0" t="n">
        <v>9</v>
      </c>
      <c r="C3204" s="0" t="n">
        <v>2.1</v>
      </c>
      <c r="D3204" s="0" t="n">
        <v>0.041544877</v>
      </c>
    </row>
    <row r="3205" customFormat="false" ht="13.8" hidden="true" customHeight="false" outlineLevel="0" collapsed="false">
      <c r="A3205" s="0" t="s">
        <v>726</v>
      </c>
      <c r="B3205" s="0" t="n">
        <v>9</v>
      </c>
      <c r="C3205" s="0" t="n">
        <v>2.15</v>
      </c>
      <c r="D3205" s="0" t="n">
        <v>0.04253404</v>
      </c>
    </row>
    <row r="3206" customFormat="false" ht="13.8" hidden="true" customHeight="false" outlineLevel="0" collapsed="false">
      <c r="A3206" s="0" t="s">
        <v>726</v>
      </c>
      <c r="B3206" s="0" t="n">
        <v>9</v>
      </c>
      <c r="C3206" s="0" t="n">
        <v>2.2</v>
      </c>
      <c r="D3206" s="0" t="n">
        <v>0.041382052</v>
      </c>
    </row>
    <row r="3207" customFormat="false" ht="13.8" hidden="true" customHeight="false" outlineLevel="0" collapsed="false">
      <c r="A3207" s="0" t="s">
        <v>726</v>
      </c>
      <c r="B3207" s="0" t="n">
        <v>9</v>
      </c>
      <c r="C3207" s="0" t="n">
        <v>2.25</v>
      </c>
      <c r="D3207" s="0" t="n">
        <v>0.042322553</v>
      </c>
    </row>
    <row r="3208" customFormat="false" ht="13.8" hidden="true" customHeight="false" outlineLevel="0" collapsed="false">
      <c r="A3208" s="0" t="s">
        <v>726</v>
      </c>
      <c r="B3208" s="0" t="n">
        <v>9</v>
      </c>
      <c r="C3208" s="0" t="n">
        <v>2.3</v>
      </c>
      <c r="D3208" s="0" t="n">
        <v>0.043263055</v>
      </c>
    </row>
    <row r="3209" customFormat="false" ht="13.8" hidden="true" customHeight="false" outlineLevel="0" collapsed="false">
      <c r="A3209" s="0" t="s">
        <v>726</v>
      </c>
      <c r="B3209" s="0" t="n">
        <v>9</v>
      </c>
      <c r="C3209" s="0" t="n">
        <v>2.35</v>
      </c>
      <c r="D3209" s="0" t="n">
        <v>0.044203556</v>
      </c>
    </row>
    <row r="3210" customFormat="false" ht="13.8" hidden="true" customHeight="false" outlineLevel="0" collapsed="false">
      <c r="A3210" s="0" t="s">
        <v>726</v>
      </c>
      <c r="B3210" s="0" t="n">
        <v>9</v>
      </c>
      <c r="C3210" s="0" t="n">
        <v>2.4</v>
      </c>
      <c r="D3210" s="0" t="n">
        <v>0.045144057</v>
      </c>
    </row>
    <row r="3211" customFormat="false" ht="13.8" hidden="true" customHeight="false" outlineLevel="0" collapsed="false">
      <c r="A3211" s="0" t="s">
        <v>726</v>
      </c>
      <c r="B3211" s="0" t="n">
        <v>9</v>
      </c>
      <c r="C3211" s="0" t="n">
        <v>2.45</v>
      </c>
      <c r="D3211" s="0" t="n">
        <v>0.046084558</v>
      </c>
    </row>
    <row r="3212" customFormat="false" ht="13.8" hidden="true" customHeight="false" outlineLevel="0" collapsed="false">
      <c r="A3212" s="0" t="s">
        <v>726</v>
      </c>
      <c r="B3212" s="0" t="n">
        <v>9</v>
      </c>
      <c r="C3212" s="0" t="n">
        <v>2.5</v>
      </c>
      <c r="D3212" s="0" t="n">
        <v>0.047025059</v>
      </c>
    </row>
    <row r="3213" customFormat="false" ht="13.8" hidden="true" customHeight="false" outlineLevel="0" collapsed="false">
      <c r="A3213" s="0" t="s">
        <v>726</v>
      </c>
      <c r="B3213" s="0" t="n">
        <v>9</v>
      </c>
      <c r="C3213" s="0" t="n">
        <v>2.55</v>
      </c>
      <c r="D3213" s="0" t="n">
        <v>0.047965561</v>
      </c>
    </row>
    <row r="3214" customFormat="false" ht="13.8" hidden="true" customHeight="false" outlineLevel="0" collapsed="false">
      <c r="A3214" s="0" t="s">
        <v>726</v>
      </c>
      <c r="B3214" s="0" t="n">
        <v>9</v>
      </c>
      <c r="C3214" s="0" t="n">
        <v>2.6</v>
      </c>
      <c r="D3214" s="0" t="n">
        <v>0.048906062</v>
      </c>
    </row>
    <row r="3215" customFormat="false" ht="13.8" hidden="true" customHeight="false" outlineLevel="0" collapsed="false">
      <c r="A3215" s="0" t="s">
        <v>726</v>
      </c>
      <c r="B3215" s="0" t="n">
        <v>10</v>
      </c>
      <c r="C3215" s="0" t="n">
        <v>1.3</v>
      </c>
      <c r="D3215" s="0" t="n">
        <v>0</v>
      </c>
    </row>
    <row r="3216" customFormat="false" ht="13.8" hidden="true" customHeight="false" outlineLevel="0" collapsed="false">
      <c r="A3216" s="0" t="s">
        <v>726</v>
      </c>
      <c r="B3216" s="0" t="n">
        <v>10</v>
      </c>
      <c r="C3216" s="0" t="n">
        <v>1.35</v>
      </c>
      <c r="D3216" s="0" t="n">
        <v>0</v>
      </c>
    </row>
    <row r="3217" customFormat="false" ht="13.8" hidden="true" customHeight="false" outlineLevel="0" collapsed="false">
      <c r="A3217" s="0" t="s">
        <v>726</v>
      </c>
      <c r="B3217" s="0" t="n">
        <v>10</v>
      </c>
      <c r="C3217" s="0" t="n">
        <v>1.4</v>
      </c>
      <c r="D3217" s="0" t="n">
        <v>0</v>
      </c>
    </row>
    <row r="3218" customFormat="false" ht="13.8" hidden="true" customHeight="false" outlineLevel="0" collapsed="false">
      <c r="A3218" s="0" t="s">
        <v>726</v>
      </c>
      <c r="B3218" s="0" t="n">
        <v>10</v>
      </c>
      <c r="C3218" s="0" t="n">
        <v>1.45</v>
      </c>
      <c r="D3218" s="0" t="n">
        <v>0</v>
      </c>
    </row>
    <row r="3219" customFormat="false" ht="13.8" hidden="true" customHeight="false" outlineLevel="0" collapsed="false">
      <c r="A3219" s="0" t="s">
        <v>726</v>
      </c>
      <c r="B3219" s="0" t="n">
        <v>10</v>
      </c>
      <c r="C3219" s="0" t="n">
        <v>1.5</v>
      </c>
      <c r="D3219" s="0" t="n">
        <v>0</v>
      </c>
    </row>
    <row r="3220" customFormat="false" ht="13.8" hidden="true" customHeight="false" outlineLevel="0" collapsed="false">
      <c r="A3220" s="0" t="s">
        <v>726</v>
      </c>
      <c r="B3220" s="0" t="n">
        <v>10</v>
      </c>
      <c r="C3220" s="0" t="n">
        <v>1.55</v>
      </c>
      <c r="D3220" s="0" t="n">
        <v>0</v>
      </c>
    </row>
    <row r="3221" customFormat="false" ht="13.8" hidden="true" customHeight="false" outlineLevel="0" collapsed="false">
      <c r="A3221" s="0" t="s">
        <v>726</v>
      </c>
      <c r="B3221" s="0" t="n">
        <v>10</v>
      </c>
      <c r="C3221" s="0" t="n">
        <v>1.6</v>
      </c>
      <c r="D3221" s="0" t="n">
        <v>0.028</v>
      </c>
    </row>
    <row r="3222" customFormat="false" ht="13.8" hidden="true" customHeight="false" outlineLevel="0" collapsed="false">
      <c r="A3222" s="0" t="s">
        <v>726</v>
      </c>
      <c r="B3222" s="0" t="n">
        <v>10</v>
      </c>
      <c r="C3222" s="0" t="n">
        <v>1.65</v>
      </c>
      <c r="D3222" s="0" t="n">
        <v>0.029</v>
      </c>
    </row>
    <row r="3223" customFormat="false" ht="13.8" hidden="true" customHeight="false" outlineLevel="0" collapsed="false">
      <c r="A3223" s="0" t="s">
        <v>726</v>
      </c>
      <c r="B3223" s="0" t="n">
        <v>10</v>
      </c>
      <c r="C3223" s="0" t="n">
        <v>1.7</v>
      </c>
      <c r="D3223" s="0" t="n">
        <v>0.03</v>
      </c>
    </row>
    <row r="3224" customFormat="false" ht="13.8" hidden="true" customHeight="false" outlineLevel="0" collapsed="false">
      <c r="A3224" s="0" t="s">
        <v>726</v>
      </c>
      <c r="B3224" s="0" t="n">
        <v>10</v>
      </c>
      <c r="C3224" s="0" t="n">
        <v>1.75</v>
      </c>
      <c r="D3224" s="0" t="n">
        <v>0.031</v>
      </c>
    </row>
    <row r="3225" customFormat="false" ht="13.8" hidden="true" customHeight="false" outlineLevel="0" collapsed="false">
      <c r="A3225" s="0" t="s">
        <v>726</v>
      </c>
      <c r="B3225" s="0" t="n">
        <v>10</v>
      </c>
      <c r="C3225" s="0" t="n">
        <v>1.8</v>
      </c>
      <c r="D3225" s="0" t="n">
        <v>0.034</v>
      </c>
    </row>
    <row r="3226" customFormat="false" ht="13.8" hidden="true" customHeight="false" outlineLevel="0" collapsed="false">
      <c r="A3226" s="0" t="s">
        <v>726</v>
      </c>
      <c r="B3226" s="0" t="n">
        <v>10</v>
      </c>
      <c r="C3226" s="0" t="n">
        <v>1.85</v>
      </c>
      <c r="D3226" s="0" t="n">
        <v>0.035</v>
      </c>
    </row>
    <row r="3227" customFormat="false" ht="13.8" hidden="true" customHeight="false" outlineLevel="0" collapsed="false">
      <c r="A3227" s="0" t="s">
        <v>726</v>
      </c>
      <c r="B3227" s="0" t="n">
        <v>10</v>
      </c>
      <c r="C3227" s="0" t="n">
        <v>1.9</v>
      </c>
      <c r="D3227" s="0" t="n">
        <v>0.036</v>
      </c>
    </row>
    <row r="3228" customFormat="false" ht="13.8" hidden="true" customHeight="false" outlineLevel="0" collapsed="false">
      <c r="A3228" s="0" t="s">
        <v>726</v>
      </c>
      <c r="B3228" s="0" t="n">
        <v>10</v>
      </c>
      <c r="C3228" s="0" t="n">
        <v>1.95</v>
      </c>
      <c r="D3228" s="0" t="n">
        <v>0.036</v>
      </c>
    </row>
    <row r="3229" customFormat="false" ht="13.8" hidden="true" customHeight="false" outlineLevel="0" collapsed="false">
      <c r="A3229" s="0" t="s">
        <v>726</v>
      </c>
      <c r="B3229" s="0" t="n">
        <v>10</v>
      </c>
      <c r="C3229" s="0" t="n">
        <v>2</v>
      </c>
      <c r="D3229" s="0" t="n">
        <v>0.039566549</v>
      </c>
    </row>
    <row r="3230" customFormat="false" ht="13.8" hidden="true" customHeight="false" outlineLevel="0" collapsed="false">
      <c r="A3230" s="0" t="s">
        <v>726</v>
      </c>
      <c r="B3230" s="0" t="n">
        <v>10</v>
      </c>
      <c r="C3230" s="0" t="n">
        <v>2.05</v>
      </c>
      <c r="D3230" s="0" t="n">
        <v>0.040555713</v>
      </c>
    </row>
    <row r="3231" customFormat="false" ht="13.8" hidden="true" customHeight="false" outlineLevel="0" collapsed="false">
      <c r="A3231" s="0" t="s">
        <v>726</v>
      </c>
      <c r="B3231" s="0" t="n">
        <v>10</v>
      </c>
      <c r="C3231" s="0" t="n">
        <v>2.1</v>
      </c>
      <c r="D3231" s="0" t="n">
        <v>0.041544877</v>
      </c>
    </row>
    <row r="3232" customFormat="false" ht="13.8" hidden="true" customHeight="false" outlineLevel="0" collapsed="false">
      <c r="A3232" s="0" t="s">
        <v>726</v>
      </c>
      <c r="B3232" s="0" t="n">
        <v>10</v>
      </c>
      <c r="C3232" s="0" t="n">
        <v>2.15</v>
      </c>
      <c r="D3232" s="0" t="n">
        <v>0.04253404</v>
      </c>
    </row>
    <row r="3233" customFormat="false" ht="13.8" hidden="true" customHeight="false" outlineLevel="0" collapsed="false">
      <c r="A3233" s="0" t="s">
        <v>726</v>
      </c>
      <c r="B3233" s="0" t="n">
        <v>10</v>
      </c>
      <c r="C3233" s="0" t="n">
        <v>2.2</v>
      </c>
      <c r="D3233" s="0" t="n">
        <v>0.041382052</v>
      </c>
    </row>
    <row r="3234" customFormat="false" ht="13.8" hidden="true" customHeight="false" outlineLevel="0" collapsed="false">
      <c r="A3234" s="0" t="s">
        <v>726</v>
      </c>
      <c r="B3234" s="0" t="n">
        <v>10</v>
      </c>
      <c r="C3234" s="0" t="n">
        <v>2.25</v>
      </c>
      <c r="D3234" s="0" t="n">
        <v>0.042322553</v>
      </c>
    </row>
    <row r="3235" customFormat="false" ht="13.8" hidden="true" customHeight="false" outlineLevel="0" collapsed="false">
      <c r="A3235" s="0" t="s">
        <v>726</v>
      </c>
      <c r="B3235" s="0" t="n">
        <v>10</v>
      </c>
      <c r="C3235" s="0" t="n">
        <v>2.3</v>
      </c>
      <c r="D3235" s="0" t="n">
        <v>0.043263055</v>
      </c>
    </row>
    <row r="3236" customFormat="false" ht="13.8" hidden="true" customHeight="false" outlineLevel="0" collapsed="false">
      <c r="A3236" s="0" t="s">
        <v>726</v>
      </c>
      <c r="B3236" s="0" t="n">
        <v>10</v>
      </c>
      <c r="C3236" s="0" t="n">
        <v>2.35</v>
      </c>
      <c r="D3236" s="0" t="n">
        <v>0.044203556</v>
      </c>
    </row>
    <row r="3237" customFormat="false" ht="13.8" hidden="true" customHeight="false" outlineLevel="0" collapsed="false">
      <c r="A3237" s="0" t="s">
        <v>726</v>
      </c>
      <c r="B3237" s="0" t="n">
        <v>10</v>
      </c>
      <c r="C3237" s="0" t="n">
        <v>2.4</v>
      </c>
      <c r="D3237" s="0" t="n">
        <v>0.045144057</v>
      </c>
    </row>
    <row r="3238" customFormat="false" ht="13.8" hidden="true" customHeight="false" outlineLevel="0" collapsed="false">
      <c r="A3238" s="0" t="s">
        <v>726</v>
      </c>
      <c r="B3238" s="0" t="n">
        <v>10</v>
      </c>
      <c r="C3238" s="0" t="n">
        <v>2.45</v>
      </c>
      <c r="D3238" s="0" t="n">
        <v>0.046084558</v>
      </c>
    </row>
    <row r="3239" customFormat="false" ht="13.8" hidden="true" customHeight="false" outlineLevel="0" collapsed="false">
      <c r="A3239" s="0" t="s">
        <v>726</v>
      </c>
      <c r="B3239" s="0" t="n">
        <v>10</v>
      </c>
      <c r="C3239" s="0" t="n">
        <v>2.5</v>
      </c>
      <c r="D3239" s="0" t="n">
        <v>0.047025059</v>
      </c>
    </row>
    <row r="3240" customFormat="false" ht="13.8" hidden="true" customHeight="false" outlineLevel="0" collapsed="false">
      <c r="A3240" s="0" t="s">
        <v>726</v>
      </c>
      <c r="B3240" s="0" t="n">
        <v>10</v>
      </c>
      <c r="C3240" s="0" t="n">
        <v>2.55</v>
      </c>
      <c r="D3240" s="0" t="n">
        <v>0.047965561</v>
      </c>
    </row>
    <row r="3241" customFormat="false" ht="13.8" hidden="true" customHeight="false" outlineLevel="0" collapsed="false">
      <c r="A3241" s="0" t="s">
        <v>726</v>
      </c>
      <c r="B3241" s="0" t="n">
        <v>10</v>
      </c>
      <c r="C3241" s="0" t="n">
        <v>2.6</v>
      </c>
      <c r="D3241" s="0" t="n">
        <v>0.048906062</v>
      </c>
    </row>
    <row r="3242" customFormat="false" ht="13.8" hidden="true" customHeight="false" outlineLevel="0" collapsed="false">
      <c r="A3242" s="0" t="s">
        <v>726</v>
      </c>
      <c r="B3242" s="0" t="n">
        <v>11</v>
      </c>
      <c r="C3242" s="0" t="n">
        <v>1.3</v>
      </c>
      <c r="D3242" s="0" t="n">
        <v>0</v>
      </c>
    </row>
    <row r="3243" customFormat="false" ht="13.8" hidden="true" customHeight="false" outlineLevel="0" collapsed="false">
      <c r="A3243" s="0" t="s">
        <v>726</v>
      </c>
      <c r="B3243" s="0" t="n">
        <v>11</v>
      </c>
      <c r="C3243" s="0" t="n">
        <v>1.35</v>
      </c>
      <c r="D3243" s="0" t="n">
        <v>0</v>
      </c>
    </row>
    <row r="3244" customFormat="false" ht="13.8" hidden="true" customHeight="false" outlineLevel="0" collapsed="false">
      <c r="A3244" s="0" t="s">
        <v>726</v>
      </c>
      <c r="B3244" s="0" t="n">
        <v>11</v>
      </c>
      <c r="C3244" s="0" t="n">
        <v>1.4</v>
      </c>
      <c r="D3244" s="0" t="n">
        <v>0</v>
      </c>
    </row>
    <row r="3245" customFormat="false" ht="13.8" hidden="true" customHeight="false" outlineLevel="0" collapsed="false">
      <c r="A3245" s="0" t="s">
        <v>726</v>
      </c>
      <c r="B3245" s="0" t="n">
        <v>11</v>
      </c>
      <c r="C3245" s="0" t="n">
        <v>1.45</v>
      </c>
      <c r="D3245" s="0" t="n">
        <v>0</v>
      </c>
    </row>
    <row r="3246" customFormat="false" ht="13.8" hidden="true" customHeight="false" outlineLevel="0" collapsed="false">
      <c r="A3246" s="0" t="s">
        <v>726</v>
      </c>
      <c r="B3246" s="0" t="n">
        <v>11</v>
      </c>
      <c r="C3246" s="0" t="n">
        <v>1.5</v>
      </c>
      <c r="D3246" s="0" t="n">
        <v>0</v>
      </c>
    </row>
    <row r="3247" customFormat="false" ht="13.8" hidden="true" customHeight="false" outlineLevel="0" collapsed="false">
      <c r="A3247" s="0" t="s">
        <v>726</v>
      </c>
      <c r="B3247" s="0" t="n">
        <v>11</v>
      </c>
      <c r="C3247" s="0" t="n">
        <v>1.55</v>
      </c>
      <c r="D3247" s="0" t="n">
        <v>0</v>
      </c>
    </row>
    <row r="3248" customFormat="false" ht="13.8" hidden="true" customHeight="false" outlineLevel="0" collapsed="false">
      <c r="A3248" s="0" t="s">
        <v>726</v>
      </c>
      <c r="B3248" s="0" t="n">
        <v>11</v>
      </c>
      <c r="C3248" s="0" t="n">
        <v>1.6</v>
      </c>
      <c r="D3248" s="0" t="n">
        <v>0.028</v>
      </c>
    </row>
    <row r="3249" customFormat="false" ht="13.8" hidden="true" customHeight="false" outlineLevel="0" collapsed="false">
      <c r="A3249" s="0" t="s">
        <v>726</v>
      </c>
      <c r="B3249" s="0" t="n">
        <v>11</v>
      </c>
      <c r="C3249" s="0" t="n">
        <v>1.65</v>
      </c>
      <c r="D3249" s="0" t="n">
        <v>0.029</v>
      </c>
    </row>
    <row r="3250" customFormat="false" ht="13.8" hidden="true" customHeight="false" outlineLevel="0" collapsed="false">
      <c r="A3250" s="0" t="s">
        <v>726</v>
      </c>
      <c r="B3250" s="0" t="n">
        <v>11</v>
      </c>
      <c r="C3250" s="0" t="n">
        <v>1.7</v>
      </c>
      <c r="D3250" s="0" t="n">
        <v>0.03</v>
      </c>
    </row>
    <row r="3251" customFormat="false" ht="13.8" hidden="true" customHeight="false" outlineLevel="0" collapsed="false">
      <c r="A3251" s="0" t="s">
        <v>726</v>
      </c>
      <c r="B3251" s="0" t="n">
        <v>11</v>
      </c>
      <c r="C3251" s="0" t="n">
        <v>1.75</v>
      </c>
      <c r="D3251" s="0" t="n">
        <v>0.031</v>
      </c>
    </row>
    <row r="3252" customFormat="false" ht="13.8" hidden="true" customHeight="false" outlineLevel="0" collapsed="false">
      <c r="A3252" s="0" t="s">
        <v>726</v>
      </c>
      <c r="B3252" s="0" t="n">
        <v>11</v>
      </c>
      <c r="C3252" s="0" t="n">
        <v>1.8</v>
      </c>
      <c r="D3252" s="0" t="n">
        <v>0.034</v>
      </c>
    </row>
    <row r="3253" customFormat="false" ht="13.8" hidden="true" customHeight="false" outlineLevel="0" collapsed="false">
      <c r="A3253" s="0" t="s">
        <v>726</v>
      </c>
      <c r="B3253" s="0" t="n">
        <v>11</v>
      </c>
      <c r="C3253" s="0" t="n">
        <v>1.85</v>
      </c>
      <c r="D3253" s="0" t="n">
        <v>0.035</v>
      </c>
    </row>
    <row r="3254" customFormat="false" ht="13.8" hidden="true" customHeight="false" outlineLevel="0" collapsed="false">
      <c r="A3254" s="0" t="s">
        <v>726</v>
      </c>
      <c r="B3254" s="0" t="n">
        <v>11</v>
      </c>
      <c r="C3254" s="0" t="n">
        <v>1.9</v>
      </c>
      <c r="D3254" s="0" t="n">
        <v>0.036</v>
      </c>
    </row>
    <row r="3255" customFormat="false" ht="13.8" hidden="true" customHeight="false" outlineLevel="0" collapsed="false">
      <c r="A3255" s="0" t="s">
        <v>726</v>
      </c>
      <c r="B3255" s="0" t="n">
        <v>11</v>
      </c>
      <c r="C3255" s="0" t="n">
        <v>1.95</v>
      </c>
      <c r="D3255" s="0" t="n">
        <v>0.036</v>
      </c>
    </row>
    <row r="3256" customFormat="false" ht="13.8" hidden="true" customHeight="false" outlineLevel="0" collapsed="false">
      <c r="A3256" s="0" t="s">
        <v>726</v>
      </c>
      <c r="B3256" s="0" t="n">
        <v>11</v>
      </c>
      <c r="C3256" s="0" t="n">
        <v>2</v>
      </c>
      <c r="D3256" s="0" t="n">
        <v>0.039566549</v>
      </c>
    </row>
    <row r="3257" customFormat="false" ht="13.8" hidden="true" customHeight="false" outlineLevel="0" collapsed="false">
      <c r="A3257" s="0" t="s">
        <v>726</v>
      </c>
      <c r="B3257" s="0" t="n">
        <v>11</v>
      </c>
      <c r="C3257" s="0" t="n">
        <v>2.05</v>
      </c>
      <c r="D3257" s="0" t="n">
        <v>0.040555713</v>
      </c>
    </row>
    <row r="3258" customFormat="false" ht="13.8" hidden="true" customHeight="false" outlineLevel="0" collapsed="false">
      <c r="A3258" s="0" t="s">
        <v>726</v>
      </c>
      <c r="B3258" s="0" t="n">
        <v>11</v>
      </c>
      <c r="C3258" s="0" t="n">
        <v>2.1</v>
      </c>
      <c r="D3258" s="0" t="n">
        <v>0.041544877</v>
      </c>
    </row>
    <row r="3259" customFormat="false" ht="13.8" hidden="true" customHeight="false" outlineLevel="0" collapsed="false">
      <c r="A3259" s="0" t="s">
        <v>726</v>
      </c>
      <c r="B3259" s="0" t="n">
        <v>11</v>
      </c>
      <c r="C3259" s="0" t="n">
        <v>2.15</v>
      </c>
      <c r="D3259" s="0" t="n">
        <v>0.04253404</v>
      </c>
    </row>
    <row r="3260" customFormat="false" ht="13.8" hidden="true" customHeight="false" outlineLevel="0" collapsed="false">
      <c r="A3260" s="0" t="s">
        <v>726</v>
      </c>
      <c r="B3260" s="0" t="n">
        <v>11</v>
      </c>
      <c r="C3260" s="0" t="n">
        <v>2.2</v>
      </c>
      <c r="D3260" s="0" t="n">
        <v>0.041382052</v>
      </c>
    </row>
    <row r="3261" customFormat="false" ht="13.8" hidden="true" customHeight="false" outlineLevel="0" collapsed="false">
      <c r="A3261" s="0" t="s">
        <v>726</v>
      </c>
      <c r="B3261" s="0" t="n">
        <v>11</v>
      </c>
      <c r="C3261" s="0" t="n">
        <v>2.25</v>
      </c>
      <c r="D3261" s="0" t="n">
        <v>0.042322553</v>
      </c>
    </row>
    <row r="3262" customFormat="false" ht="13.8" hidden="true" customHeight="false" outlineLevel="0" collapsed="false">
      <c r="A3262" s="0" t="s">
        <v>726</v>
      </c>
      <c r="B3262" s="0" t="n">
        <v>11</v>
      </c>
      <c r="C3262" s="0" t="n">
        <v>2.3</v>
      </c>
      <c r="D3262" s="0" t="n">
        <v>0.043263055</v>
      </c>
    </row>
    <row r="3263" customFormat="false" ht="13.8" hidden="true" customHeight="false" outlineLevel="0" collapsed="false">
      <c r="A3263" s="0" t="s">
        <v>726</v>
      </c>
      <c r="B3263" s="0" t="n">
        <v>11</v>
      </c>
      <c r="C3263" s="0" t="n">
        <v>2.35</v>
      </c>
      <c r="D3263" s="0" t="n">
        <v>0.044203556</v>
      </c>
    </row>
    <row r="3264" customFormat="false" ht="13.8" hidden="true" customHeight="false" outlineLevel="0" collapsed="false">
      <c r="A3264" s="0" t="s">
        <v>726</v>
      </c>
      <c r="B3264" s="0" t="n">
        <v>11</v>
      </c>
      <c r="C3264" s="0" t="n">
        <v>2.4</v>
      </c>
      <c r="D3264" s="0" t="n">
        <v>0.045144057</v>
      </c>
    </row>
    <row r="3265" customFormat="false" ht="13.8" hidden="true" customHeight="false" outlineLevel="0" collapsed="false">
      <c r="A3265" s="0" t="s">
        <v>726</v>
      </c>
      <c r="B3265" s="0" t="n">
        <v>11</v>
      </c>
      <c r="C3265" s="0" t="n">
        <v>2.45</v>
      </c>
      <c r="D3265" s="0" t="n">
        <v>0.046084558</v>
      </c>
    </row>
    <row r="3266" customFormat="false" ht="13.8" hidden="true" customHeight="false" outlineLevel="0" collapsed="false">
      <c r="A3266" s="0" t="s">
        <v>726</v>
      </c>
      <c r="B3266" s="0" t="n">
        <v>11</v>
      </c>
      <c r="C3266" s="0" t="n">
        <v>2.5</v>
      </c>
      <c r="D3266" s="0" t="n">
        <v>0.047025059</v>
      </c>
    </row>
    <row r="3267" customFormat="false" ht="13.8" hidden="true" customHeight="false" outlineLevel="0" collapsed="false">
      <c r="A3267" s="0" t="s">
        <v>726</v>
      </c>
      <c r="B3267" s="0" t="n">
        <v>11</v>
      </c>
      <c r="C3267" s="0" t="n">
        <v>2.55</v>
      </c>
      <c r="D3267" s="0" t="n">
        <v>0.047965561</v>
      </c>
    </row>
    <row r="3268" customFormat="false" ht="13.8" hidden="true" customHeight="false" outlineLevel="0" collapsed="false">
      <c r="A3268" s="0" t="s">
        <v>726</v>
      </c>
      <c r="B3268" s="0" t="n">
        <v>11</v>
      </c>
      <c r="C3268" s="0" t="n">
        <v>2.6</v>
      </c>
      <c r="D3268" s="0" t="n">
        <v>0.048906062</v>
      </c>
    </row>
    <row r="3269" customFormat="false" ht="13.8" hidden="true" customHeight="false" outlineLevel="0" collapsed="false">
      <c r="A3269" s="0" t="s">
        <v>726</v>
      </c>
      <c r="B3269" s="0" t="n">
        <v>12</v>
      </c>
      <c r="C3269" s="0" t="n">
        <v>1.3</v>
      </c>
      <c r="D3269" s="0" t="n">
        <v>0</v>
      </c>
    </row>
    <row r="3270" customFormat="false" ht="13.8" hidden="true" customHeight="false" outlineLevel="0" collapsed="false">
      <c r="A3270" s="0" t="s">
        <v>726</v>
      </c>
      <c r="B3270" s="0" t="n">
        <v>12</v>
      </c>
      <c r="C3270" s="0" t="n">
        <v>1.35</v>
      </c>
      <c r="D3270" s="0" t="n">
        <v>0</v>
      </c>
    </row>
    <row r="3271" customFormat="false" ht="13.8" hidden="true" customHeight="false" outlineLevel="0" collapsed="false">
      <c r="A3271" s="0" t="s">
        <v>726</v>
      </c>
      <c r="B3271" s="0" t="n">
        <v>12</v>
      </c>
      <c r="C3271" s="0" t="n">
        <v>1.4</v>
      </c>
      <c r="D3271" s="0" t="n">
        <v>0</v>
      </c>
    </row>
    <row r="3272" customFormat="false" ht="13.8" hidden="true" customHeight="false" outlineLevel="0" collapsed="false">
      <c r="A3272" s="0" t="s">
        <v>726</v>
      </c>
      <c r="B3272" s="0" t="n">
        <v>12</v>
      </c>
      <c r="C3272" s="0" t="n">
        <v>1.45</v>
      </c>
      <c r="D3272" s="0" t="n">
        <v>0</v>
      </c>
    </row>
    <row r="3273" customFormat="false" ht="13.8" hidden="true" customHeight="false" outlineLevel="0" collapsed="false">
      <c r="A3273" s="0" t="s">
        <v>726</v>
      </c>
      <c r="B3273" s="0" t="n">
        <v>12</v>
      </c>
      <c r="C3273" s="0" t="n">
        <v>1.5</v>
      </c>
      <c r="D3273" s="0" t="n">
        <v>0</v>
      </c>
    </row>
    <row r="3274" customFormat="false" ht="13.8" hidden="true" customHeight="false" outlineLevel="0" collapsed="false">
      <c r="A3274" s="0" t="s">
        <v>726</v>
      </c>
      <c r="B3274" s="0" t="n">
        <v>12</v>
      </c>
      <c r="C3274" s="0" t="n">
        <v>1.55</v>
      </c>
      <c r="D3274" s="0" t="n">
        <v>0</v>
      </c>
    </row>
    <row r="3275" customFormat="false" ht="13.8" hidden="true" customHeight="false" outlineLevel="0" collapsed="false">
      <c r="A3275" s="0" t="s">
        <v>726</v>
      </c>
      <c r="B3275" s="0" t="n">
        <v>12</v>
      </c>
      <c r="C3275" s="0" t="n">
        <v>1.6</v>
      </c>
      <c r="D3275" s="0" t="n">
        <v>0.028</v>
      </c>
    </row>
    <row r="3276" customFormat="false" ht="13.8" hidden="true" customHeight="false" outlineLevel="0" collapsed="false">
      <c r="A3276" s="0" t="s">
        <v>726</v>
      </c>
      <c r="B3276" s="0" t="n">
        <v>12</v>
      </c>
      <c r="C3276" s="0" t="n">
        <v>1.65</v>
      </c>
      <c r="D3276" s="0" t="n">
        <v>0.029</v>
      </c>
    </row>
    <row r="3277" customFormat="false" ht="13.8" hidden="true" customHeight="false" outlineLevel="0" collapsed="false">
      <c r="A3277" s="0" t="s">
        <v>726</v>
      </c>
      <c r="B3277" s="0" t="n">
        <v>12</v>
      </c>
      <c r="C3277" s="0" t="n">
        <v>1.7</v>
      </c>
      <c r="D3277" s="0" t="n">
        <v>0.03</v>
      </c>
    </row>
    <row r="3278" customFormat="false" ht="13.8" hidden="true" customHeight="false" outlineLevel="0" collapsed="false">
      <c r="A3278" s="0" t="s">
        <v>726</v>
      </c>
      <c r="B3278" s="0" t="n">
        <v>12</v>
      </c>
      <c r="C3278" s="0" t="n">
        <v>1.75</v>
      </c>
      <c r="D3278" s="0" t="n">
        <v>0.031</v>
      </c>
    </row>
    <row r="3279" customFormat="false" ht="13.8" hidden="true" customHeight="false" outlineLevel="0" collapsed="false">
      <c r="A3279" s="0" t="s">
        <v>726</v>
      </c>
      <c r="B3279" s="0" t="n">
        <v>12</v>
      </c>
      <c r="C3279" s="0" t="n">
        <v>1.8</v>
      </c>
      <c r="D3279" s="0" t="n">
        <v>0.034</v>
      </c>
    </row>
    <row r="3280" customFormat="false" ht="13.8" hidden="true" customHeight="false" outlineLevel="0" collapsed="false">
      <c r="A3280" s="0" t="s">
        <v>726</v>
      </c>
      <c r="B3280" s="0" t="n">
        <v>12</v>
      </c>
      <c r="C3280" s="0" t="n">
        <v>1.85</v>
      </c>
      <c r="D3280" s="0" t="n">
        <v>0.035</v>
      </c>
    </row>
    <row r="3281" customFormat="false" ht="13.8" hidden="true" customHeight="false" outlineLevel="0" collapsed="false">
      <c r="A3281" s="0" t="s">
        <v>726</v>
      </c>
      <c r="B3281" s="0" t="n">
        <v>12</v>
      </c>
      <c r="C3281" s="0" t="n">
        <v>1.9</v>
      </c>
      <c r="D3281" s="0" t="n">
        <v>0.036</v>
      </c>
    </row>
    <row r="3282" customFormat="false" ht="13.8" hidden="true" customHeight="false" outlineLevel="0" collapsed="false">
      <c r="A3282" s="0" t="s">
        <v>726</v>
      </c>
      <c r="B3282" s="0" t="n">
        <v>12</v>
      </c>
      <c r="C3282" s="0" t="n">
        <v>1.95</v>
      </c>
      <c r="D3282" s="0" t="n">
        <v>0.036</v>
      </c>
    </row>
    <row r="3283" customFormat="false" ht="13.8" hidden="true" customHeight="false" outlineLevel="0" collapsed="false">
      <c r="A3283" s="0" t="s">
        <v>726</v>
      </c>
      <c r="B3283" s="0" t="n">
        <v>12</v>
      </c>
      <c r="C3283" s="0" t="n">
        <v>2</v>
      </c>
      <c r="D3283" s="0" t="n">
        <v>0.039566549</v>
      </c>
    </row>
    <row r="3284" customFormat="false" ht="13.8" hidden="true" customHeight="false" outlineLevel="0" collapsed="false">
      <c r="A3284" s="0" t="s">
        <v>726</v>
      </c>
      <c r="B3284" s="0" t="n">
        <v>12</v>
      </c>
      <c r="C3284" s="0" t="n">
        <v>2.05</v>
      </c>
      <c r="D3284" s="0" t="n">
        <v>0.040555713</v>
      </c>
    </row>
    <row r="3285" customFormat="false" ht="13.8" hidden="true" customHeight="false" outlineLevel="0" collapsed="false">
      <c r="A3285" s="0" t="s">
        <v>726</v>
      </c>
      <c r="B3285" s="0" t="n">
        <v>12</v>
      </c>
      <c r="C3285" s="0" t="n">
        <v>2.1</v>
      </c>
      <c r="D3285" s="0" t="n">
        <v>0.041544877</v>
      </c>
    </row>
    <row r="3286" customFormat="false" ht="13.8" hidden="true" customHeight="false" outlineLevel="0" collapsed="false">
      <c r="A3286" s="0" t="s">
        <v>726</v>
      </c>
      <c r="B3286" s="0" t="n">
        <v>12</v>
      </c>
      <c r="C3286" s="0" t="n">
        <v>2.15</v>
      </c>
      <c r="D3286" s="0" t="n">
        <v>0.04253404</v>
      </c>
    </row>
    <row r="3287" customFormat="false" ht="13.8" hidden="true" customHeight="false" outlineLevel="0" collapsed="false">
      <c r="A3287" s="0" t="s">
        <v>726</v>
      </c>
      <c r="B3287" s="0" t="n">
        <v>12</v>
      </c>
      <c r="C3287" s="0" t="n">
        <v>2.2</v>
      </c>
      <c r="D3287" s="0" t="n">
        <v>0.041382052</v>
      </c>
    </row>
    <row r="3288" customFormat="false" ht="13.8" hidden="true" customHeight="false" outlineLevel="0" collapsed="false">
      <c r="A3288" s="0" t="s">
        <v>726</v>
      </c>
      <c r="B3288" s="0" t="n">
        <v>12</v>
      </c>
      <c r="C3288" s="0" t="n">
        <v>2.25</v>
      </c>
      <c r="D3288" s="0" t="n">
        <v>0.042322553</v>
      </c>
    </row>
    <row r="3289" customFormat="false" ht="13.8" hidden="true" customHeight="false" outlineLevel="0" collapsed="false">
      <c r="A3289" s="0" t="s">
        <v>726</v>
      </c>
      <c r="B3289" s="0" t="n">
        <v>12</v>
      </c>
      <c r="C3289" s="0" t="n">
        <v>2.3</v>
      </c>
      <c r="D3289" s="0" t="n">
        <v>0.043263055</v>
      </c>
    </row>
    <row r="3290" customFormat="false" ht="13.8" hidden="true" customHeight="false" outlineLevel="0" collapsed="false">
      <c r="A3290" s="0" t="s">
        <v>726</v>
      </c>
      <c r="B3290" s="0" t="n">
        <v>12</v>
      </c>
      <c r="C3290" s="0" t="n">
        <v>2.35</v>
      </c>
      <c r="D3290" s="0" t="n">
        <v>0.044203556</v>
      </c>
    </row>
    <row r="3291" customFormat="false" ht="13.8" hidden="true" customHeight="false" outlineLevel="0" collapsed="false">
      <c r="A3291" s="0" t="s">
        <v>726</v>
      </c>
      <c r="B3291" s="0" t="n">
        <v>12</v>
      </c>
      <c r="C3291" s="0" t="n">
        <v>2.4</v>
      </c>
      <c r="D3291" s="0" t="n">
        <v>0.045144057</v>
      </c>
    </row>
    <row r="3292" customFormat="false" ht="13.8" hidden="true" customHeight="false" outlineLevel="0" collapsed="false">
      <c r="A3292" s="0" t="s">
        <v>726</v>
      </c>
      <c r="B3292" s="0" t="n">
        <v>12</v>
      </c>
      <c r="C3292" s="0" t="n">
        <v>2.45</v>
      </c>
      <c r="D3292" s="0" t="n">
        <v>0.046084558</v>
      </c>
    </row>
    <row r="3293" customFormat="false" ht="13.8" hidden="true" customHeight="false" outlineLevel="0" collapsed="false">
      <c r="A3293" s="0" t="s">
        <v>726</v>
      </c>
      <c r="B3293" s="0" t="n">
        <v>12</v>
      </c>
      <c r="C3293" s="0" t="n">
        <v>2.5</v>
      </c>
      <c r="D3293" s="0" t="n">
        <v>0.047025059</v>
      </c>
    </row>
    <row r="3294" customFormat="false" ht="13.8" hidden="true" customHeight="false" outlineLevel="0" collapsed="false">
      <c r="A3294" s="0" t="s">
        <v>726</v>
      </c>
      <c r="B3294" s="0" t="n">
        <v>12</v>
      </c>
      <c r="C3294" s="0" t="n">
        <v>2.55</v>
      </c>
      <c r="D3294" s="0" t="n">
        <v>0.047965561</v>
      </c>
    </row>
    <row r="3295" customFormat="false" ht="13.8" hidden="true" customHeight="false" outlineLevel="0" collapsed="false">
      <c r="A3295" s="0" t="s">
        <v>726</v>
      </c>
      <c r="B3295" s="0" t="n">
        <v>12</v>
      </c>
      <c r="C3295" s="0" t="n">
        <v>2.6</v>
      </c>
      <c r="D3295" s="0" t="n">
        <v>0.048906062</v>
      </c>
    </row>
    <row r="3296" customFormat="false" ht="13.8" hidden="true" customHeight="false" outlineLevel="0" collapsed="false">
      <c r="A3296" s="0" t="s">
        <v>726</v>
      </c>
      <c r="B3296" s="0" t="n">
        <v>13</v>
      </c>
      <c r="C3296" s="0" t="n">
        <v>1.3</v>
      </c>
      <c r="D3296" s="0" t="n">
        <v>0</v>
      </c>
    </row>
    <row r="3297" customFormat="false" ht="13.8" hidden="true" customHeight="false" outlineLevel="0" collapsed="false">
      <c r="A3297" s="0" t="s">
        <v>726</v>
      </c>
      <c r="B3297" s="0" t="n">
        <v>13</v>
      </c>
      <c r="C3297" s="0" t="n">
        <v>1.35</v>
      </c>
      <c r="D3297" s="0" t="n">
        <v>0</v>
      </c>
    </row>
    <row r="3298" customFormat="false" ht="13.8" hidden="true" customHeight="false" outlineLevel="0" collapsed="false">
      <c r="A3298" s="0" t="s">
        <v>726</v>
      </c>
      <c r="B3298" s="0" t="n">
        <v>13</v>
      </c>
      <c r="C3298" s="0" t="n">
        <v>1.4</v>
      </c>
      <c r="D3298" s="0" t="n">
        <v>0</v>
      </c>
    </row>
    <row r="3299" customFormat="false" ht="13.8" hidden="true" customHeight="false" outlineLevel="0" collapsed="false">
      <c r="A3299" s="0" t="s">
        <v>726</v>
      </c>
      <c r="B3299" s="0" t="n">
        <v>13</v>
      </c>
      <c r="C3299" s="0" t="n">
        <v>1.45</v>
      </c>
      <c r="D3299" s="0" t="n">
        <v>0</v>
      </c>
    </row>
    <row r="3300" customFormat="false" ht="13.8" hidden="true" customHeight="false" outlineLevel="0" collapsed="false">
      <c r="A3300" s="0" t="s">
        <v>726</v>
      </c>
      <c r="B3300" s="0" t="n">
        <v>13</v>
      </c>
      <c r="C3300" s="0" t="n">
        <v>1.5</v>
      </c>
      <c r="D3300" s="0" t="n">
        <v>0</v>
      </c>
    </row>
    <row r="3301" customFormat="false" ht="13.8" hidden="true" customHeight="false" outlineLevel="0" collapsed="false">
      <c r="A3301" s="0" t="s">
        <v>726</v>
      </c>
      <c r="B3301" s="0" t="n">
        <v>13</v>
      </c>
      <c r="C3301" s="0" t="n">
        <v>1.55</v>
      </c>
      <c r="D3301" s="0" t="n">
        <v>0</v>
      </c>
    </row>
    <row r="3302" customFormat="false" ht="13.8" hidden="true" customHeight="false" outlineLevel="0" collapsed="false">
      <c r="A3302" s="0" t="s">
        <v>726</v>
      </c>
      <c r="B3302" s="0" t="n">
        <v>13</v>
      </c>
      <c r="C3302" s="0" t="n">
        <v>1.6</v>
      </c>
      <c r="D3302" s="0" t="n">
        <v>0.028</v>
      </c>
    </row>
    <row r="3303" customFormat="false" ht="13.8" hidden="true" customHeight="false" outlineLevel="0" collapsed="false">
      <c r="A3303" s="0" t="s">
        <v>726</v>
      </c>
      <c r="B3303" s="0" t="n">
        <v>13</v>
      </c>
      <c r="C3303" s="0" t="n">
        <v>1.65</v>
      </c>
      <c r="D3303" s="0" t="n">
        <v>0.029</v>
      </c>
    </row>
    <row r="3304" customFormat="false" ht="13.8" hidden="true" customHeight="false" outlineLevel="0" collapsed="false">
      <c r="A3304" s="0" t="s">
        <v>726</v>
      </c>
      <c r="B3304" s="0" t="n">
        <v>13</v>
      </c>
      <c r="C3304" s="0" t="n">
        <v>1.7</v>
      </c>
      <c r="D3304" s="0" t="n">
        <v>0.03</v>
      </c>
    </row>
    <row r="3305" customFormat="false" ht="13.8" hidden="true" customHeight="false" outlineLevel="0" collapsed="false">
      <c r="A3305" s="0" t="s">
        <v>726</v>
      </c>
      <c r="B3305" s="0" t="n">
        <v>13</v>
      </c>
      <c r="C3305" s="0" t="n">
        <v>1.75</v>
      </c>
      <c r="D3305" s="0" t="n">
        <v>0.031</v>
      </c>
    </row>
    <row r="3306" customFormat="false" ht="13.8" hidden="true" customHeight="false" outlineLevel="0" collapsed="false">
      <c r="A3306" s="0" t="s">
        <v>726</v>
      </c>
      <c r="B3306" s="0" t="n">
        <v>13</v>
      </c>
      <c r="C3306" s="0" t="n">
        <v>1.8</v>
      </c>
      <c r="D3306" s="0" t="n">
        <v>0.034</v>
      </c>
    </row>
    <row r="3307" customFormat="false" ht="13.8" hidden="true" customHeight="false" outlineLevel="0" collapsed="false">
      <c r="A3307" s="0" t="s">
        <v>726</v>
      </c>
      <c r="B3307" s="0" t="n">
        <v>13</v>
      </c>
      <c r="C3307" s="0" t="n">
        <v>1.85</v>
      </c>
      <c r="D3307" s="0" t="n">
        <v>0.035</v>
      </c>
    </row>
    <row r="3308" customFormat="false" ht="13.8" hidden="true" customHeight="false" outlineLevel="0" collapsed="false">
      <c r="A3308" s="0" t="s">
        <v>726</v>
      </c>
      <c r="B3308" s="0" t="n">
        <v>13</v>
      </c>
      <c r="C3308" s="0" t="n">
        <v>1.9</v>
      </c>
      <c r="D3308" s="0" t="n">
        <v>0.036</v>
      </c>
    </row>
    <row r="3309" customFormat="false" ht="13.8" hidden="true" customHeight="false" outlineLevel="0" collapsed="false">
      <c r="A3309" s="0" t="s">
        <v>726</v>
      </c>
      <c r="B3309" s="0" t="n">
        <v>13</v>
      </c>
      <c r="C3309" s="0" t="n">
        <v>1.95</v>
      </c>
      <c r="D3309" s="0" t="n">
        <v>0.036</v>
      </c>
    </row>
    <row r="3310" customFormat="false" ht="13.8" hidden="true" customHeight="false" outlineLevel="0" collapsed="false">
      <c r="A3310" s="0" t="s">
        <v>726</v>
      </c>
      <c r="B3310" s="0" t="n">
        <v>13</v>
      </c>
      <c r="C3310" s="0" t="n">
        <v>2</v>
      </c>
      <c r="D3310" s="0" t="n">
        <v>0.039566549</v>
      </c>
    </row>
    <row r="3311" customFormat="false" ht="13.8" hidden="true" customHeight="false" outlineLevel="0" collapsed="false">
      <c r="A3311" s="0" t="s">
        <v>726</v>
      </c>
      <c r="B3311" s="0" t="n">
        <v>13</v>
      </c>
      <c r="C3311" s="0" t="n">
        <v>2.05</v>
      </c>
      <c r="D3311" s="0" t="n">
        <v>0.040555713</v>
      </c>
    </row>
    <row r="3312" customFormat="false" ht="13.8" hidden="true" customHeight="false" outlineLevel="0" collapsed="false">
      <c r="A3312" s="0" t="s">
        <v>726</v>
      </c>
      <c r="B3312" s="0" t="n">
        <v>13</v>
      </c>
      <c r="C3312" s="0" t="n">
        <v>2.1</v>
      </c>
      <c r="D3312" s="0" t="n">
        <v>0.041544877</v>
      </c>
    </row>
    <row r="3313" customFormat="false" ht="13.8" hidden="true" customHeight="false" outlineLevel="0" collapsed="false">
      <c r="A3313" s="0" t="s">
        <v>726</v>
      </c>
      <c r="B3313" s="0" t="n">
        <v>13</v>
      </c>
      <c r="C3313" s="0" t="n">
        <v>2.15</v>
      </c>
      <c r="D3313" s="0" t="n">
        <v>0.04253404</v>
      </c>
    </row>
    <row r="3314" customFormat="false" ht="13.8" hidden="true" customHeight="false" outlineLevel="0" collapsed="false">
      <c r="A3314" s="0" t="s">
        <v>726</v>
      </c>
      <c r="B3314" s="0" t="n">
        <v>13</v>
      </c>
      <c r="C3314" s="0" t="n">
        <v>2.2</v>
      </c>
      <c r="D3314" s="0" t="n">
        <v>0.041382052</v>
      </c>
    </row>
    <row r="3315" customFormat="false" ht="13.8" hidden="true" customHeight="false" outlineLevel="0" collapsed="false">
      <c r="A3315" s="0" t="s">
        <v>726</v>
      </c>
      <c r="B3315" s="0" t="n">
        <v>13</v>
      </c>
      <c r="C3315" s="0" t="n">
        <v>2.25</v>
      </c>
      <c r="D3315" s="0" t="n">
        <v>0.042322553</v>
      </c>
    </row>
    <row r="3316" customFormat="false" ht="13.8" hidden="true" customHeight="false" outlineLevel="0" collapsed="false">
      <c r="A3316" s="0" t="s">
        <v>726</v>
      </c>
      <c r="B3316" s="0" t="n">
        <v>13</v>
      </c>
      <c r="C3316" s="0" t="n">
        <v>2.3</v>
      </c>
      <c r="D3316" s="0" t="n">
        <v>0.043263055</v>
      </c>
    </row>
    <row r="3317" customFormat="false" ht="13.8" hidden="true" customHeight="false" outlineLevel="0" collapsed="false">
      <c r="A3317" s="0" t="s">
        <v>726</v>
      </c>
      <c r="B3317" s="0" t="n">
        <v>13</v>
      </c>
      <c r="C3317" s="0" t="n">
        <v>2.35</v>
      </c>
      <c r="D3317" s="0" t="n">
        <v>0.044203556</v>
      </c>
    </row>
    <row r="3318" customFormat="false" ht="13.8" hidden="true" customHeight="false" outlineLevel="0" collapsed="false">
      <c r="A3318" s="0" t="s">
        <v>726</v>
      </c>
      <c r="B3318" s="0" t="n">
        <v>13</v>
      </c>
      <c r="C3318" s="0" t="n">
        <v>2.4</v>
      </c>
      <c r="D3318" s="0" t="n">
        <v>0.045144057</v>
      </c>
    </row>
    <row r="3319" customFormat="false" ht="13.8" hidden="true" customHeight="false" outlineLevel="0" collapsed="false">
      <c r="A3319" s="0" t="s">
        <v>726</v>
      </c>
      <c r="B3319" s="0" t="n">
        <v>13</v>
      </c>
      <c r="C3319" s="0" t="n">
        <v>2.45</v>
      </c>
      <c r="D3319" s="0" t="n">
        <v>0.046084558</v>
      </c>
    </row>
    <row r="3320" customFormat="false" ht="13.8" hidden="true" customHeight="false" outlineLevel="0" collapsed="false">
      <c r="A3320" s="0" t="s">
        <v>726</v>
      </c>
      <c r="B3320" s="0" t="n">
        <v>13</v>
      </c>
      <c r="C3320" s="0" t="n">
        <v>2.5</v>
      </c>
      <c r="D3320" s="0" t="n">
        <v>0.047025059</v>
      </c>
    </row>
    <row r="3321" customFormat="false" ht="13.8" hidden="true" customHeight="false" outlineLevel="0" collapsed="false">
      <c r="A3321" s="0" t="s">
        <v>726</v>
      </c>
      <c r="B3321" s="0" t="n">
        <v>13</v>
      </c>
      <c r="C3321" s="0" t="n">
        <v>2.55</v>
      </c>
      <c r="D3321" s="0" t="n">
        <v>0.047965561</v>
      </c>
    </row>
    <row r="3322" customFormat="false" ht="13.8" hidden="true" customHeight="false" outlineLevel="0" collapsed="false">
      <c r="A3322" s="0" t="s">
        <v>726</v>
      </c>
      <c r="B3322" s="0" t="n">
        <v>13</v>
      </c>
      <c r="C3322" s="0" t="n">
        <v>2.6</v>
      </c>
      <c r="D3322" s="0" t="n">
        <v>0.048906062</v>
      </c>
    </row>
    <row r="3323" customFormat="false" ht="13.8" hidden="true" customHeight="false" outlineLevel="0" collapsed="false">
      <c r="A3323" s="0" t="s">
        <v>726</v>
      </c>
      <c r="B3323" s="0" t="n">
        <v>14</v>
      </c>
      <c r="C3323" s="0" t="n">
        <v>1.3</v>
      </c>
      <c r="D3323" s="0" t="n">
        <v>0</v>
      </c>
    </row>
    <row r="3324" customFormat="false" ht="13.8" hidden="true" customHeight="false" outlineLevel="0" collapsed="false">
      <c r="A3324" s="0" t="s">
        <v>726</v>
      </c>
      <c r="B3324" s="0" t="n">
        <v>14</v>
      </c>
      <c r="C3324" s="0" t="n">
        <v>1.35</v>
      </c>
      <c r="D3324" s="0" t="n">
        <v>0</v>
      </c>
    </row>
    <row r="3325" customFormat="false" ht="13.8" hidden="true" customHeight="false" outlineLevel="0" collapsed="false">
      <c r="A3325" s="0" t="s">
        <v>726</v>
      </c>
      <c r="B3325" s="0" t="n">
        <v>14</v>
      </c>
      <c r="C3325" s="0" t="n">
        <v>1.4</v>
      </c>
      <c r="D3325" s="0" t="n">
        <v>0</v>
      </c>
    </row>
    <row r="3326" customFormat="false" ht="13.8" hidden="true" customHeight="false" outlineLevel="0" collapsed="false">
      <c r="A3326" s="0" t="s">
        <v>726</v>
      </c>
      <c r="B3326" s="0" t="n">
        <v>14</v>
      </c>
      <c r="C3326" s="0" t="n">
        <v>1.45</v>
      </c>
      <c r="D3326" s="0" t="n">
        <v>0</v>
      </c>
    </row>
    <row r="3327" customFormat="false" ht="13.8" hidden="true" customHeight="false" outlineLevel="0" collapsed="false">
      <c r="A3327" s="0" t="s">
        <v>726</v>
      </c>
      <c r="B3327" s="0" t="n">
        <v>14</v>
      </c>
      <c r="C3327" s="0" t="n">
        <v>1.5</v>
      </c>
      <c r="D3327" s="0" t="n">
        <v>0</v>
      </c>
    </row>
    <row r="3328" customFormat="false" ht="13.8" hidden="true" customHeight="false" outlineLevel="0" collapsed="false">
      <c r="A3328" s="0" t="s">
        <v>726</v>
      </c>
      <c r="B3328" s="0" t="n">
        <v>14</v>
      </c>
      <c r="C3328" s="0" t="n">
        <v>1.55</v>
      </c>
      <c r="D3328" s="0" t="n">
        <v>0</v>
      </c>
    </row>
    <row r="3329" customFormat="false" ht="13.8" hidden="true" customHeight="false" outlineLevel="0" collapsed="false">
      <c r="A3329" s="0" t="s">
        <v>726</v>
      </c>
      <c r="B3329" s="0" t="n">
        <v>14</v>
      </c>
      <c r="C3329" s="0" t="n">
        <v>1.6</v>
      </c>
      <c r="D3329" s="0" t="n">
        <v>0.028</v>
      </c>
    </row>
    <row r="3330" customFormat="false" ht="13.8" hidden="true" customHeight="false" outlineLevel="0" collapsed="false">
      <c r="A3330" s="0" t="s">
        <v>726</v>
      </c>
      <c r="B3330" s="0" t="n">
        <v>14</v>
      </c>
      <c r="C3330" s="0" t="n">
        <v>1.65</v>
      </c>
      <c r="D3330" s="0" t="n">
        <v>0.029</v>
      </c>
    </row>
    <row r="3331" customFormat="false" ht="13.8" hidden="true" customHeight="false" outlineLevel="0" collapsed="false">
      <c r="A3331" s="0" t="s">
        <v>726</v>
      </c>
      <c r="B3331" s="0" t="n">
        <v>14</v>
      </c>
      <c r="C3331" s="0" t="n">
        <v>1.7</v>
      </c>
      <c r="D3331" s="0" t="n">
        <v>0.03</v>
      </c>
    </row>
    <row r="3332" customFormat="false" ht="13.8" hidden="true" customHeight="false" outlineLevel="0" collapsed="false">
      <c r="A3332" s="0" t="s">
        <v>726</v>
      </c>
      <c r="B3332" s="0" t="n">
        <v>14</v>
      </c>
      <c r="C3332" s="0" t="n">
        <v>1.75</v>
      </c>
      <c r="D3332" s="0" t="n">
        <v>0.031</v>
      </c>
    </row>
    <row r="3333" customFormat="false" ht="13.8" hidden="true" customHeight="false" outlineLevel="0" collapsed="false">
      <c r="A3333" s="0" t="s">
        <v>726</v>
      </c>
      <c r="B3333" s="0" t="n">
        <v>14</v>
      </c>
      <c r="C3333" s="0" t="n">
        <v>1.8</v>
      </c>
      <c r="D3333" s="0" t="n">
        <v>0.034</v>
      </c>
    </row>
    <row r="3334" customFormat="false" ht="13.8" hidden="true" customHeight="false" outlineLevel="0" collapsed="false">
      <c r="A3334" s="0" t="s">
        <v>726</v>
      </c>
      <c r="B3334" s="0" t="n">
        <v>14</v>
      </c>
      <c r="C3334" s="0" t="n">
        <v>1.85</v>
      </c>
      <c r="D3334" s="0" t="n">
        <v>0.035</v>
      </c>
    </row>
    <row r="3335" customFormat="false" ht="13.8" hidden="true" customHeight="false" outlineLevel="0" collapsed="false">
      <c r="A3335" s="0" t="s">
        <v>726</v>
      </c>
      <c r="B3335" s="0" t="n">
        <v>14</v>
      </c>
      <c r="C3335" s="0" t="n">
        <v>1.9</v>
      </c>
      <c r="D3335" s="0" t="n">
        <v>0.036</v>
      </c>
    </row>
    <row r="3336" customFormat="false" ht="13.8" hidden="true" customHeight="false" outlineLevel="0" collapsed="false">
      <c r="A3336" s="0" t="s">
        <v>726</v>
      </c>
      <c r="B3336" s="0" t="n">
        <v>14</v>
      </c>
      <c r="C3336" s="0" t="n">
        <v>1.95</v>
      </c>
      <c r="D3336" s="0" t="n">
        <v>0.036</v>
      </c>
    </row>
    <row r="3337" customFormat="false" ht="13.8" hidden="true" customHeight="false" outlineLevel="0" collapsed="false">
      <c r="A3337" s="0" t="s">
        <v>726</v>
      </c>
      <c r="B3337" s="0" t="n">
        <v>14</v>
      </c>
      <c r="C3337" s="0" t="n">
        <v>2</v>
      </c>
      <c r="D3337" s="0" t="n">
        <v>0.039566549</v>
      </c>
    </row>
    <row r="3338" customFormat="false" ht="13.8" hidden="true" customHeight="false" outlineLevel="0" collapsed="false">
      <c r="A3338" s="0" t="s">
        <v>726</v>
      </c>
      <c r="B3338" s="0" t="n">
        <v>14</v>
      </c>
      <c r="C3338" s="0" t="n">
        <v>2.05</v>
      </c>
      <c r="D3338" s="0" t="n">
        <v>0.040555713</v>
      </c>
    </row>
    <row r="3339" customFormat="false" ht="13.8" hidden="true" customHeight="false" outlineLevel="0" collapsed="false">
      <c r="A3339" s="0" t="s">
        <v>726</v>
      </c>
      <c r="B3339" s="0" t="n">
        <v>14</v>
      </c>
      <c r="C3339" s="0" t="n">
        <v>2.1</v>
      </c>
      <c r="D3339" s="0" t="n">
        <v>0.041544877</v>
      </c>
    </row>
    <row r="3340" customFormat="false" ht="13.8" hidden="true" customHeight="false" outlineLevel="0" collapsed="false">
      <c r="A3340" s="0" t="s">
        <v>726</v>
      </c>
      <c r="B3340" s="0" t="n">
        <v>14</v>
      </c>
      <c r="C3340" s="0" t="n">
        <v>2.15</v>
      </c>
      <c r="D3340" s="0" t="n">
        <v>0.04253404</v>
      </c>
    </row>
    <row r="3341" customFormat="false" ht="13.8" hidden="true" customHeight="false" outlineLevel="0" collapsed="false">
      <c r="A3341" s="0" t="s">
        <v>726</v>
      </c>
      <c r="B3341" s="0" t="n">
        <v>14</v>
      </c>
      <c r="C3341" s="0" t="n">
        <v>2.2</v>
      </c>
      <c r="D3341" s="0" t="n">
        <v>0.041382052</v>
      </c>
    </row>
    <row r="3342" customFormat="false" ht="13.8" hidden="true" customHeight="false" outlineLevel="0" collapsed="false">
      <c r="A3342" s="0" t="s">
        <v>726</v>
      </c>
      <c r="B3342" s="0" t="n">
        <v>14</v>
      </c>
      <c r="C3342" s="0" t="n">
        <v>2.25</v>
      </c>
      <c r="D3342" s="0" t="n">
        <v>0.042322553</v>
      </c>
    </row>
    <row r="3343" customFormat="false" ht="13.8" hidden="true" customHeight="false" outlineLevel="0" collapsed="false">
      <c r="A3343" s="0" t="s">
        <v>726</v>
      </c>
      <c r="B3343" s="0" t="n">
        <v>14</v>
      </c>
      <c r="C3343" s="0" t="n">
        <v>2.3</v>
      </c>
      <c r="D3343" s="0" t="n">
        <v>0.043263055</v>
      </c>
    </row>
    <row r="3344" customFormat="false" ht="13.8" hidden="true" customHeight="false" outlineLevel="0" collapsed="false">
      <c r="A3344" s="0" t="s">
        <v>726</v>
      </c>
      <c r="B3344" s="0" t="n">
        <v>14</v>
      </c>
      <c r="C3344" s="0" t="n">
        <v>2.35</v>
      </c>
      <c r="D3344" s="0" t="n">
        <v>0.044203556</v>
      </c>
    </row>
    <row r="3345" customFormat="false" ht="13.8" hidden="true" customHeight="false" outlineLevel="0" collapsed="false">
      <c r="A3345" s="0" t="s">
        <v>726</v>
      </c>
      <c r="B3345" s="0" t="n">
        <v>14</v>
      </c>
      <c r="C3345" s="0" t="n">
        <v>2.4</v>
      </c>
      <c r="D3345" s="0" t="n">
        <v>0.045144057</v>
      </c>
    </row>
    <row r="3346" customFormat="false" ht="13.8" hidden="true" customHeight="false" outlineLevel="0" collapsed="false">
      <c r="A3346" s="0" t="s">
        <v>726</v>
      </c>
      <c r="B3346" s="0" t="n">
        <v>14</v>
      </c>
      <c r="C3346" s="0" t="n">
        <v>2.45</v>
      </c>
      <c r="D3346" s="0" t="n">
        <v>0.046084558</v>
      </c>
    </row>
    <row r="3347" customFormat="false" ht="13.8" hidden="true" customHeight="false" outlineLevel="0" collapsed="false">
      <c r="A3347" s="0" t="s">
        <v>726</v>
      </c>
      <c r="B3347" s="0" t="n">
        <v>14</v>
      </c>
      <c r="C3347" s="0" t="n">
        <v>2.5</v>
      </c>
      <c r="D3347" s="0" t="n">
        <v>0.047025059</v>
      </c>
    </row>
    <row r="3348" customFormat="false" ht="13.8" hidden="true" customHeight="false" outlineLevel="0" collapsed="false">
      <c r="A3348" s="0" t="s">
        <v>726</v>
      </c>
      <c r="B3348" s="0" t="n">
        <v>14</v>
      </c>
      <c r="C3348" s="0" t="n">
        <v>2.55</v>
      </c>
      <c r="D3348" s="0" t="n">
        <v>0.047965561</v>
      </c>
    </row>
    <row r="3349" customFormat="false" ht="13.8" hidden="true" customHeight="false" outlineLevel="0" collapsed="false">
      <c r="A3349" s="0" t="s">
        <v>726</v>
      </c>
      <c r="B3349" s="0" t="n">
        <v>14</v>
      </c>
      <c r="C3349" s="0" t="n">
        <v>2.6</v>
      </c>
      <c r="D3349" s="0" t="n">
        <v>0.048906062</v>
      </c>
    </row>
    <row r="3350" customFormat="false" ht="13.8" hidden="true" customHeight="false" outlineLevel="0" collapsed="false">
      <c r="A3350" s="0" t="s">
        <v>726</v>
      </c>
      <c r="B3350" s="0" t="n">
        <v>15</v>
      </c>
      <c r="C3350" s="0" t="n">
        <v>1.3</v>
      </c>
      <c r="D3350" s="0" t="n">
        <v>0</v>
      </c>
    </row>
    <row r="3351" customFormat="false" ht="13.8" hidden="true" customHeight="false" outlineLevel="0" collapsed="false">
      <c r="A3351" s="0" t="s">
        <v>726</v>
      </c>
      <c r="B3351" s="0" t="n">
        <v>15</v>
      </c>
      <c r="C3351" s="0" t="n">
        <v>1.35</v>
      </c>
      <c r="D3351" s="0" t="n">
        <v>0</v>
      </c>
    </row>
    <row r="3352" customFormat="false" ht="13.8" hidden="true" customHeight="false" outlineLevel="0" collapsed="false">
      <c r="A3352" s="0" t="s">
        <v>726</v>
      </c>
      <c r="B3352" s="0" t="n">
        <v>15</v>
      </c>
      <c r="C3352" s="0" t="n">
        <v>1.4</v>
      </c>
      <c r="D3352" s="0" t="n">
        <v>0</v>
      </c>
    </row>
    <row r="3353" customFormat="false" ht="13.8" hidden="true" customHeight="false" outlineLevel="0" collapsed="false">
      <c r="A3353" s="0" t="s">
        <v>726</v>
      </c>
      <c r="B3353" s="0" t="n">
        <v>15</v>
      </c>
      <c r="C3353" s="0" t="n">
        <v>1.45</v>
      </c>
      <c r="D3353" s="0" t="n">
        <v>0</v>
      </c>
    </row>
    <row r="3354" customFormat="false" ht="13.8" hidden="true" customHeight="false" outlineLevel="0" collapsed="false">
      <c r="A3354" s="0" t="s">
        <v>726</v>
      </c>
      <c r="B3354" s="0" t="n">
        <v>15</v>
      </c>
      <c r="C3354" s="0" t="n">
        <v>1.5</v>
      </c>
      <c r="D3354" s="0" t="n">
        <v>0</v>
      </c>
    </row>
    <row r="3355" customFormat="false" ht="13.8" hidden="true" customHeight="false" outlineLevel="0" collapsed="false">
      <c r="A3355" s="0" t="s">
        <v>726</v>
      </c>
      <c r="B3355" s="0" t="n">
        <v>15</v>
      </c>
      <c r="C3355" s="0" t="n">
        <v>1.55</v>
      </c>
      <c r="D3355" s="0" t="n">
        <v>0</v>
      </c>
    </row>
    <row r="3356" customFormat="false" ht="13.8" hidden="true" customHeight="false" outlineLevel="0" collapsed="false">
      <c r="A3356" s="0" t="s">
        <v>726</v>
      </c>
      <c r="B3356" s="0" t="n">
        <v>15</v>
      </c>
      <c r="C3356" s="0" t="n">
        <v>1.6</v>
      </c>
      <c r="D3356" s="0" t="n">
        <v>0.028</v>
      </c>
    </row>
    <row r="3357" customFormat="false" ht="13.8" hidden="true" customHeight="false" outlineLevel="0" collapsed="false">
      <c r="A3357" s="0" t="s">
        <v>726</v>
      </c>
      <c r="B3357" s="0" t="n">
        <v>15</v>
      </c>
      <c r="C3357" s="0" t="n">
        <v>1.65</v>
      </c>
      <c r="D3357" s="0" t="n">
        <v>0.029</v>
      </c>
    </row>
    <row r="3358" customFormat="false" ht="13.8" hidden="true" customHeight="false" outlineLevel="0" collapsed="false">
      <c r="A3358" s="0" t="s">
        <v>726</v>
      </c>
      <c r="B3358" s="0" t="n">
        <v>15</v>
      </c>
      <c r="C3358" s="0" t="n">
        <v>1.7</v>
      </c>
      <c r="D3358" s="0" t="n">
        <v>0.03</v>
      </c>
    </row>
    <row r="3359" customFormat="false" ht="13.8" hidden="true" customHeight="false" outlineLevel="0" collapsed="false">
      <c r="A3359" s="0" t="s">
        <v>726</v>
      </c>
      <c r="B3359" s="0" t="n">
        <v>15</v>
      </c>
      <c r="C3359" s="0" t="n">
        <v>1.75</v>
      </c>
      <c r="D3359" s="0" t="n">
        <v>0.031</v>
      </c>
    </row>
    <row r="3360" customFormat="false" ht="13.8" hidden="true" customHeight="false" outlineLevel="0" collapsed="false">
      <c r="A3360" s="0" t="s">
        <v>726</v>
      </c>
      <c r="B3360" s="0" t="n">
        <v>15</v>
      </c>
      <c r="C3360" s="0" t="n">
        <v>1.8</v>
      </c>
      <c r="D3360" s="0" t="n">
        <v>0.034</v>
      </c>
    </row>
    <row r="3361" customFormat="false" ht="13.8" hidden="true" customHeight="false" outlineLevel="0" collapsed="false">
      <c r="A3361" s="0" t="s">
        <v>726</v>
      </c>
      <c r="B3361" s="0" t="n">
        <v>15</v>
      </c>
      <c r="C3361" s="0" t="n">
        <v>1.85</v>
      </c>
      <c r="D3361" s="0" t="n">
        <v>0.035</v>
      </c>
    </row>
    <row r="3362" customFormat="false" ht="13.8" hidden="true" customHeight="false" outlineLevel="0" collapsed="false">
      <c r="A3362" s="0" t="s">
        <v>726</v>
      </c>
      <c r="B3362" s="0" t="n">
        <v>15</v>
      </c>
      <c r="C3362" s="0" t="n">
        <v>1.9</v>
      </c>
      <c r="D3362" s="0" t="n">
        <v>0.036</v>
      </c>
    </row>
    <row r="3363" customFormat="false" ht="13.8" hidden="true" customHeight="false" outlineLevel="0" collapsed="false">
      <c r="A3363" s="0" t="s">
        <v>726</v>
      </c>
      <c r="B3363" s="0" t="n">
        <v>15</v>
      </c>
      <c r="C3363" s="0" t="n">
        <v>1.95</v>
      </c>
      <c r="D3363" s="0" t="n">
        <v>0.036</v>
      </c>
    </row>
    <row r="3364" customFormat="false" ht="13.8" hidden="true" customHeight="false" outlineLevel="0" collapsed="false">
      <c r="A3364" s="0" t="s">
        <v>726</v>
      </c>
      <c r="B3364" s="0" t="n">
        <v>15</v>
      </c>
      <c r="C3364" s="0" t="n">
        <v>2</v>
      </c>
      <c r="D3364" s="0" t="n">
        <v>0.039566549</v>
      </c>
    </row>
    <row r="3365" customFormat="false" ht="13.8" hidden="true" customHeight="false" outlineLevel="0" collapsed="false">
      <c r="A3365" s="0" t="s">
        <v>726</v>
      </c>
      <c r="B3365" s="0" t="n">
        <v>15</v>
      </c>
      <c r="C3365" s="0" t="n">
        <v>2.05</v>
      </c>
      <c r="D3365" s="0" t="n">
        <v>0.040555713</v>
      </c>
    </row>
    <row r="3366" customFormat="false" ht="13.8" hidden="true" customHeight="false" outlineLevel="0" collapsed="false">
      <c r="A3366" s="0" t="s">
        <v>726</v>
      </c>
      <c r="B3366" s="0" t="n">
        <v>15</v>
      </c>
      <c r="C3366" s="0" t="n">
        <v>2.1</v>
      </c>
      <c r="D3366" s="0" t="n">
        <v>0.041544877</v>
      </c>
    </row>
    <row r="3367" customFormat="false" ht="13.8" hidden="true" customHeight="false" outlineLevel="0" collapsed="false">
      <c r="A3367" s="0" t="s">
        <v>726</v>
      </c>
      <c r="B3367" s="0" t="n">
        <v>15</v>
      </c>
      <c r="C3367" s="0" t="n">
        <v>2.15</v>
      </c>
      <c r="D3367" s="0" t="n">
        <v>0.04253404</v>
      </c>
    </row>
    <row r="3368" customFormat="false" ht="13.8" hidden="true" customHeight="false" outlineLevel="0" collapsed="false">
      <c r="A3368" s="0" t="s">
        <v>726</v>
      </c>
      <c r="B3368" s="0" t="n">
        <v>15</v>
      </c>
      <c r="C3368" s="0" t="n">
        <v>2.2</v>
      </c>
      <c r="D3368" s="0" t="n">
        <v>0.041382052</v>
      </c>
    </row>
    <row r="3369" customFormat="false" ht="13.8" hidden="true" customHeight="false" outlineLevel="0" collapsed="false">
      <c r="A3369" s="0" t="s">
        <v>726</v>
      </c>
      <c r="B3369" s="0" t="n">
        <v>15</v>
      </c>
      <c r="C3369" s="0" t="n">
        <v>2.25</v>
      </c>
      <c r="D3369" s="0" t="n">
        <v>0.042322553</v>
      </c>
    </row>
    <row r="3370" customFormat="false" ht="13.8" hidden="true" customHeight="false" outlineLevel="0" collapsed="false">
      <c r="A3370" s="0" t="s">
        <v>726</v>
      </c>
      <c r="B3370" s="0" t="n">
        <v>15</v>
      </c>
      <c r="C3370" s="0" t="n">
        <v>2.3</v>
      </c>
      <c r="D3370" s="0" t="n">
        <v>0.043263055</v>
      </c>
    </row>
    <row r="3371" customFormat="false" ht="13.8" hidden="true" customHeight="false" outlineLevel="0" collapsed="false">
      <c r="A3371" s="0" t="s">
        <v>726</v>
      </c>
      <c r="B3371" s="0" t="n">
        <v>15</v>
      </c>
      <c r="C3371" s="0" t="n">
        <v>2.35</v>
      </c>
      <c r="D3371" s="0" t="n">
        <v>0.044203556</v>
      </c>
    </row>
    <row r="3372" customFormat="false" ht="13.8" hidden="true" customHeight="false" outlineLevel="0" collapsed="false">
      <c r="A3372" s="0" t="s">
        <v>726</v>
      </c>
      <c r="B3372" s="0" t="n">
        <v>15</v>
      </c>
      <c r="C3372" s="0" t="n">
        <v>2.4</v>
      </c>
      <c r="D3372" s="0" t="n">
        <v>0.045144057</v>
      </c>
    </row>
    <row r="3373" customFormat="false" ht="13.8" hidden="true" customHeight="false" outlineLevel="0" collapsed="false">
      <c r="A3373" s="0" t="s">
        <v>726</v>
      </c>
      <c r="B3373" s="0" t="n">
        <v>15</v>
      </c>
      <c r="C3373" s="0" t="n">
        <v>2.45</v>
      </c>
      <c r="D3373" s="0" t="n">
        <v>0.046084558</v>
      </c>
    </row>
    <row r="3374" customFormat="false" ht="13.8" hidden="true" customHeight="false" outlineLevel="0" collapsed="false">
      <c r="A3374" s="0" t="s">
        <v>726</v>
      </c>
      <c r="B3374" s="0" t="n">
        <v>15</v>
      </c>
      <c r="C3374" s="0" t="n">
        <v>2.5</v>
      </c>
      <c r="D3374" s="0" t="n">
        <v>0.047025059</v>
      </c>
    </row>
    <row r="3375" customFormat="false" ht="13.8" hidden="true" customHeight="false" outlineLevel="0" collapsed="false">
      <c r="A3375" s="0" t="s">
        <v>726</v>
      </c>
      <c r="B3375" s="0" t="n">
        <v>15</v>
      </c>
      <c r="C3375" s="0" t="n">
        <v>2.55</v>
      </c>
      <c r="D3375" s="0" t="n">
        <v>0.047965561</v>
      </c>
    </row>
    <row r="3376" customFormat="false" ht="13.8" hidden="true" customHeight="false" outlineLevel="0" collapsed="false">
      <c r="A3376" s="0" t="s">
        <v>726</v>
      </c>
      <c r="B3376" s="0" t="n">
        <v>15</v>
      </c>
      <c r="C3376" s="0" t="n">
        <v>2.6</v>
      </c>
      <c r="D3376" s="0" t="n">
        <v>0.048906062</v>
      </c>
    </row>
    <row r="3377" customFormat="false" ht="13.8" hidden="true" customHeight="false" outlineLevel="0" collapsed="false">
      <c r="A3377" s="0" t="s">
        <v>729</v>
      </c>
      <c r="B3377" s="0" t="n">
        <v>9</v>
      </c>
      <c r="C3377" s="0" t="n">
        <v>1.3</v>
      </c>
      <c r="D3377" s="0" t="n">
        <v>0</v>
      </c>
    </row>
    <row r="3378" customFormat="false" ht="13.8" hidden="true" customHeight="false" outlineLevel="0" collapsed="false">
      <c r="A3378" s="0" t="s">
        <v>729</v>
      </c>
      <c r="B3378" s="0" t="n">
        <v>9</v>
      </c>
      <c r="C3378" s="0" t="n">
        <v>1.35</v>
      </c>
      <c r="D3378" s="0" t="n">
        <v>0</v>
      </c>
    </row>
    <row r="3379" customFormat="false" ht="13.8" hidden="true" customHeight="false" outlineLevel="0" collapsed="false">
      <c r="A3379" s="0" t="s">
        <v>729</v>
      </c>
      <c r="B3379" s="0" t="n">
        <v>9</v>
      </c>
      <c r="C3379" s="0" t="n">
        <v>1.4</v>
      </c>
      <c r="D3379" s="0" t="n">
        <v>0</v>
      </c>
    </row>
    <row r="3380" customFormat="false" ht="13.8" hidden="true" customHeight="false" outlineLevel="0" collapsed="false">
      <c r="A3380" s="0" t="s">
        <v>729</v>
      </c>
      <c r="B3380" s="0" t="n">
        <v>9</v>
      </c>
      <c r="C3380" s="0" t="n">
        <v>1.45</v>
      </c>
      <c r="D3380" s="0" t="n">
        <v>0</v>
      </c>
    </row>
    <row r="3381" customFormat="false" ht="13.8" hidden="true" customHeight="false" outlineLevel="0" collapsed="false">
      <c r="A3381" s="0" t="s">
        <v>729</v>
      </c>
      <c r="B3381" s="0" t="n">
        <v>9</v>
      </c>
      <c r="C3381" s="0" t="n">
        <v>1.5</v>
      </c>
      <c r="D3381" s="0" t="n">
        <v>0</v>
      </c>
    </row>
    <row r="3382" customFormat="false" ht="13.8" hidden="true" customHeight="false" outlineLevel="0" collapsed="false">
      <c r="A3382" s="0" t="s">
        <v>729</v>
      </c>
      <c r="B3382" s="0" t="n">
        <v>9</v>
      </c>
      <c r="C3382" s="0" t="n">
        <v>1.55</v>
      </c>
      <c r="D3382" s="0" t="n">
        <v>0</v>
      </c>
    </row>
    <row r="3383" customFormat="false" ht="13.8" hidden="true" customHeight="false" outlineLevel="0" collapsed="false">
      <c r="A3383" s="0" t="s">
        <v>729</v>
      </c>
      <c r="B3383" s="0" t="n">
        <v>9</v>
      </c>
      <c r="C3383" s="0" t="n">
        <v>1.6</v>
      </c>
      <c r="D3383" s="0" t="n">
        <v>0.028</v>
      </c>
    </row>
    <row r="3384" customFormat="false" ht="13.8" hidden="true" customHeight="false" outlineLevel="0" collapsed="false">
      <c r="A3384" s="0" t="s">
        <v>729</v>
      </c>
      <c r="B3384" s="0" t="n">
        <v>9</v>
      </c>
      <c r="C3384" s="0" t="n">
        <v>1.65</v>
      </c>
      <c r="D3384" s="0" t="n">
        <v>0.029</v>
      </c>
    </row>
    <row r="3385" customFormat="false" ht="13.8" hidden="true" customHeight="false" outlineLevel="0" collapsed="false">
      <c r="A3385" s="0" t="s">
        <v>729</v>
      </c>
      <c r="B3385" s="0" t="n">
        <v>9</v>
      </c>
      <c r="C3385" s="0" t="n">
        <v>1.7</v>
      </c>
      <c r="D3385" s="0" t="n">
        <v>0.03</v>
      </c>
    </row>
    <row r="3386" customFormat="false" ht="13.8" hidden="true" customHeight="false" outlineLevel="0" collapsed="false">
      <c r="A3386" s="0" t="s">
        <v>729</v>
      </c>
      <c r="B3386" s="0" t="n">
        <v>9</v>
      </c>
      <c r="C3386" s="0" t="n">
        <v>1.75</v>
      </c>
      <c r="D3386" s="0" t="n">
        <v>0.031</v>
      </c>
    </row>
    <row r="3387" customFormat="false" ht="13.8" hidden="true" customHeight="false" outlineLevel="0" collapsed="false">
      <c r="A3387" s="0" t="s">
        <v>729</v>
      </c>
      <c r="B3387" s="0" t="n">
        <v>9</v>
      </c>
      <c r="C3387" s="0" t="n">
        <v>1.8</v>
      </c>
      <c r="D3387" s="0" t="n">
        <v>0.034</v>
      </c>
    </row>
    <row r="3388" customFormat="false" ht="13.8" hidden="true" customHeight="false" outlineLevel="0" collapsed="false">
      <c r="A3388" s="0" t="s">
        <v>729</v>
      </c>
      <c r="B3388" s="0" t="n">
        <v>9</v>
      </c>
      <c r="C3388" s="0" t="n">
        <v>1.85</v>
      </c>
      <c r="D3388" s="0" t="n">
        <v>0.035</v>
      </c>
    </row>
    <row r="3389" customFormat="false" ht="13.8" hidden="true" customHeight="false" outlineLevel="0" collapsed="false">
      <c r="A3389" s="0" t="s">
        <v>729</v>
      </c>
      <c r="B3389" s="0" t="n">
        <v>9</v>
      </c>
      <c r="C3389" s="0" t="n">
        <v>1.9</v>
      </c>
      <c r="D3389" s="0" t="n">
        <v>0.03556159</v>
      </c>
    </row>
    <row r="3390" customFormat="false" ht="13.8" hidden="true" customHeight="false" outlineLevel="0" collapsed="false">
      <c r="A3390" s="0" t="s">
        <v>729</v>
      </c>
      <c r="B3390" s="0" t="n">
        <v>9</v>
      </c>
      <c r="C3390" s="0" t="n">
        <v>1.95</v>
      </c>
      <c r="D3390" s="0" t="n">
        <v>0.036497421</v>
      </c>
    </row>
    <row r="3391" customFormat="false" ht="13.8" hidden="true" customHeight="false" outlineLevel="0" collapsed="false">
      <c r="A3391" s="0" t="s">
        <v>729</v>
      </c>
      <c r="B3391" s="0" t="n">
        <v>9</v>
      </c>
      <c r="C3391" s="0" t="n">
        <v>2</v>
      </c>
      <c r="D3391" s="0" t="n">
        <v>0.039566549</v>
      </c>
    </row>
    <row r="3392" customFormat="false" ht="13.8" hidden="true" customHeight="false" outlineLevel="0" collapsed="false">
      <c r="A3392" s="0" t="s">
        <v>729</v>
      </c>
      <c r="B3392" s="0" t="n">
        <v>9</v>
      </c>
      <c r="C3392" s="0" t="n">
        <v>2.05</v>
      </c>
      <c r="D3392" s="0" t="n">
        <v>0.040555713</v>
      </c>
    </row>
    <row r="3393" customFormat="false" ht="13.8" hidden="true" customHeight="false" outlineLevel="0" collapsed="false">
      <c r="A3393" s="0" t="s">
        <v>729</v>
      </c>
      <c r="B3393" s="0" t="n">
        <v>9</v>
      </c>
      <c r="C3393" s="0" t="n">
        <v>2.1</v>
      </c>
      <c r="D3393" s="0" t="n">
        <v>0.041544877</v>
      </c>
    </row>
    <row r="3394" customFormat="false" ht="13.8" hidden="true" customHeight="false" outlineLevel="0" collapsed="false">
      <c r="A3394" s="0" t="s">
        <v>729</v>
      </c>
      <c r="B3394" s="0" t="n">
        <v>9</v>
      </c>
      <c r="C3394" s="0" t="n">
        <v>2.15</v>
      </c>
      <c r="D3394" s="0" t="n">
        <v>0.04253404</v>
      </c>
    </row>
    <row r="3395" customFormat="false" ht="13.8" hidden="true" customHeight="false" outlineLevel="0" collapsed="false">
      <c r="A3395" s="0" t="s">
        <v>729</v>
      </c>
      <c r="B3395" s="0" t="n">
        <v>9</v>
      </c>
      <c r="C3395" s="0" t="n">
        <v>2.2</v>
      </c>
      <c r="D3395" s="0" t="n">
        <v>0.041382052</v>
      </c>
    </row>
    <row r="3396" customFormat="false" ht="13.8" hidden="true" customHeight="false" outlineLevel="0" collapsed="false">
      <c r="A3396" s="0" t="s">
        <v>729</v>
      </c>
      <c r="B3396" s="0" t="n">
        <v>9</v>
      </c>
      <c r="C3396" s="0" t="n">
        <v>2.25</v>
      </c>
      <c r="D3396" s="0" t="n">
        <v>0.042322553</v>
      </c>
    </row>
    <row r="3397" customFormat="false" ht="13.8" hidden="true" customHeight="false" outlineLevel="0" collapsed="false">
      <c r="A3397" s="0" t="s">
        <v>729</v>
      </c>
      <c r="B3397" s="0" t="n">
        <v>9</v>
      </c>
      <c r="C3397" s="0" t="n">
        <v>2.3</v>
      </c>
      <c r="D3397" s="0" t="n">
        <v>0.043263055</v>
      </c>
    </row>
    <row r="3398" customFormat="false" ht="13.8" hidden="true" customHeight="false" outlineLevel="0" collapsed="false">
      <c r="A3398" s="0" t="s">
        <v>729</v>
      </c>
      <c r="B3398" s="0" t="n">
        <v>9</v>
      </c>
      <c r="C3398" s="0" t="n">
        <v>2.35</v>
      </c>
      <c r="D3398" s="0" t="n">
        <v>0.044203556</v>
      </c>
    </row>
    <row r="3399" customFormat="false" ht="13.8" hidden="true" customHeight="false" outlineLevel="0" collapsed="false">
      <c r="A3399" s="0" t="s">
        <v>729</v>
      </c>
      <c r="B3399" s="0" t="n">
        <v>9</v>
      </c>
      <c r="C3399" s="0" t="n">
        <v>2.4</v>
      </c>
      <c r="D3399" s="0" t="n">
        <v>0.045144057</v>
      </c>
    </row>
    <row r="3400" customFormat="false" ht="13.8" hidden="true" customHeight="false" outlineLevel="0" collapsed="false">
      <c r="A3400" s="0" t="s">
        <v>729</v>
      </c>
      <c r="B3400" s="0" t="n">
        <v>9</v>
      </c>
      <c r="C3400" s="0" t="n">
        <v>2.45</v>
      </c>
      <c r="D3400" s="0" t="n">
        <v>0.046084558</v>
      </c>
    </row>
    <row r="3401" customFormat="false" ht="13.8" hidden="true" customHeight="false" outlineLevel="0" collapsed="false">
      <c r="A3401" s="0" t="s">
        <v>729</v>
      </c>
      <c r="B3401" s="0" t="n">
        <v>9</v>
      </c>
      <c r="C3401" s="0" t="n">
        <v>2.5</v>
      </c>
      <c r="D3401" s="0" t="n">
        <v>0.047025059</v>
      </c>
    </row>
    <row r="3402" customFormat="false" ht="13.8" hidden="true" customHeight="false" outlineLevel="0" collapsed="false">
      <c r="A3402" s="0" t="s">
        <v>729</v>
      </c>
      <c r="B3402" s="0" t="n">
        <v>9</v>
      </c>
      <c r="C3402" s="0" t="n">
        <v>2.55</v>
      </c>
      <c r="D3402" s="0" t="n">
        <v>0.047965561</v>
      </c>
    </row>
    <row r="3403" customFormat="false" ht="13.8" hidden="true" customHeight="false" outlineLevel="0" collapsed="false">
      <c r="A3403" s="0" t="s">
        <v>729</v>
      </c>
      <c r="B3403" s="0" t="n">
        <v>9</v>
      </c>
      <c r="C3403" s="0" t="n">
        <v>2.6</v>
      </c>
      <c r="D3403" s="0" t="n">
        <v>0.048906062</v>
      </c>
    </row>
    <row r="3404" customFormat="false" ht="13.8" hidden="true" customHeight="false" outlineLevel="0" collapsed="false">
      <c r="A3404" s="0" t="s">
        <v>729</v>
      </c>
      <c r="B3404" s="0" t="n">
        <v>10</v>
      </c>
      <c r="C3404" s="0" t="n">
        <v>1.3</v>
      </c>
      <c r="D3404" s="0" t="n">
        <v>0</v>
      </c>
    </row>
    <row r="3405" customFormat="false" ht="13.8" hidden="true" customHeight="false" outlineLevel="0" collapsed="false">
      <c r="A3405" s="0" t="s">
        <v>729</v>
      </c>
      <c r="B3405" s="0" t="n">
        <v>10</v>
      </c>
      <c r="C3405" s="0" t="n">
        <v>1.35</v>
      </c>
      <c r="D3405" s="0" t="n">
        <v>0</v>
      </c>
    </row>
    <row r="3406" customFormat="false" ht="13.8" hidden="true" customHeight="false" outlineLevel="0" collapsed="false">
      <c r="A3406" s="0" t="s">
        <v>729</v>
      </c>
      <c r="B3406" s="0" t="n">
        <v>10</v>
      </c>
      <c r="C3406" s="0" t="n">
        <v>1.4</v>
      </c>
      <c r="D3406" s="0" t="n">
        <v>0</v>
      </c>
    </row>
    <row r="3407" customFormat="false" ht="13.8" hidden="true" customHeight="false" outlineLevel="0" collapsed="false">
      <c r="A3407" s="0" t="s">
        <v>729</v>
      </c>
      <c r="B3407" s="0" t="n">
        <v>10</v>
      </c>
      <c r="C3407" s="0" t="n">
        <v>1.45</v>
      </c>
      <c r="D3407" s="0" t="n">
        <v>0</v>
      </c>
    </row>
    <row r="3408" customFormat="false" ht="13.8" hidden="true" customHeight="false" outlineLevel="0" collapsed="false">
      <c r="A3408" s="0" t="s">
        <v>729</v>
      </c>
      <c r="B3408" s="0" t="n">
        <v>10</v>
      </c>
      <c r="C3408" s="0" t="n">
        <v>1.5</v>
      </c>
      <c r="D3408" s="0" t="n">
        <v>0</v>
      </c>
    </row>
    <row r="3409" customFormat="false" ht="13.8" hidden="true" customHeight="false" outlineLevel="0" collapsed="false">
      <c r="A3409" s="0" t="s">
        <v>729</v>
      </c>
      <c r="B3409" s="0" t="n">
        <v>10</v>
      </c>
      <c r="C3409" s="0" t="n">
        <v>1.55</v>
      </c>
      <c r="D3409" s="0" t="n">
        <v>0</v>
      </c>
    </row>
    <row r="3410" customFormat="false" ht="13.8" hidden="true" customHeight="false" outlineLevel="0" collapsed="false">
      <c r="A3410" s="0" t="s">
        <v>729</v>
      </c>
      <c r="B3410" s="0" t="n">
        <v>10</v>
      </c>
      <c r="C3410" s="0" t="n">
        <v>1.6</v>
      </c>
      <c r="D3410" s="0" t="n">
        <v>0.028</v>
      </c>
    </row>
    <row r="3411" customFormat="false" ht="13.8" hidden="true" customHeight="false" outlineLevel="0" collapsed="false">
      <c r="A3411" s="0" t="s">
        <v>729</v>
      </c>
      <c r="B3411" s="0" t="n">
        <v>10</v>
      </c>
      <c r="C3411" s="0" t="n">
        <v>1.65</v>
      </c>
      <c r="D3411" s="0" t="n">
        <v>0.029</v>
      </c>
    </row>
    <row r="3412" customFormat="false" ht="13.8" hidden="true" customHeight="false" outlineLevel="0" collapsed="false">
      <c r="A3412" s="0" t="s">
        <v>729</v>
      </c>
      <c r="B3412" s="0" t="n">
        <v>10</v>
      </c>
      <c r="C3412" s="0" t="n">
        <v>1.7</v>
      </c>
      <c r="D3412" s="0" t="n">
        <v>0.03</v>
      </c>
    </row>
    <row r="3413" customFormat="false" ht="13.8" hidden="true" customHeight="false" outlineLevel="0" collapsed="false">
      <c r="A3413" s="0" t="s">
        <v>729</v>
      </c>
      <c r="B3413" s="0" t="n">
        <v>10</v>
      </c>
      <c r="C3413" s="0" t="n">
        <v>1.75</v>
      </c>
      <c r="D3413" s="0" t="n">
        <v>0.031</v>
      </c>
    </row>
    <row r="3414" customFormat="false" ht="13.8" hidden="true" customHeight="false" outlineLevel="0" collapsed="false">
      <c r="A3414" s="0" t="s">
        <v>729</v>
      </c>
      <c r="B3414" s="0" t="n">
        <v>10</v>
      </c>
      <c r="C3414" s="0" t="n">
        <v>1.8</v>
      </c>
      <c r="D3414" s="0" t="n">
        <v>0.034</v>
      </c>
    </row>
    <row r="3415" customFormat="false" ht="13.8" hidden="true" customHeight="false" outlineLevel="0" collapsed="false">
      <c r="A3415" s="0" t="s">
        <v>729</v>
      </c>
      <c r="B3415" s="0" t="n">
        <v>10</v>
      </c>
      <c r="C3415" s="0" t="n">
        <v>1.85</v>
      </c>
      <c r="D3415" s="0" t="n">
        <v>0.035</v>
      </c>
    </row>
    <row r="3416" customFormat="false" ht="13.8" hidden="true" customHeight="false" outlineLevel="0" collapsed="false">
      <c r="A3416" s="0" t="s">
        <v>729</v>
      </c>
      <c r="B3416" s="0" t="n">
        <v>10</v>
      </c>
      <c r="C3416" s="0" t="n">
        <v>1.9</v>
      </c>
      <c r="D3416" s="0" t="n">
        <v>0.036</v>
      </c>
    </row>
    <row r="3417" customFormat="false" ht="13.8" hidden="true" customHeight="false" outlineLevel="0" collapsed="false">
      <c r="A3417" s="0" t="s">
        <v>729</v>
      </c>
      <c r="B3417" s="0" t="n">
        <v>10</v>
      </c>
      <c r="C3417" s="0" t="n">
        <v>1.95</v>
      </c>
      <c r="D3417" s="0" t="n">
        <v>0.036</v>
      </c>
    </row>
    <row r="3418" customFormat="false" ht="13.8" hidden="true" customHeight="false" outlineLevel="0" collapsed="false">
      <c r="A3418" s="0" t="s">
        <v>729</v>
      </c>
      <c r="B3418" s="0" t="n">
        <v>10</v>
      </c>
      <c r="C3418" s="0" t="n">
        <v>2</v>
      </c>
      <c r="D3418" s="0" t="n">
        <v>0.039566549</v>
      </c>
    </row>
    <row r="3419" customFormat="false" ht="13.8" hidden="true" customHeight="false" outlineLevel="0" collapsed="false">
      <c r="A3419" s="0" t="s">
        <v>729</v>
      </c>
      <c r="B3419" s="0" t="n">
        <v>10</v>
      </c>
      <c r="C3419" s="0" t="n">
        <v>2.05</v>
      </c>
      <c r="D3419" s="0" t="n">
        <v>0.040555713</v>
      </c>
    </row>
    <row r="3420" customFormat="false" ht="13.8" hidden="true" customHeight="false" outlineLevel="0" collapsed="false">
      <c r="A3420" s="0" t="s">
        <v>729</v>
      </c>
      <c r="B3420" s="0" t="n">
        <v>10</v>
      </c>
      <c r="C3420" s="0" t="n">
        <v>2.1</v>
      </c>
      <c r="D3420" s="0" t="n">
        <v>0.041544877</v>
      </c>
    </row>
    <row r="3421" customFormat="false" ht="13.8" hidden="true" customHeight="false" outlineLevel="0" collapsed="false">
      <c r="A3421" s="0" t="s">
        <v>729</v>
      </c>
      <c r="B3421" s="0" t="n">
        <v>10</v>
      </c>
      <c r="C3421" s="0" t="n">
        <v>2.15</v>
      </c>
      <c r="D3421" s="0" t="n">
        <v>0.04253404</v>
      </c>
    </row>
    <row r="3422" customFormat="false" ht="13.8" hidden="true" customHeight="false" outlineLevel="0" collapsed="false">
      <c r="A3422" s="0" t="s">
        <v>729</v>
      </c>
      <c r="B3422" s="0" t="n">
        <v>10</v>
      </c>
      <c r="C3422" s="0" t="n">
        <v>2.2</v>
      </c>
      <c r="D3422" s="0" t="n">
        <v>0.041382052</v>
      </c>
    </row>
    <row r="3423" customFormat="false" ht="13.8" hidden="true" customHeight="false" outlineLevel="0" collapsed="false">
      <c r="A3423" s="0" t="s">
        <v>729</v>
      </c>
      <c r="B3423" s="0" t="n">
        <v>10</v>
      </c>
      <c r="C3423" s="0" t="n">
        <v>2.25</v>
      </c>
      <c r="D3423" s="0" t="n">
        <v>0.042322553</v>
      </c>
    </row>
    <row r="3424" customFormat="false" ht="13.8" hidden="true" customHeight="false" outlineLevel="0" collapsed="false">
      <c r="A3424" s="0" t="s">
        <v>729</v>
      </c>
      <c r="B3424" s="0" t="n">
        <v>10</v>
      </c>
      <c r="C3424" s="0" t="n">
        <v>2.3</v>
      </c>
      <c r="D3424" s="0" t="n">
        <v>0.043263055</v>
      </c>
    </row>
    <row r="3425" customFormat="false" ht="13.8" hidden="true" customHeight="false" outlineLevel="0" collapsed="false">
      <c r="A3425" s="0" t="s">
        <v>729</v>
      </c>
      <c r="B3425" s="0" t="n">
        <v>10</v>
      </c>
      <c r="C3425" s="0" t="n">
        <v>2.35</v>
      </c>
      <c r="D3425" s="0" t="n">
        <v>0.044203556</v>
      </c>
    </row>
    <row r="3426" customFormat="false" ht="13.8" hidden="true" customHeight="false" outlineLevel="0" collapsed="false">
      <c r="A3426" s="0" t="s">
        <v>729</v>
      </c>
      <c r="B3426" s="0" t="n">
        <v>10</v>
      </c>
      <c r="C3426" s="0" t="n">
        <v>2.4</v>
      </c>
      <c r="D3426" s="0" t="n">
        <v>0.045144057</v>
      </c>
    </row>
    <row r="3427" customFormat="false" ht="13.8" hidden="true" customHeight="false" outlineLevel="0" collapsed="false">
      <c r="A3427" s="0" t="s">
        <v>729</v>
      </c>
      <c r="B3427" s="0" t="n">
        <v>10</v>
      </c>
      <c r="C3427" s="0" t="n">
        <v>2.45</v>
      </c>
      <c r="D3427" s="0" t="n">
        <v>0.046084558</v>
      </c>
    </row>
    <row r="3428" customFormat="false" ht="13.8" hidden="true" customHeight="false" outlineLevel="0" collapsed="false">
      <c r="A3428" s="0" t="s">
        <v>729</v>
      </c>
      <c r="B3428" s="0" t="n">
        <v>10</v>
      </c>
      <c r="C3428" s="0" t="n">
        <v>2.5</v>
      </c>
      <c r="D3428" s="0" t="n">
        <v>0.047025059</v>
      </c>
    </row>
    <row r="3429" customFormat="false" ht="13.8" hidden="true" customHeight="false" outlineLevel="0" collapsed="false">
      <c r="A3429" s="0" t="s">
        <v>729</v>
      </c>
      <c r="B3429" s="0" t="n">
        <v>10</v>
      </c>
      <c r="C3429" s="0" t="n">
        <v>2.55</v>
      </c>
      <c r="D3429" s="0" t="n">
        <v>0.047965561</v>
      </c>
    </row>
    <row r="3430" customFormat="false" ht="13.8" hidden="true" customHeight="false" outlineLevel="0" collapsed="false">
      <c r="A3430" s="0" t="s">
        <v>729</v>
      </c>
      <c r="B3430" s="0" t="n">
        <v>10</v>
      </c>
      <c r="C3430" s="0" t="n">
        <v>2.6</v>
      </c>
      <c r="D3430" s="0" t="n">
        <v>0.048906062</v>
      </c>
    </row>
    <row r="3431" customFormat="false" ht="13.8" hidden="true" customHeight="false" outlineLevel="0" collapsed="false">
      <c r="A3431" s="0" t="s">
        <v>729</v>
      </c>
      <c r="B3431" s="0" t="n">
        <v>11</v>
      </c>
      <c r="C3431" s="0" t="n">
        <v>1.3</v>
      </c>
      <c r="D3431" s="0" t="n">
        <v>0</v>
      </c>
    </row>
    <row r="3432" customFormat="false" ht="13.8" hidden="true" customHeight="false" outlineLevel="0" collapsed="false">
      <c r="A3432" s="0" t="s">
        <v>729</v>
      </c>
      <c r="B3432" s="0" t="n">
        <v>11</v>
      </c>
      <c r="C3432" s="0" t="n">
        <v>1.35</v>
      </c>
      <c r="D3432" s="0" t="n">
        <v>0</v>
      </c>
    </row>
    <row r="3433" customFormat="false" ht="13.8" hidden="true" customHeight="false" outlineLevel="0" collapsed="false">
      <c r="A3433" s="0" t="s">
        <v>729</v>
      </c>
      <c r="B3433" s="0" t="n">
        <v>11</v>
      </c>
      <c r="C3433" s="0" t="n">
        <v>1.4</v>
      </c>
      <c r="D3433" s="0" t="n">
        <v>0</v>
      </c>
    </row>
    <row r="3434" customFormat="false" ht="13.8" hidden="true" customHeight="false" outlineLevel="0" collapsed="false">
      <c r="A3434" s="0" t="s">
        <v>729</v>
      </c>
      <c r="B3434" s="0" t="n">
        <v>11</v>
      </c>
      <c r="C3434" s="0" t="n">
        <v>1.45</v>
      </c>
      <c r="D3434" s="0" t="n">
        <v>0</v>
      </c>
    </row>
    <row r="3435" customFormat="false" ht="13.8" hidden="true" customHeight="false" outlineLevel="0" collapsed="false">
      <c r="A3435" s="0" t="s">
        <v>729</v>
      </c>
      <c r="B3435" s="0" t="n">
        <v>11</v>
      </c>
      <c r="C3435" s="0" t="n">
        <v>1.5</v>
      </c>
      <c r="D3435" s="0" t="n">
        <v>0</v>
      </c>
    </row>
    <row r="3436" customFormat="false" ht="13.8" hidden="true" customHeight="false" outlineLevel="0" collapsed="false">
      <c r="A3436" s="0" t="s">
        <v>729</v>
      </c>
      <c r="B3436" s="0" t="n">
        <v>11</v>
      </c>
      <c r="C3436" s="0" t="n">
        <v>1.55</v>
      </c>
      <c r="D3436" s="0" t="n">
        <v>0</v>
      </c>
    </row>
    <row r="3437" customFormat="false" ht="13.8" hidden="true" customHeight="false" outlineLevel="0" collapsed="false">
      <c r="A3437" s="0" t="s">
        <v>729</v>
      </c>
      <c r="B3437" s="0" t="n">
        <v>11</v>
      </c>
      <c r="C3437" s="0" t="n">
        <v>1.6</v>
      </c>
      <c r="D3437" s="0" t="n">
        <v>0.028</v>
      </c>
    </row>
    <row r="3438" customFormat="false" ht="13.8" hidden="true" customHeight="false" outlineLevel="0" collapsed="false">
      <c r="A3438" s="0" t="s">
        <v>729</v>
      </c>
      <c r="B3438" s="0" t="n">
        <v>11</v>
      </c>
      <c r="C3438" s="0" t="n">
        <v>1.65</v>
      </c>
      <c r="D3438" s="0" t="n">
        <v>0.029</v>
      </c>
    </row>
    <row r="3439" customFormat="false" ht="13.8" hidden="true" customHeight="false" outlineLevel="0" collapsed="false">
      <c r="A3439" s="0" t="s">
        <v>729</v>
      </c>
      <c r="B3439" s="0" t="n">
        <v>11</v>
      </c>
      <c r="C3439" s="0" t="n">
        <v>1.7</v>
      </c>
      <c r="D3439" s="0" t="n">
        <v>0.03</v>
      </c>
    </row>
    <row r="3440" customFormat="false" ht="13.8" hidden="true" customHeight="false" outlineLevel="0" collapsed="false">
      <c r="A3440" s="0" t="s">
        <v>729</v>
      </c>
      <c r="B3440" s="0" t="n">
        <v>11</v>
      </c>
      <c r="C3440" s="0" t="n">
        <v>1.75</v>
      </c>
      <c r="D3440" s="0" t="n">
        <v>0.031</v>
      </c>
    </row>
    <row r="3441" customFormat="false" ht="13.8" hidden="true" customHeight="false" outlineLevel="0" collapsed="false">
      <c r="A3441" s="0" t="s">
        <v>729</v>
      </c>
      <c r="B3441" s="0" t="n">
        <v>11</v>
      </c>
      <c r="C3441" s="0" t="n">
        <v>1.8</v>
      </c>
      <c r="D3441" s="0" t="n">
        <v>0.034</v>
      </c>
    </row>
    <row r="3442" customFormat="false" ht="13.8" hidden="true" customHeight="false" outlineLevel="0" collapsed="false">
      <c r="A3442" s="0" t="s">
        <v>729</v>
      </c>
      <c r="B3442" s="0" t="n">
        <v>11</v>
      </c>
      <c r="C3442" s="0" t="n">
        <v>1.85</v>
      </c>
      <c r="D3442" s="0" t="n">
        <v>0.035</v>
      </c>
    </row>
    <row r="3443" customFormat="false" ht="13.8" hidden="true" customHeight="false" outlineLevel="0" collapsed="false">
      <c r="A3443" s="0" t="s">
        <v>729</v>
      </c>
      <c r="B3443" s="0" t="n">
        <v>11</v>
      </c>
      <c r="C3443" s="0" t="n">
        <v>1.9</v>
      </c>
      <c r="D3443" s="0" t="n">
        <v>0.036</v>
      </c>
    </row>
    <row r="3444" customFormat="false" ht="13.8" hidden="true" customHeight="false" outlineLevel="0" collapsed="false">
      <c r="A3444" s="0" t="s">
        <v>729</v>
      </c>
      <c r="B3444" s="0" t="n">
        <v>11</v>
      </c>
      <c r="C3444" s="0" t="n">
        <v>1.95</v>
      </c>
      <c r="D3444" s="0" t="n">
        <v>0.036</v>
      </c>
    </row>
    <row r="3445" customFormat="false" ht="13.8" hidden="true" customHeight="false" outlineLevel="0" collapsed="false">
      <c r="A3445" s="0" t="s">
        <v>729</v>
      </c>
      <c r="B3445" s="0" t="n">
        <v>11</v>
      </c>
      <c r="C3445" s="0" t="n">
        <v>2</v>
      </c>
      <c r="D3445" s="0" t="n">
        <v>0.039566549</v>
      </c>
    </row>
    <row r="3446" customFormat="false" ht="13.8" hidden="true" customHeight="false" outlineLevel="0" collapsed="false">
      <c r="A3446" s="0" t="s">
        <v>729</v>
      </c>
      <c r="B3446" s="0" t="n">
        <v>11</v>
      </c>
      <c r="C3446" s="0" t="n">
        <v>2.05</v>
      </c>
      <c r="D3446" s="0" t="n">
        <v>0.040555713</v>
      </c>
    </row>
    <row r="3447" customFormat="false" ht="13.8" hidden="true" customHeight="false" outlineLevel="0" collapsed="false">
      <c r="A3447" s="0" t="s">
        <v>729</v>
      </c>
      <c r="B3447" s="0" t="n">
        <v>11</v>
      </c>
      <c r="C3447" s="0" t="n">
        <v>2.1</v>
      </c>
      <c r="D3447" s="0" t="n">
        <v>0.041544877</v>
      </c>
    </row>
    <row r="3448" customFormat="false" ht="13.8" hidden="true" customHeight="false" outlineLevel="0" collapsed="false">
      <c r="A3448" s="0" t="s">
        <v>729</v>
      </c>
      <c r="B3448" s="0" t="n">
        <v>11</v>
      </c>
      <c r="C3448" s="0" t="n">
        <v>2.15</v>
      </c>
      <c r="D3448" s="0" t="n">
        <v>0.04253404</v>
      </c>
    </row>
    <row r="3449" customFormat="false" ht="13.8" hidden="true" customHeight="false" outlineLevel="0" collapsed="false">
      <c r="A3449" s="0" t="s">
        <v>729</v>
      </c>
      <c r="B3449" s="0" t="n">
        <v>11</v>
      </c>
      <c r="C3449" s="0" t="n">
        <v>2.2</v>
      </c>
      <c r="D3449" s="0" t="n">
        <v>0.041382052</v>
      </c>
    </row>
    <row r="3450" customFormat="false" ht="13.8" hidden="true" customHeight="false" outlineLevel="0" collapsed="false">
      <c r="A3450" s="0" t="s">
        <v>729</v>
      </c>
      <c r="B3450" s="0" t="n">
        <v>11</v>
      </c>
      <c r="C3450" s="0" t="n">
        <v>2.25</v>
      </c>
      <c r="D3450" s="0" t="n">
        <v>0.042322553</v>
      </c>
    </row>
    <row r="3451" customFormat="false" ht="13.8" hidden="true" customHeight="false" outlineLevel="0" collapsed="false">
      <c r="A3451" s="0" t="s">
        <v>729</v>
      </c>
      <c r="B3451" s="0" t="n">
        <v>11</v>
      </c>
      <c r="C3451" s="0" t="n">
        <v>2.3</v>
      </c>
      <c r="D3451" s="0" t="n">
        <v>0.043263055</v>
      </c>
    </row>
    <row r="3452" customFormat="false" ht="13.8" hidden="true" customHeight="false" outlineLevel="0" collapsed="false">
      <c r="A3452" s="0" t="s">
        <v>729</v>
      </c>
      <c r="B3452" s="0" t="n">
        <v>11</v>
      </c>
      <c r="C3452" s="0" t="n">
        <v>2.35</v>
      </c>
      <c r="D3452" s="0" t="n">
        <v>0.044203556</v>
      </c>
    </row>
    <row r="3453" customFormat="false" ht="13.8" hidden="true" customHeight="false" outlineLevel="0" collapsed="false">
      <c r="A3453" s="0" t="s">
        <v>729</v>
      </c>
      <c r="B3453" s="0" t="n">
        <v>11</v>
      </c>
      <c r="C3453" s="0" t="n">
        <v>2.4</v>
      </c>
      <c r="D3453" s="0" t="n">
        <v>0.045144057</v>
      </c>
    </row>
    <row r="3454" customFormat="false" ht="13.8" hidden="true" customHeight="false" outlineLevel="0" collapsed="false">
      <c r="A3454" s="0" t="s">
        <v>729</v>
      </c>
      <c r="B3454" s="0" t="n">
        <v>11</v>
      </c>
      <c r="C3454" s="0" t="n">
        <v>2.45</v>
      </c>
      <c r="D3454" s="0" t="n">
        <v>0.046084558</v>
      </c>
    </row>
    <row r="3455" customFormat="false" ht="13.8" hidden="true" customHeight="false" outlineLevel="0" collapsed="false">
      <c r="A3455" s="0" t="s">
        <v>729</v>
      </c>
      <c r="B3455" s="0" t="n">
        <v>11</v>
      </c>
      <c r="C3455" s="0" t="n">
        <v>2.5</v>
      </c>
      <c r="D3455" s="0" t="n">
        <v>0.047025059</v>
      </c>
    </row>
    <row r="3456" customFormat="false" ht="13.8" hidden="true" customHeight="false" outlineLevel="0" collapsed="false">
      <c r="A3456" s="0" t="s">
        <v>729</v>
      </c>
      <c r="B3456" s="0" t="n">
        <v>11</v>
      </c>
      <c r="C3456" s="0" t="n">
        <v>2.55</v>
      </c>
      <c r="D3456" s="0" t="n">
        <v>0.047965561</v>
      </c>
    </row>
    <row r="3457" customFormat="false" ht="13.8" hidden="true" customHeight="false" outlineLevel="0" collapsed="false">
      <c r="A3457" s="0" t="s">
        <v>729</v>
      </c>
      <c r="B3457" s="0" t="n">
        <v>11</v>
      </c>
      <c r="C3457" s="0" t="n">
        <v>2.6</v>
      </c>
      <c r="D3457" s="0" t="n">
        <v>0.048906062</v>
      </c>
    </row>
    <row r="3458" customFormat="false" ht="13.8" hidden="true" customHeight="false" outlineLevel="0" collapsed="false">
      <c r="A3458" s="0" t="s">
        <v>729</v>
      </c>
      <c r="B3458" s="0" t="n">
        <v>12</v>
      </c>
      <c r="C3458" s="0" t="n">
        <v>1.3</v>
      </c>
      <c r="D3458" s="0" t="n">
        <v>0</v>
      </c>
    </row>
    <row r="3459" customFormat="false" ht="13.8" hidden="true" customHeight="false" outlineLevel="0" collapsed="false">
      <c r="A3459" s="0" t="s">
        <v>729</v>
      </c>
      <c r="B3459" s="0" t="n">
        <v>12</v>
      </c>
      <c r="C3459" s="0" t="n">
        <v>1.35</v>
      </c>
      <c r="D3459" s="0" t="n">
        <v>0</v>
      </c>
    </row>
    <row r="3460" customFormat="false" ht="13.8" hidden="true" customHeight="false" outlineLevel="0" collapsed="false">
      <c r="A3460" s="0" t="s">
        <v>729</v>
      </c>
      <c r="B3460" s="0" t="n">
        <v>12</v>
      </c>
      <c r="C3460" s="0" t="n">
        <v>1.4</v>
      </c>
      <c r="D3460" s="0" t="n">
        <v>0</v>
      </c>
    </row>
    <row r="3461" customFormat="false" ht="13.8" hidden="true" customHeight="false" outlineLevel="0" collapsed="false">
      <c r="A3461" s="0" t="s">
        <v>729</v>
      </c>
      <c r="B3461" s="0" t="n">
        <v>12</v>
      </c>
      <c r="C3461" s="0" t="n">
        <v>1.45</v>
      </c>
      <c r="D3461" s="0" t="n">
        <v>0</v>
      </c>
    </row>
    <row r="3462" customFormat="false" ht="13.8" hidden="true" customHeight="false" outlineLevel="0" collapsed="false">
      <c r="A3462" s="0" t="s">
        <v>729</v>
      </c>
      <c r="B3462" s="0" t="n">
        <v>12</v>
      </c>
      <c r="C3462" s="0" t="n">
        <v>1.5</v>
      </c>
      <c r="D3462" s="0" t="n">
        <v>0</v>
      </c>
    </row>
    <row r="3463" customFormat="false" ht="13.8" hidden="true" customHeight="false" outlineLevel="0" collapsed="false">
      <c r="A3463" s="0" t="s">
        <v>729</v>
      </c>
      <c r="B3463" s="0" t="n">
        <v>12</v>
      </c>
      <c r="C3463" s="0" t="n">
        <v>1.55</v>
      </c>
      <c r="D3463" s="0" t="n">
        <v>0</v>
      </c>
    </row>
    <row r="3464" customFormat="false" ht="13.8" hidden="true" customHeight="false" outlineLevel="0" collapsed="false">
      <c r="A3464" s="0" t="s">
        <v>729</v>
      </c>
      <c r="B3464" s="0" t="n">
        <v>12</v>
      </c>
      <c r="C3464" s="0" t="n">
        <v>1.6</v>
      </c>
      <c r="D3464" s="0" t="n">
        <v>0.028</v>
      </c>
    </row>
    <row r="3465" customFormat="false" ht="13.8" hidden="true" customHeight="false" outlineLevel="0" collapsed="false">
      <c r="A3465" s="0" t="s">
        <v>729</v>
      </c>
      <c r="B3465" s="0" t="n">
        <v>12</v>
      </c>
      <c r="C3465" s="0" t="n">
        <v>1.65</v>
      </c>
      <c r="D3465" s="0" t="n">
        <v>0.029</v>
      </c>
    </row>
    <row r="3466" customFormat="false" ht="13.8" hidden="true" customHeight="false" outlineLevel="0" collapsed="false">
      <c r="A3466" s="0" t="s">
        <v>729</v>
      </c>
      <c r="B3466" s="0" t="n">
        <v>12</v>
      </c>
      <c r="C3466" s="0" t="n">
        <v>1.7</v>
      </c>
      <c r="D3466" s="0" t="n">
        <v>0.03</v>
      </c>
    </row>
    <row r="3467" customFormat="false" ht="13.8" hidden="true" customHeight="false" outlineLevel="0" collapsed="false">
      <c r="A3467" s="0" t="s">
        <v>729</v>
      </c>
      <c r="B3467" s="0" t="n">
        <v>12</v>
      </c>
      <c r="C3467" s="0" t="n">
        <v>1.75</v>
      </c>
      <c r="D3467" s="0" t="n">
        <v>0.031</v>
      </c>
    </row>
    <row r="3468" customFormat="false" ht="13.8" hidden="true" customHeight="false" outlineLevel="0" collapsed="false">
      <c r="A3468" s="0" t="s">
        <v>729</v>
      </c>
      <c r="B3468" s="0" t="n">
        <v>12</v>
      </c>
      <c r="C3468" s="0" t="n">
        <v>1.8</v>
      </c>
      <c r="D3468" s="0" t="n">
        <v>0.034</v>
      </c>
    </row>
    <row r="3469" customFormat="false" ht="13.8" hidden="true" customHeight="false" outlineLevel="0" collapsed="false">
      <c r="A3469" s="0" t="s">
        <v>729</v>
      </c>
      <c r="B3469" s="0" t="n">
        <v>12</v>
      </c>
      <c r="C3469" s="0" t="n">
        <v>1.85</v>
      </c>
      <c r="D3469" s="0" t="n">
        <v>0.035</v>
      </c>
    </row>
    <row r="3470" customFormat="false" ht="13.8" hidden="true" customHeight="false" outlineLevel="0" collapsed="false">
      <c r="A3470" s="0" t="s">
        <v>729</v>
      </c>
      <c r="B3470" s="0" t="n">
        <v>12</v>
      </c>
      <c r="C3470" s="0" t="n">
        <v>1.9</v>
      </c>
      <c r="D3470" s="0" t="n">
        <v>0.036</v>
      </c>
    </row>
    <row r="3471" customFormat="false" ht="13.8" hidden="true" customHeight="false" outlineLevel="0" collapsed="false">
      <c r="A3471" s="0" t="s">
        <v>729</v>
      </c>
      <c r="B3471" s="0" t="n">
        <v>12</v>
      </c>
      <c r="C3471" s="0" t="n">
        <v>1.95</v>
      </c>
      <c r="D3471" s="0" t="n">
        <v>0.036</v>
      </c>
    </row>
    <row r="3472" customFormat="false" ht="13.8" hidden="true" customHeight="false" outlineLevel="0" collapsed="false">
      <c r="A3472" s="0" t="s">
        <v>729</v>
      </c>
      <c r="B3472" s="0" t="n">
        <v>12</v>
      </c>
      <c r="C3472" s="0" t="n">
        <v>2</v>
      </c>
      <c r="D3472" s="0" t="n">
        <v>0.039566549</v>
      </c>
    </row>
    <row r="3473" customFormat="false" ht="13.8" hidden="true" customHeight="false" outlineLevel="0" collapsed="false">
      <c r="A3473" s="0" t="s">
        <v>729</v>
      </c>
      <c r="B3473" s="0" t="n">
        <v>12</v>
      </c>
      <c r="C3473" s="0" t="n">
        <v>2.05</v>
      </c>
      <c r="D3473" s="0" t="n">
        <v>0.040555713</v>
      </c>
    </row>
    <row r="3474" customFormat="false" ht="13.8" hidden="true" customHeight="false" outlineLevel="0" collapsed="false">
      <c r="A3474" s="0" t="s">
        <v>729</v>
      </c>
      <c r="B3474" s="0" t="n">
        <v>12</v>
      </c>
      <c r="C3474" s="0" t="n">
        <v>2.1</v>
      </c>
      <c r="D3474" s="0" t="n">
        <v>0.041544877</v>
      </c>
    </row>
    <row r="3475" customFormat="false" ht="13.8" hidden="true" customHeight="false" outlineLevel="0" collapsed="false">
      <c r="A3475" s="0" t="s">
        <v>729</v>
      </c>
      <c r="B3475" s="0" t="n">
        <v>12</v>
      </c>
      <c r="C3475" s="0" t="n">
        <v>2.15</v>
      </c>
      <c r="D3475" s="0" t="n">
        <v>0.04253404</v>
      </c>
    </row>
    <row r="3476" customFormat="false" ht="13.8" hidden="true" customHeight="false" outlineLevel="0" collapsed="false">
      <c r="A3476" s="0" t="s">
        <v>729</v>
      </c>
      <c r="B3476" s="0" t="n">
        <v>12</v>
      </c>
      <c r="C3476" s="0" t="n">
        <v>2.2</v>
      </c>
      <c r="D3476" s="0" t="n">
        <v>0.041382052</v>
      </c>
    </row>
    <row r="3477" customFormat="false" ht="13.8" hidden="true" customHeight="false" outlineLevel="0" collapsed="false">
      <c r="A3477" s="0" t="s">
        <v>729</v>
      </c>
      <c r="B3477" s="0" t="n">
        <v>12</v>
      </c>
      <c r="C3477" s="0" t="n">
        <v>2.25</v>
      </c>
      <c r="D3477" s="0" t="n">
        <v>0.042322553</v>
      </c>
    </row>
    <row r="3478" customFormat="false" ht="13.8" hidden="true" customHeight="false" outlineLevel="0" collapsed="false">
      <c r="A3478" s="0" t="s">
        <v>729</v>
      </c>
      <c r="B3478" s="0" t="n">
        <v>12</v>
      </c>
      <c r="C3478" s="0" t="n">
        <v>2.3</v>
      </c>
      <c r="D3478" s="0" t="n">
        <v>0.043263055</v>
      </c>
    </row>
    <row r="3479" customFormat="false" ht="13.8" hidden="true" customHeight="false" outlineLevel="0" collapsed="false">
      <c r="A3479" s="0" t="s">
        <v>729</v>
      </c>
      <c r="B3479" s="0" t="n">
        <v>12</v>
      </c>
      <c r="C3479" s="0" t="n">
        <v>2.35</v>
      </c>
      <c r="D3479" s="0" t="n">
        <v>0.044203556</v>
      </c>
    </row>
    <row r="3480" customFormat="false" ht="13.8" hidden="true" customHeight="false" outlineLevel="0" collapsed="false">
      <c r="A3480" s="0" t="s">
        <v>729</v>
      </c>
      <c r="B3480" s="0" t="n">
        <v>12</v>
      </c>
      <c r="C3480" s="0" t="n">
        <v>2.4</v>
      </c>
      <c r="D3480" s="0" t="n">
        <v>0.045144057</v>
      </c>
    </row>
    <row r="3481" customFormat="false" ht="13.8" hidden="true" customHeight="false" outlineLevel="0" collapsed="false">
      <c r="A3481" s="0" t="s">
        <v>729</v>
      </c>
      <c r="B3481" s="0" t="n">
        <v>12</v>
      </c>
      <c r="C3481" s="0" t="n">
        <v>2.45</v>
      </c>
      <c r="D3481" s="0" t="n">
        <v>0.046084558</v>
      </c>
    </row>
    <row r="3482" customFormat="false" ht="13.8" hidden="true" customHeight="false" outlineLevel="0" collapsed="false">
      <c r="A3482" s="0" t="s">
        <v>729</v>
      </c>
      <c r="B3482" s="0" t="n">
        <v>12</v>
      </c>
      <c r="C3482" s="0" t="n">
        <v>2.5</v>
      </c>
      <c r="D3482" s="0" t="n">
        <v>0.047025059</v>
      </c>
    </row>
    <row r="3483" customFormat="false" ht="13.8" hidden="true" customHeight="false" outlineLevel="0" collapsed="false">
      <c r="A3483" s="0" t="s">
        <v>729</v>
      </c>
      <c r="B3483" s="0" t="n">
        <v>12</v>
      </c>
      <c r="C3483" s="0" t="n">
        <v>2.55</v>
      </c>
      <c r="D3483" s="0" t="n">
        <v>0.047965561</v>
      </c>
    </row>
    <row r="3484" customFormat="false" ht="13.8" hidden="true" customHeight="false" outlineLevel="0" collapsed="false">
      <c r="A3484" s="0" t="s">
        <v>729</v>
      </c>
      <c r="B3484" s="0" t="n">
        <v>12</v>
      </c>
      <c r="C3484" s="0" t="n">
        <v>2.6</v>
      </c>
      <c r="D3484" s="0" t="n">
        <v>0.048906062</v>
      </c>
    </row>
    <row r="3485" customFormat="false" ht="13.8" hidden="true" customHeight="false" outlineLevel="0" collapsed="false">
      <c r="A3485" s="0" t="s">
        <v>729</v>
      </c>
      <c r="B3485" s="0" t="n">
        <v>13</v>
      </c>
      <c r="C3485" s="0" t="n">
        <v>1.3</v>
      </c>
      <c r="D3485" s="0" t="n">
        <v>0</v>
      </c>
    </row>
    <row r="3486" customFormat="false" ht="13.8" hidden="true" customHeight="false" outlineLevel="0" collapsed="false">
      <c r="A3486" s="0" t="s">
        <v>729</v>
      </c>
      <c r="B3486" s="0" t="n">
        <v>13</v>
      </c>
      <c r="C3486" s="0" t="n">
        <v>1.35</v>
      </c>
      <c r="D3486" s="0" t="n">
        <v>0</v>
      </c>
    </row>
    <row r="3487" customFormat="false" ht="13.8" hidden="true" customHeight="false" outlineLevel="0" collapsed="false">
      <c r="A3487" s="0" t="s">
        <v>729</v>
      </c>
      <c r="B3487" s="0" t="n">
        <v>13</v>
      </c>
      <c r="C3487" s="0" t="n">
        <v>1.4</v>
      </c>
      <c r="D3487" s="0" t="n">
        <v>0</v>
      </c>
    </row>
    <row r="3488" customFormat="false" ht="13.8" hidden="true" customHeight="false" outlineLevel="0" collapsed="false">
      <c r="A3488" s="0" t="s">
        <v>729</v>
      </c>
      <c r="B3488" s="0" t="n">
        <v>13</v>
      </c>
      <c r="C3488" s="0" t="n">
        <v>1.45</v>
      </c>
      <c r="D3488" s="0" t="n">
        <v>0</v>
      </c>
    </row>
    <row r="3489" customFormat="false" ht="13.8" hidden="true" customHeight="false" outlineLevel="0" collapsed="false">
      <c r="A3489" s="0" t="s">
        <v>729</v>
      </c>
      <c r="B3489" s="0" t="n">
        <v>13</v>
      </c>
      <c r="C3489" s="0" t="n">
        <v>1.5</v>
      </c>
      <c r="D3489" s="0" t="n">
        <v>0</v>
      </c>
    </row>
    <row r="3490" customFormat="false" ht="13.8" hidden="true" customHeight="false" outlineLevel="0" collapsed="false">
      <c r="A3490" s="0" t="s">
        <v>729</v>
      </c>
      <c r="B3490" s="0" t="n">
        <v>13</v>
      </c>
      <c r="C3490" s="0" t="n">
        <v>1.55</v>
      </c>
      <c r="D3490" s="0" t="n">
        <v>0</v>
      </c>
    </row>
    <row r="3491" customFormat="false" ht="13.8" hidden="true" customHeight="false" outlineLevel="0" collapsed="false">
      <c r="A3491" s="0" t="s">
        <v>729</v>
      </c>
      <c r="B3491" s="0" t="n">
        <v>13</v>
      </c>
      <c r="C3491" s="0" t="n">
        <v>1.6</v>
      </c>
      <c r="D3491" s="0" t="n">
        <v>0.028</v>
      </c>
    </row>
    <row r="3492" customFormat="false" ht="13.8" hidden="true" customHeight="false" outlineLevel="0" collapsed="false">
      <c r="A3492" s="0" t="s">
        <v>729</v>
      </c>
      <c r="B3492" s="0" t="n">
        <v>13</v>
      </c>
      <c r="C3492" s="0" t="n">
        <v>1.65</v>
      </c>
      <c r="D3492" s="0" t="n">
        <v>0.029</v>
      </c>
    </row>
    <row r="3493" customFormat="false" ht="13.8" hidden="true" customHeight="false" outlineLevel="0" collapsed="false">
      <c r="A3493" s="0" t="s">
        <v>729</v>
      </c>
      <c r="B3493" s="0" t="n">
        <v>13</v>
      </c>
      <c r="C3493" s="0" t="n">
        <v>1.7</v>
      </c>
      <c r="D3493" s="0" t="n">
        <v>0.03</v>
      </c>
    </row>
    <row r="3494" customFormat="false" ht="13.8" hidden="true" customHeight="false" outlineLevel="0" collapsed="false">
      <c r="A3494" s="0" t="s">
        <v>729</v>
      </c>
      <c r="B3494" s="0" t="n">
        <v>13</v>
      </c>
      <c r="C3494" s="0" t="n">
        <v>1.75</v>
      </c>
      <c r="D3494" s="0" t="n">
        <v>0.031</v>
      </c>
    </row>
    <row r="3495" customFormat="false" ht="13.8" hidden="true" customHeight="false" outlineLevel="0" collapsed="false">
      <c r="A3495" s="0" t="s">
        <v>729</v>
      </c>
      <c r="B3495" s="0" t="n">
        <v>13</v>
      </c>
      <c r="C3495" s="0" t="n">
        <v>1.8</v>
      </c>
      <c r="D3495" s="0" t="n">
        <v>0.034</v>
      </c>
    </row>
    <row r="3496" customFormat="false" ht="13.8" hidden="true" customHeight="false" outlineLevel="0" collapsed="false">
      <c r="A3496" s="0" t="s">
        <v>729</v>
      </c>
      <c r="B3496" s="0" t="n">
        <v>13</v>
      </c>
      <c r="C3496" s="0" t="n">
        <v>1.85</v>
      </c>
      <c r="D3496" s="0" t="n">
        <v>0.035</v>
      </c>
    </row>
    <row r="3497" customFormat="false" ht="13.8" hidden="true" customHeight="false" outlineLevel="0" collapsed="false">
      <c r="A3497" s="0" t="s">
        <v>729</v>
      </c>
      <c r="B3497" s="0" t="n">
        <v>13</v>
      </c>
      <c r="C3497" s="0" t="n">
        <v>1.9</v>
      </c>
      <c r="D3497" s="0" t="n">
        <v>0.036</v>
      </c>
    </row>
    <row r="3498" customFormat="false" ht="13.8" hidden="true" customHeight="false" outlineLevel="0" collapsed="false">
      <c r="A3498" s="0" t="s">
        <v>729</v>
      </c>
      <c r="B3498" s="0" t="n">
        <v>13</v>
      </c>
      <c r="C3498" s="0" t="n">
        <v>1.95</v>
      </c>
      <c r="D3498" s="0" t="n">
        <v>0.036</v>
      </c>
    </row>
    <row r="3499" customFormat="false" ht="13.8" hidden="true" customHeight="false" outlineLevel="0" collapsed="false">
      <c r="A3499" s="0" t="s">
        <v>729</v>
      </c>
      <c r="B3499" s="0" t="n">
        <v>13</v>
      </c>
      <c r="C3499" s="0" t="n">
        <v>2</v>
      </c>
      <c r="D3499" s="0" t="n">
        <v>0.039566549</v>
      </c>
    </row>
    <row r="3500" customFormat="false" ht="13.8" hidden="true" customHeight="false" outlineLevel="0" collapsed="false">
      <c r="A3500" s="0" t="s">
        <v>729</v>
      </c>
      <c r="B3500" s="0" t="n">
        <v>13</v>
      </c>
      <c r="C3500" s="0" t="n">
        <v>2.05</v>
      </c>
      <c r="D3500" s="0" t="n">
        <v>0.040555713</v>
      </c>
    </row>
    <row r="3501" customFormat="false" ht="13.8" hidden="true" customHeight="false" outlineLevel="0" collapsed="false">
      <c r="A3501" s="0" t="s">
        <v>729</v>
      </c>
      <c r="B3501" s="0" t="n">
        <v>13</v>
      </c>
      <c r="C3501" s="0" t="n">
        <v>2.1</v>
      </c>
      <c r="D3501" s="0" t="n">
        <v>0.041544877</v>
      </c>
    </row>
    <row r="3502" customFormat="false" ht="13.8" hidden="true" customHeight="false" outlineLevel="0" collapsed="false">
      <c r="A3502" s="0" t="s">
        <v>729</v>
      </c>
      <c r="B3502" s="0" t="n">
        <v>13</v>
      </c>
      <c r="C3502" s="0" t="n">
        <v>2.15</v>
      </c>
      <c r="D3502" s="0" t="n">
        <v>0.04253404</v>
      </c>
    </row>
    <row r="3503" customFormat="false" ht="13.8" hidden="true" customHeight="false" outlineLevel="0" collapsed="false">
      <c r="A3503" s="0" t="s">
        <v>729</v>
      </c>
      <c r="B3503" s="0" t="n">
        <v>13</v>
      </c>
      <c r="C3503" s="0" t="n">
        <v>2.2</v>
      </c>
      <c r="D3503" s="0" t="n">
        <v>0.041382052</v>
      </c>
    </row>
    <row r="3504" customFormat="false" ht="13.8" hidden="true" customHeight="false" outlineLevel="0" collapsed="false">
      <c r="A3504" s="0" t="s">
        <v>729</v>
      </c>
      <c r="B3504" s="0" t="n">
        <v>13</v>
      </c>
      <c r="C3504" s="0" t="n">
        <v>2.25</v>
      </c>
      <c r="D3504" s="0" t="n">
        <v>0.042322553</v>
      </c>
    </row>
    <row r="3505" customFormat="false" ht="13.8" hidden="true" customHeight="false" outlineLevel="0" collapsed="false">
      <c r="A3505" s="0" t="s">
        <v>729</v>
      </c>
      <c r="B3505" s="0" t="n">
        <v>13</v>
      </c>
      <c r="C3505" s="0" t="n">
        <v>2.3</v>
      </c>
      <c r="D3505" s="0" t="n">
        <v>0.043263055</v>
      </c>
    </row>
    <row r="3506" customFormat="false" ht="13.8" hidden="true" customHeight="false" outlineLevel="0" collapsed="false">
      <c r="A3506" s="0" t="s">
        <v>729</v>
      </c>
      <c r="B3506" s="0" t="n">
        <v>13</v>
      </c>
      <c r="C3506" s="0" t="n">
        <v>2.35</v>
      </c>
      <c r="D3506" s="0" t="n">
        <v>0.044203556</v>
      </c>
    </row>
    <row r="3507" customFormat="false" ht="13.8" hidden="true" customHeight="false" outlineLevel="0" collapsed="false">
      <c r="A3507" s="0" t="s">
        <v>729</v>
      </c>
      <c r="B3507" s="0" t="n">
        <v>13</v>
      </c>
      <c r="C3507" s="0" t="n">
        <v>2.4</v>
      </c>
      <c r="D3507" s="0" t="n">
        <v>0.045144057</v>
      </c>
    </row>
    <row r="3508" customFormat="false" ht="13.8" hidden="true" customHeight="false" outlineLevel="0" collapsed="false">
      <c r="A3508" s="0" t="s">
        <v>729</v>
      </c>
      <c r="B3508" s="0" t="n">
        <v>13</v>
      </c>
      <c r="C3508" s="0" t="n">
        <v>2.45</v>
      </c>
      <c r="D3508" s="0" t="n">
        <v>0.046084558</v>
      </c>
    </row>
    <row r="3509" customFormat="false" ht="13.8" hidden="true" customHeight="false" outlineLevel="0" collapsed="false">
      <c r="A3509" s="0" t="s">
        <v>729</v>
      </c>
      <c r="B3509" s="0" t="n">
        <v>13</v>
      </c>
      <c r="C3509" s="0" t="n">
        <v>2.5</v>
      </c>
      <c r="D3509" s="0" t="n">
        <v>0.047025059</v>
      </c>
    </row>
    <row r="3510" customFormat="false" ht="13.8" hidden="true" customHeight="false" outlineLevel="0" collapsed="false">
      <c r="A3510" s="0" t="s">
        <v>729</v>
      </c>
      <c r="B3510" s="0" t="n">
        <v>13</v>
      </c>
      <c r="C3510" s="0" t="n">
        <v>2.55</v>
      </c>
      <c r="D3510" s="0" t="n">
        <v>0.047965561</v>
      </c>
    </row>
    <row r="3511" customFormat="false" ht="13.8" hidden="true" customHeight="false" outlineLevel="0" collapsed="false">
      <c r="A3511" s="0" t="s">
        <v>729</v>
      </c>
      <c r="B3511" s="0" t="n">
        <v>13</v>
      </c>
      <c r="C3511" s="0" t="n">
        <v>2.6</v>
      </c>
      <c r="D3511" s="0" t="n">
        <v>0.048906062</v>
      </c>
    </row>
    <row r="3512" customFormat="false" ht="13.8" hidden="true" customHeight="false" outlineLevel="0" collapsed="false">
      <c r="A3512" s="0" t="s">
        <v>729</v>
      </c>
      <c r="B3512" s="0" t="n">
        <v>14</v>
      </c>
      <c r="C3512" s="0" t="n">
        <v>1.3</v>
      </c>
      <c r="D3512" s="0" t="n">
        <v>0</v>
      </c>
    </row>
    <row r="3513" customFormat="false" ht="13.8" hidden="true" customHeight="false" outlineLevel="0" collapsed="false">
      <c r="A3513" s="0" t="s">
        <v>729</v>
      </c>
      <c r="B3513" s="0" t="n">
        <v>14</v>
      </c>
      <c r="C3513" s="0" t="n">
        <v>1.35</v>
      </c>
      <c r="D3513" s="0" t="n">
        <v>0</v>
      </c>
    </row>
    <row r="3514" customFormat="false" ht="13.8" hidden="true" customHeight="false" outlineLevel="0" collapsed="false">
      <c r="A3514" s="0" t="s">
        <v>729</v>
      </c>
      <c r="B3514" s="0" t="n">
        <v>14</v>
      </c>
      <c r="C3514" s="0" t="n">
        <v>1.4</v>
      </c>
      <c r="D3514" s="0" t="n">
        <v>0</v>
      </c>
    </row>
    <row r="3515" customFormat="false" ht="13.8" hidden="true" customHeight="false" outlineLevel="0" collapsed="false">
      <c r="A3515" s="0" t="s">
        <v>729</v>
      </c>
      <c r="B3515" s="0" t="n">
        <v>14</v>
      </c>
      <c r="C3515" s="0" t="n">
        <v>1.45</v>
      </c>
      <c r="D3515" s="0" t="n">
        <v>0</v>
      </c>
    </row>
    <row r="3516" customFormat="false" ht="13.8" hidden="true" customHeight="false" outlineLevel="0" collapsed="false">
      <c r="A3516" s="0" t="s">
        <v>729</v>
      </c>
      <c r="B3516" s="0" t="n">
        <v>14</v>
      </c>
      <c r="C3516" s="0" t="n">
        <v>1.5</v>
      </c>
      <c r="D3516" s="0" t="n">
        <v>0</v>
      </c>
    </row>
    <row r="3517" customFormat="false" ht="13.8" hidden="true" customHeight="false" outlineLevel="0" collapsed="false">
      <c r="A3517" s="0" t="s">
        <v>729</v>
      </c>
      <c r="B3517" s="0" t="n">
        <v>14</v>
      </c>
      <c r="C3517" s="0" t="n">
        <v>1.55</v>
      </c>
      <c r="D3517" s="0" t="n">
        <v>0</v>
      </c>
    </row>
    <row r="3518" customFormat="false" ht="13.8" hidden="true" customHeight="false" outlineLevel="0" collapsed="false">
      <c r="A3518" s="0" t="s">
        <v>729</v>
      </c>
      <c r="B3518" s="0" t="n">
        <v>14</v>
      </c>
      <c r="C3518" s="0" t="n">
        <v>1.6</v>
      </c>
      <c r="D3518" s="0" t="n">
        <v>0.028</v>
      </c>
    </row>
    <row r="3519" customFormat="false" ht="13.8" hidden="true" customHeight="false" outlineLevel="0" collapsed="false">
      <c r="A3519" s="0" t="s">
        <v>729</v>
      </c>
      <c r="B3519" s="0" t="n">
        <v>14</v>
      </c>
      <c r="C3519" s="0" t="n">
        <v>1.65</v>
      </c>
      <c r="D3519" s="0" t="n">
        <v>0.029</v>
      </c>
    </row>
    <row r="3520" customFormat="false" ht="13.8" hidden="true" customHeight="false" outlineLevel="0" collapsed="false">
      <c r="A3520" s="0" t="s">
        <v>729</v>
      </c>
      <c r="B3520" s="0" t="n">
        <v>14</v>
      </c>
      <c r="C3520" s="0" t="n">
        <v>1.7</v>
      </c>
      <c r="D3520" s="0" t="n">
        <v>0.03</v>
      </c>
    </row>
    <row r="3521" customFormat="false" ht="13.8" hidden="true" customHeight="false" outlineLevel="0" collapsed="false">
      <c r="A3521" s="0" t="s">
        <v>729</v>
      </c>
      <c r="B3521" s="0" t="n">
        <v>14</v>
      </c>
      <c r="C3521" s="0" t="n">
        <v>1.75</v>
      </c>
      <c r="D3521" s="0" t="n">
        <v>0.031</v>
      </c>
    </row>
    <row r="3522" customFormat="false" ht="13.8" hidden="true" customHeight="false" outlineLevel="0" collapsed="false">
      <c r="A3522" s="0" t="s">
        <v>729</v>
      </c>
      <c r="B3522" s="0" t="n">
        <v>14</v>
      </c>
      <c r="C3522" s="0" t="n">
        <v>1.8</v>
      </c>
      <c r="D3522" s="0" t="n">
        <v>0.034</v>
      </c>
    </row>
    <row r="3523" customFormat="false" ht="13.8" hidden="true" customHeight="false" outlineLevel="0" collapsed="false">
      <c r="A3523" s="0" t="s">
        <v>729</v>
      </c>
      <c r="B3523" s="0" t="n">
        <v>14</v>
      </c>
      <c r="C3523" s="0" t="n">
        <v>1.85</v>
      </c>
      <c r="D3523" s="0" t="n">
        <v>0.035</v>
      </c>
    </row>
    <row r="3524" customFormat="false" ht="13.8" hidden="true" customHeight="false" outlineLevel="0" collapsed="false">
      <c r="A3524" s="0" t="s">
        <v>729</v>
      </c>
      <c r="B3524" s="0" t="n">
        <v>14</v>
      </c>
      <c r="C3524" s="0" t="n">
        <v>1.9</v>
      </c>
      <c r="D3524" s="0" t="n">
        <v>0.036</v>
      </c>
    </row>
    <row r="3525" customFormat="false" ht="13.8" hidden="true" customHeight="false" outlineLevel="0" collapsed="false">
      <c r="A3525" s="0" t="s">
        <v>729</v>
      </c>
      <c r="B3525" s="0" t="n">
        <v>14</v>
      </c>
      <c r="C3525" s="0" t="n">
        <v>1.95</v>
      </c>
      <c r="D3525" s="0" t="n">
        <v>0.036</v>
      </c>
    </row>
    <row r="3526" customFormat="false" ht="13.8" hidden="true" customHeight="false" outlineLevel="0" collapsed="false">
      <c r="A3526" s="0" t="s">
        <v>729</v>
      </c>
      <c r="B3526" s="0" t="n">
        <v>14</v>
      </c>
      <c r="C3526" s="0" t="n">
        <v>2</v>
      </c>
      <c r="D3526" s="0" t="n">
        <v>0.039566549</v>
      </c>
    </row>
    <row r="3527" customFormat="false" ht="13.8" hidden="true" customHeight="false" outlineLevel="0" collapsed="false">
      <c r="A3527" s="0" t="s">
        <v>729</v>
      </c>
      <c r="B3527" s="0" t="n">
        <v>14</v>
      </c>
      <c r="C3527" s="0" t="n">
        <v>2.05</v>
      </c>
      <c r="D3527" s="0" t="n">
        <v>0.040555713</v>
      </c>
    </row>
    <row r="3528" customFormat="false" ht="13.8" hidden="true" customHeight="false" outlineLevel="0" collapsed="false">
      <c r="A3528" s="0" t="s">
        <v>729</v>
      </c>
      <c r="B3528" s="0" t="n">
        <v>14</v>
      </c>
      <c r="C3528" s="0" t="n">
        <v>2.1</v>
      </c>
      <c r="D3528" s="0" t="n">
        <v>0.041544877</v>
      </c>
    </row>
    <row r="3529" customFormat="false" ht="13.8" hidden="true" customHeight="false" outlineLevel="0" collapsed="false">
      <c r="A3529" s="0" t="s">
        <v>729</v>
      </c>
      <c r="B3529" s="0" t="n">
        <v>14</v>
      </c>
      <c r="C3529" s="0" t="n">
        <v>2.15</v>
      </c>
      <c r="D3529" s="0" t="n">
        <v>0.04253404</v>
      </c>
    </row>
    <row r="3530" customFormat="false" ht="13.8" hidden="true" customHeight="false" outlineLevel="0" collapsed="false">
      <c r="A3530" s="0" t="s">
        <v>729</v>
      </c>
      <c r="B3530" s="0" t="n">
        <v>14</v>
      </c>
      <c r="C3530" s="0" t="n">
        <v>2.2</v>
      </c>
      <c r="D3530" s="0" t="n">
        <v>0.041382052</v>
      </c>
    </row>
    <row r="3531" customFormat="false" ht="13.8" hidden="true" customHeight="false" outlineLevel="0" collapsed="false">
      <c r="A3531" s="0" t="s">
        <v>729</v>
      </c>
      <c r="B3531" s="0" t="n">
        <v>14</v>
      </c>
      <c r="C3531" s="0" t="n">
        <v>2.25</v>
      </c>
      <c r="D3531" s="0" t="n">
        <v>0.042322553</v>
      </c>
    </row>
    <row r="3532" customFormat="false" ht="13.8" hidden="true" customHeight="false" outlineLevel="0" collapsed="false">
      <c r="A3532" s="0" t="s">
        <v>729</v>
      </c>
      <c r="B3532" s="0" t="n">
        <v>14</v>
      </c>
      <c r="C3532" s="0" t="n">
        <v>2.3</v>
      </c>
      <c r="D3532" s="0" t="n">
        <v>0.043263055</v>
      </c>
    </row>
    <row r="3533" customFormat="false" ht="13.8" hidden="true" customHeight="false" outlineLevel="0" collapsed="false">
      <c r="A3533" s="0" t="s">
        <v>729</v>
      </c>
      <c r="B3533" s="0" t="n">
        <v>14</v>
      </c>
      <c r="C3533" s="0" t="n">
        <v>2.35</v>
      </c>
      <c r="D3533" s="0" t="n">
        <v>0.044203556</v>
      </c>
    </row>
    <row r="3534" customFormat="false" ht="13.8" hidden="true" customHeight="false" outlineLevel="0" collapsed="false">
      <c r="A3534" s="0" t="s">
        <v>729</v>
      </c>
      <c r="B3534" s="0" t="n">
        <v>14</v>
      </c>
      <c r="C3534" s="0" t="n">
        <v>2.4</v>
      </c>
      <c r="D3534" s="0" t="n">
        <v>0.045144057</v>
      </c>
    </row>
    <row r="3535" customFormat="false" ht="13.8" hidden="true" customHeight="false" outlineLevel="0" collapsed="false">
      <c r="A3535" s="0" t="s">
        <v>729</v>
      </c>
      <c r="B3535" s="0" t="n">
        <v>14</v>
      </c>
      <c r="C3535" s="0" t="n">
        <v>2.45</v>
      </c>
      <c r="D3535" s="0" t="n">
        <v>0.046084558</v>
      </c>
    </row>
    <row r="3536" customFormat="false" ht="13.8" hidden="true" customHeight="false" outlineLevel="0" collapsed="false">
      <c r="A3536" s="0" t="s">
        <v>729</v>
      </c>
      <c r="B3536" s="0" t="n">
        <v>14</v>
      </c>
      <c r="C3536" s="0" t="n">
        <v>2.5</v>
      </c>
      <c r="D3536" s="0" t="n">
        <v>0.047025059</v>
      </c>
    </row>
    <row r="3537" customFormat="false" ht="13.8" hidden="true" customHeight="false" outlineLevel="0" collapsed="false">
      <c r="A3537" s="0" t="s">
        <v>729</v>
      </c>
      <c r="B3537" s="0" t="n">
        <v>14</v>
      </c>
      <c r="C3537" s="0" t="n">
        <v>2.55</v>
      </c>
      <c r="D3537" s="0" t="n">
        <v>0.047965561</v>
      </c>
    </row>
    <row r="3538" customFormat="false" ht="13.8" hidden="true" customHeight="false" outlineLevel="0" collapsed="false">
      <c r="A3538" s="0" t="s">
        <v>729</v>
      </c>
      <c r="B3538" s="0" t="n">
        <v>14</v>
      </c>
      <c r="C3538" s="0" t="n">
        <v>2.6</v>
      </c>
      <c r="D3538" s="0" t="n">
        <v>0.048906062</v>
      </c>
    </row>
    <row r="3539" customFormat="false" ht="13.8" hidden="true" customHeight="false" outlineLevel="0" collapsed="false">
      <c r="A3539" s="0" t="s">
        <v>729</v>
      </c>
      <c r="B3539" s="0" t="n">
        <v>15</v>
      </c>
      <c r="C3539" s="0" t="n">
        <v>1.3</v>
      </c>
      <c r="D3539" s="0" t="n">
        <v>0</v>
      </c>
    </row>
    <row r="3540" customFormat="false" ht="13.8" hidden="true" customHeight="false" outlineLevel="0" collapsed="false">
      <c r="A3540" s="0" t="s">
        <v>729</v>
      </c>
      <c r="B3540" s="0" t="n">
        <v>15</v>
      </c>
      <c r="C3540" s="0" t="n">
        <v>1.35</v>
      </c>
      <c r="D3540" s="0" t="n">
        <v>0</v>
      </c>
    </row>
    <row r="3541" customFormat="false" ht="13.8" hidden="true" customHeight="false" outlineLevel="0" collapsed="false">
      <c r="A3541" s="0" t="s">
        <v>729</v>
      </c>
      <c r="B3541" s="0" t="n">
        <v>15</v>
      </c>
      <c r="C3541" s="0" t="n">
        <v>1.4</v>
      </c>
      <c r="D3541" s="0" t="n">
        <v>0</v>
      </c>
    </row>
    <row r="3542" customFormat="false" ht="13.8" hidden="true" customHeight="false" outlineLevel="0" collapsed="false">
      <c r="A3542" s="0" t="s">
        <v>729</v>
      </c>
      <c r="B3542" s="0" t="n">
        <v>15</v>
      </c>
      <c r="C3542" s="0" t="n">
        <v>1.45</v>
      </c>
      <c r="D3542" s="0" t="n">
        <v>0</v>
      </c>
    </row>
    <row r="3543" customFormat="false" ht="13.8" hidden="true" customHeight="false" outlineLevel="0" collapsed="false">
      <c r="A3543" s="0" t="s">
        <v>729</v>
      </c>
      <c r="B3543" s="0" t="n">
        <v>15</v>
      </c>
      <c r="C3543" s="0" t="n">
        <v>1.5</v>
      </c>
      <c r="D3543" s="0" t="n">
        <v>0</v>
      </c>
    </row>
    <row r="3544" customFormat="false" ht="13.8" hidden="true" customHeight="false" outlineLevel="0" collapsed="false">
      <c r="A3544" s="0" t="s">
        <v>729</v>
      </c>
      <c r="B3544" s="0" t="n">
        <v>15</v>
      </c>
      <c r="C3544" s="0" t="n">
        <v>1.55</v>
      </c>
      <c r="D3544" s="0" t="n">
        <v>0</v>
      </c>
    </row>
    <row r="3545" customFormat="false" ht="13.8" hidden="true" customHeight="false" outlineLevel="0" collapsed="false">
      <c r="A3545" s="0" t="s">
        <v>729</v>
      </c>
      <c r="B3545" s="0" t="n">
        <v>15</v>
      </c>
      <c r="C3545" s="0" t="n">
        <v>1.6</v>
      </c>
      <c r="D3545" s="0" t="n">
        <v>0.028</v>
      </c>
    </row>
    <row r="3546" customFormat="false" ht="13.8" hidden="true" customHeight="false" outlineLevel="0" collapsed="false">
      <c r="A3546" s="0" t="s">
        <v>729</v>
      </c>
      <c r="B3546" s="0" t="n">
        <v>15</v>
      </c>
      <c r="C3546" s="0" t="n">
        <v>1.65</v>
      </c>
      <c r="D3546" s="0" t="n">
        <v>0.029</v>
      </c>
    </row>
    <row r="3547" customFormat="false" ht="13.8" hidden="true" customHeight="false" outlineLevel="0" collapsed="false">
      <c r="A3547" s="0" t="s">
        <v>729</v>
      </c>
      <c r="B3547" s="0" t="n">
        <v>15</v>
      </c>
      <c r="C3547" s="0" t="n">
        <v>1.7</v>
      </c>
      <c r="D3547" s="0" t="n">
        <v>0.03</v>
      </c>
    </row>
    <row r="3548" customFormat="false" ht="13.8" hidden="true" customHeight="false" outlineLevel="0" collapsed="false">
      <c r="A3548" s="0" t="s">
        <v>729</v>
      </c>
      <c r="B3548" s="0" t="n">
        <v>15</v>
      </c>
      <c r="C3548" s="0" t="n">
        <v>1.75</v>
      </c>
      <c r="D3548" s="0" t="n">
        <v>0.031</v>
      </c>
    </row>
    <row r="3549" customFormat="false" ht="13.8" hidden="true" customHeight="false" outlineLevel="0" collapsed="false">
      <c r="A3549" s="0" t="s">
        <v>729</v>
      </c>
      <c r="B3549" s="0" t="n">
        <v>15</v>
      </c>
      <c r="C3549" s="0" t="n">
        <v>1.8</v>
      </c>
      <c r="D3549" s="0" t="n">
        <v>0.034</v>
      </c>
    </row>
    <row r="3550" customFormat="false" ht="13.8" hidden="true" customHeight="false" outlineLevel="0" collapsed="false">
      <c r="A3550" s="0" t="s">
        <v>729</v>
      </c>
      <c r="B3550" s="0" t="n">
        <v>15</v>
      </c>
      <c r="C3550" s="0" t="n">
        <v>1.85</v>
      </c>
      <c r="D3550" s="0" t="n">
        <v>0.035</v>
      </c>
    </row>
    <row r="3551" customFormat="false" ht="13.8" hidden="true" customHeight="false" outlineLevel="0" collapsed="false">
      <c r="A3551" s="0" t="s">
        <v>729</v>
      </c>
      <c r="B3551" s="0" t="n">
        <v>15</v>
      </c>
      <c r="C3551" s="0" t="n">
        <v>1.9</v>
      </c>
      <c r="D3551" s="0" t="n">
        <v>0.036</v>
      </c>
    </row>
    <row r="3552" customFormat="false" ht="13.8" hidden="true" customHeight="false" outlineLevel="0" collapsed="false">
      <c r="A3552" s="0" t="s">
        <v>729</v>
      </c>
      <c r="B3552" s="0" t="n">
        <v>15</v>
      </c>
      <c r="C3552" s="0" t="n">
        <v>1.95</v>
      </c>
      <c r="D3552" s="0" t="n">
        <v>0.036</v>
      </c>
    </row>
    <row r="3553" customFormat="false" ht="13.8" hidden="true" customHeight="false" outlineLevel="0" collapsed="false">
      <c r="A3553" s="0" t="s">
        <v>729</v>
      </c>
      <c r="B3553" s="0" t="n">
        <v>15</v>
      </c>
      <c r="C3553" s="0" t="n">
        <v>2</v>
      </c>
      <c r="D3553" s="0" t="n">
        <v>0.039566549</v>
      </c>
    </row>
    <row r="3554" customFormat="false" ht="13.8" hidden="true" customHeight="false" outlineLevel="0" collapsed="false">
      <c r="A3554" s="0" t="s">
        <v>729</v>
      </c>
      <c r="B3554" s="0" t="n">
        <v>15</v>
      </c>
      <c r="C3554" s="0" t="n">
        <v>2.05</v>
      </c>
      <c r="D3554" s="0" t="n">
        <v>0.040555713</v>
      </c>
    </row>
    <row r="3555" customFormat="false" ht="13.8" hidden="true" customHeight="false" outlineLevel="0" collapsed="false">
      <c r="A3555" s="0" t="s">
        <v>729</v>
      </c>
      <c r="B3555" s="0" t="n">
        <v>15</v>
      </c>
      <c r="C3555" s="0" t="n">
        <v>2.1</v>
      </c>
      <c r="D3555" s="0" t="n">
        <v>0.041544877</v>
      </c>
    </row>
    <row r="3556" customFormat="false" ht="13.8" hidden="true" customHeight="false" outlineLevel="0" collapsed="false">
      <c r="A3556" s="0" t="s">
        <v>729</v>
      </c>
      <c r="B3556" s="0" t="n">
        <v>15</v>
      </c>
      <c r="C3556" s="0" t="n">
        <v>2.15</v>
      </c>
      <c r="D3556" s="0" t="n">
        <v>0.04253404</v>
      </c>
    </row>
    <row r="3557" customFormat="false" ht="13.8" hidden="true" customHeight="false" outlineLevel="0" collapsed="false">
      <c r="A3557" s="0" t="s">
        <v>729</v>
      </c>
      <c r="B3557" s="0" t="n">
        <v>15</v>
      </c>
      <c r="C3557" s="0" t="n">
        <v>2.2</v>
      </c>
      <c r="D3557" s="0" t="n">
        <v>0.041382052</v>
      </c>
    </row>
    <row r="3558" customFormat="false" ht="13.8" hidden="true" customHeight="false" outlineLevel="0" collapsed="false">
      <c r="A3558" s="0" t="s">
        <v>729</v>
      </c>
      <c r="B3558" s="0" t="n">
        <v>15</v>
      </c>
      <c r="C3558" s="0" t="n">
        <v>2.25</v>
      </c>
      <c r="D3558" s="0" t="n">
        <v>0.042322553</v>
      </c>
    </row>
    <row r="3559" customFormat="false" ht="13.8" hidden="true" customHeight="false" outlineLevel="0" collapsed="false">
      <c r="A3559" s="0" t="s">
        <v>729</v>
      </c>
      <c r="B3559" s="0" t="n">
        <v>15</v>
      </c>
      <c r="C3559" s="0" t="n">
        <v>2.3</v>
      </c>
      <c r="D3559" s="0" t="n">
        <v>0.043263055</v>
      </c>
    </row>
    <row r="3560" customFormat="false" ht="13.8" hidden="true" customHeight="false" outlineLevel="0" collapsed="false">
      <c r="A3560" s="0" t="s">
        <v>729</v>
      </c>
      <c r="B3560" s="0" t="n">
        <v>15</v>
      </c>
      <c r="C3560" s="0" t="n">
        <v>2.35</v>
      </c>
      <c r="D3560" s="0" t="n">
        <v>0.044203556</v>
      </c>
    </row>
    <row r="3561" customFormat="false" ht="13.8" hidden="true" customHeight="false" outlineLevel="0" collapsed="false">
      <c r="A3561" s="0" t="s">
        <v>729</v>
      </c>
      <c r="B3561" s="0" t="n">
        <v>15</v>
      </c>
      <c r="C3561" s="0" t="n">
        <v>2.4</v>
      </c>
      <c r="D3561" s="0" t="n">
        <v>0.045144057</v>
      </c>
    </row>
    <row r="3562" customFormat="false" ht="13.8" hidden="true" customHeight="false" outlineLevel="0" collapsed="false">
      <c r="A3562" s="0" t="s">
        <v>729</v>
      </c>
      <c r="B3562" s="0" t="n">
        <v>15</v>
      </c>
      <c r="C3562" s="0" t="n">
        <v>2.45</v>
      </c>
      <c r="D3562" s="0" t="n">
        <v>0.046084558</v>
      </c>
    </row>
    <row r="3563" customFormat="false" ht="13.8" hidden="true" customHeight="false" outlineLevel="0" collapsed="false">
      <c r="A3563" s="0" t="s">
        <v>729</v>
      </c>
      <c r="B3563" s="0" t="n">
        <v>15</v>
      </c>
      <c r="C3563" s="0" t="n">
        <v>2.5</v>
      </c>
      <c r="D3563" s="0" t="n">
        <v>0.047025059</v>
      </c>
    </row>
    <row r="3564" customFormat="false" ht="13.8" hidden="true" customHeight="false" outlineLevel="0" collapsed="false">
      <c r="A3564" s="0" t="s">
        <v>729</v>
      </c>
      <c r="B3564" s="0" t="n">
        <v>15</v>
      </c>
      <c r="C3564" s="0" t="n">
        <v>2.55</v>
      </c>
      <c r="D3564" s="0" t="n">
        <v>0.047965561</v>
      </c>
    </row>
    <row r="3565" customFormat="false" ht="13.8" hidden="true" customHeight="false" outlineLevel="0" collapsed="false">
      <c r="A3565" s="0" t="s">
        <v>729</v>
      </c>
      <c r="B3565" s="0" t="n">
        <v>15</v>
      </c>
      <c r="C3565" s="0" t="n">
        <v>2.6</v>
      </c>
      <c r="D3565" s="0" t="n">
        <v>0.048906062</v>
      </c>
    </row>
    <row r="3566" customFormat="false" ht="13.8" hidden="true" customHeight="false" outlineLevel="0" collapsed="false">
      <c r="A3566" s="0" t="s">
        <v>732</v>
      </c>
      <c r="B3566" s="0" t="n">
        <v>9</v>
      </c>
      <c r="C3566" s="0" t="n">
        <v>1.3</v>
      </c>
      <c r="D3566" s="0" t="n">
        <v>0</v>
      </c>
    </row>
    <row r="3567" customFormat="false" ht="13.8" hidden="true" customHeight="false" outlineLevel="0" collapsed="false">
      <c r="A3567" s="0" t="s">
        <v>732</v>
      </c>
      <c r="B3567" s="0" t="n">
        <v>9</v>
      </c>
      <c r="C3567" s="0" t="n">
        <v>1.35</v>
      </c>
      <c r="D3567" s="0" t="n">
        <v>0</v>
      </c>
    </row>
    <row r="3568" customFormat="false" ht="13.8" hidden="true" customHeight="false" outlineLevel="0" collapsed="false">
      <c r="A3568" s="0" t="s">
        <v>732</v>
      </c>
      <c r="B3568" s="0" t="n">
        <v>9</v>
      </c>
      <c r="C3568" s="0" t="n">
        <v>1.4</v>
      </c>
      <c r="D3568" s="0" t="n">
        <v>0</v>
      </c>
    </row>
    <row r="3569" customFormat="false" ht="13.8" hidden="true" customHeight="false" outlineLevel="0" collapsed="false">
      <c r="A3569" s="0" t="s">
        <v>732</v>
      </c>
      <c r="B3569" s="0" t="n">
        <v>9</v>
      </c>
      <c r="C3569" s="0" t="n">
        <v>1.45</v>
      </c>
      <c r="D3569" s="0" t="n">
        <v>0</v>
      </c>
    </row>
    <row r="3570" customFormat="false" ht="13.8" hidden="true" customHeight="false" outlineLevel="0" collapsed="false">
      <c r="A3570" s="0" t="s">
        <v>732</v>
      </c>
      <c r="B3570" s="0" t="n">
        <v>9</v>
      </c>
      <c r="C3570" s="0" t="n">
        <v>1.5</v>
      </c>
      <c r="D3570" s="0" t="n">
        <v>0</v>
      </c>
    </row>
    <row r="3571" customFormat="false" ht="13.8" hidden="true" customHeight="false" outlineLevel="0" collapsed="false">
      <c r="A3571" s="0" t="s">
        <v>732</v>
      </c>
      <c r="B3571" s="0" t="n">
        <v>9</v>
      </c>
      <c r="C3571" s="0" t="n">
        <v>1.55</v>
      </c>
      <c r="D3571" s="0" t="n">
        <v>0</v>
      </c>
    </row>
    <row r="3572" customFormat="false" ht="13.8" hidden="true" customHeight="false" outlineLevel="0" collapsed="false">
      <c r="A3572" s="0" t="s">
        <v>732</v>
      </c>
      <c r="B3572" s="0" t="n">
        <v>9</v>
      </c>
      <c r="C3572" s="0" t="n">
        <v>1.6</v>
      </c>
      <c r="D3572" s="0" t="n">
        <v>0.056</v>
      </c>
    </row>
    <row r="3573" customFormat="false" ht="13.8" hidden="true" customHeight="false" outlineLevel="0" collapsed="false">
      <c r="A3573" s="0" t="s">
        <v>732</v>
      </c>
      <c r="B3573" s="0" t="n">
        <v>9</v>
      </c>
      <c r="C3573" s="0" t="n">
        <v>1.65</v>
      </c>
      <c r="D3573" s="0" t="n">
        <v>0.058</v>
      </c>
    </row>
    <row r="3574" customFormat="false" ht="13.8" hidden="true" customHeight="false" outlineLevel="0" collapsed="false">
      <c r="A3574" s="0" t="s">
        <v>732</v>
      </c>
      <c r="B3574" s="0" t="n">
        <v>9</v>
      </c>
      <c r="C3574" s="0" t="n">
        <v>1.7</v>
      </c>
      <c r="D3574" s="0" t="n">
        <v>0.06</v>
      </c>
    </row>
    <row r="3575" customFormat="false" ht="13.8" hidden="true" customHeight="false" outlineLevel="0" collapsed="false">
      <c r="A3575" s="0" t="s">
        <v>732</v>
      </c>
      <c r="B3575" s="0" t="n">
        <v>9</v>
      </c>
      <c r="C3575" s="0" t="n">
        <v>1.75</v>
      </c>
      <c r="D3575" s="0" t="n">
        <v>0.062</v>
      </c>
    </row>
    <row r="3576" customFormat="false" ht="13.8" hidden="true" customHeight="false" outlineLevel="0" collapsed="false">
      <c r="A3576" s="0" t="s">
        <v>732</v>
      </c>
      <c r="B3576" s="0" t="n">
        <v>9</v>
      </c>
      <c r="C3576" s="0" t="n">
        <v>1.8</v>
      </c>
      <c r="D3576" s="0" t="n">
        <v>0.067</v>
      </c>
    </row>
    <row r="3577" customFormat="false" ht="13.8" hidden="true" customHeight="false" outlineLevel="0" collapsed="false">
      <c r="A3577" s="0" t="s">
        <v>732</v>
      </c>
      <c r="B3577" s="0" t="n">
        <v>9</v>
      </c>
      <c r="C3577" s="0" t="n">
        <v>1.85</v>
      </c>
      <c r="D3577" s="0" t="n">
        <v>0</v>
      </c>
    </row>
    <row r="3578" customFormat="false" ht="13.8" hidden="true" customHeight="false" outlineLevel="0" collapsed="false">
      <c r="A3578" s="0" t="s">
        <v>732</v>
      </c>
      <c r="B3578" s="0" t="n">
        <v>9</v>
      </c>
      <c r="C3578" s="0" t="n">
        <v>1.9</v>
      </c>
      <c r="D3578" s="0" t="n">
        <v>0</v>
      </c>
    </row>
    <row r="3579" customFormat="false" ht="13.8" hidden="true" customHeight="false" outlineLevel="0" collapsed="false">
      <c r="A3579" s="0" t="s">
        <v>732</v>
      </c>
      <c r="B3579" s="0" t="n">
        <v>9</v>
      </c>
      <c r="C3579" s="0" t="n">
        <v>1.95</v>
      </c>
      <c r="D3579" s="0" t="n">
        <v>0</v>
      </c>
    </row>
    <row r="3580" customFormat="false" ht="13.8" hidden="true" customHeight="false" outlineLevel="0" collapsed="false">
      <c r="A3580" s="0" t="s">
        <v>732</v>
      </c>
      <c r="B3580" s="0" t="n">
        <v>9</v>
      </c>
      <c r="C3580" s="0" t="n">
        <v>2</v>
      </c>
      <c r="D3580" s="0" t="n">
        <v>0</v>
      </c>
    </row>
    <row r="3581" customFormat="false" ht="13.8" hidden="true" customHeight="false" outlineLevel="0" collapsed="false">
      <c r="A3581" s="0" t="s">
        <v>732</v>
      </c>
      <c r="B3581" s="0" t="n">
        <v>9</v>
      </c>
      <c r="C3581" s="0" t="n">
        <v>2.05</v>
      </c>
      <c r="D3581" s="0" t="n">
        <v>0</v>
      </c>
    </row>
    <row r="3582" customFormat="false" ht="13.8" hidden="true" customHeight="false" outlineLevel="0" collapsed="false">
      <c r="A3582" s="0" t="s">
        <v>732</v>
      </c>
      <c r="B3582" s="0" t="n">
        <v>9</v>
      </c>
      <c r="C3582" s="0" t="n">
        <v>2.1</v>
      </c>
      <c r="D3582" s="0" t="n">
        <v>0</v>
      </c>
    </row>
    <row r="3583" customFormat="false" ht="13.8" hidden="true" customHeight="false" outlineLevel="0" collapsed="false">
      <c r="A3583" s="0" t="s">
        <v>732</v>
      </c>
      <c r="B3583" s="0" t="n">
        <v>9</v>
      </c>
      <c r="C3583" s="0" t="n">
        <v>2.15</v>
      </c>
      <c r="D3583" s="0" t="n">
        <v>0</v>
      </c>
    </row>
    <row r="3584" customFormat="false" ht="13.8" hidden="true" customHeight="false" outlineLevel="0" collapsed="false">
      <c r="A3584" s="0" t="s">
        <v>732</v>
      </c>
      <c r="B3584" s="0" t="n">
        <v>9</v>
      </c>
      <c r="C3584" s="0" t="n">
        <v>2.2</v>
      </c>
      <c r="D3584" s="0" t="n">
        <v>0</v>
      </c>
    </row>
    <row r="3585" customFormat="false" ht="13.8" hidden="true" customHeight="false" outlineLevel="0" collapsed="false">
      <c r="A3585" s="0" t="s">
        <v>732</v>
      </c>
      <c r="B3585" s="0" t="n">
        <v>9</v>
      </c>
      <c r="C3585" s="0" t="n">
        <v>2.25</v>
      </c>
      <c r="D3585" s="0" t="n">
        <v>0</v>
      </c>
    </row>
    <row r="3586" customFormat="false" ht="13.8" hidden="true" customHeight="false" outlineLevel="0" collapsed="false">
      <c r="A3586" s="0" t="s">
        <v>732</v>
      </c>
      <c r="B3586" s="0" t="n">
        <v>9</v>
      </c>
      <c r="C3586" s="0" t="n">
        <v>2.3</v>
      </c>
      <c r="D3586" s="0" t="n">
        <v>0</v>
      </c>
    </row>
    <row r="3587" customFormat="false" ht="13.8" hidden="true" customHeight="false" outlineLevel="0" collapsed="false">
      <c r="A3587" s="0" t="s">
        <v>732</v>
      </c>
      <c r="B3587" s="0" t="n">
        <v>9</v>
      </c>
      <c r="C3587" s="0" t="n">
        <v>2.35</v>
      </c>
      <c r="D3587" s="0" t="n">
        <v>0</v>
      </c>
    </row>
    <row r="3588" customFormat="false" ht="13.8" hidden="true" customHeight="false" outlineLevel="0" collapsed="false">
      <c r="A3588" s="0" t="s">
        <v>732</v>
      </c>
      <c r="B3588" s="0" t="n">
        <v>9</v>
      </c>
      <c r="C3588" s="0" t="n">
        <v>2.4</v>
      </c>
      <c r="D3588" s="0" t="n">
        <v>0</v>
      </c>
    </row>
    <row r="3589" customFormat="false" ht="13.8" hidden="true" customHeight="false" outlineLevel="0" collapsed="false">
      <c r="A3589" s="0" t="s">
        <v>732</v>
      </c>
      <c r="B3589" s="0" t="n">
        <v>9</v>
      </c>
      <c r="C3589" s="0" t="n">
        <v>2.45</v>
      </c>
      <c r="D3589" s="0" t="n">
        <v>0</v>
      </c>
    </row>
    <row r="3590" customFormat="false" ht="13.8" hidden="true" customHeight="false" outlineLevel="0" collapsed="false">
      <c r="A3590" s="0" t="s">
        <v>732</v>
      </c>
      <c r="B3590" s="0" t="n">
        <v>9</v>
      </c>
      <c r="C3590" s="0" t="n">
        <v>2.5</v>
      </c>
      <c r="D3590" s="0" t="n">
        <v>0</v>
      </c>
    </row>
    <row r="3591" customFormat="false" ht="13.8" hidden="true" customHeight="false" outlineLevel="0" collapsed="false">
      <c r="A3591" s="0" t="s">
        <v>732</v>
      </c>
      <c r="B3591" s="0" t="n">
        <v>9</v>
      </c>
      <c r="C3591" s="0" t="n">
        <v>2.55</v>
      </c>
      <c r="D3591" s="0" t="n">
        <v>0</v>
      </c>
    </row>
    <row r="3592" customFormat="false" ht="13.8" hidden="true" customHeight="false" outlineLevel="0" collapsed="false">
      <c r="A3592" s="0" t="s">
        <v>732</v>
      </c>
      <c r="B3592" s="0" t="n">
        <v>9</v>
      </c>
      <c r="C3592" s="0" t="n">
        <v>2.6</v>
      </c>
      <c r="D3592" s="0" t="n">
        <v>0</v>
      </c>
    </row>
    <row r="3593" customFormat="false" ht="13.8" hidden="true" customHeight="false" outlineLevel="0" collapsed="false">
      <c r="A3593" s="0" t="s">
        <v>732</v>
      </c>
      <c r="B3593" s="0" t="n">
        <v>10</v>
      </c>
      <c r="C3593" s="0" t="n">
        <v>1.3</v>
      </c>
      <c r="D3593" s="0" t="n">
        <v>0</v>
      </c>
    </row>
    <row r="3594" customFormat="false" ht="13.8" hidden="true" customHeight="false" outlineLevel="0" collapsed="false">
      <c r="A3594" s="0" t="s">
        <v>732</v>
      </c>
      <c r="B3594" s="0" t="n">
        <v>10</v>
      </c>
      <c r="C3594" s="0" t="n">
        <v>1.35</v>
      </c>
      <c r="D3594" s="0" t="n">
        <v>0</v>
      </c>
    </row>
    <row r="3595" customFormat="false" ht="13.8" hidden="true" customHeight="false" outlineLevel="0" collapsed="false">
      <c r="A3595" s="0" t="s">
        <v>732</v>
      </c>
      <c r="B3595" s="0" t="n">
        <v>10</v>
      </c>
      <c r="C3595" s="0" t="n">
        <v>1.4</v>
      </c>
      <c r="D3595" s="0" t="n">
        <v>0</v>
      </c>
    </row>
    <row r="3596" customFormat="false" ht="13.8" hidden="true" customHeight="false" outlineLevel="0" collapsed="false">
      <c r="A3596" s="0" t="s">
        <v>732</v>
      </c>
      <c r="B3596" s="0" t="n">
        <v>10</v>
      </c>
      <c r="C3596" s="0" t="n">
        <v>1.45</v>
      </c>
      <c r="D3596" s="0" t="n">
        <v>0</v>
      </c>
    </row>
    <row r="3597" customFormat="false" ht="13.8" hidden="true" customHeight="false" outlineLevel="0" collapsed="false">
      <c r="A3597" s="0" t="s">
        <v>732</v>
      </c>
      <c r="B3597" s="0" t="n">
        <v>10</v>
      </c>
      <c r="C3597" s="0" t="n">
        <v>1.5</v>
      </c>
      <c r="D3597" s="0" t="n">
        <v>0</v>
      </c>
    </row>
    <row r="3598" customFormat="false" ht="13.8" hidden="true" customHeight="false" outlineLevel="0" collapsed="false">
      <c r="A3598" s="0" t="s">
        <v>732</v>
      </c>
      <c r="B3598" s="0" t="n">
        <v>10</v>
      </c>
      <c r="C3598" s="0" t="n">
        <v>1.55</v>
      </c>
      <c r="D3598" s="0" t="n">
        <v>0</v>
      </c>
    </row>
    <row r="3599" customFormat="false" ht="13.8" hidden="true" customHeight="false" outlineLevel="0" collapsed="false">
      <c r="A3599" s="0" t="s">
        <v>732</v>
      </c>
      <c r="B3599" s="0" t="n">
        <v>10</v>
      </c>
      <c r="C3599" s="0" t="n">
        <v>1.6</v>
      </c>
      <c r="D3599" s="0" t="n">
        <v>0.056</v>
      </c>
    </row>
    <row r="3600" customFormat="false" ht="13.8" hidden="true" customHeight="false" outlineLevel="0" collapsed="false">
      <c r="A3600" s="0" t="s">
        <v>732</v>
      </c>
      <c r="B3600" s="0" t="n">
        <v>10</v>
      </c>
      <c r="C3600" s="0" t="n">
        <v>1.65</v>
      </c>
      <c r="D3600" s="0" t="n">
        <v>0.058</v>
      </c>
    </row>
    <row r="3601" customFormat="false" ht="13.8" hidden="true" customHeight="false" outlineLevel="0" collapsed="false">
      <c r="A3601" s="0" t="s">
        <v>732</v>
      </c>
      <c r="B3601" s="0" t="n">
        <v>10</v>
      </c>
      <c r="C3601" s="0" t="n">
        <v>1.7</v>
      </c>
      <c r="D3601" s="0" t="n">
        <v>0.06</v>
      </c>
    </row>
    <row r="3602" customFormat="false" ht="13.8" hidden="true" customHeight="false" outlineLevel="0" collapsed="false">
      <c r="A3602" s="0" t="s">
        <v>732</v>
      </c>
      <c r="B3602" s="0" t="n">
        <v>10</v>
      </c>
      <c r="C3602" s="0" t="n">
        <v>1.75</v>
      </c>
      <c r="D3602" s="0" t="n">
        <v>0.062</v>
      </c>
    </row>
    <row r="3603" customFormat="false" ht="13.8" hidden="true" customHeight="false" outlineLevel="0" collapsed="false">
      <c r="A3603" s="0" t="s">
        <v>732</v>
      </c>
      <c r="B3603" s="0" t="n">
        <v>10</v>
      </c>
      <c r="C3603" s="0" t="n">
        <v>1.8</v>
      </c>
      <c r="D3603" s="0" t="n">
        <v>0.067</v>
      </c>
    </row>
    <row r="3604" customFormat="false" ht="13.8" hidden="true" customHeight="false" outlineLevel="0" collapsed="false">
      <c r="A3604" s="0" t="s">
        <v>732</v>
      </c>
      <c r="B3604" s="0" t="n">
        <v>10</v>
      </c>
      <c r="C3604" s="0" t="n">
        <v>1.85</v>
      </c>
      <c r="D3604" s="0" t="n">
        <v>0</v>
      </c>
    </row>
    <row r="3605" customFormat="false" ht="13.8" hidden="true" customHeight="false" outlineLevel="0" collapsed="false">
      <c r="A3605" s="0" t="s">
        <v>732</v>
      </c>
      <c r="B3605" s="0" t="n">
        <v>10</v>
      </c>
      <c r="C3605" s="0" t="n">
        <v>1.9</v>
      </c>
      <c r="D3605" s="0" t="n">
        <v>0</v>
      </c>
    </row>
    <row r="3606" customFormat="false" ht="13.8" hidden="true" customHeight="false" outlineLevel="0" collapsed="false">
      <c r="A3606" s="0" t="s">
        <v>732</v>
      </c>
      <c r="B3606" s="0" t="n">
        <v>10</v>
      </c>
      <c r="C3606" s="0" t="n">
        <v>1.95</v>
      </c>
      <c r="D3606" s="0" t="n">
        <v>0</v>
      </c>
    </row>
    <row r="3607" customFormat="false" ht="13.8" hidden="true" customHeight="false" outlineLevel="0" collapsed="false">
      <c r="A3607" s="0" t="s">
        <v>732</v>
      </c>
      <c r="B3607" s="0" t="n">
        <v>10</v>
      </c>
      <c r="C3607" s="0" t="n">
        <v>2</v>
      </c>
      <c r="D3607" s="0" t="n">
        <v>0</v>
      </c>
    </row>
    <row r="3608" customFormat="false" ht="13.8" hidden="true" customHeight="false" outlineLevel="0" collapsed="false">
      <c r="A3608" s="0" t="s">
        <v>732</v>
      </c>
      <c r="B3608" s="0" t="n">
        <v>10</v>
      </c>
      <c r="C3608" s="0" t="n">
        <v>2.05</v>
      </c>
      <c r="D3608" s="0" t="n">
        <v>0</v>
      </c>
    </row>
    <row r="3609" customFormat="false" ht="13.8" hidden="true" customHeight="false" outlineLevel="0" collapsed="false">
      <c r="A3609" s="0" t="s">
        <v>732</v>
      </c>
      <c r="B3609" s="0" t="n">
        <v>10</v>
      </c>
      <c r="C3609" s="0" t="n">
        <v>2.1</v>
      </c>
      <c r="D3609" s="0" t="n">
        <v>0</v>
      </c>
    </row>
    <row r="3610" customFormat="false" ht="13.8" hidden="true" customHeight="false" outlineLevel="0" collapsed="false">
      <c r="A3610" s="0" t="s">
        <v>732</v>
      </c>
      <c r="B3610" s="0" t="n">
        <v>10</v>
      </c>
      <c r="C3610" s="0" t="n">
        <v>2.15</v>
      </c>
      <c r="D3610" s="0" t="n">
        <v>0</v>
      </c>
    </row>
    <row r="3611" customFormat="false" ht="13.8" hidden="true" customHeight="false" outlineLevel="0" collapsed="false">
      <c r="A3611" s="0" t="s">
        <v>732</v>
      </c>
      <c r="B3611" s="0" t="n">
        <v>10</v>
      </c>
      <c r="C3611" s="0" t="n">
        <v>2.2</v>
      </c>
      <c r="D3611" s="0" t="n">
        <v>0</v>
      </c>
    </row>
    <row r="3612" customFormat="false" ht="13.8" hidden="true" customHeight="false" outlineLevel="0" collapsed="false">
      <c r="A3612" s="0" t="s">
        <v>732</v>
      </c>
      <c r="B3612" s="0" t="n">
        <v>10</v>
      </c>
      <c r="C3612" s="0" t="n">
        <v>2.25</v>
      </c>
      <c r="D3612" s="0" t="n">
        <v>0</v>
      </c>
    </row>
    <row r="3613" customFormat="false" ht="13.8" hidden="true" customHeight="false" outlineLevel="0" collapsed="false">
      <c r="A3613" s="0" t="s">
        <v>732</v>
      </c>
      <c r="B3613" s="0" t="n">
        <v>10</v>
      </c>
      <c r="C3613" s="0" t="n">
        <v>2.3</v>
      </c>
      <c r="D3613" s="0" t="n">
        <v>0</v>
      </c>
    </row>
    <row r="3614" customFormat="false" ht="13.8" hidden="true" customHeight="false" outlineLevel="0" collapsed="false">
      <c r="A3614" s="0" t="s">
        <v>732</v>
      </c>
      <c r="B3614" s="0" t="n">
        <v>10</v>
      </c>
      <c r="C3614" s="0" t="n">
        <v>2.35</v>
      </c>
      <c r="D3614" s="0" t="n">
        <v>0</v>
      </c>
    </row>
    <row r="3615" customFormat="false" ht="13.8" hidden="true" customHeight="false" outlineLevel="0" collapsed="false">
      <c r="A3615" s="0" t="s">
        <v>732</v>
      </c>
      <c r="B3615" s="0" t="n">
        <v>10</v>
      </c>
      <c r="C3615" s="0" t="n">
        <v>2.4</v>
      </c>
      <c r="D3615" s="0" t="n">
        <v>0</v>
      </c>
    </row>
    <row r="3616" customFormat="false" ht="13.8" hidden="true" customHeight="false" outlineLevel="0" collapsed="false">
      <c r="A3616" s="0" t="s">
        <v>732</v>
      </c>
      <c r="B3616" s="0" t="n">
        <v>10</v>
      </c>
      <c r="C3616" s="0" t="n">
        <v>2.45</v>
      </c>
      <c r="D3616" s="0" t="n">
        <v>0</v>
      </c>
    </row>
    <row r="3617" customFormat="false" ht="13.8" hidden="true" customHeight="false" outlineLevel="0" collapsed="false">
      <c r="A3617" s="0" t="s">
        <v>732</v>
      </c>
      <c r="B3617" s="0" t="n">
        <v>10</v>
      </c>
      <c r="C3617" s="0" t="n">
        <v>2.5</v>
      </c>
      <c r="D3617" s="0" t="n">
        <v>0</v>
      </c>
    </row>
    <row r="3618" customFormat="false" ht="13.8" hidden="true" customHeight="false" outlineLevel="0" collapsed="false">
      <c r="A3618" s="0" t="s">
        <v>732</v>
      </c>
      <c r="B3618" s="0" t="n">
        <v>10</v>
      </c>
      <c r="C3618" s="0" t="n">
        <v>2.55</v>
      </c>
      <c r="D3618" s="0" t="n">
        <v>0</v>
      </c>
    </row>
    <row r="3619" customFormat="false" ht="13.8" hidden="true" customHeight="false" outlineLevel="0" collapsed="false">
      <c r="A3619" s="0" t="s">
        <v>732</v>
      </c>
      <c r="B3619" s="0" t="n">
        <v>10</v>
      </c>
      <c r="C3619" s="0" t="n">
        <v>2.6</v>
      </c>
      <c r="D3619" s="0" t="n">
        <v>0</v>
      </c>
    </row>
    <row r="3620" customFormat="false" ht="13.8" hidden="true" customHeight="false" outlineLevel="0" collapsed="false">
      <c r="A3620" s="0" t="s">
        <v>732</v>
      </c>
      <c r="B3620" s="0" t="n">
        <v>11</v>
      </c>
      <c r="C3620" s="0" t="n">
        <v>1.3</v>
      </c>
      <c r="D3620" s="0" t="n">
        <v>0</v>
      </c>
    </row>
    <row r="3621" customFormat="false" ht="13.8" hidden="true" customHeight="false" outlineLevel="0" collapsed="false">
      <c r="A3621" s="0" t="s">
        <v>732</v>
      </c>
      <c r="B3621" s="0" t="n">
        <v>11</v>
      </c>
      <c r="C3621" s="0" t="n">
        <v>1.35</v>
      </c>
      <c r="D3621" s="0" t="n">
        <v>0</v>
      </c>
    </row>
    <row r="3622" customFormat="false" ht="13.8" hidden="true" customHeight="false" outlineLevel="0" collapsed="false">
      <c r="A3622" s="0" t="s">
        <v>732</v>
      </c>
      <c r="B3622" s="0" t="n">
        <v>11</v>
      </c>
      <c r="C3622" s="0" t="n">
        <v>1.4</v>
      </c>
      <c r="D3622" s="0" t="n">
        <v>0</v>
      </c>
    </row>
    <row r="3623" customFormat="false" ht="13.8" hidden="true" customHeight="false" outlineLevel="0" collapsed="false">
      <c r="A3623" s="0" t="s">
        <v>732</v>
      </c>
      <c r="B3623" s="0" t="n">
        <v>11</v>
      </c>
      <c r="C3623" s="0" t="n">
        <v>1.45</v>
      </c>
      <c r="D3623" s="0" t="n">
        <v>0</v>
      </c>
    </row>
    <row r="3624" customFormat="false" ht="13.8" hidden="true" customHeight="false" outlineLevel="0" collapsed="false">
      <c r="A3624" s="0" t="s">
        <v>732</v>
      </c>
      <c r="B3624" s="0" t="n">
        <v>11</v>
      </c>
      <c r="C3624" s="0" t="n">
        <v>1.5</v>
      </c>
      <c r="D3624" s="0" t="n">
        <v>0</v>
      </c>
    </row>
    <row r="3625" customFormat="false" ht="13.8" hidden="true" customHeight="false" outlineLevel="0" collapsed="false">
      <c r="A3625" s="0" t="s">
        <v>732</v>
      </c>
      <c r="B3625" s="0" t="n">
        <v>11</v>
      </c>
      <c r="C3625" s="0" t="n">
        <v>1.55</v>
      </c>
      <c r="D3625" s="0" t="n">
        <v>0</v>
      </c>
    </row>
    <row r="3626" customFormat="false" ht="13.8" hidden="true" customHeight="false" outlineLevel="0" collapsed="false">
      <c r="A3626" s="0" t="s">
        <v>732</v>
      </c>
      <c r="B3626" s="0" t="n">
        <v>11</v>
      </c>
      <c r="C3626" s="0" t="n">
        <v>1.6</v>
      </c>
      <c r="D3626" s="0" t="n">
        <v>0.056</v>
      </c>
    </row>
    <row r="3627" customFormat="false" ht="13.8" hidden="true" customHeight="false" outlineLevel="0" collapsed="false">
      <c r="A3627" s="0" t="s">
        <v>732</v>
      </c>
      <c r="B3627" s="0" t="n">
        <v>11</v>
      </c>
      <c r="C3627" s="0" t="n">
        <v>1.65</v>
      </c>
      <c r="D3627" s="0" t="n">
        <v>0.058</v>
      </c>
    </row>
    <row r="3628" customFormat="false" ht="13.8" hidden="true" customHeight="false" outlineLevel="0" collapsed="false">
      <c r="A3628" s="0" t="s">
        <v>732</v>
      </c>
      <c r="B3628" s="0" t="n">
        <v>11</v>
      </c>
      <c r="C3628" s="0" t="n">
        <v>1.7</v>
      </c>
      <c r="D3628" s="0" t="n">
        <v>0.06</v>
      </c>
    </row>
    <row r="3629" customFormat="false" ht="13.8" hidden="true" customHeight="false" outlineLevel="0" collapsed="false">
      <c r="A3629" s="0" t="s">
        <v>732</v>
      </c>
      <c r="B3629" s="0" t="n">
        <v>11</v>
      </c>
      <c r="C3629" s="0" t="n">
        <v>1.75</v>
      </c>
      <c r="D3629" s="0" t="n">
        <v>0.062</v>
      </c>
    </row>
    <row r="3630" customFormat="false" ht="13.8" hidden="true" customHeight="false" outlineLevel="0" collapsed="false">
      <c r="A3630" s="0" t="s">
        <v>732</v>
      </c>
      <c r="B3630" s="0" t="n">
        <v>11</v>
      </c>
      <c r="C3630" s="0" t="n">
        <v>1.8</v>
      </c>
      <c r="D3630" s="0" t="n">
        <v>0.067</v>
      </c>
    </row>
    <row r="3631" customFormat="false" ht="13.8" hidden="true" customHeight="false" outlineLevel="0" collapsed="false">
      <c r="A3631" s="0" t="s">
        <v>732</v>
      </c>
      <c r="B3631" s="0" t="n">
        <v>11</v>
      </c>
      <c r="C3631" s="0" t="n">
        <v>1.85</v>
      </c>
      <c r="D3631" s="0" t="n">
        <v>0</v>
      </c>
    </row>
    <row r="3632" customFormat="false" ht="13.8" hidden="true" customHeight="false" outlineLevel="0" collapsed="false">
      <c r="A3632" s="0" t="s">
        <v>732</v>
      </c>
      <c r="B3632" s="0" t="n">
        <v>11</v>
      </c>
      <c r="C3632" s="0" t="n">
        <v>1.9</v>
      </c>
      <c r="D3632" s="0" t="n">
        <v>0</v>
      </c>
    </row>
    <row r="3633" customFormat="false" ht="13.8" hidden="true" customHeight="false" outlineLevel="0" collapsed="false">
      <c r="A3633" s="0" t="s">
        <v>732</v>
      </c>
      <c r="B3633" s="0" t="n">
        <v>11</v>
      </c>
      <c r="C3633" s="0" t="n">
        <v>1.95</v>
      </c>
      <c r="D3633" s="0" t="n">
        <v>0</v>
      </c>
    </row>
    <row r="3634" customFormat="false" ht="13.8" hidden="true" customHeight="false" outlineLevel="0" collapsed="false">
      <c r="A3634" s="0" t="s">
        <v>732</v>
      </c>
      <c r="B3634" s="0" t="n">
        <v>11</v>
      </c>
      <c r="C3634" s="0" t="n">
        <v>2</v>
      </c>
      <c r="D3634" s="0" t="n">
        <v>0</v>
      </c>
    </row>
    <row r="3635" customFormat="false" ht="13.8" hidden="true" customHeight="false" outlineLevel="0" collapsed="false">
      <c r="A3635" s="0" t="s">
        <v>732</v>
      </c>
      <c r="B3635" s="0" t="n">
        <v>11</v>
      </c>
      <c r="C3635" s="0" t="n">
        <v>2.05</v>
      </c>
      <c r="D3635" s="0" t="n">
        <v>0</v>
      </c>
    </row>
    <row r="3636" customFormat="false" ht="13.8" hidden="true" customHeight="false" outlineLevel="0" collapsed="false">
      <c r="A3636" s="0" t="s">
        <v>732</v>
      </c>
      <c r="B3636" s="0" t="n">
        <v>11</v>
      </c>
      <c r="C3636" s="0" t="n">
        <v>2.1</v>
      </c>
      <c r="D3636" s="0" t="n">
        <v>0</v>
      </c>
    </row>
    <row r="3637" customFormat="false" ht="13.8" hidden="true" customHeight="false" outlineLevel="0" collapsed="false">
      <c r="A3637" s="0" t="s">
        <v>732</v>
      </c>
      <c r="B3637" s="0" t="n">
        <v>11</v>
      </c>
      <c r="C3637" s="0" t="n">
        <v>2.15</v>
      </c>
      <c r="D3637" s="0" t="n">
        <v>0</v>
      </c>
    </row>
    <row r="3638" customFormat="false" ht="13.8" hidden="true" customHeight="false" outlineLevel="0" collapsed="false">
      <c r="A3638" s="0" t="s">
        <v>732</v>
      </c>
      <c r="B3638" s="0" t="n">
        <v>11</v>
      </c>
      <c r="C3638" s="0" t="n">
        <v>2.2</v>
      </c>
      <c r="D3638" s="0" t="n">
        <v>0</v>
      </c>
    </row>
    <row r="3639" customFormat="false" ht="13.8" hidden="true" customHeight="false" outlineLevel="0" collapsed="false">
      <c r="A3639" s="0" t="s">
        <v>732</v>
      </c>
      <c r="B3639" s="0" t="n">
        <v>11</v>
      </c>
      <c r="C3639" s="0" t="n">
        <v>2.25</v>
      </c>
      <c r="D3639" s="0" t="n">
        <v>0</v>
      </c>
    </row>
    <row r="3640" customFormat="false" ht="13.8" hidden="true" customHeight="false" outlineLevel="0" collapsed="false">
      <c r="A3640" s="0" t="s">
        <v>732</v>
      </c>
      <c r="B3640" s="0" t="n">
        <v>11</v>
      </c>
      <c r="C3640" s="0" t="n">
        <v>2.3</v>
      </c>
      <c r="D3640" s="0" t="n">
        <v>0</v>
      </c>
    </row>
    <row r="3641" customFormat="false" ht="13.8" hidden="true" customHeight="false" outlineLevel="0" collapsed="false">
      <c r="A3641" s="0" t="s">
        <v>732</v>
      </c>
      <c r="B3641" s="0" t="n">
        <v>11</v>
      </c>
      <c r="C3641" s="0" t="n">
        <v>2.35</v>
      </c>
      <c r="D3641" s="0" t="n">
        <v>0</v>
      </c>
    </row>
    <row r="3642" customFormat="false" ht="13.8" hidden="true" customHeight="false" outlineLevel="0" collapsed="false">
      <c r="A3642" s="0" t="s">
        <v>732</v>
      </c>
      <c r="B3642" s="0" t="n">
        <v>11</v>
      </c>
      <c r="C3642" s="0" t="n">
        <v>2.4</v>
      </c>
      <c r="D3642" s="0" t="n">
        <v>0</v>
      </c>
    </row>
    <row r="3643" customFormat="false" ht="13.8" hidden="true" customHeight="false" outlineLevel="0" collapsed="false">
      <c r="A3643" s="0" t="s">
        <v>732</v>
      </c>
      <c r="B3643" s="0" t="n">
        <v>11</v>
      </c>
      <c r="C3643" s="0" t="n">
        <v>2.45</v>
      </c>
      <c r="D3643" s="0" t="n">
        <v>0</v>
      </c>
    </row>
    <row r="3644" customFormat="false" ht="13.8" hidden="true" customHeight="false" outlineLevel="0" collapsed="false">
      <c r="A3644" s="0" t="s">
        <v>732</v>
      </c>
      <c r="B3644" s="0" t="n">
        <v>11</v>
      </c>
      <c r="C3644" s="0" t="n">
        <v>2.5</v>
      </c>
      <c r="D3644" s="0" t="n">
        <v>0</v>
      </c>
    </row>
    <row r="3645" customFormat="false" ht="13.8" hidden="true" customHeight="false" outlineLevel="0" collapsed="false">
      <c r="A3645" s="0" t="s">
        <v>732</v>
      </c>
      <c r="B3645" s="0" t="n">
        <v>11</v>
      </c>
      <c r="C3645" s="0" t="n">
        <v>2.55</v>
      </c>
      <c r="D3645" s="0" t="n">
        <v>0</v>
      </c>
    </row>
    <row r="3646" customFormat="false" ht="13.8" hidden="true" customHeight="false" outlineLevel="0" collapsed="false">
      <c r="A3646" s="0" t="s">
        <v>732</v>
      </c>
      <c r="B3646" s="0" t="n">
        <v>11</v>
      </c>
      <c r="C3646" s="0" t="n">
        <v>2.6</v>
      </c>
      <c r="D3646" s="0" t="n">
        <v>0</v>
      </c>
    </row>
    <row r="3647" customFormat="false" ht="13.8" hidden="true" customHeight="false" outlineLevel="0" collapsed="false">
      <c r="A3647" s="0" t="s">
        <v>732</v>
      </c>
      <c r="B3647" s="0" t="n">
        <v>12</v>
      </c>
      <c r="C3647" s="0" t="n">
        <v>1.3</v>
      </c>
      <c r="D3647" s="0" t="n">
        <v>0</v>
      </c>
    </row>
    <row r="3648" customFormat="false" ht="13.8" hidden="true" customHeight="false" outlineLevel="0" collapsed="false">
      <c r="A3648" s="0" t="s">
        <v>732</v>
      </c>
      <c r="B3648" s="0" t="n">
        <v>12</v>
      </c>
      <c r="C3648" s="0" t="n">
        <v>1.35</v>
      </c>
      <c r="D3648" s="0" t="n">
        <v>0</v>
      </c>
    </row>
    <row r="3649" customFormat="false" ht="13.8" hidden="true" customHeight="false" outlineLevel="0" collapsed="false">
      <c r="A3649" s="0" t="s">
        <v>732</v>
      </c>
      <c r="B3649" s="0" t="n">
        <v>12</v>
      </c>
      <c r="C3649" s="0" t="n">
        <v>1.4</v>
      </c>
      <c r="D3649" s="0" t="n">
        <v>0</v>
      </c>
    </row>
    <row r="3650" customFormat="false" ht="13.8" hidden="true" customHeight="false" outlineLevel="0" collapsed="false">
      <c r="A3650" s="0" t="s">
        <v>732</v>
      </c>
      <c r="B3650" s="0" t="n">
        <v>12</v>
      </c>
      <c r="C3650" s="0" t="n">
        <v>1.45</v>
      </c>
      <c r="D3650" s="0" t="n">
        <v>0</v>
      </c>
    </row>
    <row r="3651" customFormat="false" ht="13.8" hidden="true" customHeight="false" outlineLevel="0" collapsed="false">
      <c r="A3651" s="0" t="s">
        <v>732</v>
      </c>
      <c r="B3651" s="0" t="n">
        <v>12</v>
      </c>
      <c r="C3651" s="0" t="n">
        <v>1.5</v>
      </c>
      <c r="D3651" s="0" t="n">
        <v>0</v>
      </c>
    </row>
    <row r="3652" customFormat="false" ht="13.8" hidden="true" customHeight="false" outlineLevel="0" collapsed="false">
      <c r="A3652" s="0" t="s">
        <v>732</v>
      </c>
      <c r="B3652" s="0" t="n">
        <v>12</v>
      </c>
      <c r="C3652" s="0" t="n">
        <v>1.55</v>
      </c>
      <c r="D3652" s="0" t="n">
        <v>0</v>
      </c>
    </row>
    <row r="3653" customFormat="false" ht="13.8" hidden="true" customHeight="false" outlineLevel="0" collapsed="false">
      <c r="A3653" s="0" t="s">
        <v>732</v>
      </c>
      <c r="B3653" s="0" t="n">
        <v>12</v>
      </c>
      <c r="C3653" s="0" t="n">
        <v>1.6</v>
      </c>
      <c r="D3653" s="0" t="n">
        <v>0.056</v>
      </c>
    </row>
    <row r="3654" customFormat="false" ht="13.8" hidden="true" customHeight="false" outlineLevel="0" collapsed="false">
      <c r="A3654" s="0" t="s">
        <v>732</v>
      </c>
      <c r="B3654" s="0" t="n">
        <v>12</v>
      </c>
      <c r="C3654" s="0" t="n">
        <v>1.65</v>
      </c>
      <c r="D3654" s="0" t="n">
        <v>0.058</v>
      </c>
    </row>
    <row r="3655" customFormat="false" ht="13.8" hidden="true" customHeight="false" outlineLevel="0" collapsed="false">
      <c r="A3655" s="0" t="s">
        <v>732</v>
      </c>
      <c r="B3655" s="0" t="n">
        <v>12</v>
      </c>
      <c r="C3655" s="0" t="n">
        <v>1.7</v>
      </c>
      <c r="D3655" s="0" t="n">
        <v>0.06</v>
      </c>
    </row>
    <row r="3656" customFormat="false" ht="13.8" hidden="true" customHeight="false" outlineLevel="0" collapsed="false">
      <c r="A3656" s="0" t="s">
        <v>732</v>
      </c>
      <c r="B3656" s="0" t="n">
        <v>12</v>
      </c>
      <c r="C3656" s="0" t="n">
        <v>1.75</v>
      </c>
      <c r="D3656" s="0" t="n">
        <v>0.062</v>
      </c>
    </row>
    <row r="3657" customFormat="false" ht="13.8" hidden="true" customHeight="false" outlineLevel="0" collapsed="false">
      <c r="A3657" s="0" t="s">
        <v>732</v>
      </c>
      <c r="B3657" s="0" t="n">
        <v>12</v>
      </c>
      <c r="C3657" s="0" t="n">
        <v>1.8</v>
      </c>
      <c r="D3657" s="0" t="n">
        <v>0.067</v>
      </c>
    </row>
    <row r="3658" customFormat="false" ht="13.8" hidden="true" customHeight="false" outlineLevel="0" collapsed="false">
      <c r="A3658" s="0" t="s">
        <v>732</v>
      </c>
      <c r="B3658" s="0" t="n">
        <v>12</v>
      </c>
      <c r="C3658" s="0" t="n">
        <v>1.85</v>
      </c>
      <c r="D3658" s="0" t="n">
        <v>0</v>
      </c>
    </row>
    <row r="3659" customFormat="false" ht="13.8" hidden="true" customHeight="false" outlineLevel="0" collapsed="false">
      <c r="A3659" s="0" t="s">
        <v>732</v>
      </c>
      <c r="B3659" s="0" t="n">
        <v>12</v>
      </c>
      <c r="C3659" s="0" t="n">
        <v>1.9</v>
      </c>
      <c r="D3659" s="0" t="n">
        <v>0</v>
      </c>
    </row>
    <row r="3660" customFormat="false" ht="13.8" hidden="true" customHeight="false" outlineLevel="0" collapsed="false">
      <c r="A3660" s="0" t="s">
        <v>732</v>
      </c>
      <c r="B3660" s="0" t="n">
        <v>12</v>
      </c>
      <c r="C3660" s="0" t="n">
        <v>1.95</v>
      </c>
      <c r="D3660" s="0" t="n">
        <v>0</v>
      </c>
    </row>
    <row r="3661" customFormat="false" ht="13.8" hidden="true" customHeight="false" outlineLevel="0" collapsed="false">
      <c r="A3661" s="0" t="s">
        <v>732</v>
      </c>
      <c r="B3661" s="0" t="n">
        <v>12</v>
      </c>
      <c r="C3661" s="0" t="n">
        <v>2</v>
      </c>
      <c r="D3661" s="0" t="n">
        <v>0</v>
      </c>
    </row>
    <row r="3662" customFormat="false" ht="13.8" hidden="true" customHeight="false" outlineLevel="0" collapsed="false">
      <c r="A3662" s="0" t="s">
        <v>732</v>
      </c>
      <c r="B3662" s="0" t="n">
        <v>12</v>
      </c>
      <c r="C3662" s="0" t="n">
        <v>2.05</v>
      </c>
      <c r="D3662" s="0" t="n">
        <v>0</v>
      </c>
    </row>
    <row r="3663" customFormat="false" ht="13.8" hidden="true" customHeight="false" outlineLevel="0" collapsed="false">
      <c r="A3663" s="0" t="s">
        <v>732</v>
      </c>
      <c r="B3663" s="0" t="n">
        <v>12</v>
      </c>
      <c r="C3663" s="0" t="n">
        <v>2.1</v>
      </c>
      <c r="D3663" s="0" t="n">
        <v>0</v>
      </c>
    </row>
    <row r="3664" customFormat="false" ht="13.8" hidden="true" customHeight="false" outlineLevel="0" collapsed="false">
      <c r="A3664" s="0" t="s">
        <v>732</v>
      </c>
      <c r="B3664" s="0" t="n">
        <v>12</v>
      </c>
      <c r="C3664" s="0" t="n">
        <v>2.15</v>
      </c>
      <c r="D3664" s="0" t="n">
        <v>0</v>
      </c>
    </row>
    <row r="3665" customFormat="false" ht="13.8" hidden="true" customHeight="false" outlineLevel="0" collapsed="false">
      <c r="A3665" s="0" t="s">
        <v>732</v>
      </c>
      <c r="B3665" s="0" t="n">
        <v>12</v>
      </c>
      <c r="C3665" s="0" t="n">
        <v>2.2</v>
      </c>
      <c r="D3665" s="0" t="n">
        <v>0</v>
      </c>
    </row>
    <row r="3666" customFormat="false" ht="13.8" hidden="true" customHeight="false" outlineLevel="0" collapsed="false">
      <c r="A3666" s="0" t="s">
        <v>732</v>
      </c>
      <c r="B3666" s="0" t="n">
        <v>12</v>
      </c>
      <c r="C3666" s="0" t="n">
        <v>2.25</v>
      </c>
      <c r="D3666" s="0" t="n">
        <v>0</v>
      </c>
    </row>
    <row r="3667" customFormat="false" ht="13.8" hidden="true" customHeight="false" outlineLevel="0" collapsed="false">
      <c r="A3667" s="0" t="s">
        <v>732</v>
      </c>
      <c r="B3667" s="0" t="n">
        <v>12</v>
      </c>
      <c r="C3667" s="0" t="n">
        <v>2.3</v>
      </c>
      <c r="D3667" s="0" t="n">
        <v>0</v>
      </c>
    </row>
    <row r="3668" customFormat="false" ht="13.8" hidden="true" customHeight="false" outlineLevel="0" collapsed="false">
      <c r="A3668" s="0" t="s">
        <v>732</v>
      </c>
      <c r="B3668" s="0" t="n">
        <v>12</v>
      </c>
      <c r="C3668" s="0" t="n">
        <v>2.35</v>
      </c>
      <c r="D3668" s="0" t="n">
        <v>0</v>
      </c>
    </row>
    <row r="3669" customFormat="false" ht="13.8" hidden="true" customHeight="false" outlineLevel="0" collapsed="false">
      <c r="A3669" s="0" t="s">
        <v>732</v>
      </c>
      <c r="B3669" s="0" t="n">
        <v>12</v>
      </c>
      <c r="C3669" s="0" t="n">
        <v>2.4</v>
      </c>
      <c r="D3669" s="0" t="n">
        <v>0</v>
      </c>
    </row>
    <row r="3670" customFormat="false" ht="13.8" hidden="true" customHeight="false" outlineLevel="0" collapsed="false">
      <c r="A3670" s="0" t="s">
        <v>732</v>
      </c>
      <c r="B3670" s="0" t="n">
        <v>12</v>
      </c>
      <c r="C3670" s="0" t="n">
        <v>2.45</v>
      </c>
      <c r="D3670" s="0" t="n">
        <v>0</v>
      </c>
    </row>
    <row r="3671" customFormat="false" ht="13.8" hidden="true" customHeight="false" outlineLevel="0" collapsed="false">
      <c r="A3671" s="0" t="s">
        <v>732</v>
      </c>
      <c r="B3671" s="0" t="n">
        <v>12</v>
      </c>
      <c r="C3671" s="0" t="n">
        <v>2.5</v>
      </c>
      <c r="D3671" s="0" t="n">
        <v>0</v>
      </c>
    </row>
    <row r="3672" customFormat="false" ht="13.8" hidden="true" customHeight="false" outlineLevel="0" collapsed="false">
      <c r="A3672" s="0" t="s">
        <v>732</v>
      </c>
      <c r="B3672" s="0" t="n">
        <v>12</v>
      </c>
      <c r="C3672" s="0" t="n">
        <v>2.55</v>
      </c>
      <c r="D3672" s="0" t="n">
        <v>0</v>
      </c>
    </row>
    <row r="3673" customFormat="false" ht="13.8" hidden="true" customHeight="false" outlineLevel="0" collapsed="false">
      <c r="A3673" s="0" t="s">
        <v>732</v>
      </c>
      <c r="B3673" s="0" t="n">
        <v>12</v>
      </c>
      <c r="C3673" s="0" t="n">
        <v>2.6</v>
      </c>
      <c r="D3673" s="0" t="n">
        <v>0</v>
      </c>
    </row>
    <row r="3674" customFormat="false" ht="13.8" hidden="true" customHeight="false" outlineLevel="0" collapsed="false">
      <c r="A3674" s="0" t="s">
        <v>732</v>
      </c>
      <c r="B3674" s="0" t="n">
        <v>13</v>
      </c>
      <c r="C3674" s="0" t="n">
        <v>1.3</v>
      </c>
      <c r="D3674" s="0" t="n">
        <v>0</v>
      </c>
    </row>
    <row r="3675" customFormat="false" ht="13.8" hidden="true" customHeight="false" outlineLevel="0" collapsed="false">
      <c r="A3675" s="0" t="s">
        <v>732</v>
      </c>
      <c r="B3675" s="0" t="n">
        <v>13</v>
      </c>
      <c r="C3675" s="0" t="n">
        <v>1.35</v>
      </c>
      <c r="D3675" s="0" t="n">
        <v>0</v>
      </c>
    </row>
    <row r="3676" customFormat="false" ht="13.8" hidden="true" customHeight="false" outlineLevel="0" collapsed="false">
      <c r="A3676" s="0" t="s">
        <v>732</v>
      </c>
      <c r="B3676" s="0" t="n">
        <v>13</v>
      </c>
      <c r="C3676" s="0" t="n">
        <v>1.4</v>
      </c>
      <c r="D3676" s="0" t="n">
        <v>0</v>
      </c>
    </row>
    <row r="3677" customFormat="false" ht="13.8" hidden="true" customHeight="false" outlineLevel="0" collapsed="false">
      <c r="A3677" s="0" t="s">
        <v>732</v>
      </c>
      <c r="B3677" s="0" t="n">
        <v>13</v>
      </c>
      <c r="C3677" s="0" t="n">
        <v>1.45</v>
      </c>
      <c r="D3677" s="0" t="n">
        <v>0</v>
      </c>
    </row>
    <row r="3678" customFormat="false" ht="13.8" hidden="true" customHeight="false" outlineLevel="0" collapsed="false">
      <c r="A3678" s="0" t="s">
        <v>732</v>
      </c>
      <c r="B3678" s="0" t="n">
        <v>13</v>
      </c>
      <c r="C3678" s="0" t="n">
        <v>1.5</v>
      </c>
      <c r="D3678" s="0" t="n">
        <v>0</v>
      </c>
    </row>
    <row r="3679" customFormat="false" ht="13.8" hidden="true" customHeight="false" outlineLevel="0" collapsed="false">
      <c r="A3679" s="0" t="s">
        <v>732</v>
      </c>
      <c r="B3679" s="0" t="n">
        <v>13</v>
      </c>
      <c r="C3679" s="0" t="n">
        <v>1.55</v>
      </c>
      <c r="D3679" s="0" t="n">
        <v>0</v>
      </c>
    </row>
    <row r="3680" customFormat="false" ht="13.8" hidden="true" customHeight="false" outlineLevel="0" collapsed="false">
      <c r="A3680" s="0" t="s">
        <v>732</v>
      </c>
      <c r="B3680" s="0" t="n">
        <v>13</v>
      </c>
      <c r="C3680" s="0" t="n">
        <v>1.6</v>
      </c>
      <c r="D3680" s="0" t="n">
        <v>0.056</v>
      </c>
    </row>
    <row r="3681" customFormat="false" ht="13.8" hidden="true" customHeight="false" outlineLevel="0" collapsed="false">
      <c r="A3681" s="0" t="s">
        <v>732</v>
      </c>
      <c r="B3681" s="0" t="n">
        <v>13</v>
      </c>
      <c r="C3681" s="0" t="n">
        <v>1.65</v>
      </c>
      <c r="D3681" s="0" t="n">
        <v>0.058</v>
      </c>
    </row>
    <row r="3682" customFormat="false" ht="13.8" hidden="true" customHeight="false" outlineLevel="0" collapsed="false">
      <c r="A3682" s="0" t="s">
        <v>732</v>
      </c>
      <c r="B3682" s="0" t="n">
        <v>13</v>
      </c>
      <c r="C3682" s="0" t="n">
        <v>1.7</v>
      </c>
      <c r="D3682" s="0" t="n">
        <v>0.06</v>
      </c>
    </row>
    <row r="3683" customFormat="false" ht="13.8" hidden="true" customHeight="false" outlineLevel="0" collapsed="false">
      <c r="A3683" s="0" t="s">
        <v>732</v>
      </c>
      <c r="B3683" s="0" t="n">
        <v>13</v>
      </c>
      <c r="C3683" s="0" t="n">
        <v>1.75</v>
      </c>
      <c r="D3683" s="0" t="n">
        <v>0.062</v>
      </c>
    </row>
    <row r="3684" customFormat="false" ht="13.8" hidden="true" customHeight="false" outlineLevel="0" collapsed="false">
      <c r="A3684" s="0" t="s">
        <v>732</v>
      </c>
      <c r="B3684" s="0" t="n">
        <v>13</v>
      </c>
      <c r="C3684" s="0" t="n">
        <v>1.8</v>
      </c>
      <c r="D3684" s="0" t="n">
        <v>0.067</v>
      </c>
    </row>
    <row r="3685" customFormat="false" ht="13.8" hidden="true" customHeight="false" outlineLevel="0" collapsed="false">
      <c r="A3685" s="0" t="s">
        <v>732</v>
      </c>
      <c r="B3685" s="0" t="n">
        <v>13</v>
      </c>
      <c r="C3685" s="0" t="n">
        <v>1.85</v>
      </c>
      <c r="D3685" s="0" t="n">
        <v>0</v>
      </c>
    </row>
    <row r="3686" customFormat="false" ht="13.8" hidden="true" customHeight="false" outlineLevel="0" collapsed="false">
      <c r="A3686" s="0" t="s">
        <v>732</v>
      </c>
      <c r="B3686" s="0" t="n">
        <v>13</v>
      </c>
      <c r="C3686" s="0" t="n">
        <v>1.9</v>
      </c>
      <c r="D3686" s="0" t="n">
        <v>0</v>
      </c>
    </row>
    <row r="3687" customFormat="false" ht="13.8" hidden="true" customHeight="false" outlineLevel="0" collapsed="false">
      <c r="A3687" s="0" t="s">
        <v>732</v>
      </c>
      <c r="B3687" s="0" t="n">
        <v>13</v>
      </c>
      <c r="C3687" s="0" t="n">
        <v>1.95</v>
      </c>
      <c r="D3687" s="0" t="n">
        <v>0</v>
      </c>
    </row>
    <row r="3688" customFormat="false" ht="13.8" hidden="true" customHeight="false" outlineLevel="0" collapsed="false">
      <c r="A3688" s="0" t="s">
        <v>732</v>
      </c>
      <c r="B3688" s="0" t="n">
        <v>13</v>
      </c>
      <c r="C3688" s="0" t="n">
        <v>2</v>
      </c>
      <c r="D3688" s="0" t="n">
        <v>0</v>
      </c>
    </row>
    <row r="3689" customFormat="false" ht="13.8" hidden="true" customHeight="false" outlineLevel="0" collapsed="false">
      <c r="A3689" s="0" t="s">
        <v>732</v>
      </c>
      <c r="B3689" s="0" t="n">
        <v>13</v>
      </c>
      <c r="C3689" s="0" t="n">
        <v>2.05</v>
      </c>
      <c r="D3689" s="0" t="n">
        <v>0</v>
      </c>
    </row>
    <row r="3690" customFormat="false" ht="13.8" hidden="true" customHeight="false" outlineLevel="0" collapsed="false">
      <c r="A3690" s="0" t="s">
        <v>732</v>
      </c>
      <c r="B3690" s="0" t="n">
        <v>13</v>
      </c>
      <c r="C3690" s="0" t="n">
        <v>2.1</v>
      </c>
      <c r="D3690" s="0" t="n">
        <v>0</v>
      </c>
    </row>
    <row r="3691" customFormat="false" ht="13.8" hidden="true" customHeight="false" outlineLevel="0" collapsed="false">
      <c r="A3691" s="0" t="s">
        <v>732</v>
      </c>
      <c r="B3691" s="0" t="n">
        <v>13</v>
      </c>
      <c r="C3691" s="0" t="n">
        <v>2.15</v>
      </c>
      <c r="D3691" s="0" t="n">
        <v>0</v>
      </c>
    </row>
    <row r="3692" customFormat="false" ht="13.8" hidden="true" customHeight="false" outlineLevel="0" collapsed="false">
      <c r="A3692" s="0" t="s">
        <v>732</v>
      </c>
      <c r="B3692" s="0" t="n">
        <v>13</v>
      </c>
      <c r="C3692" s="0" t="n">
        <v>2.2</v>
      </c>
      <c r="D3692" s="0" t="n">
        <v>0</v>
      </c>
    </row>
    <row r="3693" customFormat="false" ht="13.8" hidden="true" customHeight="false" outlineLevel="0" collapsed="false">
      <c r="A3693" s="0" t="s">
        <v>732</v>
      </c>
      <c r="B3693" s="0" t="n">
        <v>13</v>
      </c>
      <c r="C3693" s="0" t="n">
        <v>2.25</v>
      </c>
      <c r="D3693" s="0" t="n">
        <v>0</v>
      </c>
    </row>
    <row r="3694" customFormat="false" ht="13.8" hidden="true" customHeight="false" outlineLevel="0" collapsed="false">
      <c r="A3694" s="0" t="s">
        <v>732</v>
      </c>
      <c r="B3694" s="0" t="n">
        <v>13</v>
      </c>
      <c r="C3694" s="0" t="n">
        <v>2.3</v>
      </c>
      <c r="D3694" s="0" t="n">
        <v>0</v>
      </c>
    </row>
    <row r="3695" customFormat="false" ht="13.8" hidden="true" customHeight="false" outlineLevel="0" collapsed="false">
      <c r="A3695" s="0" t="s">
        <v>732</v>
      </c>
      <c r="B3695" s="0" t="n">
        <v>13</v>
      </c>
      <c r="C3695" s="0" t="n">
        <v>2.35</v>
      </c>
      <c r="D3695" s="0" t="n">
        <v>0</v>
      </c>
    </row>
    <row r="3696" customFormat="false" ht="13.8" hidden="true" customHeight="false" outlineLevel="0" collapsed="false">
      <c r="A3696" s="0" t="s">
        <v>732</v>
      </c>
      <c r="B3696" s="0" t="n">
        <v>13</v>
      </c>
      <c r="C3696" s="0" t="n">
        <v>2.4</v>
      </c>
      <c r="D3696" s="0" t="n">
        <v>0</v>
      </c>
    </row>
    <row r="3697" customFormat="false" ht="13.8" hidden="true" customHeight="false" outlineLevel="0" collapsed="false">
      <c r="A3697" s="0" t="s">
        <v>732</v>
      </c>
      <c r="B3697" s="0" t="n">
        <v>13</v>
      </c>
      <c r="C3697" s="0" t="n">
        <v>2.45</v>
      </c>
      <c r="D3697" s="0" t="n">
        <v>0</v>
      </c>
    </row>
    <row r="3698" customFormat="false" ht="13.8" hidden="true" customHeight="false" outlineLevel="0" collapsed="false">
      <c r="A3698" s="0" t="s">
        <v>732</v>
      </c>
      <c r="B3698" s="0" t="n">
        <v>13</v>
      </c>
      <c r="C3698" s="0" t="n">
        <v>2.5</v>
      </c>
      <c r="D3698" s="0" t="n">
        <v>0</v>
      </c>
    </row>
    <row r="3699" customFormat="false" ht="13.8" hidden="true" customHeight="false" outlineLevel="0" collapsed="false">
      <c r="A3699" s="0" t="s">
        <v>732</v>
      </c>
      <c r="B3699" s="0" t="n">
        <v>13</v>
      </c>
      <c r="C3699" s="0" t="n">
        <v>2.55</v>
      </c>
      <c r="D3699" s="0" t="n">
        <v>0</v>
      </c>
    </row>
    <row r="3700" customFormat="false" ht="13.8" hidden="true" customHeight="false" outlineLevel="0" collapsed="false">
      <c r="A3700" s="0" t="s">
        <v>732</v>
      </c>
      <c r="B3700" s="0" t="n">
        <v>13</v>
      </c>
      <c r="C3700" s="0" t="n">
        <v>2.6</v>
      </c>
      <c r="D3700" s="0" t="n">
        <v>0</v>
      </c>
    </row>
    <row r="3701" customFormat="false" ht="13.8" hidden="true" customHeight="false" outlineLevel="0" collapsed="false">
      <c r="A3701" s="0" t="s">
        <v>732</v>
      </c>
      <c r="B3701" s="0" t="n">
        <v>14</v>
      </c>
      <c r="C3701" s="0" t="n">
        <v>1.3</v>
      </c>
      <c r="D3701" s="0" t="n">
        <v>0</v>
      </c>
    </row>
    <row r="3702" customFormat="false" ht="13.8" hidden="true" customHeight="false" outlineLevel="0" collapsed="false">
      <c r="A3702" s="0" t="s">
        <v>732</v>
      </c>
      <c r="B3702" s="0" t="n">
        <v>14</v>
      </c>
      <c r="C3702" s="0" t="n">
        <v>1.35</v>
      </c>
      <c r="D3702" s="0" t="n">
        <v>0</v>
      </c>
    </row>
    <row r="3703" customFormat="false" ht="13.8" hidden="true" customHeight="false" outlineLevel="0" collapsed="false">
      <c r="A3703" s="0" t="s">
        <v>732</v>
      </c>
      <c r="B3703" s="0" t="n">
        <v>14</v>
      </c>
      <c r="C3703" s="0" t="n">
        <v>1.4</v>
      </c>
      <c r="D3703" s="0" t="n">
        <v>0</v>
      </c>
    </row>
    <row r="3704" customFormat="false" ht="13.8" hidden="true" customHeight="false" outlineLevel="0" collapsed="false">
      <c r="A3704" s="0" t="s">
        <v>732</v>
      </c>
      <c r="B3704" s="0" t="n">
        <v>14</v>
      </c>
      <c r="C3704" s="0" t="n">
        <v>1.45</v>
      </c>
      <c r="D3704" s="0" t="n">
        <v>0</v>
      </c>
    </row>
    <row r="3705" customFormat="false" ht="13.8" hidden="true" customHeight="false" outlineLevel="0" collapsed="false">
      <c r="A3705" s="0" t="s">
        <v>732</v>
      </c>
      <c r="B3705" s="0" t="n">
        <v>14</v>
      </c>
      <c r="C3705" s="0" t="n">
        <v>1.5</v>
      </c>
      <c r="D3705" s="0" t="n">
        <v>0</v>
      </c>
    </row>
    <row r="3706" customFormat="false" ht="13.8" hidden="true" customHeight="false" outlineLevel="0" collapsed="false">
      <c r="A3706" s="0" t="s">
        <v>732</v>
      </c>
      <c r="B3706" s="0" t="n">
        <v>14</v>
      </c>
      <c r="C3706" s="0" t="n">
        <v>1.55</v>
      </c>
      <c r="D3706" s="0" t="n">
        <v>0</v>
      </c>
    </row>
    <row r="3707" customFormat="false" ht="13.8" hidden="true" customHeight="false" outlineLevel="0" collapsed="false">
      <c r="A3707" s="0" t="s">
        <v>732</v>
      </c>
      <c r="B3707" s="0" t="n">
        <v>14</v>
      </c>
      <c r="C3707" s="0" t="n">
        <v>1.6</v>
      </c>
      <c r="D3707" s="0" t="n">
        <v>0.056</v>
      </c>
    </row>
    <row r="3708" customFormat="false" ht="13.8" hidden="true" customHeight="false" outlineLevel="0" collapsed="false">
      <c r="A3708" s="0" t="s">
        <v>732</v>
      </c>
      <c r="B3708" s="0" t="n">
        <v>14</v>
      </c>
      <c r="C3708" s="0" t="n">
        <v>1.65</v>
      </c>
      <c r="D3708" s="0" t="n">
        <v>0.058</v>
      </c>
    </row>
    <row r="3709" customFormat="false" ht="13.8" hidden="true" customHeight="false" outlineLevel="0" collapsed="false">
      <c r="A3709" s="0" t="s">
        <v>732</v>
      </c>
      <c r="B3709" s="0" t="n">
        <v>14</v>
      </c>
      <c r="C3709" s="0" t="n">
        <v>1.7</v>
      </c>
      <c r="D3709" s="0" t="n">
        <v>0.06</v>
      </c>
    </row>
    <row r="3710" customFormat="false" ht="13.8" hidden="true" customHeight="false" outlineLevel="0" collapsed="false">
      <c r="A3710" s="0" t="s">
        <v>732</v>
      </c>
      <c r="B3710" s="0" t="n">
        <v>14</v>
      </c>
      <c r="C3710" s="0" t="n">
        <v>1.75</v>
      </c>
      <c r="D3710" s="0" t="n">
        <v>0.062</v>
      </c>
    </row>
    <row r="3711" customFormat="false" ht="13.8" hidden="true" customHeight="false" outlineLevel="0" collapsed="false">
      <c r="A3711" s="0" t="s">
        <v>732</v>
      </c>
      <c r="B3711" s="0" t="n">
        <v>14</v>
      </c>
      <c r="C3711" s="0" t="n">
        <v>1.8</v>
      </c>
      <c r="D3711" s="0" t="n">
        <v>0.067</v>
      </c>
    </row>
    <row r="3712" customFormat="false" ht="13.8" hidden="true" customHeight="false" outlineLevel="0" collapsed="false">
      <c r="A3712" s="0" t="s">
        <v>732</v>
      </c>
      <c r="B3712" s="0" t="n">
        <v>14</v>
      </c>
      <c r="C3712" s="0" t="n">
        <v>1.85</v>
      </c>
      <c r="D3712" s="0" t="n">
        <v>0</v>
      </c>
    </row>
    <row r="3713" customFormat="false" ht="13.8" hidden="true" customHeight="false" outlineLevel="0" collapsed="false">
      <c r="A3713" s="0" t="s">
        <v>732</v>
      </c>
      <c r="B3713" s="0" t="n">
        <v>14</v>
      </c>
      <c r="C3713" s="0" t="n">
        <v>1.9</v>
      </c>
      <c r="D3713" s="0" t="n">
        <v>0</v>
      </c>
    </row>
    <row r="3714" customFormat="false" ht="13.8" hidden="true" customHeight="false" outlineLevel="0" collapsed="false">
      <c r="A3714" s="0" t="s">
        <v>732</v>
      </c>
      <c r="B3714" s="0" t="n">
        <v>14</v>
      </c>
      <c r="C3714" s="0" t="n">
        <v>1.95</v>
      </c>
      <c r="D3714" s="0" t="n">
        <v>0</v>
      </c>
    </row>
    <row r="3715" customFormat="false" ht="13.8" hidden="true" customHeight="false" outlineLevel="0" collapsed="false">
      <c r="A3715" s="0" t="s">
        <v>732</v>
      </c>
      <c r="B3715" s="0" t="n">
        <v>14</v>
      </c>
      <c r="C3715" s="0" t="n">
        <v>2</v>
      </c>
      <c r="D3715" s="0" t="n">
        <v>0</v>
      </c>
    </row>
    <row r="3716" customFormat="false" ht="13.8" hidden="true" customHeight="false" outlineLevel="0" collapsed="false">
      <c r="A3716" s="0" t="s">
        <v>732</v>
      </c>
      <c r="B3716" s="0" t="n">
        <v>14</v>
      </c>
      <c r="C3716" s="0" t="n">
        <v>2.05</v>
      </c>
      <c r="D3716" s="0" t="n">
        <v>0</v>
      </c>
    </row>
    <row r="3717" customFormat="false" ht="13.8" hidden="true" customHeight="false" outlineLevel="0" collapsed="false">
      <c r="A3717" s="0" t="s">
        <v>732</v>
      </c>
      <c r="B3717" s="0" t="n">
        <v>14</v>
      </c>
      <c r="C3717" s="0" t="n">
        <v>2.1</v>
      </c>
      <c r="D3717" s="0" t="n">
        <v>0</v>
      </c>
    </row>
    <row r="3718" customFormat="false" ht="13.8" hidden="true" customHeight="false" outlineLevel="0" collapsed="false">
      <c r="A3718" s="0" t="s">
        <v>732</v>
      </c>
      <c r="B3718" s="0" t="n">
        <v>14</v>
      </c>
      <c r="C3718" s="0" t="n">
        <v>2.15</v>
      </c>
      <c r="D3718" s="0" t="n">
        <v>0</v>
      </c>
    </row>
    <row r="3719" customFormat="false" ht="13.8" hidden="true" customHeight="false" outlineLevel="0" collapsed="false">
      <c r="A3719" s="0" t="s">
        <v>732</v>
      </c>
      <c r="B3719" s="0" t="n">
        <v>14</v>
      </c>
      <c r="C3719" s="0" t="n">
        <v>2.2</v>
      </c>
      <c r="D3719" s="0" t="n">
        <v>0</v>
      </c>
    </row>
    <row r="3720" customFormat="false" ht="13.8" hidden="true" customHeight="false" outlineLevel="0" collapsed="false">
      <c r="A3720" s="0" t="s">
        <v>732</v>
      </c>
      <c r="B3720" s="0" t="n">
        <v>14</v>
      </c>
      <c r="C3720" s="0" t="n">
        <v>2.25</v>
      </c>
      <c r="D3720" s="0" t="n">
        <v>0</v>
      </c>
    </row>
    <row r="3721" customFormat="false" ht="13.8" hidden="true" customHeight="false" outlineLevel="0" collapsed="false">
      <c r="A3721" s="0" t="s">
        <v>732</v>
      </c>
      <c r="B3721" s="0" t="n">
        <v>14</v>
      </c>
      <c r="C3721" s="0" t="n">
        <v>2.3</v>
      </c>
      <c r="D3721" s="0" t="n">
        <v>0</v>
      </c>
    </row>
    <row r="3722" customFormat="false" ht="13.8" hidden="true" customHeight="false" outlineLevel="0" collapsed="false">
      <c r="A3722" s="0" t="s">
        <v>732</v>
      </c>
      <c r="B3722" s="0" t="n">
        <v>14</v>
      </c>
      <c r="C3722" s="0" t="n">
        <v>2.35</v>
      </c>
      <c r="D3722" s="0" t="n">
        <v>0</v>
      </c>
    </row>
    <row r="3723" customFormat="false" ht="13.8" hidden="true" customHeight="false" outlineLevel="0" collapsed="false">
      <c r="A3723" s="0" t="s">
        <v>732</v>
      </c>
      <c r="B3723" s="0" t="n">
        <v>14</v>
      </c>
      <c r="C3723" s="0" t="n">
        <v>2.4</v>
      </c>
      <c r="D3723" s="0" t="n">
        <v>0</v>
      </c>
    </row>
    <row r="3724" customFormat="false" ht="13.8" hidden="true" customHeight="false" outlineLevel="0" collapsed="false">
      <c r="A3724" s="0" t="s">
        <v>732</v>
      </c>
      <c r="B3724" s="0" t="n">
        <v>14</v>
      </c>
      <c r="C3724" s="0" t="n">
        <v>2.45</v>
      </c>
      <c r="D3724" s="0" t="n">
        <v>0</v>
      </c>
    </row>
    <row r="3725" customFormat="false" ht="13.8" hidden="true" customHeight="false" outlineLevel="0" collapsed="false">
      <c r="A3725" s="0" t="s">
        <v>732</v>
      </c>
      <c r="B3725" s="0" t="n">
        <v>14</v>
      </c>
      <c r="C3725" s="0" t="n">
        <v>2.5</v>
      </c>
      <c r="D3725" s="0" t="n">
        <v>0</v>
      </c>
    </row>
    <row r="3726" customFormat="false" ht="13.8" hidden="true" customHeight="false" outlineLevel="0" collapsed="false">
      <c r="A3726" s="0" t="s">
        <v>732</v>
      </c>
      <c r="B3726" s="0" t="n">
        <v>14</v>
      </c>
      <c r="C3726" s="0" t="n">
        <v>2.55</v>
      </c>
      <c r="D3726" s="0" t="n">
        <v>0</v>
      </c>
    </row>
    <row r="3727" customFormat="false" ht="13.8" hidden="true" customHeight="false" outlineLevel="0" collapsed="false">
      <c r="A3727" s="0" t="s">
        <v>732</v>
      </c>
      <c r="B3727" s="0" t="n">
        <v>14</v>
      </c>
      <c r="C3727" s="0" t="n">
        <v>2.6</v>
      </c>
      <c r="D3727" s="0" t="n">
        <v>0</v>
      </c>
    </row>
    <row r="3728" customFormat="false" ht="13.8" hidden="true" customHeight="false" outlineLevel="0" collapsed="false">
      <c r="A3728" s="0" t="s">
        <v>732</v>
      </c>
      <c r="B3728" s="0" t="n">
        <v>15</v>
      </c>
      <c r="C3728" s="0" t="n">
        <v>1.3</v>
      </c>
      <c r="D3728" s="0" t="n">
        <v>0</v>
      </c>
    </row>
    <row r="3729" customFormat="false" ht="13.8" hidden="true" customHeight="false" outlineLevel="0" collapsed="false">
      <c r="A3729" s="0" t="s">
        <v>732</v>
      </c>
      <c r="B3729" s="0" t="n">
        <v>15</v>
      </c>
      <c r="C3729" s="0" t="n">
        <v>1.35</v>
      </c>
      <c r="D3729" s="0" t="n">
        <v>0</v>
      </c>
    </row>
    <row r="3730" customFormat="false" ht="13.8" hidden="true" customHeight="false" outlineLevel="0" collapsed="false">
      <c r="A3730" s="0" t="s">
        <v>732</v>
      </c>
      <c r="B3730" s="0" t="n">
        <v>15</v>
      </c>
      <c r="C3730" s="0" t="n">
        <v>1.4</v>
      </c>
      <c r="D3730" s="0" t="n">
        <v>0</v>
      </c>
    </row>
    <row r="3731" customFormat="false" ht="13.8" hidden="true" customHeight="false" outlineLevel="0" collapsed="false">
      <c r="A3731" s="0" t="s">
        <v>732</v>
      </c>
      <c r="B3731" s="0" t="n">
        <v>15</v>
      </c>
      <c r="C3731" s="0" t="n">
        <v>1.45</v>
      </c>
      <c r="D3731" s="0" t="n">
        <v>0</v>
      </c>
    </row>
    <row r="3732" customFormat="false" ht="13.8" hidden="true" customHeight="false" outlineLevel="0" collapsed="false">
      <c r="A3732" s="0" t="s">
        <v>732</v>
      </c>
      <c r="B3732" s="0" t="n">
        <v>15</v>
      </c>
      <c r="C3732" s="0" t="n">
        <v>1.5</v>
      </c>
      <c r="D3732" s="0" t="n">
        <v>0</v>
      </c>
    </row>
    <row r="3733" customFormat="false" ht="13.8" hidden="true" customHeight="false" outlineLevel="0" collapsed="false">
      <c r="A3733" s="0" t="s">
        <v>732</v>
      </c>
      <c r="B3733" s="0" t="n">
        <v>15</v>
      </c>
      <c r="C3733" s="0" t="n">
        <v>1.55</v>
      </c>
      <c r="D3733" s="0" t="n">
        <v>0</v>
      </c>
    </row>
    <row r="3734" customFormat="false" ht="13.8" hidden="true" customHeight="false" outlineLevel="0" collapsed="false">
      <c r="A3734" s="0" t="s">
        <v>732</v>
      </c>
      <c r="B3734" s="0" t="n">
        <v>15</v>
      </c>
      <c r="C3734" s="0" t="n">
        <v>1.6</v>
      </c>
      <c r="D3734" s="0" t="n">
        <v>0.056</v>
      </c>
    </row>
    <row r="3735" customFormat="false" ht="13.8" hidden="true" customHeight="false" outlineLevel="0" collapsed="false">
      <c r="A3735" s="0" t="s">
        <v>732</v>
      </c>
      <c r="B3735" s="0" t="n">
        <v>15</v>
      </c>
      <c r="C3735" s="0" t="n">
        <v>1.65</v>
      </c>
      <c r="D3735" s="0" t="n">
        <v>0.058</v>
      </c>
    </row>
    <row r="3736" customFormat="false" ht="13.8" hidden="true" customHeight="false" outlineLevel="0" collapsed="false">
      <c r="A3736" s="0" t="s">
        <v>732</v>
      </c>
      <c r="B3736" s="0" t="n">
        <v>15</v>
      </c>
      <c r="C3736" s="0" t="n">
        <v>1.7</v>
      </c>
      <c r="D3736" s="0" t="n">
        <v>0.06</v>
      </c>
    </row>
    <row r="3737" customFormat="false" ht="13.8" hidden="true" customHeight="false" outlineLevel="0" collapsed="false">
      <c r="A3737" s="0" t="s">
        <v>732</v>
      </c>
      <c r="B3737" s="0" t="n">
        <v>15</v>
      </c>
      <c r="C3737" s="0" t="n">
        <v>1.75</v>
      </c>
      <c r="D3737" s="0" t="n">
        <v>0.062</v>
      </c>
    </row>
    <row r="3738" customFormat="false" ht="13.8" hidden="true" customHeight="false" outlineLevel="0" collapsed="false">
      <c r="A3738" s="0" t="s">
        <v>732</v>
      </c>
      <c r="B3738" s="0" t="n">
        <v>15</v>
      </c>
      <c r="C3738" s="0" t="n">
        <v>1.8</v>
      </c>
      <c r="D3738" s="0" t="n">
        <v>0.067</v>
      </c>
    </row>
    <row r="3739" customFormat="false" ht="13.8" hidden="true" customHeight="false" outlineLevel="0" collapsed="false">
      <c r="A3739" s="0" t="s">
        <v>732</v>
      </c>
      <c r="B3739" s="0" t="n">
        <v>15</v>
      </c>
      <c r="C3739" s="0" t="n">
        <v>1.85</v>
      </c>
      <c r="D3739" s="0" t="n">
        <v>0</v>
      </c>
    </row>
    <row r="3740" customFormat="false" ht="13.8" hidden="true" customHeight="false" outlineLevel="0" collapsed="false">
      <c r="A3740" s="0" t="s">
        <v>732</v>
      </c>
      <c r="B3740" s="0" t="n">
        <v>15</v>
      </c>
      <c r="C3740" s="0" t="n">
        <v>1.9</v>
      </c>
      <c r="D3740" s="0" t="n">
        <v>0</v>
      </c>
    </row>
    <row r="3741" customFormat="false" ht="13.8" hidden="true" customHeight="false" outlineLevel="0" collapsed="false">
      <c r="A3741" s="0" t="s">
        <v>732</v>
      </c>
      <c r="B3741" s="0" t="n">
        <v>15</v>
      </c>
      <c r="C3741" s="0" t="n">
        <v>1.95</v>
      </c>
      <c r="D3741" s="0" t="n">
        <v>0</v>
      </c>
    </row>
    <row r="3742" customFormat="false" ht="13.8" hidden="true" customHeight="false" outlineLevel="0" collapsed="false">
      <c r="A3742" s="0" t="s">
        <v>732</v>
      </c>
      <c r="B3742" s="0" t="n">
        <v>15</v>
      </c>
      <c r="C3742" s="0" t="n">
        <v>2</v>
      </c>
      <c r="D3742" s="0" t="n">
        <v>0</v>
      </c>
    </row>
    <row r="3743" customFormat="false" ht="13.8" hidden="true" customHeight="false" outlineLevel="0" collapsed="false">
      <c r="A3743" s="0" t="s">
        <v>732</v>
      </c>
      <c r="B3743" s="0" t="n">
        <v>15</v>
      </c>
      <c r="C3743" s="0" t="n">
        <v>2.05</v>
      </c>
      <c r="D3743" s="0" t="n">
        <v>0</v>
      </c>
    </row>
    <row r="3744" customFormat="false" ht="13.8" hidden="true" customHeight="false" outlineLevel="0" collapsed="false">
      <c r="A3744" s="0" t="s">
        <v>732</v>
      </c>
      <c r="B3744" s="0" t="n">
        <v>15</v>
      </c>
      <c r="C3744" s="0" t="n">
        <v>2.1</v>
      </c>
      <c r="D3744" s="0" t="n">
        <v>0</v>
      </c>
    </row>
    <row r="3745" customFormat="false" ht="13.8" hidden="true" customHeight="false" outlineLevel="0" collapsed="false">
      <c r="A3745" s="0" t="s">
        <v>732</v>
      </c>
      <c r="B3745" s="0" t="n">
        <v>15</v>
      </c>
      <c r="C3745" s="0" t="n">
        <v>2.15</v>
      </c>
      <c r="D3745" s="0" t="n">
        <v>0</v>
      </c>
    </row>
    <row r="3746" customFormat="false" ht="13.8" hidden="true" customHeight="false" outlineLevel="0" collapsed="false">
      <c r="A3746" s="0" t="s">
        <v>732</v>
      </c>
      <c r="B3746" s="0" t="n">
        <v>15</v>
      </c>
      <c r="C3746" s="0" t="n">
        <v>2.2</v>
      </c>
      <c r="D3746" s="0" t="n">
        <v>0</v>
      </c>
    </row>
    <row r="3747" customFormat="false" ht="13.8" hidden="true" customHeight="false" outlineLevel="0" collapsed="false">
      <c r="A3747" s="0" t="s">
        <v>732</v>
      </c>
      <c r="B3747" s="0" t="n">
        <v>15</v>
      </c>
      <c r="C3747" s="0" t="n">
        <v>2.25</v>
      </c>
      <c r="D3747" s="0" t="n">
        <v>0</v>
      </c>
    </row>
    <row r="3748" customFormat="false" ht="13.8" hidden="true" customHeight="false" outlineLevel="0" collapsed="false">
      <c r="A3748" s="0" t="s">
        <v>732</v>
      </c>
      <c r="B3748" s="0" t="n">
        <v>15</v>
      </c>
      <c r="C3748" s="0" t="n">
        <v>2.3</v>
      </c>
      <c r="D3748" s="0" t="n">
        <v>0</v>
      </c>
    </row>
    <row r="3749" customFormat="false" ht="13.8" hidden="true" customHeight="false" outlineLevel="0" collapsed="false">
      <c r="A3749" s="0" t="s">
        <v>732</v>
      </c>
      <c r="B3749" s="0" t="n">
        <v>15</v>
      </c>
      <c r="C3749" s="0" t="n">
        <v>2.35</v>
      </c>
      <c r="D3749" s="0" t="n">
        <v>0</v>
      </c>
    </row>
    <row r="3750" customFormat="false" ht="13.8" hidden="true" customHeight="false" outlineLevel="0" collapsed="false">
      <c r="A3750" s="0" t="s">
        <v>732</v>
      </c>
      <c r="B3750" s="0" t="n">
        <v>15</v>
      </c>
      <c r="C3750" s="0" t="n">
        <v>2.4</v>
      </c>
      <c r="D3750" s="0" t="n">
        <v>0</v>
      </c>
    </row>
    <row r="3751" customFormat="false" ht="13.8" hidden="true" customHeight="false" outlineLevel="0" collapsed="false">
      <c r="A3751" s="0" t="s">
        <v>732</v>
      </c>
      <c r="B3751" s="0" t="n">
        <v>15</v>
      </c>
      <c r="C3751" s="0" t="n">
        <v>2.45</v>
      </c>
      <c r="D3751" s="0" t="n">
        <v>0</v>
      </c>
    </row>
    <row r="3752" customFormat="false" ht="13.8" hidden="true" customHeight="false" outlineLevel="0" collapsed="false">
      <c r="A3752" s="0" t="s">
        <v>732</v>
      </c>
      <c r="B3752" s="0" t="n">
        <v>15</v>
      </c>
      <c r="C3752" s="0" t="n">
        <v>2.5</v>
      </c>
      <c r="D3752" s="0" t="n">
        <v>0</v>
      </c>
    </row>
    <row r="3753" customFormat="false" ht="13.8" hidden="true" customHeight="false" outlineLevel="0" collapsed="false">
      <c r="A3753" s="0" t="s">
        <v>732</v>
      </c>
      <c r="B3753" s="0" t="n">
        <v>15</v>
      </c>
      <c r="C3753" s="0" t="n">
        <v>2.55</v>
      </c>
      <c r="D3753" s="0" t="n">
        <v>0</v>
      </c>
    </row>
    <row r="3754" customFormat="false" ht="13.8" hidden="true" customHeight="false" outlineLevel="0" collapsed="false">
      <c r="A3754" s="0" t="s">
        <v>732</v>
      </c>
      <c r="B3754" s="0" t="n">
        <v>15</v>
      </c>
      <c r="C3754" s="0" t="n">
        <v>2.6</v>
      </c>
      <c r="D3754" s="0" t="n">
        <v>0</v>
      </c>
    </row>
    <row r="3755" customFormat="false" ht="13.8" hidden="true" customHeight="false" outlineLevel="0" collapsed="false">
      <c r="A3755" s="0" t="s">
        <v>736</v>
      </c>
      <c r="B3755" s="0" t="n">
        <v>22</v>
      </c>
      <c r="C3755" s="0" t="n">
        <v>1.3</v>
      </c>
      <c r="D3755" s="0" t="n">
        <v>0</v>
      </c>
    </row>
    <row r="3756" customFormat="false" ht="13.8" hidden="true" customHeight="false" outlineLevel="0" collapsed="false">
      <c r="A3756" s="0" t="s">
        <v>736</v>
      </c>
      <c r="B3756" s="0" t="n">
        <v>22</v>
      </c>
      <c r="C3756" s="0" t="n">
        <v>1.35</v>
      </c>
      <c r="D3756" s="0" t="n">
        <v>0</v>
      </c>
    </row>
    <row r="3757" customFormat="false" ht="13.8" hidden="true" customHeight="false" outlineLevel="0" collapsed="false">
      <c r="A3757" s="0" t="s">
        <v>736</v>
      </c>
      <c r="B3757" s="0" t="n">
        <v>22</v>
      </c>
      <c r="C3757" s="0" t="n">
        <v>1.4</v>
      </c>
      <c r="D3757" s="0" t="n">
        <v>0</v>
      </c>
    </row>
    <row r="3758" customFormat="false" ht="13.8" hidden="true" customHeight="false" outlineLevel="0" collapsed="false">
      <c r="A3758" s="0" t="s">
        <v>736</v>
      </c>
      <c r="B3758" s="0" t="n">
        <v>22</v>
      </c>
      <c r="C3758" s="0" t="n">
        <v>1.45</v>
      </c>
      <c r="D3758" s="0" t="n">
        <v>0</v>
      </c>
    </row>
    <row r="3759" customFormat="false" ht="13.8" hidden="true" customHeight="false" outlineLevel="0" collapsed="false">
      <c r="A3759" s="0" t="s">
        <v>736</v>
      </c>
      <c r="B3759" s="0" t="n">
        <v>22</v>
      </c>
      <c r="C3759" s="0" t="n">
        <v>1.5</v>
      </c>
      <c r="D3759" s="0" t="n">
        <v>0</v>
      </c>
    </row>
    <row r="3760" customFormat="false" ht="13.8" hidden="true" customHeight="false" outlineLevel="0" collapsed="false">
      <c r="A3760" s="0" t="s">
        <v>736</v>
      </c>
      <c r="B3760" s="0" t="n">
        <v>22</v>
      </c>
      <c r="C3760" s="0" t="n">
        <v>1.55</v>
      </c>
      <c r="D3760" s="0" t="n">
        <v>0</v>
      </c>
    </row>
    <row r="3761" customFormat="false" ht="13.8" hidden="true" customHeight="false" outlineLevel="0" collapsed="false">
      <c r="A3761" s="0" t="s">
        <v>736</v>
      </c>
      <c r="B3761" s="0" t="n">
        <v>22</v>
      </c>
      <c r="C3761" s="0" t="n">
        <v>1.6</v>
      </c>
      <c r="D3761" s="0" t="n">
        <v>0.029</v>
      </c>
    </row>
    <row r="3762" customFormat="false" ht="13.8" hidden="true" customHeight="false" outlineLevel="0" collapsed="false">
      <c r="A3762" s="0" t="s">
        <v>736</v>
      </c>
      <c r="B3762" s="0" t="n">
        <v>22</v>
      </c>
      <c r="C3762" s="0" t="n">
        <v>1.65</v>
      </c>
      <c r="D3762" s="0" t="n">
        <v>0.03</v>
      </c>
    </row>
    <row r="3763" customFormat="false" ht="13.8" hidden="true" customHeight="false" outlineLevel="0" collapsed="false">
      <c r="A3763" s="0" t="s">
        <v>736</v>
      </c>
      <c r="B3763" s="0" t="n">
        <v>22</v>
      </c>
      <c r="C3763" s="0" t="n">
        <v>1.7</v>
      </c>
      <c r="D3763" s="0" t="n">
        <v>0.031</v>
      </c>
    </row>
    <row r="3764" customFormat="false" ht="13.8" hidden="true" customHeight="false" outlineLevel="0" collapsed="false">
      <c r="A3764" s="0" t="s">
        <v>736</v>
      </c>
      <c r="B3764" s="0" t="n">
        <v>22</v>
      </c>
      <c r="C3764" s="0" t="n">
        <v>1.75</v>
      </c>
      <c r="D3764" s="0" t="n">
        <v>0.031</v>
      </c>
    </row>
    <row r="3765" customFormat="false" ht="13.8" hidden="true" customHeight="false" outlineLevel="0" collapsed="false">
      <c r="A3765" s="0" t="s">
        <v>736</v>
      </c>
      <c r="B3765" s="0" t="n">
        <v>22</v>
      </c>
      <c r="C3765" s="0" t="n">
        <v>1.8</v>
      </c>
      <c r="D3765" s="0" t="n">
        <v>0.034</v>
      </c>
    </row>
    <row r="3766" customFormat="false" ht="13.8" hidden="true" customHeight="false" outlineLevel="0" collapsed="false">
      <c r="A3766" s="0" t="s">
        <v>736</v>
      </c>
      <c r="B3766" s="0" t="n">
        <v>22</v>
      </c>
      <c r="C3766" s="0" t="n">
        <v>1.85</v>
      </c>
      <c r="D3766" s="0" t="n">
        <v>0.035</v>
      </c>
    </row>
    <row r="3767" customFormat="false" ht="13.8" hidden="true" customHeight="false" outlineLevel="0" collapsed="false">
      <c r="A3767" s="0" t="s">
        <v>736</v>
      </c>
      <c r="B3767" s="0" t="n">
        <v>22</v>
      </c>
      <c r="C3767" s="0" t="n">
        <v>1.9</v>
      </c>
      <c r="D3767" s="0" t="n">
        <v>0.035</v>
      </c>
    </row>
    <row r="3768" customFormat="false" ht="13.8" hidden="true" customHeight="false" outlineLevel="0" collapsed="false">
      <c r="A3768" s="0" t="s">
        <v>736</v>
      </c>
      <c r="B3768" s="0" t="n">
        <v>22</v>
      </c>
      <c r="C3768" s="0" t="n">
        <v>1.95</v>
      </c>
      <c r="D3768" s="0" t="n">
        <v>0.036</v>
      </c>
    </row>
    <row r="3769" customFormat="false" ht="13.8" hidden="true" customHeight="false" outlineLevel="0" collapsed="false">
      <c r="A3769" s="0" t="s">
        <v>736</v>
      </c>
      <c r="B3769" s="0" t="n">
        <v>22</v>
      </c>
      <c r="C3769" s="0" t="n">
        <v>2</v>
      </c>
      <c r="D3769" s="0" t="n">
        <v>0.038741584</v>
      </c>
    </row>
    <row r="3770" customFormat="false" ht="13.8" hidden="true" customHeight="false" outlineLevel="0" collapsed="false">
      <c r="A3770" s="0" t="s">
        <v>736</v>
      </c>
      <c r="B3770" s="0" t="n">
        <v>22</v>
      </c>
      <c r="C3770" s="0" t="n">
        <v>2.05</v>
      </c>
      <c r="D3770" s="0" t="n">
        <v>0.039710123</v>
      </c>
    </row>
    <row r="3771" customFormat="false" ht="13.8" hidden="true" customHeight="false" outlineLevel="0" collapsed="false">
      <c r="A3771" s="0" t="s">
        <v>736</v>
      </c>
      <c r="B3771" s="0" t="n">
        <v>22</v>
      </c>
      <c r="C3771" s="0" t="n">
        <v>2.1</v>
      </c>
      <c r="D3771" s="0" t="n">
        <v>0.040678663</v>
      </c>
    </row>
    <row r="3772" customFormat="false" ht="13.8" hidden="true" customHeight="false" outlineLevel="0" collapsed="false">
      <c r="A3772" s="0" t="s">
        <v>736</v>
      </c>
      <c r="B3772" s="0" t="n">
        <v>22</v>
      </c>
      <c r="C3772" s="0" t="n">
        <v>2.15</v>
      </c>
      <c r="D3772" s="0" t="n">
        <v>0.041647202</v>
      </c>
    </row>
    <row r="3773" customFormat="false" ht="13.8" hidden="true" customHeight="false" outlineLevel="0" collapsed="false">
      <c r="A3773" s="0" t="s">
        <v>736</v>
      </c>
      <c r="B3773" s="0" t="n">
        <v>22</v>
      </c>
      <c r="C3773" s="0" t="n">
        <v>2.2</v>
      </c>
      <c r="D3773" s="0" t="n">
        <v>0.039873501</v>
      </c>
    </row>
    <row r="3774" customFormat="false" ht="13.8" hidden="true" customHeight="false" outlineLevel="0" collapsed="false">
      <c r="A3774" s="0" t="s">
        <v>736</v>
      </c>
      <c r="B3774" s="0" t="n">
        <v>22</v>
      </c>
      <c r="C3774" s="0" t="n">
        <v>2.25</v>
      </c>
      <c r="D3774" s="0" t="n">
        <v>0.040779717</v>
      </c>
    </row>
    <row r="3775" customFormat="false" ht="13.8" hidden="true" customHeight="false" outlineLevel="0" collapsed="false">
      <c r="A3775" s="0" t="s">
        <v>736</v>
      </c>
      <c r="B3775" s="0" t="n">
        <v>22</v>
      </c>
      <c r="C3775" s="0" t="n">
        <v>2.3</v>
      </c>
      <c r="D3775" s="0" t="n">
        <v>0.041685933</v>
      </c>
    </row>
    <row r="3776" customFormat="false" ht="13.8" hidden="true" customHeight="false" outlineLevel="0" collapsed="false">
      <c r="A3776" s="0" t="s">
        <v>736</v>
      </c>
      <c r="B3776" s="0" t="n">
        <v>22</v>
      </c>
      <c r="C3776" s="0" t="n">
        <v>2.35</v>
      </c>
      <c r="D3776" s="0" t="n">
        <v>0.042592149</v>
      </c>
    </row>
    <row r="3777" customFormat="false" ht="13.8" hidden="true" customHeight="false" outlineLevel="0" collapsed="false">
      <c r="A3777" s="0" t="s">
        <v>736</v>
      </c>
      <c r="B3777" s="0" t="n">
        <v>22</v>
      </c>
      <c r="C3777" s="0" t="n">
        <v>2.4</v>
      </c>
      <c r="D3777" s="0" t="n">
        <v>0.043498365</v>
      </c>
    </row>
    <row r="3778" customFormat="false" ht="13.8" hidden="true" customHeight="false" outlineLevel="0" collapsed="false">
      <c r="A3778" s="0" t="s">
        <v>736</v>
      </c>
      <c r="B3778" s="0" t="n">
        <v>22</v>
      </c>
      <c r="C3778" s="0" t="n">
        <v>2.45</v>
      </c>
      <c r="D3778" s="0" t="n">
        <v>0.044404581</v>
      </c>
    </row>
    <row r="3779" customFormat="false" ht="13.8" hidden="true" customHeight="false" outlineLevel="0" collapsed="false">
      <c r="A3779" s="0" t="s">
        <v>736</v>
      </c>
      <c r="B3779" s="0" t="n">
        <v>22</v>
      </c>
      <c r="C3779" s="0" t="n">
        <v>2.5</v>
      </c>
      <c r="D3779" s="0" t="n">
        <v>0.045310796</v>
      </c>
    </row>
    <row r="3780" customFormat="false" ht="13.8" hidden="true" customHeight="false" outlineLevel="0" collapsed="false">
      <c r="A3780" s="0" t="s">
        <v>736</v>
      </c>
      <c r="B3780" s="0" t="n">
        <v>22</v>
      </c>
      <c r="C3780" s="0" t="n">
        <v>2.55</v>
      </c>
      <c r="D3780" s="0" t="n">
        <v>0.046217012</v>
      </c>
    </row>
    <row r="3781" customFormat="false" ht="13.8" hidden="true" customHeight="false" outlineLevel="0" collapsed="false">
      <c r="A3781" s="0" t="s">
        <v>736</v>
      </c>
      <c r="B3781" s="0" t="n">
        <v>22</v>
      </c>
      <c r="C3781" s="0" t="n">
        <v>2.6</v>
      </c>
      <c r="D3781" s="0" t="n">
        <v>0.047123228</v>
      </c>
    </row>
    <row r="3782" customFormat="false" ht="13.8" hidden="true" customHeight="false" outlineLevel="0" collapsed="false">
      <c r="A3782" s="0" t="s">
        <v>739</v>
      </c>
      <c r="B3782" s="0" t="n">
        <v>16</v>
      </c>
      <c r="C3782" s="0" t="n">
        <v>1.3</v>
      </c>
      <c r="D3782" s="0" t="n">
        <v>0</v>
      </c>
    </row>
    <row r="3783" customFormat="false" ht="13.8" hidden="true" customHeight="false" outlineLevel="0" collapsed="false">
      <c r="A3783" s="0" t="s">
        <v>739</v>
      </c>
      <c r="B3783" s="0" t="n">
        <v>16</v>
      </c>
      <c r="C3783" s="0" t="n">
        <v>1.35</v>
      </c>
      <c r="D3783" s="0" t="n">
        <v>0</v>
      </c>
    </row>
    <row r="3784" customFormat="false" ht="13.8" hidden="true" customHeight="false" outlineLevel="0" collapsed="false">
      <c r="A3784" s="0" t="s">
        <v>739</v>
      </c>
      <c r="B3784" s="0" t="n">
        <v>16</v>
      </c>
      <c r="C3784" s="0" t="n">
        <v>1.4</v>
      </c>
      <c r="D3784" s="0" t="n">
        <v>0</v>
      </c>
    </row>
    <row r="3785" customFormat="false" ht="13.8" hidden="true" customHeight="false" outlineLevel="0" collapsed="false">
      <c r="A3785" s="0" t="s">
        <v>739</v>
      </c>
      <c r="B3785" s="0" t="n">
        <v>16</v>
      </c>
      <c r="C3785" s="0" t="n">
        <v>1.45</v>
      </c>
      <c r="D3785" s="0" t="n">
        <v>0</v>
      </c>
    </row>
    <row r="3786" customFormat="false" ht="13.8" hidden="true" customHeight="false" outlineLevel="0" collapsed="false">
      <c r="A3786" s="0" t="s">
        <v>739</v>
      </c>
      <c r="B3786" s="0" t="n">
        <v>16</v>
      </c>
      <c r="C3786" s="0" t="n">
        <v>1.5</v>
      </c>
      <c r="D3786" s="0" t="n">
        <v>0</v>
      </c>
    </row>
    <row r="3787" customFormat="false" ht="13.8" hidden="true" customHeight="false" outlineLevel="0" collapsed="false">
      <c r="A3787" s="0" t="s">
        <v>739</v>
      </c>
      <c r="B3787" s="0" t="n">
        <v>16</v>
      </c>
      <c r="C3787" s="0" t="n">
        <v>1.55</v>
      </c>
      <c r="D3787" s="0" t="n">
        <v>0</v>
      </c>
    </row>
    <row r="3788" customFormat="false" ht="13.8" hidden="true" customHeight="false" outlineLevel="0" collapsed="false">
      <c r="A3788" s="0" t="s">
        <v>739</v>
      </c>
      <c r="B3788" s="0" t="n">
        <v>16</v>
      </c>
      <c r="C3788" s="0" t="n">
        <v>1.6</v>
      </c>
      <c r="D3788" s="0" t="n">
        <v>0.029</v>
      </c>
    </row>
    <row r="3789" customFormat="false" ht="13.8" hidden="true" customHeight="false" outlineLevel="0" collapsed="false">
      <c r="A3789" s="0" t="s">
        <v>739</v>
      </c>
      <c r="B3789" s="0" t="n">
        <v>16</v>
      </c>
      <c r="C3789" s="0" t="n">
        <v>1.65</v>
      </c>
      <c r="D3789" s="0" t="n">
        <v>0.03</v>
      </c>
    </row>
    <row r="3790" customFormat="false" ht="13.8" hidden="true" customHeight="false" outlineLevel="0" collapsed="false">
      <c r="A3790" s="0" t="s">
        <v>739</v>
      </c>
      <c r="B3790" s="0" t="n">
        <v>16</v>
      </c>
      <c r="C3790" s="0" t="n">
        <v>1.7</v>
      </c>
      <c r="D3790" s="0" t="n">
        <v>0.031</v>
      </c>
    </row>
    <row r="3791" customFormat="false" ht="13.8" hidden="true" customHeight="false" outlineLevel="0" collapsed="false">
      <c r="A3791" s="0" t="s">
        <v>739</v>
      </c>
      <c r="B3791" s="0" t="n">
        <v>16</v>
      </c>
      <c r="C3791" s="0" t="n">
        <v>1.75</v>
      </c>
      <c r="D3791" s="0" t="n">
        <v>0.031</v>
      </c>
    </row>
    <row r="3792" customFormat="false" ht="13.8" hidden="true" customHeight="false" outlineLevel="0" collapsed="false">
      <c r="A3792" s="0" t="s">
        <v>739</v>
      </c>
      <c r="B3792" s="0" t="n">
        <v>16</v>
      </c>
      <c r="C3792" s="0" t="n">
        <v>1.8</v>
      </c>
      <c r="D3792" s="0" t="n">
        <v>0.034</v>
      </c>
    </row>
    <row r="3793" customFormat="false" ht="13.8" hidden="true" customHeight="false" outlineLevel="0" collapsed="false">
      <c r="A3793" s="0" t="s">
        <v>739</v>
      </c>
      <c r="B3793" s="0" t="n">
        <v>16</v>
      </c>
      <c r="C3793" s="0" t="n">
        <v>1.85</v>
      </c>
      <c r="D3793" s="0" t="n">
        <v>0.035</v>
      </c>
    </row>
    <row r="3794" customFormat="false" ht="13.8" hidden="true" customHeight="false" outlineLevel="0" collapsed="false">
      <c r="A3794" s="0" t="s">
        <v>739</v>
      </c>
      <c r="B3794" s="0" t="n">
        <v>16</v>
      </c>
      <c r="C3794" s="0" t="n">
        <v>1.9</v>
      </c>
      <c r="D3794" s="0" t="n">
        <v>0.035</v>
      </c>
    </row>
    <row r="3795" customFormat="false" ht="13.8" hidden="true" customHeight="false" outlineLevel="0" collapsed="false">
      <c r="A3795" s="0" t="s">
        <v>739</v>
      </c>
      <c r="B3795" s="0" t="n">
        <v>16</v>
      </c>
      <c r="C3795" s="0" t="n">
        <v>1.95</v>
      </c>
      <c r="D3795" s="0" t="n">
        <v>0.036</v>
      </c>
    </row>
    <row r="3796" customFormat="false" ht="13.8" hidden="true" customHeight="false" outlineLevel="0" collapsed="false">
      <c r="A3796" s="0" t="s">
        <v>739</v>
      </c>
      <c r="B3796" s="0" t="n">
        <v>16</v>
      </c>
      <c r="C3796" s="0" t="n">
        <v>2</v>
      </c>
      <c r="D3796" s="0" t="n">
        <v>0.038741584</v>
      </c>
    </row>
    <row r="3797" customFormat="false" ht="13.8" hidden="true" customHeight="false" outlineLevel="0" collapsed="false">
      <c r="A3797" s="0" t="s">
        <v>739</v>
      </c>
      <c r="B3797" s="0" t="n">
        <v>16</v>
      </c>
      <c r="C3797" s="0" t="n">
        <v>2.05</v>
      </c>
      <c r="D3797" s="0" t="n">
        <v>0.039710123</v>
      </c>
    </row>
    <row r="3798" customFormat="false" ht="13.8" hidden="true" customHeight="false" outlineLevel="0" collapsed="false">
      <c r="A3798" s="0" t="s">
        <v>739</v>
      </c>
      <c r="B3798" s="0" t="n">
        <v>16</v>
      </c>
      <c r="C3798" s="0" t="n">
        <v>2.1</v>
      </c>
      <c r="D3798" s="0" t="n">
        <v>0.040678663</v>
      </c>
    </row>
    <row r="3799" customFormat="false" ht="13.8" hidden="true" customHeight="false" outlineLevel="0" collapsed="false">
      <c r="A3799" s="0" t="s">
        <v>739</v>
      </c>
      <c r="B3799" s="0" t="n">
        <v>16</v>
      </c>
      <c r="C3799" s="0" t="n">
        <v>2.15</v>
      </c>
      <c r="D3799" s="0" t="n">
        <v>0.041647202</v>
      </c>
    </row>
    <row r="3800" customFormat="false" ht="13.8" hidden="true" customHeight="false" outlineLevel="0" collapsed="false">
      <c r="A3800" s="0" t="s">
        <v>739</v>
      </c>
      <c r="B3800" s="0" t="n">
        <v>16</v>
      </c>
      <c r="C3800" s="0" t="n">
        <v>2.2</v>
      </c>
      <c r="D3800" s="0" t="n">
        <v>0.039873501</v>
      </c>
    </row>
    <row r="3801" customFormat="false" ht="13.8" hidden="true" customHeight="false" outlineLevel="0" collapsed="false">
      <c r="A3801" s="0" t="s">
        <v>739</v>
      </c>
      <c r="B3801" s="0" t="n">
        <v>16</v>
      </c>
      <c r="C3801" s="0" t="n">
        <v>2.25</v>
      </c>
      <c r="D3801" s="0" t="n">
        <v>0.040779717</v>
      </c>
    </row>
    <row r="3802" customFormat="false" ht="13.8" hidden="true" customHeight="false" outlineLevel="0" collapsed="false">
      <c r="A3802" s="0" t="s">
        <v>739</v>
      </c>
      <c r="B3802" s="0" t="n">
        <v>16</v>
      </c>
      <c r="C3802" s="0" t="n">
        <v>2.3</v>
      </c>
      <c r="D3802" s="0" t="n">
        <v>0.041685933</v>
      </c>
    </row>
    <row r="3803" customFormat="false" ht="13.8" hidden="true" customHeight="false" outlineLevel="0" collapsed="false">
      <c r="A3803" s="0" t="s">
        <v>739</v>
      </c>
      <c r="B3803" s="0" t="n">
        <v>16</v>
      </c>
      <c r="C3803" s="0" t="n">
        <v>2.35</v>
      </c>
      <c r="D3803" s="0" t="n">
        <v>0.042592149</v>
      </c>
    </row>
    <row r="3804" customFormat="false" ht="13.8" hidden="true" customHeight="false" outlineLevel="0" collapsed="false">
      <c r="A3804" s="0" t="s">
        <v>739</v>
      </c>
      <c r="B3804" s="0" t="n">
        <v>16</v>
      </c>
      <c r="C3804" s="0" t="n">
        <v>2.4</v>
      </c>
      <c r="D3804" s="0" t="n">
        <v>0.043498365</v>
      </c>
    </row>
    <row r="3805" customFormat="false" ht="13.8" hidden="true" customHeight="false" outlineLevel="0" collapsed="false">
      <c r="A3805" s="0" t="s">
        <v>739</v>
      </c>
      <c r="B3805" s="0" t="n">
        <v>16</v>
      </c>
      <c r="C3805" s="0" t="n">
        <v>2.45</v>
      </c>
      <c r="D3805" s="0" t="n">
        <v>0.044404581</v>
      </c>
    </row>
    <row r="3806" customFormat="false" ht="13.8" hidden="true" customHeight="false" outlineLevel="0" collapsed="false">
      <c r="A3806" s="0" t="s">
        <v>739</v>
      </c>
      <c r="B3806" s="0" t="n">
        <v>16</v>
      </c>
      <c r="C3806" s="0" t="n">
        <v>2.5</v>
      </c>
      <c r="D3806" s="0" t="n">
        <v>0.045310796</v>
      </c>
    </row>
    <row r="3807" customFormat="false" ht="13.8" hidden="true" customHeight="false" outlineLevel="0" collapsed="false">
      <c r="A3807" s="0" t="s">
        <v>739</v>
      </c>
      <c r="B3807" s="0" t="n">
        <v>16</v>
      </c>
      <c r="C3807" s="0" t="n">
        <v>2.55</v>
      </c>
      <c r="D3807" s="0" t="n">
        <v>0.046217012</v>
      </c>
    </row>
    <row r="3808" customFormat="false" ht="13.8" hidden="true" customHeight="false" outlineLevel="0" collapsed="false">
      <c r="A3808" s="0" t="s">
        <v>739</v>
      </c>
      <c r="B3808" s="0" t="n">
        <v>16</v>
      </c>
      <c r="C3808" s="0" t="n">
        <v>2.6</v>
      </c>
      <c r="D3808" s="0" t="n">
        <v>0.047123228</v>
      </c>
    </row>
    <row r="3809" customFormat="false" ht="13.8" hidden="true" customHeight="false" outlineLevel="0" collapsed="false">
      <c r="A3809" s="0" t="s">
        <v>739</v>
      </c>
      <c r="B3809" s="0" t="n">
        <v>17</v>
      </c>
      <c r="C3809" s="0" t="n">
        <v>1.3</v>
      </c>
      <c r="D3809" s="0" t="n">
        <v>0</v>
      </c>
    </row>
    <row r="3810" customFormat="false" ht="13.8" hidden="true" customHeight="false" outlineLevel="0" collapsed="false">
      <c r="A3810" s="0" t="s">
        <v>739</v>
      </c>
      <c r="B3810" s="0" t="n">
        <v>17</v>
      </c>
      <c r="C3810" s="0" t="n">
        <v>1.35</v>
      </c>
      <c r="D3810" s="0" t="n">
        <v>0</v>
      </c>
    </row>
    <row r="3811" customFormat="false" ht="13.8" hidden="true" customHeight="false" outlineLevel="0" collapsed="false">
      <c r="A3811" s="0" t="s">
        <v>739</v>
      </c>
      <c r="B3811" s="0" t="n">
        <v>17</v>
      </c>
      <c r="C3811" s="0" t="n">
        <v>1.4</v>
      </c>
      <c r="D3811" s="0" t="n">
        <v>0</v>
      </c>
    </row>
    <row r="3812" customFormat="false" ht="13.8" hidden="true" customHeight="false" outlineLevel="0" collapsed="false">
      <c r="A3812" s="0" t="s">
        <v>739</v>
      </c>
      <c r="B3812" s="0" t="n">
        <v>17</v>
      </c>
      <c r="C3812" s="0" t="n">
        <v>1.45</v>
      </c>
      <c r="D3812" s="0" t="n">
        <v>0</v>
      </c>
    </row>
    <row r="3813" customFormat="false" ht="13.8" hidden="true" customHeight="false" outlineLevel="0" collapsed="false">
      <c r="A3813" s="0" t="s">
        <v>739</v>
      </c>
      <c r="B3813" s="0" t="n">
        <v>17</v>
      </c>
      <c r="C3813" s="0" t="n">
        <v>1.5</v>
      </c>
      <c r="D3813" s="0" t="n">
        <v>0</v>
      </c>
    </row>
    <row r="3814" customFormat="false" ht="13.8" hidden="true" customHeight="false" outlineLevel="0" collapsed="false">
      <c r="A3814" s="0" t="s">
        <v>739</v>
      </c>
      <c r="B3814" s="0" t="n">
        <v>17</v>
      </c>
      <c r="C3814" s="0" t="n">
        <v>1.55</v>
      </c>
      <c r="D3814" s="0" t="n">
        <v>0</v>
      </c>
    </row>
    <row r="3815" customFormat="false" ht="13.8" hidden="true" customHeight="false" outlineLevel="0" collapsed="false">
      <c r="A3815" s="0" t="s">
        <v>739</v>
      </c>
      <c r="B3815" s="0" t="n">
        <v>17</v>
      </c>
      <c r="C3815" s="0" t="n">
        <v>1.6</v>
      </c>
      <c r="D3815" s="0" t="n">
        <v>0.029</v>
      </c>
    </row>
    <row r="3816" customFormat="false" ht="13.8" hidden="true" customHeight="false" outlineLevel="0" collapsed="false">
      <c r="A3816" s="0" t="s">
        <v>739</v>
      </c>
      <c r="B3816" s="0" t="n">
        <v>17</v>
      </c>
      <c r="C3816" s="0" t="n">
        <v>1.65</v>
      </c>
      <c r="D3816" s="0" t="n">
        <v>0.03</v>
      </c>
    </row>
    <row r="3817" customFormat="false" ht="13.8" hidden="true" customHeight="false" outlineLevel="0" collapsed="false">
      <c r="A3817" s="0" t="s">
        <v>739</v>
      </c>
      <c r="B3817" s="0" t="n">
        <v>17</v>
      </c>
      <c r="C3817" s="0" t="n">
        <v>1.7</v>
      </c>
      <c r="D3817" s="0" t="n">
        <v>0.031</v>
      </c>
    </row>
    <row r="3818" customFormat="false" ht="13.8" hidden="true" customHeight="false" outlineLevel="0" collapsed="false">
      <c r="A3818" s="0" t="s">
        <v>739</v>
      </c>
      <c r="B3818" s="0" t="n">
        <v>17</v>
      </c>
      <c r="C3818" s="0" t="n">
        <v>1.75</v>
      </c>
      <c r="D3818" s="0" t="n">
        <v>0.031</v>
      </c>
    </row>
    <row r="3819" customFormat="false" ht="13.8" hidden="true" customHeight="false" outlineLevel="0" collapsed="false">
      <c r="A3819" s="0" t="s">
        <v>739</v>
      </c>
      <c r="B3819" s="0" t="n">
        <v>17</v>
      </c>
      <c r="C3819" s="0" t="n">
        <v>1.8</v>
      </c>
      <c r="D3819" s="0" t="n">
        <v>0.034</v>
      </c>
    </row>
    <row r="3820" customFormat="false" ht="13.8" hidden="true" customHeight="false" outlineLevel="0" collapsed="false">
      <c r="A3820" s="0" t="s">
        <v>739</v>
      </c>
      <c r="B3820" s="0" t="n">
        <v>17</v>
      </c>
      <c r="C3820" s="0" t="n">
        <v>1.85</v>
      </c>
      <c r="D3820" s="0" t="n">
        <v>0.035</v>
      </c>
    </row>
    <row r="3821" customFormat="false" ht="13.8" hidden="true" customHeight="false" outlineLevel="0" collapsed="false">
      <c r="A3821" s="0" t="s">
        <v>739</v>
      </c>
      <c r="B3821" s="0" t="n">
        <v>17</v>
      </c>
      <c r="C3821" s="0" t="n">
        <v>1.9</v>
      </c>
      <c r="D3821" s="0" t="n">
        <v>0.035</v>
      </c>
    </row>
    <row r="3822" customFormat="false" ht="13.8" hidden="true" customHeight="false" outlineLevel="0" collapsed="false">
      <c r="A3822" s="0" t="s">
        <v>739</v>
      </c>
      <c r="B3822" s="0" t="n">
        <v>17</v>
      </c>
      <c r="C3822" s="0" t="n">
        <v>1.95</v>
      </c>
      <c r="D3822" s="0" t="n">
        <v>0.036</v>
      </c>
    </row>
    <row r="3823" customFormat="false" ht="13.8" hidden="true" customHeight="false" outlineLevel="0" collapsed="false">
      <c r="A3823" s="0" t="s">
        <v>739</v>
      </c>
      <c r="B3823" s="0" t="n">
        <v>17</v>
      </c>
      <c r="C3823" s="0" t="n">
        <v>2</v>
      </c>
      <c r="D3823" s="0" t="n">
        <v>0.038741584</v>
      </c>
    </row>
    <row r="3824" customFormat="false" ht="13.8" hidden="true" customHeight="false" outlineLevel="0" collapsed="false">
      <c r="A3824" s="0" t="s">
        <v>739</v>
      </c>
      <c r="B3824" s="0" t="n">
        <v>17</v>
      </c>
      <c r="C3824" s="0" t="n">
        <v>2.05</v>
      </c>
      <c r="D3824" s="0" t="n">
        <v>0.039710123</v>
      </c>
    </row>
    <row r="3825" customFormat="false" ht="13.8" hidden="true" customHeight="false" outlineLevel="0" collapsed="false">
      <c r="A3825" s="0" t="s">
        <v>739</v>
      </c>
      <c r="B3825" s="0" t="n">
        <v>17</v>
      </c>
      <c r="C3825" s="0" t="n">
        <v>2.1</v>
      </c>
      <c r="D3825" s="0" t="n">
        <v>0.040678663</v>
      </c>
    </row>
    <row r="3826" customFormat="false" ht="13.8" hidden="true" customHeight="false" outlineLevel="0" collapsed="false">
      <c r="A3826" s="0" t="s">
        <v>739</v>
      </c>
      <c r="B3826" s="0" t="n">
        <v>17</v>
      </c>
      <c r="C3826" s="0" t="n">
        <v>2.15</v>
      </c>
      <c r="D3826" s="0" t="n">
        <v>0.041647202</v>
      </c>
    </row>
    <row r="3827" customFormat="false" ht="13.8" hidden="true" customHeight="false" outlineLevel="0" collapsed="false">
      <c r="A3827" s="0" t="s">
        <v>739</v>
      </c>
      <c r="B3827" s="0" t="n">
        <v>17</v>
      </c>
      <c r="C3827" s="0" t="n">
        <v>2.2</v>
      </c>
      <c r="D3827" s="0" t="n">
        <v>0.039873501</v>
      </c>
    </row>
    <row r="3828" customFormat="false" ht="13.8" hidden="true" customHeight="false" outlineLevel="0" collapsed="false">
      <c r="A3828" s="0" t="s">
        <v>739</v>
      </c>
      <c r="B3828" s="0" t="n">
        <v>17</v>
      </c>
      <c r="C3828" s="0" t="n">
        <v>2.25</v>
      </c>
      <c r="D3828" s="0" t="n">
        <v>0.040779717</v>
      </c>
    </row>
    <row r="3829" customFormat="false" ht="13.8" hidden="true" customHeight="false" outlineLevel="0" collapsed="false">
      <c r="A3829" s="0" t="s">
        <v>739</v>
      </c>
      <c r="B3829" s="0" t="n">
        <v>17</v>
      </c>
      <c r="C3829" s="0" t="n">
        <v>2.3</v>
      </c>
      <c r="D3829" s="0" t="n">
        <v>0.041685933</v>
      </c>
    </row>
    <row r="3830" customFormat="false" ht="13.8" hidden="true" customHeight="false" outlineLevel="0" collapsed="false">
      <c r="A3830" s="0" t="s">
        <v>739</v>
      </c>
      <c r="B3830" s="0" t="n">
        <v>17</v>
      </c>
      <c r="C3830" s="0" t="n">
        <v>2.35</v>
      </c>
      <c r="D3830" s="0" t="n">
        <v>0.042592149</v>
      </c>
    </row>
    <row r="3831" customFormat="false" ht="13.8" hidden="true" customHeight="false" outlineLevel="0" collapsed="false">
      <c r="A3831" s="0" t="s">
        <v>739</v>
      </c>
      <c r="B3831" s="0" t="n">
        <v>17</v>
      </c>
      <c r="C3831" s="0" t="n">
        <v>2.4</v>
      </c>
      <c r="D3831" s="0" t="n">
        <v>0.043498365</v>
      </c>
    </row>
    <row r="3832" customFormat="false" ht="13.8" hidden="true" customHeight="false" outlineLevel="0" collapsed="false">
      <c r="A3832" s="0" t="s">
        <v>739</v>
      </c>
      <c r="B3832" s="0" t="n">
        <v>17</v>
      </c>
      <c r="C3832" s="0" t="n">
        <v>2.45</v>
      </c>
      <c r="D3832" s="0" t="n">
        <v>0.044404581</v>
      </c>
    </row>
    <row r="3833" customFormat="false" ht="13.8" hidden="true" customHeight="false" outlineLevel="0" collapsed="false">
      <c r="A3833" s="0" t="s">
        <v>739</v>
      </c>
      <c r="B3833" s="0" t="n">
        <v>17</v>
      </c>
      <c r="C3833" s="0" t="n">
        <v>2.5</v>
      </c>
      <c r="D3833" s="0" t="n">
        <v>0.045310796</v>
      </c>
    </row>
    <row r="3834" customFormat="false" ht="13.8" hidden="true" customHeight="false" outlineLevel="0" collapsed="false">
      <c r="A3834" s="0" t="s">
        <v>739</v>
      </c>
      <c r="B3834" s="0" t="n">
        <v>17</v>
      </c>
      <c r="C3834" s="0" t="n">
        <v>2.55</v>
      </c>
      <c r="D3834" s="0" t="n">
        <v>0.046217012</v>
      </c>
    </row>
    <row r="3835" customFormat="false" ht="13.8" hidden="true" customHeight="false" outlineLevel="0" collapsed="false">
      <c r="A3835" s="0" t="s">
        <v>739</v>
      </c>
      <c r="B3835" s="0" t="n">
        <v>17</v>
      </c>
      <c r="C3835" s="0" t="n">
        <v>2.6</v>
      </c>
      <c r="D3835" s="0" t="n">
        <v>0.047123228</v>
      </c>
    </row>
    <row r="3836" customFormat="false" ht="13.8" hidden="true" customHeight="false" outlineLevel="0" collapsed="false">
      <c r="A3836" s="0" t="s">
        <v>739</v>
      </c>
      <c r="B3836" s="0" t="n">
        <v>18</v>
      </c>
      <c r="C3836" s="0" t="n">
        <v>1.3</v>
      </c>
      <c r="D3836" s="0" t="n">
        <v>0</v>
      </c>
    </row>
    <row r="3837" customFormat="false" ht="13.8" hidden="true" customHeight="false" outlineLevel="0" collapsed="false">
      <c r="A3837" s="0" t="s">
        <v>739</v>
      </c>
      <c r="B3837" s="0" t="n">
        <v>18</v>
      </c>
      <c r="C3837" s="0" t="n">
        <v>1.35</v>
      </c>
      <c r="D3837" s="0" t="n">
        <v>0</v>
      </c>
    </row>
    <row r="3838" customFormat="false" ht="13.8" hidden="true" customHeight="false" outlineLevel="0" collapsed="false">
      <c r="A3838" s="0" t="s">
        <v>739</v>
      </c>
      <c r="B3838" s="0" t="n">
        <v>18</v>
      </c>
      <c r="C3838" s="0" t="n">
        <v>1.4</v>
      </c>
      <c r="D3838" s="0" t="n">
        <v>0</v>
      </c>
    </row>
    <row r="3839" customFormat="false" ht="13.8" hidden="true" customHeight="false" outlineLevel="0" collapsed="false">
      <c r="A3839" s="0" t="s">
        <v>739</v>
      </c>
      <c r="B3839" s="0" t="n">
        <v>18</v>
      </c>
      <c r="C3839" s="0" t="n">
        <v>1.45</v>
      </c>
      <c r="D3839" s="0" t="n">
        <v>0</v>
      </c>
    </row>
    <row r="3840" customFormat="false" ht="13.8" hidden="true" customHeight="false" outlineLevel="0" collapsed="false">
      <c r="A3840" s="0" t="s">
        <v>739</v>
      </c>
      <c r="B3840" s="0" t="n">
        <v>18</v>
      </c>
      <c r="C3840" s="0" t="n">
        <v>1.5</v>
      </c>
      <c r="D3840" s="0" t="n">
        <v>0</v>
      </c>
    </row>
    <row r="3841" customFormat="false" ht="13.8" hidden="true" customHeight="false" outlineLevel="0" collapsed="false">
      <c r="A3841" s="0" t="s">
        <v>739</v>
      </c>
      <c r="B3841" s="0" t="n">
        <v>18</v>
      </c>
      <c r="C3841" s="0" t="n">
        <v>1.55</v>
      </c>
      <c r="D3841" s="0" t="n">
        <v>0</v>
      </c>
    </row>
    <row r="3842" customFormat="false" ht="13.8" hidden="true" customHeight="false" outlineLevel="0" collapsed="false">
      <c r="A3842" s="0" t="s">
        <v>739</v>
      </c>
      <c r="B3842" s="0" t="n">
        <v>18</v>
      </c>
      <c r="C3842" s="0" t="n">
        <v>1.6</v>
      </c>
      <c r="D3842" s="0" t="n">
        <v>0.029</v>
      </c>
    </row>
    <row r="3843" customFormat="false" ht="13.8" hidden="true" customHeight="false" outlineLevel="0" collapsed="false">
      <c r="A3843" s="0" t="s">
        <v>739</v>
      </c>
      <c r="B3843" s="0" t="n">
        <v>18</v>
      </c>
      <c r="C3843" s="0" t="n">
        <v>1.65</v>
      </c>
      <c r="D3843" s="0" t="n">
        <v>0.03</v>
      </c>
    </row>
    <row r="3844" customFormat="false" ht="13.8" hidden="true" customHeight="false" outlineLevel="0" collapsed="false">
      <c r="A3844" s="0" t="s">
        <v>739</v>
      </c>
      <c r="B3844" s="0" t="n">
        <v>18</v>
      </c>
      <c r="C3844" s="0" t="n">
        <v>1.7</v>
      </c>
      <c r="D3844" s="0" t="n">
        <v>0.031</v>
      </c>
    </row>
    <row r="3845" customFormat="false" ht="13.8" hidden="true" customHeight="false" outlineLevel="0" collapsed="false">
      <c r="A3845" s="0" t="s">
        <v>739</v>
      </c>
      <c r="B3845" s="0" t="n">
        <v>18</v>
      </c>
      <c r="C3845" s="0" t="n">
        <v>1.75</v>
      </c>
      <c r="D3845" s="0" t="n">
        <v>0.031</v>
      </c>
    </row>
    <row r="3846" customFormat="false" ht="13.8" hidden="true" customHeight="false" outlineLevel="0" collapsed="false">
      <c r="A3846" s="0" t="s">
        <v>739</v>
      </c>
      <c r="B3846" s="0" t="n">
        <v>18</v>
      </c>
      <c r="C3846" s="0" t="n">
        <v>1.8</v>
      </c>
      <c r="D3846" s="0" t="n">
        <v>0.034</v>
      </c>
    </row>
    <row r="3847" customFormat="false" ht="13.8" hidden="true" customHeight="false" outlineLevel="0" collapsed="false">
      <c r="A3847" s="0" t="s">
        <v>739</v>
      </c>
      <c r="B3847" s="0" t="n">
        <v>18</v>
      </c>
      <c r="C3847" s="0" t="n">
        <v>1.85</v>
      </c>
      <c r="D3847" s="0" t="n">
        <v>0.035</v>
      </c>
    </row>
    <row r="3848" customFormat="false" ht="13.8" hidden="true" customHeight="false" outlineLevel="0" collapsed="false">
      <c r="A3848" s="0" t="s">
        <v>739</v>
      </c>
      <c r="B3848" s="0" t="n">
        <v>18</v>
      </c>
      <c r="C3848" s="0" t="n">
        <v>1.9</v>
      </c>
      <c r="D3848" s="0" t="n">
        <v>0.035</v>
      </c>
    </row>
    <row r="3849" customFormat="false" ht="13.8" hidden="true" customHeight="false" outlineLevel="0" collapsed="false">
      <c r="A3849" s="0" t="s">
        <v>739</v>
      </c>
      <c r="B3849" s="0" t="n">
        <v>18</v>
      </c>
      <c r="C3849" s="0" t="n">
        <v>1.95</v>
      </c>
      <c r="D3849" s="0" t="n">
        <v>0.036</v>
      </c>
    </row>
    <row r="3850" customFormat="false" ht="13.8" hidden="true" customHeight="false" outlineLevel="0" collapsed="false">
      <c r="A3850" s="0" t="s">
        <v>739</v>
      </c>
      <c r="B3850" s="0" t="n">
        <v>18</v>
      </c>
      <c r="C3850" s="0" t="n">
        <v>2</v>
      </c>
      <c r="D3850" s="0" t="n">
        <v>0.038741584</v>
      </c>
    </row>
    <row r="3851" customFormat="false" ht="13.8" hidden="true" customHeight="false" outlineLevel="0" collapsed="false">
      <c r="A3851" s="0" t="s">
        <v>739</v>
      </c>
      <c r="B3851" s="0" t="n">
        <v>18</v>
      </c>
      <c r="C3851" s="0" t="n">
        <v>2.05</v>
      </c>
      <c r="D3851" s="0" t="n">
        <v>0.039710123</v>
      </c>
    </row>
    <row r="3852" customFormat="false" ht="13.8" hidden="true" customHeight="false" outlineLevel="0" collapsed="false">
      <c r="A3852" s="0" t="s">
        <v>739</v>
      </c>
      <c r="B3852" s="0" t="n">
        <v>18</v>
      </c>
      <c r="C3852" s="0" t="n">
        <v>2.1</v>
      </c>
      <c r="D3852" s="0" t="n">
        <v>0.040678663</v>
      </c>
    </row>
    <row r="3853" customFormat="false" ht="13.8" hidden="true" customHeight="false" outlineLevel="0" collapsed="false">
      <c r="A3853" s="0" t="s">
        <v>739</v>
      </c>
      <c r="B3853" s="0" t="n">
        <v>18</v>
      </c>
      <c r="C3853" s="0" t="n">
        <v>2.15</v>
      </c>
      <c r="D3853" s="0" t="n">
        <v>0.041647202</v>
      </c>
    </row>
    <row r="3854" customFormat="false" ht="13.8" hidden="true" customHeight="false" outlineLevel="0" collapsed="false">
      <c r="A3854" s="0" t="s">
        <v>739</v>
      </c>
      <c r="B3854" s="0" t="n">
        <v>18</v>
      </c>
      <c r="C3854" s="0" t="n">
        <v>2.2</v>
      </c>
      <c r="D3854" s="0" t="n">
        <v>0.039873501</v>
      </c>
    </row>
    <row r="3855" customFormat="false" ht="13.8" hidden="true" customHeight="false" outlineLevel="0" collapsed="false">
      <c r="A3855" s="0" t="s">
        <v>739</v>
      </c>
      <c r="B3855" s="0" t="n">
        <v>18</v>
      </c>
      <c r="C3855" s="0" t="n">
        <v>2.25</v>
      </c>
      <c r="D3855" s="0" t="n">
        <v>0.040779717</v>
      </c>
    </row>
    <row r="3856" customFormat="false" ht="13.8" hidden="true" customHeight="false" outlineLevel="0" collapsed="false">
      <c r="A3856" s="0" t="s">
        <v>739</v>
      </c>
      <c r="B3856" s="0" t="n">
        <v>18</v>
      </c>
      <c r="C3856" s="0" t="n">
        <v>2.3</v>
      </c>
      <c r="D3856" s="0" t="n">
        <v>0.041685933</v>
      </c>
    </row>
    <row r="3857" customFormat="false" ht="13.8" hidden="true" customHeight="false" outlineLevel="0" collapsed="false">
      <c r="A3857" s="0" t="s">
        <v>739</v>
      </c>
      <c r="B3857" s="0" t="n">
        <v>18</v>
      </c>
      <c r="C3857" s="0" t="n">
        <v>2.35</v>
      </c>
      <c r="D3857" s="0" t="n">
        <v>0.042592149</v>
      </c>
    </row>
    <row r="3858" customFormat="false" ht="13.8" hidden="true" customHeight="false" outlineLevel="0" collapsed="false">
      <c r="A3858" s="0" t="s">
        <v>739</v>
      </c>
      <c r="B3858" s="0" t="n">
        <v>18</v>
      </c>
      <c r="C3858" s="0" t="n">
        <v>2.4</v>
      </c>
      <c r="D3858" s="0" t="n">
        <v>0.043498365</v>
      </c>
    </row>
    <row r="3859" customFormat="false" ht="13.8" hidden="true" customHeight="false" outlineLevel="0" collapsed="false">
      <c r="A3859" s="0" t="s">
        <v>739</v>
      </c>
      <c r="B3859" s="0" t="n">
        <v>18</v>
      </c>
      <c r="C3859" s="0" t="n">
        <v>2.45</v>
      </c>
      <c r="D3859" s="0" t="n">
        <v>0.044404581</v>
      </c>
    </row>
    <row r="3860" customFormat="false" ht="13.8" hidden="true" customHeight="false" outlineLevel="0" collapsed="false">
      <c r="A3860" s="0" t="s">
        <v>739</v>
      </c>
      <c r="B3860" s="0" t="n">
        <v>18</v>
      </c>
      <c r="C3860" s="0" t="n">
        <v>2.5</v>
      </c>
      <c r="D3860" s="0" t="n">
        <v>0.045310796</v>
      </c>
    </row>
    <row r="3861" customFormat="false" ht="13.8" hidden="true" customHeight="false" outlineLevel="0" collapsed="false">
      <c r="A3861" s="0" t="s">
        <v>739</v>
      </c>
      <c r="B3861" s="0" t="n">
        <v>18</v>
      </c>
      <c r="C3861" s="0" t="n">
        <v>2.55</v>
      </c>
      <c r="D3861" s="0" t="n">
        <v>0.046217012</v>
      </c>
    </row>
    <row r="3862" customFormat="false" ht="13.8" hidden="true" customHeight="false" outlineLevel="0" collapsed="false">
      <c r="A3862" s="0" t="s">
        <v>739</v>
      </c>
      <c r="B3862" s="0" t="n">
        <v>18</v>
      </c>
      <c r="C3862" s="0" t="n">
        <v>2.6</v>
      </c>
      <c r="D3862" s="0" t="n">
        <v>0.047123228</v>
      </c>
    </row>
    <row r="3863" customFormat="false" ht="13.8" hidden="true" customHeight="false" outlineLevel="0" collapsed="false">
      <c r="A3863" s="0" t="s">
        <v>739</v>
      </c>
      <c r="B3863" s="0" t="n">
        <v>19</v>
      </c>
      <c r="C3863" s="0" t="n">
        <v>1.3</v>
      </c>
      <c r="D3863" s="0" t="n">
        <v>0</v>
      </c>
    </row>
    <row r="3864" customFormat="false" ht="13.8" hidden="true" customHeight="false" outlineLevel="0" collapsed="false">
      <c r="A3864" s="0" t="s">
        <v>739</v>
      </c>
      <c r="B3864" s="0" t="n">
        <v>19</v>
      </c>
      <c r="C3864" s="0" t="n">
        <v>1.35</v>
      </c>
      <c r="D3864" s="0" t="n">
        <v>0</v>
      </c>
    </row>
    <row r="3865" customFormat="false" ht="13.8" hidden="true" customHeight="false" outlineLevel="0" collapsed="false">
      <c r="A3865" s="0" t="s">
        <v>739</v>
      </c>
      <c r="B3865" s="0" t="n">
        <v>19</v>
      </c>
      <c r="C3865" s="0" t="n">
        <v>1.4</v>
      </c>
      <c r="D3865" s="0" t="n">
        <v>0</v>
      </c>
    </row>
    <row r="3866" customFormat="false" ht="13.8" hidden="true" customHeight="false" outlineLevel="0" collapsed="false">
      <c r="A3866" s="0" t="s">
        <v>739</v>
      </c>
      <c r="B3866" s="0" t="n">
        <v>19</v>
      </c>
      <c r="C3866" s="0" t="n">
        <v>1.45</v>
      </c>
      <c r="D3866" s="0" t="n">
        <v>0</v>
      </c>
    </row>
    <row r="3867" customFormat="false" ht="13.8" hidden="true" customHeight="false" outlineLevel="0" collapsed="false">
      <c r="A3867" s="0" t="s">
        <v>739</v>
      </c>
      <c r="B3867" s="0" t="n">
        <v>19</v>
      </c>
      <c r="C3867" s="0" t="n">
        <v>1.5</v>
      </c>
      <c r="D3867" s="0" t="n">
        <v>0</v>
      </c>
    </row>
    <row r="3868" customFormat="false" ht="13.8" hidden="true" customHeight="false" outlineLevel="0" collapsed="false">
      <c r="A3868" s="0" t="s">
        <v>739</v>
      </c>
      <c r="B3868" s="0" t="n">
        <v>19</v>
      </c>
      <c r="C3868" s="0" t="n">
        <v>1.55</v>
      </c>
      <c r="D3868" s="0" t="n">
        <v>0</v>
      </c>
    </row>
    <row r="3869" customFormat="false" ht="13.8" hidden="true" customHeight="false" outlineLevel="0" collapsed="false">
      <c r="A3869" s="0" t="s">
        <v>739</v>
      </c>
      <c r="B3869" s="0" t="n">
        <v>19</v>
      </c>
      <c r="C3869" s="0" t="n">
        <v>1.6</v>
      </c>
      <c r="D3869" s="0" t="n">
        <v>0.029</v>
      </c>
    </row>
    <row r="3870" customFormat="false" ht="13.8" hidden="true" customHeight="false" outlineLevel="0" collapsed="false">
      <c r="A3870" s="0" t="s">
        <v>739</v>
      </c>
      <c r="B3870" s="0" t="n">
        <v>19</v>
      </c>
      <c r="C3870" s="0" t="n">
        <v>1.65</v>
      </c>
      <c r="D3870" s="0" t="n">
        <v>0.03</v>
      </c>
    </row>
    <row r="3871" customFormat="false" ht="13.8" hidden="true" customHeight="false" outlineLevel="0" collapsed="false">
      <c r="A3871" s="0" t="s">
        <v>739</v>
      </c>
      <c r="B3871" s="0" t="n">
        <v>19</v>
      </c>
      <c r="C3871" s="0" t="n">
        <v>1.7</v>
      </c>
      <c r="D3871" s="0" t="n">
        <v>0.031</v>
      </c>
    </row>
    <row r="3872" customFormat="false" ht="13.8" hidden="true" customHeight="false" outlineLevel="0" collapsed="false">
      <c r="A3872" s="0" t="s">
        <v>739</v>
      </c>
      <c r="B3872" s="0" t="n">
        <v>19</v>
      </c>
      <c r="C3872" s="0" t="n">
        <v>1.75</v>
      </c>
      <c r="D3872" s="0" t="n">
        <v>0.031</v>
      </c>
    </row>
    <row r="3873" customFormat="false" ht="13.8" hidden="true" customHeight="false" outlineLevel="0" collapsed="false">
      <c r="A3873" s="0" t="s">
        <v>739</v>
      </c>
      <c r="B3873" s="0" t="n">
        <v>19</v>
      </c>
      <c r="C3873" s="0" t="n">
        <v>1.8</v>
      </c>
      <c r="D3873" s="0" t="n">
        <v>0.034</v>
      </c>
    </row>
    <row r="3874" customFormat="false" ht="13.8" hidden="true" customHeight="false" outlineLevel="0" collapsed="false">
      <c r="A3874" s="0" t="s">
        <v>739</v>
      </c>
      <c r="B3874" s="0" t="n">
        <v>19</v>
      </c>
      <c r="C3874" s="0" t="n">
        <v>1.85</v>
      </c>
      <c r="D3874" s="0" t="n">
        <v>0.035</v>
      </c>
    </row>
    <row r="3875" customFormat="false" ht="13.8" hidden="true" customHeight="false" outlineLevel="0" collapsed="false">
      <c r="A3875" s="0" t="s">
        <v>739</v>
      </c>
      <c r="B3875" s="0" t="n">
        <v>19</v>
      </c>
      <c r="C3875" s="0" t="n">
        <v>1.9</v>
      </c>
      <c r="D3875" s="0" t="n">
        <v>0.035</v>
      </c>
    </row>
    <row r="3876" customFormat="false" ht="13.8" hidden="true" customHeight="false" outlineLevel="0" collapsed="false">
      <c r="A3876" s="0" t="s">
        <v>739</v>
      </c>
      <c r="B3876" s="0" t="n">
        <v>19</v>
      </c>
      <c r="C3876" s="0" t="n">
        <v>1.95</v>
      </c>
      <c r="D3876" s="0" t="n">
        <v>0.036</v>
      </c>
    </row>
    <row r="3877" customFormat="false" ht="13.8" hidden="true" customHeight="false" outlineLevel="0" collapsed="false">
      <c r="A3877" s="0" t="s">
        <v>739</v>
      </c>
      <c r="B3877" s="0" t="n">
        <v>19</v>
      </c>
      <c r="C3877" s="0" t="n">
        <v>2</v>
      </c>
      <c r="D3877" s="0" t="n">
        <v>0.038741584</v>
      </c>
    </row>
    <row r="3878" customFormat="false" ht="13.8" hidden="true" customHeight="false" outlineLevel="0" collapsed="false">
      <c r="A3878" s="0" t="s">
        <v>739</v>
      </c>
      <c r="B3878" s="0" t="n">
        <v>19</v>
      </c>
      <c r="C3878" s="0" t="n">
        <v>2.05</v>
      </c>
      <c r="D3878" s="0" t="n">
        <v>0.039710123</v>
      </c>
    </row>
    <row r="3879" customFormat="false" ht="13.8" hidden="true" customHeight="false" outlineLevel="0" collapsed="false">
      <c r="A3879" s="0" t="s">
        <v>739</v>
      </c>
      <c r="B3879" s="0" t="n">
        <v>19</v>
      </c>
      <c r="C3879" s="0" t="n">
        <v>2.1</v>
      </c>
      <c r="D3879" s="0" t="n">
        <v>0.040678663</v>
      </c>
    </row>
    <row r="3880" customFormat="false" ht="13.8" hidden="true" customHeight="false" outlineLevel="0" collapsed="false">
      <c r="A3880" s="0" t="s">
        <v>739</v>
      </c>
      <c r="B3880" s="0" t="n">
        <v>19</v>
      </c>
      <c r="C3880" s="0" t="n">
        <v>2.15</v>
      </c>
      <c r="D3880" s="0" t="n">
        <v>0.041647202</v>
      </c>
    </row>
    <row r="3881" customFormat="false" ht="13.8" hidden="true" customHeight="false" outlineLevel="0" collapsed="false">
      <c r="A3881" s="0" t="s">
        <v>739</v>
      </c>
      <c r="B3881" s="0" t="n">
        <v>19</v>
      </c>
      <c r="C3881" s="0" t="n">
        <v>2.2</v>
      </c>
      <c r="D3881" s="0" t="n">
        <v>0.039873501</v>
      </c>
    </row>
    <row r="3882" customFormat="false" ht="13.8" hidden="true" customHeight="false" outlineLevel="0" collapsed="false">
      <c r="A3882" s="0" t="s">
        <v>739</v>
      </c>
      <c r="B3882" s="0" t="n">
        <v>19</v>
      </c>
      <c r="C3882" s="0" t="n">
        <v>2.25</v>
      </c>
      <c r="D3882" s="0" t="n">
        <v>0.040779717</v>
      </c>
    </row>
    <row r="3883" customFormat="false" ht="13.8" hidden="true" customHeight="false" outlineLevel="0" collapsed="false">
      <c r="A3883" s="0" t="s">
        <v>739</v>
      </c>
      <c r="B3883" s="0" t="n">
        <v>19</v>
      </c>
      <c r="C3883" s="0" t="n">
        <v>2.3</v>
      </c>
      <c r="D3883" s="0" t="n">
        <v>0.041685933</v>
      </c>
    </row>
    <row r="3884" customFormat="false" ht="13.8" hidden="true" customHeight="false" outlineLevel="0" collapsed="false">
      <c r="A3884" s="0" t="s">
        <v>739</v>
      </c>
      <c r="B3884" s="0" t="n">
        <v>19</v>
      </c>
      <c r="C3884" s="0" t="n">
        <v>2.35</v>
      </c>
      <c r="D3884" s="0" t="n">
        <v>0.042592149</v>
      </c>
    </row>
    <row r="3885" customFormat="false" ht="13.8" hidden="true" customHeight="false" outlineLevel="0" collapsed="false">
      <c r="A3885" s="0" t="s">
        <v>739</v>
      </c>
      <c r="B3885" s="0" t="n">
        <v>19</v>
      </c>
      <c r="C3885" s="0" t="n">
        <v>2.4</v>
      </c>
      <c r="D3885" s="0" t="n">
        <v>0.043498365</v>
      </c>
    </row>
    <row r="3886" customFormat="false" ht="13.8" hidden="true" customHeight="false" outlineLevel="0" collapsed="false">
      <c r="A3886" s="0" t="s">
        <v>739</v>
      </c>
      <c r="B3886" s="0" t="n">
        <v>19</v>
      </c>
      <c r="C3886" s="0" t="n">
        <v>2.45</v>
      </c>
      <c r="D3886" s="0" t="n">
        <v>0.044404581</v>
      </c>
    </row>
    <row r="3887" customFormat="false" ht="13.8" hidden="true" customHeight="false" outlineLevel="0" collapsed="false">
      <c r="A3887" s="0" t="s">
        <v>739</v>
      </c>
      <c r="B3887" s="0" t="n">
        <v>19</v>
      </c>
      <c r="C3887" s="0" t="n">
        <v>2.5</v>
      </c>
      <c r="D3887" s="0" t="n">
        <v>0.045310796</v>
      </c>
    </row>
    <row r="3888" customFormat="false" ht="13.8" hidden="true" customHeight="false" outlineLevel="0" collapsed="false">
      <c r="A3888" s="0" t="s">
        <v>739</v>
      </c>
      <c r="B3888" s="0" t="n">
        <v>19</v>
      </c>
      <c r="C3888" s="0" t="n">
        <v>2.55</v>
      </c>
      <c r="D3888" s="0" t="n">
        <v>0.046217012</v>
      </c>
    </row>
    <row r="3889" customFormat="false" ht="13.8" hidden="true" customHeight="false" outlineLevel="0" collapsed="false">
      <c r="A3889" s="0" t="s">
        <v>739</v>
      </c>
      <c r="B3889" s="0" t="n">
        <v>19</v>
      </c>
      <c r="C3889" s="0" t="n">
        <v>2.6</v>
      </c>
      <c r="D3889" s="0" t="n">
        <v>0.047123228</v>
      </c>
    </row>
    <row r="3890" customFormat="false" ht="13.8" hidden="true" customHeight="false" outlineLevel="0" collapsed="false">
      <c r="A3890" s="0" t="s">
        <v>739</v>
      </c>
      <c r="B3890" s="0" t="n">
        <v>20</v>
      </c>
      <c r="C3890" s="0" t="n">
        <v>1.3</v>
      </c>
      <c r="D3890" s="0" t="n">
        <v>0</v>
      </c>
    </row>
    <row r="3891" customFormat="false" ht="13.8" hidden="true" customHeight="false" outlineLevel="0" collapsed="false">
      <c r="A3891" s="0" t="s">
        <v>739</v>
      </c>
      <c r="B3891" s="0" t="n">
        <v>20</v>
      </c>
      <c r="C3891" s="0" t="n">
        <v>1.35</v>
      </c>
      <c r="D3891" s="0" t="n">
        <v>0</v>
      </c>
    </row>
    <row r="3892" customFormat="false" ht="13.8" hidden="true" customHeight="false" outlineLevel="0" collapsed="false">
      <c r="A3892" s="0" t="s">
        <v>739</v>
      </c>
      <c r="B3892" s="0" t="n">
        <v>20</v>
      </c>
      <c r="C3892" s="0" t="n">
        <v>1.4</v>
      </c>
      <c r="D3892" s="0" t="n">
        <v>0</v>
      </c>
    </row>
    <row r="3893" customFormat="false" ht="13.8" hidden="true" customHeight="false" outlineLevel="0" collapsed="false">
      <c r="A3893" s="0" t="s">
        <v>739</v>
      </c>
      <c r="B3893" s="0" t="n">
        <v>20</v>
      </c>
      <c r="C3893" s="0" t="n">
        <v>1.45</v>
      </c>
      <c r="D3893" s="0" t="n">
        <v>0</v>
      </c>
    </row>
    <row r="3894" customFormat="false" ht="13.8" hidden="true" customHeight="false" outlineLevel="0" collapsed="false">
      <c r="A3894" s="0" t="s">
        <v>739</v>
      </c>
      <c r="B3894" s="0" t="n">
        <v>20</v>
      </c>
      <c r="C3894" s="0" t="n">
        <v>1.5</v>
      </c>
      <c r="D3894" s="0" t="n">
        <v>0</v>
      </c>
    </row>
    <row r="3895" customFormat="false" ht="13.8" hidden="true" customHeight="false" outlineLevel="0" collapsed="false">
      <c r="A3895" s="0" t="s">
        <v>739</v>
      </c>
      <c r="B3895" s="0" t="n">
        <v>20</v>
      </c>
      <c r="C3895" s="0" t="n">
        <v>1.55</v>
      </c>
      <c r="D3895" s="0" t="n">
        <v>0</v>
      </c>
    </row>
    <row r="3896" customFormat="false" ht="13.8" hidden="true" customHeight="false" outlineLevel="0" collapsed="false">
      <c r="A3896" s="0" t="s">
        <v>739</v>
      </c>
      <c r="B3896" s="0" t="n">
        <v>20</v>
      </c>
      <c r="C3896" s="0" t="n">
        <v>1.6</v>
      </c>
      <c r="D3896" s="0" t="n">
        <v>0.029</v>
      </c>
    </row>
    <row r="3897" customFormat="false" ht="13.8" hidden="true" customHeight="false" outlineLevel="0" collapsed="false">
      <c r="A3897" s="0" t="s">
        <v>739</v>
      </c>
      <c r="B3897" s="0" t="n">
        <v>20</v>
      </c>
      <c r="C3897" s="0" t="n">
        <v>1.65</v>
      </c>
      <c r="D3897" s="0" t="n">
        <v>0.03</v>
      </c>
    </row>
    <row r="3898" customFormat="false" ht="13.8" hidden="true" customHeight="false" outlineLevel="0" collapsed="false">
      <c r="A3898" s="0" t="s">
        <v>739</v>
      </c>
      <c r="B3898" s="0" t="n">
        <v>20</v>
      </c>
      <c r="C3898" s="0" t="n">
        <v>1.7</v>
      </c>
      <c r="D3898" s="0" t="n">
        <v>0.031</v>
      </c>
    </row>
    <row r="3899" customFormat="false" ht="13.8" hidden="true" customHeight="false" outlineLevel="0" collapsed="false">
      <c r="A3899" s="0" t="s">
        <v>739</v>
      </c>
      <c r="B3899" s="0" t="n">
        <v>20</v>
      </c>
      <c r="C3899" s="0" t="n">
        <v>1.75</v>
      </c>
      <c r="D3899" s="0" t="n">
        <v>0.031</v>
      </c>
    </row>
    <row r="3900" customFormat="false" ht="13.8" hidden="true" customHeight="false" outlineLevel="0" collapsed="false">
      <c r="A3900" s="0" t="s">
        <v>739</v>
      </c>
      <c r="B3900" s="0" t="n">
        <v>20</v>
      </c>
      <c r="C3900" s="0" t="n">
        <v>1.8</v>
      </c>
      <c r="D3900" s="0" t="n">
        <v>0.034</v>
      </c>
    </row>
    <row r="3901" customFormat="false" ht="13.8" hidden="true" customHeight="false" outlineLevel="0" collapsed="false">
      <c r="A3901" s="0" t="s">
        <v>739</v>
      </c>
      <c r="B3901" s="0" t="n">
        <v>20</v>
      </c>
      <c r="C3901" s="0" t="n">
        <v>1.85</v>
      </c>
      <c r="D3901" s="0" t="n">
        <v>0.035</v>
      </c>
    </row>
    <row r="3902" customFormat="false" ht="13.8" hidden="true" customHeight="false" outlineLevel="0" collapsed="false">
      <c r="A3902" s="0" t="s">
        <v>739</v>
      </c>
      <c r="B3902" s="0" t="n">
        <v>20</v>
      </c>
      <c r="C3902" s="0" t="n">
        <v>1.9</v>
      </c>
      <c r="D3902" s="0" t="n">
        <v>0.035</v>
      </c>
    </row>
    <row r="3903" customFormat="false" ht="13.8" hidden="true" customHeight="false" outlineLevel="0" collapsed="false">
      <c r="A3903" s="0" t="s">
        <v>739</v>
      </c>
      <c r="B3903" s="0" t="n">
        <v>20</v>
      </c>
      <c r="C3903" s="0" t="n">
        <v>1.95</v>
      </c>
      <c r="D3903" s="0" t="n">
        <v>0.036</v>
      </c>
    </row>
    <row r="3904" customFormat="false" ht="13.8" hidden="true" customHeight="false" outlineLevel="0" collapsed="false">
      <c r="A3904" s="0" t="s">
        <v>739</v>
      </c>
      <c r="B3904" s="0" t="n">
        <v>20</v>
      </c>
      <c r="C3904" s="0" t="n">
        <v>2</v>
      </c>
      <c r="D3904" s="0" t="n">
        <v>0.038741584</v>
      </c>
    </row>
    <row r="3905" customFormat="false" ht="13.8" hidden="true" customHeight="false" outlineLevel="0" collapsed="false">
      <c r="A3905" s="0" t="s">
        <v>739</v>
      </c>
      <c r="B3905" s="0" t="n">
        <v>20</v>
      </c>
      <c r="C3905" s="0" t="n">
        <v>2.05</v>
      </c>
      <c r="D3905" s="0" t="n">
        <v>0.039710123</v>
      </c>
    </row>
    <row r="3906" customFormat="false" ht="13.8" hidden="true" customHeight="false" outlineLevel="0" collapsed="false">
      <c r="A3906" s="0" t="s">
        <v>739</v>
      </c>
      <c r="B3906" s="0" t="n">
        <v>20</v>
      </c>
      <c r="C3906" s="0" t="n">
        <v>2.1</v>
      </c>
      <c r="D3906" s="0" t="n">
        <v>0.040678663</v>
      </c>
    </row>
    <row r="3907" customFormat="false" ht="13.8" hidden="true" customHeight="false" outlineLevel="0" collapsed="false">
      <c r="A3907" s="0" t="s">
        <v>739</v>
      </c>
      <c r="B3907" s="0" t="n">
        <v>20</v>
      </c>
      <c r="C3907" s="0" t="n">
        <v>2.15</v>
      </c>
      <c r="D3907" s="0" t="n">
        <v>0.041647202</v>
      </c>
    </row>
    <row r="3908" customFormat="false" ht="13.8" hidden="true" customHeight="false" outlineLevel="0" collapsed="false">
      <c r="A3908" s="0" t="s">
        <v>739</v>
      </c>
      <c r="B3908" s="0" t="n">
        <v>20</v>
      </c>
      <c r="C3908" s="0" t="n">
        <v>2.2</v>
      </c>
      <c r="D3908" s="0" t="n">
        <v>0.039873501</v>
      </c>
    </row>
    <row r="3909" customFormat="false" ht="13.8" hidden="true" customHeight="false" outlineLevel="0" collapsed="false">
      <c r="A3909" s="0" t="s">
        <v>739</v>
      </c>
      <c r="B3909" s="0" t="n">
        <v>20</v>
      </c>
      <c r="C3909" s="0" t="n">
        <v>2.25</v>
      </c>
      <c r="D3909" s="0" t="n">
        <v>0.040779717</v>
      </c>
    </row>
    <row r="3910" customFormat="false" ht="13.8" hidden="true" customHeight="false" outlineLevel="0" collapsed="false">
      <c r="A3910" s="0" t="s">
        <v>739</v>
      </c>
      <c r="B3910" s="0" t="n">
        <v>20</v>
      </c>
      <c r="C3910" s="0" t="n">
        <v>2.3</v>
      </c>
      <c r="D3910" s="0" t="n">
        <v>0.041685933</v>
      </c>
    </row>
    <row r="3911" customFormat="false" ht="13.8" hidden="true" customHeight="false" outlineLevel="0" collapsed="false">
      <c r="A3911" s="0" t="s">
        <v>739</v>
      </c>
      <c r="B3911" s="0" t="n">
        <v>20</v>
      </c>
      <c r="C3911" s="0" t="n">
        <v>2.35</v>
      </c>
      <c r="D3911" s="0" t="n">
        <v>0.042592149</v>
      </c>
    </row>
    <row r="3912" customFormat="false" ht="13.8" hidden="true" customHeight="false" outlineLevel="0" collapsed="false">
      <c r="A3912" s="0" t="s">
        <v>739</v>
      </c>
      <c r="B3912" s="0" t="n">
        <v>20</v>
      </c>
      <c r="C3912" s="0" t="n">
        <v>2.4</v>
      </c>
      <c r="D3912" s="0" t="n">
        <v>0.043498365</v>
      </c>
    </row>
    <row r="3913" customFormat="false" ht="13.8" hidden="true" customHeight="false" outlineLevel="0" collapsed="false">
      <c r="A3913" s="0" t="s">
        <v>739</v>
      </c>
      <c r="B3913" s="0" t="n">
        <v>20</v>
      </c>
      <c r="C3913" s="0" t="n">
        <v>2.45</v>
      </c>
      <c r="D3913" s="0" t="n">
        <v>0.044404581</v>
      </c>
    </row>
    <row r="3914" customFormat="false" ht="13.8" hidden="true" customHeight="false" outlineLevel="0" collapsed="false">
      <c r="A3914" s="0" t="s">
        <v>739</v>
      </c>
      <c r="B3914" s="0" t="n">
        <v>20</v>
      </c>
      <c r="C3914" s="0" t="n">
        <v>2.5</v>
      </c>
      <c r="D3914" s="0" t="n">
        <v>0.045310796</v>
      </c>
    </row>
    <row r="3915" customFormat="false" ht="13.8" hidden="true" customHeight="false" outlineLevel="0" collapsed="false">
      <c r="A3915" s="0" t="s">
        <v>739</v>
      </c>
      <c r="B3915" s="0" t="n">
        <v>20</v>
      </c>
      <c r="C3915" s="0" t="n">
        <v>2.55</v>
      </c>
      <c r="D3915" s="0" t="n">
        <v>0.046217012</v>
      </c>
    </row>
    <row r="3916" customFormat="false" ht="13.8" hidden="true" customHeight="false" outlineLevel="0" collapsed="false">
      <c r="A3916" s="0" t="s">
        <v>739</v>
      </c>
      <c r="B3916" s="0" t="n">
        <v>20</v>
      </c>
      <c r="C3916" s="0" t="n">
        <v>2.6</v>
      </c>
      <c r="D3916" s="0" t="n">
        <v>0.047123228</v>
      </c>
    </row>
    <row r="3917" customFormat="false" ht="13.8" hidden="true" customHeight="false" outlineLevel="0" collapsed="false">
      <c r="A3917" s="0" t="s">
        <v>739</v>
      </c>
      <c r="B3917" s="0" t="n">
        <v>21</v>
      </c>
      <c r="C3917" s="0" t="n">
        <v>1.3</v>
      </c>
      <c r="D3917" s="0" t="n">
        <v>0</v>
      </c>
    </row>
    <row r="3918" customFormat="false" ht="13.8" hidden="true" customHeight="false" outlineLevel="0" collapsed="false">
      <c r="A3918" s="0" t="s">
        <v>739</v>
      </c>
      <c r="B3918" s="0" t="n">
        <v>21</v>
      </c>
      <c r="C3918" s="0" t="n">
        <v>1.35</v>
      </c>
      <c r="D3918" s="0" t="n">
        <v>0</v>
      </c>
    </row>
    <row r="3919" customFormat="false" ht="13.8" hidden="true" customHeight="false" outlineLevel="0" collapsed="false">
      <c r="A3919" s="0" t="s">
        <v>739</v>
      </c>
      <c r="B3919" s="0" t="n">
        <v>21</v>
      </c>
      <c r="C3919" s="0" t="n">
        <v>1.4</v>
      </c>
      <c r="D3919" s="0" t="n">
        <v>0</v>
      </c>
    </row>
    <row r="3920" customFormat="false" ht="13.8" hidden="true" customHeight="false" outlineLevel="0" collapsed="false">
      <c r="A3920" s="0" t="s">
        <v>739</v>
      </c>
      <c r="B3920" s="0" t="n">
        <v>21</v>
      </c>
      <c r="C3920" s="0" t="n">
        <v>1.45</v>
      </c>
      <c r="D3920" s="0" t="n">
        <v>0</v>
      </c>
    </row>
    <row r="3921" customFormat="false" ht="13.8" hidden="true" customHeight="false" outlineLevel="0" collapsed="false">
      <c r="A3921" s="0" t="s">
        <v>739</v>
      </c>
      <c r="B3921" s="0" t="n">
        <v>21</v>
      </c>
      <c r="C3921" s="0" t="n">
        <v>1.5</v>
      </c>
      <c r="D3921" s="0" t="n">
        <v>0</v>
      </c>
    </row>
    <row r="3922" customFormat="false" ht="13.8" hidden="true" customHeight="false" outlineLevel="0" collapsed="false">
      <c r="A3922" s="0" t="s">
        <v>739</v>
      </c>
      <c r="B3922" s="0" t="n">
        <v>21</v>
      </c>
      <c r="C3922" s="0" t="n">
        <v>1.55</v>
      </c>
      <c r="D3922" s="0" t="n">
        <v>0</v>
      </c>
    </row>
    <row r="3923" customFormat="false" ht="13.8" hidden="true" customHeight="false" outlineLevel="0" collapsed="false">
      <c r="A3923" s="0" t="s">
        <v>739</v>
      </c>
      <c r="B3923" s="0" t="n">
        <v>21</v>
      </c>
      <c r="C3923" s="0" t="n">
        <v>1.6</v>
      </c>
      <c r="D3923" s="0" t="n">
        <v>0.029</v>
      </c>
    </row>
    <row r="3924" customFormat="false" ht="13.8" hidden="true" customHeight="false" outlineLevel="0" collapsed="false">
      <c r="A3924" s="0" t="s">
        <v>739</v>
      </c>
      <c r="B3924" s="0" t="n">
        <v>21</v>
      </c>
      <c r="C3924" s="0" t="n">
        <v>1.65</v>
      </c>
      <c r="D3924" s="0" t="n">
        <v>0.03</v>
      </c>
    </row>
    <row r="3925" customFormat="false" ht="13.8" hidden="true" customHeight="false" outlineLevel="0" collapsed="false">
      <c r="A3925" s="0" t="s">
        <v>739</v>
      </c>
      <c r="B3925" s="0" t="n">
        <v>21</v>
      </c>
      <c r="C3925" s="0" t="n">
        <v>1.7</v>
      </c>
      <c r="D3925" s="0" t="n">
        <v>0.031</v>
      </c>
    </row>
    <row r="3926" customFormat="false" ht="13.8" hidden="true" customHeight="false" outlineLevel="0" collapsed="false">
      <c r="A3926" s="0" t="s">
        <v>739</v>
      </c>
      <c r="B3926" s="0" t="n">
        <v>21</v>
      </c>
      <c r="C3926" s="0" t="n">
        <v>1.75</v>
      </c>
      <c r="D3926" s="0" t="n">
        <v>0.031</v>
      </c>
    </row>
    <row r="3927" customFormat="false" ht="13.8" hidden="true" customHeight="false" outlineLevel="0" collapsed="false">
      <c r="A3927" s="0" t="s">
        <v>739</v>
      </c>
      <c r="B3927" s="0" t="n">
        <v>21</v>
      </c>
      <c r="C3927" s="0" t="n">
        <v>1.8</v>
      </c>
      <c r="D3927" s="0" t="n">
        <v>0.034</v>
      </c>
    </row>
    <row r="3928" customFormat="false" ht="13.8" hidden="true" customHeight="false" outlineLevel="0" collapsed="false">
      <c r="A3928" s="0" t="s">
        <v>739</v>
      </c>
      <c r="B3928" s="0" t="n">
        <v>21</v>
      </c>
      <c r="C3928" s="0" t="n">
        <v>1.85</v>
      </c>
      <c r="D3928" s="0" t="n">
        <v>0.035</v>
      </c>
    </row>
    <row r="3929" customFormat="false" ht="13.8" hidden="true" customHeight="false" outlineLevel="0" collapsed="false">
      <c r="A3929" s="0" t="s">
        <v>739</v>
      </c>
      <c r="B3929" s="0" t="n">
        <v>21</v>
      </c>
      <c r="C3929" s="0" t="n">
        <v>1.9</v>
      </c>
      <c r="D3929" s="0" t="n">
        <v>0.035</v>
      </c>
    </row>
    <row r="3930" customFormat="false" ht="13.8" hidden="true" customHeight="false" outlineLevel="0" collapsed="false">
      <c r="A3930" s="0" t="s">
        <v>739</v>
      </c>
      <c r="B3930" s="0" t="n">
        <v>21</v>
      </c>
      <c r="C3930" s="0" t="n">
        <v>1.95</v>
      </c>
      <c r="D3930" s="0" t="n">
        <v>0.036</v>
      </c>
    </row>
    <row r="3931" customFormat="false" ht="13.8" hidden="true" customHeight="false" outlineLevel="0" collapsed="false">
      <c r="A3931" s="0" t="s">
        <v>739</v>
      </c>
      <c r="B3931" s="0" t="n">
        <v>21</v>
      </c>
      <c r="C3931" s="0" t="n">
        <v>2</v>
      </c>
      <c r="D3931" s="0" t="n">
        <v>0.038741584</v>
      </c>
    </row>
    <row r="3932" customFormat="false" ht="13.8" hidden="true" customHeight="false" outlineLevel="0" collapsed="false">
      <c r="A3932" s="0" t="s">
        <v>739</v>
      </c>
      <c r="B3932" s="0" t="n">
        <v>21</v>
      </c>
      <c r="C3932" s="0" t="n">
        <v>2.05</v>
      </c>
      <c r="D3932" s="0" t="n">
        <v>0.039710123</v>
      </c>
    </row>
    <row r="3933" customFormat="false" ht="13.8" hidden="true" customHeight="false" outlineLevel="0" collapsed="false">
      <c r="A3933" s="0" t="s">
        <v>739</v>
      </c>
      <c r="B3933" s="0" t="n">
        <v>21</v>
      </c>
      <c r="C3933" s="0" t="n">
        <v>2.1</v>
      </c>
      <c r="D3933" s="0" t="n">
        <v>0.040678663</v>
      </c>
    </row>
    <row r="3934" customFormat="false" ht="13.8" hidden="true" customHeight="false" outlineLevel="0" collapsed="false">
      <c r="A3934" s="0" t="s">
        <v>739</v>
      </c>
      <c r="B3934" s="0" t="n">
        <v>21</v>
      </c>
      <c r="C3934" s="0" t="n">
        <v>2.15</v>
      </c>
      <c r="D3934" s="0" t="n">
        <v>0.041647202</v>
      </c>
    </row>
    <row r="3935" customFormat="false" ht="13.8" hidden="true" customHeight="false" outlineLevel="0" collapsed="false">
      <c r="A3935" s="0" t="s">
        <v>739</v>
      </c>
      <c r="B3935" s="0" t="n">
        <v>21</v>
      </c>
      <c r="C3935" s="0" t="n">
        <v>2.2</v>
      </c>
      <c r="D3935" s="0" t="n">
        <v>0.039873501</v>
      </c>
    </row>
    <row r="3936" customFormat="false" ht="13.8" hidden="true" customHeight="false" outlineLevel="0" collapsed="false">
      <c r="A3936" s="0" t="s">
        <v>739</v>
      </c>
      <c r="B3936" s="0" t="n">
        <v>21</v>
      </c>
      <c r="C3936" s="0" t="n">
        <v>2.25</v>
      </c>
      <c r="D3936" s="0" t="n">
        <v>0.040779717</v>
      </c>
    </row>
    <row r="3937" customFormat="false" ht="13.8" hidden="true" customHeight="false" outlineLevel="0" collapsed="false">
      <c r="A3937" s="0" t="s">
        <v>739</v>
      </c>
      <c r="B3937" s="0" t="n">
        <v>21</v>
      </c>
      <c r="C3937" s="0" t="n">
        <v>2.3</v>
      </c>
      <c r="D3937" s="0" t="n">
        <v>0.041685933</v>
      </c>
    </row>
    <row r="3938" customFormat="false" ht="13.8" hidden="true" customHeight="false" outlineLevel="0" collapsed="false">
      <c r="A3938" s="0" t="s">
        <v>739</v>
      </c>
      <c r="B3938" s="0" t="n">
        <v>21</v>
      </c>
      <c r="C3938" s="0" t="n">
        <v>2.35</v>
      </c>
      <c r="D3938" s="0" t="n">
        <v>0.042592149</v>
      </c>
    </row>
    <row r="3939" customFormat="false" ht="13.8" hidden="true" customHeight="false" outlineLevel="0" collapsed="false">
      <c r="A3939" s="0" t="s">
        <v>739</v>
      </c>
      <c r="B3939" s="0" t="n">
        <v>21</v>
      </c>
      <c r="C3939" s="0" t="n">
        <v>2.4</v>
      </c>
      <c r="D3939" s="0" t="n">
        <v>0.043498365</v>
      </c>
    </row>
    <row r="3940" customFormat="false" ht="13.8" hidden="true" customHeight="false" outlineLevel="0" collapsed="false">
      <c r="A3940" s="0" t="s">
        <v>739</v>
      </c>
      <c r="B3940" s="0" t="n">
        <v>21</v>
      </c>
      <c r="C3940" s="0" t="n">
        <v>2.45</v>
      </c>
      <c r="D3940" s="0" t="n">
        <v>0.044404581</v>
      </c>
    </row>
    <row r="3941" customFormat="false" ht="13.8" hidden="true" customHeight="false" outlineLevel="0" collapsed="false">
      <c r="A3941" s="0" t="s">
        <v>739</v>
      </c>
      <c r="B3941" s="0" t="n">
        <v>21</v>
      </c>
      <c r="C3941" s="0" t="n">
        <v>2.5</v>
      </c>
      <c r="D3941" s="0" t="n">
        <v>0.045310796</v>
      </c>
    </row>
    <row r="3942" customFormat="false" ht="13.8" hidden="true" customHeight="false" outlineLevel="0" collapsed="false">
      <c r="A3942" s="0" t="s">
        <v>739</v>
      </c>
      <c r="B3942" s="0" t="n">
        <v>21</v>
      </c>
      <c r="C3942" s="0" t="n">
        <v>2.55</v>
      </c>
      <c r="D3942" s="0" t="n">
        <v>0.046217012</v>
      </c>
    </row>
    <row r="3943" customFormat="false" ht="13.8" hidden="true" customHeight="false" outlineLevel="0" collapsed="false">
      <c r="A3943" s="0" t="s">
        <v>739</v>
      </c>
      <c r="B3943" s="0" t="n">
        <v>21</v>
      </c>
      <c r="C3943" s="0" t="n">
        <v>2.6</v>
      </c>
      <c r="D3943" s="0" t="n">
        <v>0.047123228</v>
      </c>
    </row>
    <row r="3944" customFormat="false" ht="13.8" hidden="true" customHeight="false" outlineLevel="0" collapsed="false">
      <c r="A3944" s="0" t="s">
        <v>742</v>
      </c>
      <c r="B3944" s="0" t="n">
        <v>16</v>
      </c>
      <c r="C3944" s="0" t="n">
        <v>1.3</v>
      </c>
      <c r="D3944" s="0" t="n">
        <v>0</v>
      </c>
    </row>
    <row r="3945" customFormat="false" ht="13.8" hidden="true" customHeight="false" outlineLevel="0" collapsed="false">
      <c r="A3945" s="0" t="s">
        <v>742</v>
      </c>
      <c r="B3945" s="0" t="n">
        <v>16</v>
      </c>
      <c r="C3945" s="0" t="n">
        <v>1.35</v>
      </c>
      <c r="D3945" s="0" t="n">
        <v>0</v>
      </c>
    </row>
    <row r="3946" customFormat="false" ht="13.8" hidden="true" customHeight="false" outlineLevel="0" collapsed="false">
      <c r="A3946" s="0" t="s">
        <v>742</v>
      </c>
      <c r="B3946" s="0" t="n">
        <v>16</v>
      </c>
      <c r="C3946" s="0" t="n">
        <v>1.4</v>
      </c>
      <c r="D3946" s="0" t="n">
        <v>0</v>
      </c>
    </row>
    <row r="3947" customFormat="false" ht="13.8" hidden="true" customHeight="false" outlineLevel="0" collapsed="false">
      <c r="A3947" s="0" t="s">
        <v>742</v>
      </c>
      <c r="B3947" s="0" t="n">
        <v>16</v>
      </c>
      <c r="C3947" s="0" t="n">
        <v>1.45</v>
      </c>
      <c r="D3947" s="0" t="n">
        <v>0</v>
      </c>
    </row>
    <row r="3948" customFormat="false" ht="13.8" hidden="true" customHeight="false" outlineLevel="0" collapsed="false">
      <c r="A3948" s="0" t="s">
        <v>742</v>
      </c>
      <c r="B3948" s="0" t="n">
        <v>16</v>
      </c>
      <c r="C3948" s="0" t="n">
        <v>1.5</v>
      </c>
      <c r="D3948" s="0" t="n">
        <v>0</v>
      </c>
    </row>
    <row r="3949" customFormat="false" ht="13.8" hidden="true" customHeight="false" outlineLevel="0" collapsed="false">
      <c r="A3949" s="0" t="s">
        <v>742</v>
      </c>
      <c r="B3949" s="0" t="n">
        <v>16</v>
      </c>
      <c r="C3949" s="0" t="n">
        <v>1.55</v>
      </c>
      <c r="D3949" s="0" t="n">
        <v>0</v>
      </c>
    </row>
    <row r="3950" customFormat="false" ht="13.8" hidden="true" customHeight="false" outlineLevel="0" collapsed="false">
      <c r="A3950" s="0" t="s">
        <v>742</v>
      </c>
      <c r="B3950" s="0" t="n">
        <v>16</v>
      </c>
      <c r="C3950" s="0" t="n">
        <v>1.6</v>
      </c>
      <c r="D3950" s="0" t="n">
        <v>0.029</v>
      </c>
    </row>
    <row r="3951" customFormat="false" ht="13.8" hidden="true" customHeight="false" outlineLevel="0" collapsed="false">
      <c r="A3951" s="0" t="s">
        <v>742</v>
      </c>
      <c r="B3951" s="0" t="n">
        <v>16</v>
      </c>
      <c r="C3951" s="0" t="n">
        <v>1.65</v>
      </c>
      <c r="D3951" s="0" t="n">
        <v>0.03</v>
      </c>
    </row>
    <row r="3952" customFormat="false" ht="13.8" hidden="true" customHeight="false" outlineLevel="0" collapsed="false">
      <c r="A3952" s="0" t="s">
        <v>742</v>
      </c>
      <c r="B3952" s="0" t="n">
        <v>16</v>
      </c>
      <c r="C3952" s="0" t="n">
        <v>1.7</v>
      </c>
      <c r="D3952" s="0" t="n">
        <v>0.031</v>
      </c>
    </row>
    <row r="3953" customFormat="false" ht="13.8" hidden="true" customHeight="false" outlineLevel="0" collapsed="false">
      <c r="A3953" s="0" t="s">
        <v>742</v>
      </c>
      <c r="B3953" s="0" t="n">
        <v>16</v>
      </c>
      <c r="C3953" s="0" t="n">
        <v>1.75</v>
      </c>
      <c r="D3953" s="0" t="n">
        <v>0.031</v>
      </c>
    </row>
    <row r="3954" customFormat="false" ht="13.8" hidden="true" customHeight="false" outlineLevel="0" collapsed="false">
      <c r="A3954" s="0" t="s">
        <v>742</v>
      </c>
      <c r="B3954" s="0" t="n">
        <v>16</v>
      </c>
      <c r="C3954" s="0" t="n">
        <v>1.8</v>
      </c>
      <c r="D3954" s="0" t="n">
        <v>0.034</v>
      </c>
    </row>
    <row r="3955" customFormat="false" ht="13.8" hidden="true" customHeight="false" outlineLevel="0" collapsed="false">
      <c r="A3955" s="0" t="s">
        <v>742</v>
      </c>
      <c r="B3955" s="0" t="n">
        <v>16</v>
      </c>
      <c r="C3955" s="0" t="n">
        <v>1.85</v>
      </c>
      <c r="D3955" s="0" t="n">
        <v>0.035</v>
      </c>
    </row>
    <row r="3956" customFormat="false" ht="13.8" hidden="true" customHeight="false" outlineLevel="0" collapsed="false">
      <c r="A3956" s="0" t="s">
        <v>742</v>
      </c>
      <c r="B3956" s="0" t="n">
        <v>16</v>
      </c>
      <c r="C3956" s="0" t="n">
        <v>1.9</v>
      </c>
      <c r="D3956" s="0" t="n">
        <v>0.035</v>
      </c>
    </row>
    <row r="3957" customFormat="false" ht="13.8" hidden="true" customHeight="false" outlineLevel="0" collapsed="false">
      <c r="A3957" s="0" t="s">
        <v>742</v>
      </c>
      <c r="B3957" s="0" t="n">
        <v>16</v>
      </c>
      <c r="C3957" s="0" t="n">
        <v>1.95</v>
      </c>
      <c r="D3957" s="0" t="n">
        <v>0.036</v>
      </c>
    </row>
    <row r="3958" customFormat="false" ht="13.8" hidden="true" customHeight="false" outlineLevel="0" collapsed="false">
      <c r="A3958" s="0" t="s">
        <v>742</v>
      </c>
      <c r="B3958" s="0" t="n">
        <v>16</v>
      </c>
      <c r="C3958" s="0" t="n">
        <v>2</v>
      </c>
      <c r="D3958" s="0" t="n">
        <v>0.038741584</v>
      </c>
    </row>
    <row r="3959" customFormat="false" ht="13.8" hidden="true" customHeight="false" outlineLevel="0" collapsed="false">
      <c r="A3959" s="0" t="s">
        <v>742</v>
      </c>
      <c r="B3959" s="0" t="n">
        <v>16</v>
      </c>
      <c r="C3959" s="0" t="n">
        <v>2.05</v>
      </c>
      <c r="D3959" s="0" t="n">
        <v>0.039710123</v>
      </c>
    </row>
    <row r="3960" customFormat="false" ht="13.8" hidden="true" customHeight="false" outlineLevel="0" collapsed="false">
      <c r="A3960" s="0" t="s">
        <v>742</v>
      </c>
      <c r="B3960" s="0" t="n">
        <v>16</v>
      </c>
      <c r="C3960" s="0" t="n">
        <v>2.1</v>
      </c>
      <c r="D3960" s="0" t="n">
        <v>0.040678663</v>
      </c>
    </row>
    <row r="3961" customFormat="false" ht="13.8" hidden="true" customHeight="false" outlineLevel="0" collapsed="false">
      <c r="A3961" s="0" t="s">
        <v>742</v>
      </c>
      <c r="B3961" s="0" t="n">
        <v>16</v>
      </c>
      <c r="C3961" s="0" t="n">
        <v>2.15</v>
      </c>
      <c r="D3961" s="0" t="n">
        <v>0.041647202</v>
      </c>
    </row>
    <row r="3962" customFormat="false" ht="13.8" hidden="true" customHeight="false" outlineLevel="0" collapsed="false">
      <c r="A3962" s="0" t="s">
        <v>742</v>
      </c>
      <c r="B3962" s="0" t="n">
        <v>16</v>
      </c>
      <c r="C3962" s="0" t="n">
        <v>2.2</v>
      </c>
      <c r="D3962" s="0" t="n">
        <v>0.039873501</v>
      </c>
    </row>
    <row r="3963" customFormat="false" ht="13.8" hidden="true" customHeight="false" outlineLevel="0" collapsed="false">
      <c r="A3963" s="0" t="s">
        <v>742</v>
      </c>
      <c r="B3963" s="0" t="n">
        <v>16</v>
      </c>
      <c r="C3963" s="0" t="n">
        <v>2.25</v>
      </c>
      <c r="D3963" s="0" t="n">
        <v>0.040779717</v>
      </c>
    </row>
    <row r="3964" customFormat="false" ht="13.8" hidden="true" customHeight="false" outlineLevel="0" collapsed="false">
      <c r="A3964" s="0" t="s">
        <v>742</v>
      </c>
      <c r="B3964" s="0" t="n">
        <v>16</v>
      </c>
      <c r="C3964" s="0" t="n">
        <v>2.3</v>
      </c>
      <c r="D3964" s="0" t="n">
        <v>0.041685933</v>
      </c>
    </row>
    <row r="3965" customFormat="false" ht="13.8" hidden="true" customHeight="false" outlineLevel="0" collapsed="false">
      <c r="A3965" s="0" t="s">
        <v>742</v>
      </c>
      <c r="B3965" s="0" t="n">
        <v>16</v>
      </c>
      <c r="C3965" s="0" t="n">
        <v>2.35</v>
      </c>
      <c r="D3965" s="0" t="n">
        <v>0.042592149</v>
      </c>
    </row>
    <row r="3966" customFormat="false" ht="13.8" hidden="true" customHeight="false" outlineLevel="0" collapsed="false">
      <c r="A3966" s="0" t="s">
        <v>742</v>
      </c>
      <c r="B3966" s="0" t="n">
        <v>16</v>
      </c>
      <c r="C3966" s="0" t="n">
        <v>2.4</v>
      </c>
      <c r="D3966" s="0" t="n">
        <v>0.043498365</v>
      </c>
    </row>
    <row r="3967" customFormat="false" ht="13.8" hidden="true" customHeight="false" outlineLevel="0" collapsed="false">
      <c r="A3967" s="0" t="s">
        <v>742</v>
      </c>
      <c r="B3967" s="0" t="n">
        <v>16</v>
      </c>
      <c r="C3967" s="0" t="n">
        <v>2.45</v>
      </c>
      <c r="D3967" s="0" t="n">
        <v>0.044404581</v>
      </c>
    </row>
    <row r="3968" customFormat="false" ht="13.8" hidden="true" customHeight="false" outlineLevel="0" collapsed="false">
      <c r="A3968" s="0" t="s">
        <v>742</v>
      </c>
      <c r="B3968" s="0" t="n">
        <v>16</v>
      </c>
      <c r="C3968" s="0" t="n">
        <v>2.5</v>
      </c>
      <c r="D3968" s="0" t="n">
        <v>0.045310796</v>
      </c>
    </row>
    <row r="3969" customFormat="false" ht="13.8" hidden="true" customHeight="false" outlineLevel="0" collapsed="false">
      <c r="A3969" s="0" t="s">
        <v>742</v>
      </c>
      <c r="B3969" s="0" t="n">
        <v>16</v>
      </c>
      <c r="C3969" s="0" t="n">
        <v>2.55</v>
      </c>
      <c r="D3969" s="0" t="n">
        <v>0.046217012</v>
      </c>
    </row>
    <row r="3970" customFormat="false" ht="13.8" hidden="true" customHeight="false" outlineLevel="0" collapsed="false">
      <c r="A3970" s="0" t="s">
        <v>742</v>
      </c>
      <c r="B3970" s="0" t="n">
        <v>16</v>
      </c>
      <c r="C3970" s="0" t="n">
        <v>2.6</v>
      </c>
      <c r="D3970" s="0" t="n">
        <v>0.047123228</v>
      </c>
    </row>
    <row r="3971" customFormat="false" ht="13.8" hidden="true" customHeight="false" outlineLevel="0" collapsed="false">
      <c r="A3971" s="0" t="s">
        <v>742</v>
      </c>
      <c r="B3971" s="0" t="n">
        <v>17</v>
      </c>
      <c r="C3971" s="0" t="n">
        <v>1.3</v>
      </c>
      <c r="D3971" s="0" t="n">
        <v>0</v>
      </c>
    </row>
    <row r="3972" customFormat="false" ht="13.8" hidden="true" customHeight="false" outlineLevel="0" collapsed="false">
      <c r="A3972" s="0" t="s">
        <v>742</v>
      </c>
      <c r="B3972" s="0" t="n">
        <v>17</v>
      </c>
      <c r="C3972" s="0" t="n">
        <v>1.35</v>
      </c>
      <c r="D3972" s="0" t="n">
        <v>0</v>
      </c>
    </row>
    <row r="3973" customFormat="false" ht="13.8" hidden="true" customHeight="false" outlineLevel="0" collapsed="false">
      <c r="A3973" s="0" t="s">
        <v>742</v>
      </c>
      <c r="B3973" s="0" t="n">
        <v>17</v>
      </c>
      <c r="C3973" s="0" t="n">
        <v>1.4</v>
      </c>
      <c r="D3973" s="0" t="n">
        <v>0</v>
      </c>
    </row>
    <row r="3974" customFormat="false" ht="13.8" hidden="true" customHeight="false" outlineLevel="0" collapsed="false">
      <c r="A3974" s="0" t="s">
        <v>742</v>
      </c>
      <c r="B3974" s="0" t="n">
        <v>17</v>
      </c>
      <c r="C3974" s="0" t="n">
        <v>1.45</v>
      </c>
      <c r="D3974" s="0" t="n">
        <v>0</v>
      </c>
    </row>
    <row r="3975" customFormat="false" ht="13.8" hidden="true" customHeight="false" outlineLevel="0" collapsed="false">
      <c r="A3975" s="0" t="s">
        <v>742</v>
      </c>
      <c r="B3975" s="0" t="n">
        <v>17</v>
      </c>
      <c r="C3975" s="0" t="n">
        <v>1.5</v>
      </c>
      <c r="D3975" s="0" t="n">
        <v>0</v>
      </c>
    </row>
    <row r="3976" customFormat="false" ht="13.8" hidden="true" customHeight="false" outlineLevel="0" collapsed="false">
      <c r="A3976" s="0" t="s">
        <v>742</v>
      </c>
      <c r="B3976" s="0" t="n">
        <v>17</v>
      </c>
      <c r="C3976" s="0" t="n">
        <v>1.55</v>
      </c>
      <c r="D3976" s="0" t="n">
        <v>0</v>
      </c>
    </row>
    <row r="3977" customFormat="false" ht="13.8" hidden="true" customHeight="false" outlineLevel="0" collapsed="false">
      <c r="A3977" s="0" t="s">
        <v>742</v>
      </c>
      <c r="B3977" s="0" t="n">
        <v>17</v>
      </c>
      <c r="C3977" s="0" t="n">
        <v>1.6</v>
      </c>
      <c r="D3977" s="0" t="n">
        <v>0.029</v>
      </c>
    </row>
    <row r="3978" customFormat="false" ht="13.8" hidden="true" customHeight="false" outlineLevel="0" collapsed="false">
      <c r="A3978" s="0" t="s">
        <v>742</v>
      </c>
      <c r="B3978" s="0" t="n">
        <v>17</v>
      </c>
      <c r="C3978" s="0" t="n">
        <v>1.65</v>
      </c>
      <c r="D3978" s="0" t="n">
        <v>0.03</v>
      </c>
    </row>
    <row r="3979" customFormat="false" ht="13.8" hidden="true" customHeight="false" outlineLevel="0" collapsed="false">
      <c r="A3979" s="0" t="s">
        <v>742</v>
      </c>
      <c r="B3979" s="0" t="n">
        <v>17</v>
      </c>
      <c r="C3979" s="0" t="n">
        <v>1.7</v>
      </c>
      <c r="D3979" s="0" t="n">
        <v>0.031</v>
      </c>
    </row>
    <row r="3980" customFormat="false" ht="13.8" hidden="true" customHeight="false" outlineLevel="0" collapsed="false">
      <c r="A3980" s="0" t="s">
        <v>742</v>
      </c>
      <c r="B3980" s="0" t="n">
        <v>17</v>
      </c>
      <c r="C3980" s="0" t="n">
        <v>1.75</v>
      </c>
      <c r="D3980" s="0" t="n">
        <v>0.031</v>
      </c>
    </row>
    <row r="3981" customFormat="false" ht="13.8" hidden="true" customHeight="false" outlineLevel="0" collapsed="false">
      <c r="A3981" s="0" t="s">
        <v>742</v>
      </c>
      <c r="B3981" s="0" t="n">
        <v>17</v>
      </c>
      <c r="C3981" s="0" t="n">
        <v>1.8</v>
      </c>
      <c r="D3981" s="0" t="n">
        <v>0.034</v>
      </c>
    </row>
    <row r="3982" customFormat="false" ht="13.8" hidden="true" customHeight="false" outlineLevel="0" collapsed="false">
      <c r="A3982" s="0" t="s">
        <v>742</v>
      </c>
      <c r="B3982" s="0" t="n">
        <v>17</v>
      </c>
      <c r="C3982" s="0" t="n">
        <v>1.85</v>
      </c>
      <c r="D3982" s="0" t="n">
        <v>0.035</v>
      </c>
    </row>
    <row r="3983" customFormat="false" ht="13.8" hidden="true" customHeight="false" outlineLevel="0" collapsed="false">
      <c r="A3983" s="0" t="s">
        <v>742</v>
      </c>
      <c r="B3983" s="0" t="n">
        <v>17</v>
      </c>
      <c r="C3983" s="0" t="n">
        <v>1.9</v>
      </c>
      <c r="D3983" s="0" t="n">
        <v>0.035</v>
      </c>
    </row>
    <row r="3984" customFormat="false" ht="13.8" hidden="true" customHeight="false" outlineLevel="0" collapsed="false">
      <c r="A3984" s="0" t="s">
        <v>742</v>
      </c>
      <c r="B3984" s="0" t="n">
        <v>17</v>
      </c>
      <c r="C3984" s="0" t="n">
        <v>1.95</v>
      </c>
      <c r="D3984" s="0" t="n">
        <v>0.036</v>
      </c>
    </row>
    <row r="3985" customFormat="false" ht="13.8" hidden="true" customHeight="false" outlineLevel="0" collapsed="false">
      <c r="A3985" s="0" t="s">
        <v>742</v>
      </c>
      <c r="B3985" s="0" t="n">
        <v>17</v>
      </c>
      <c r="C3985" s="0" t="n">
        <v>2</v>
      </c>
      <c r="D3985" s="0" t="n">
        <v>0.038741584</v>
      </c>
    </row>
    <row r="3986" customFormat="false" ht="13.8" hidden="true" customHeight="false" outlineLevel="0" collapsed="false">
      <c r="A3986" s="0" t="s">
        <v>742</v>
      </c>
      <c r="B3986" s="0" t="n">
        <v>17</v>
      </c>
      <c r="C3986" s="0" t="n">
        <v>2.05</v>
      </c>
      <c r="D3986" s="0" t="n">
        <v>0.039710123</v>
      </c>
    </row>
    <row r="3987" customFormat="false" ht="13.8" hidden="true" customHeight="false" outlineLevel="0" collapsed="false">
      <c r="A3987" s="0" t="s">
        <v>742</v>
      </c>
      <c r="B3987" s="0" t="n">
        <v>17</v>
      </c>
      <c r="C3987" s="0" t="n">
        <v>2.1</v>
      </c>
      <c r="D3987" s="0" t="n">
        <v>0.040678663</v>
      </c>
    </row>
    <row r="3988" customFormat="false" ht="13.8" hidden="true" customHeight="false" outlineLevel="0" collapsed="false">
      <c r="A3988" s="0" t="s">
        <v>742</v>
      </c>
      <c r="B3988" s="0" t="n">
        <v>17</v>
      </c>
      <c r="C3988" s="0" t="n">
        <v>2.15</v>
      </c>
      <c r="D3988" s="0" t="n">
        <v>0.041647202</v>
      </c>
    </row>
    <row r="3989" customFormat="false" ht="13.8" hidden="true" customHeight="false" outlineLevel="0" collapsed="false">
      <c r="A3989" s="0" t="s">
        <v>742</v>
      </c>
      <c r="B3989" s="0" t="n">
        <v>17</v>
      </c>
      <c r="C3989" s="0" t="n">
        <v>2.2</v>
      </c>
      <c r="D3989" s="0" t="n">
        <v>0.039873501</v>
      </c>
    </row>
    <row r="3990" customFormat="false" ht="13.8" hidden="true" customHeight="false" outlineLevel="0" collapsed="false">
      <c r="A3990" s="0" t="s">
        <v>742</v>
      </c>
      <c r="B3990" s="0" t="n">
        <v>17</v>
      </c>
      <c r="C3990" s="0" t="n">
        <v>2.25</v>
      </c>
      <c r="D3990" s="0" t="n">
        <v>0.040779717</v>
      </c>
    </row>
    <row r="3991" customFormat="false" ht="13.8" hidden="true" customHeight="false" outlineLevel="0" collapsed="false">
      <c r="A3991" s="0" t="s">
        <v>742</v>
      </c>
      <c r="B3991" s="0" t="n">
        <v>17</v>
      </c>
      <c r="C3991" s="0" t="n">
        <v>2.3</v>
      </c>
      <c r="D3991" s="0" t="n">
        <v>0.041685933</v>
      </c>
    </row>
    <row r="3992" customFormat="false" ht="13.8" hidden="true" customHeight="false" outlineLevel="0" collapsed="false">
      <c r="A3992" s="0" t="s">
        <v>742</v>
      </c>
      <c r="B3992" s="0" t="n">
        <v>17</v>
      </c>
      <c r="C3992" s="0" t="n">
        <v>2.35</v>
      </c>
      <c r="D3992" s="0" t="n">
        <v>0.042592149</v>
      </c>
    </row>
    <row r="3993" customFormat="false" ht="13.8" hidden="true" customHeight="false" outlineLevel="0" collapsed="false">
      <c r="A3993" s="0" t="s">
        <v>742</v>
      </c>
      <c r="B3993" s="0" t="n">
        <v>17</v>
      </c>
      <c r="C3993" s="0" t="n">
        <v>2.4</v>
      </c>
      <c r="D3993" s="0" t="n">
        <v>0.043498365</v>
      </c>
    </row>
    <row r="3994" customFormat="false" ht="13.8" hidden="true" customHeight="false" outlineLevel="0" collapsed="false">
      <c r="A3994" s="0" t="s">
        <v>742</v>
      </c>
      <c r="B3994" s="0" t="n">
        <v>17</v>
      </c>
      <c r="C3994" s="0" t="n">
        <v>2.45</v>
      </c>
      <c r="D3994" s="0" t="n">
        <v>0.044404581</v>
      </c>
    </row>
    <row r="3995" customFormat="false" ht="13.8" hidden="true" customHeight="false" outlineLevel="0" collapsed="false">
      <c r="A3995" s="0" t="s">
        <v>742</v>
      </c>
      <c r="B3995" s="0" t="n">
        <v>17</v>
      </c>
      <c r="C3995" s="0" t="n">
        <v>2.5</v>
      </c>
      <c r="D3995" s="0" t="n">
        <v>0.045310796</v>
      </c>
    </row>
    <row r="3996" customFormat="false" ht="13.8" hidden="true" customHeight="false" outlineLevel="0" collapsed="false">
      <c r="A3996" s="0" t="s">
        <v>742</v>
      </c>
      <c r="B3996" s="0" t="n">
        <v>17</v>
      </c>
      <c r="C3996" s="0" t="n">
        <v>2.55</v>
      </c>
      <c r="D3996" s="0" t="n">
        <v>0.046217012</v>
      </c>
    </row>
    <row r="3997" customFormat="false" ht="13.8" hidden="true" customHeight="false" outlineLevel="0" collapsed="false">
      <c r="A3997" s="0" t="s">
        <v>742</v>
      </c>
      <c r="B3997" s="0" t="n">
        <v>17</v>
      </c>
      <c r="C3997" s="0" t="n">
        <v>2.6</v>
      </c>
      <c r="D3997" s="0" t="n">
        <v>0.047123228</v>
      </c>
    </row>
    <row r="3998" customFormat="false" ht="13.8" hidden="true" customHeight="false" outlineLevel="0" collapsed="false">
      <c r="A3998" s="0" t="s">
        <v>742</v>
      </c>
      <c r="B3998" s="0" t="n">
        <v>18</v>
      </c>
      <c r="C3998" s="0" t="n">
        <v>1.3</v>
      </c>
      <c r="D3998" s="0" t="n">
        <v>0</v>
      </c>
    </row>
    <row r="3999" customFormat="false" ht="13.8" hidden="true" customHeight="false" outlineLevel="0" collapsed="false">
      <c r="A3999" s="0" t="s">
        <v>742</v>
      </c>
      <c r="B3999" s="0" t="n">
        <v>18</v>
      </c>
      <c r="C3999" s="0" t="n">
        <v>1.35</v>
      </c>
      <c r="D3999" s="0" t="n">
        <v>0</v>
      </c>
    </row>
    <row r="4000" customFormat="false" ht="13.8" hidden="true" customHeight="false" outlineLevel="0" collapsed="false">
      <c r="A4000" s="0" t="s">
        <v>742</v>
      </c>
      <c r="B4000" s="0" t="n">
        <v>18</v>
      </c>
      <c r="C4000" s="0" t="n">
        <v>1.4</v>
      </c>
      <c r="D4000" s="0" t="n">
        <v>0</v>
      </c>
    </row>
    <row r="4001" customFormat="false" ht="13.8" hidden="true" customHeight="false" outlineLevel="0" collapsed="false">
      <c r="A4001" s="0" t="s">
        <v>742</v>
      </c>
      <c r="B4001" s="0" t="n">
        <v>18</v>
      </c>
      <c r="C4001" s="0" t="n">
        <v>1.45</v>
      </c>
      <c r="D4001" s="0" t="n">
        <v>0</v>
      </c>
    </row>
    <row r="4002" customFormat="false" ht="13.8" hidden="true" customHeight="false" outlineLevel="0" collapsed="false">
      <c r="A4002" s="0" t="s">
        <v>742</v>
      </c>
      <c r="B4002" s="0" t="n">
        <v>18</v>
      </c>
      <c r="C4002" s="0" t="n">
        <v>1.5</v>
      </c>
      <c r="D4002" s="0" t="n">
        <v>0</v>
      </c>
    </row>
    <row r="4003" customFormat="false" ht="13.8" hidden="true" customHeight="false" outlineLevel="0" collapsed="false">
      <c r="A4003" s="0" t="s">
        <v>742</v>
      </c>
      <c r="B4003" s="0" t="n">
        <v>18</v>
      </c>
      <c r="C4003" s="0" t="n">
        <v>1.55</v>
      </c>
      <c r="D4003" s="0" t="n">
        <v>0</v>
      </c>
    </row>
    <row r="4004" customFormat="false" ht="13.8" hidden="true" customHeight="false" outlineLevel="0" collapsed="false">
      <c r="A4004" s="0" t="s">
        <v>742</v>
      </c>
      <c r="B4004" s="0" t="n">
        <v>18</v>
      </c>
      <c r="C4004" s="0" t="n">
        <v>1.6</v>
      </c>
      <c r="D4004" s="0" t="n">
        <v>0.029</v>
      </c>
    </row>
    <row r="4005" customFormat="false" ht="13.8" hidden="true" customHeight="false" outlineLevel="0" collapsed="false">
      <c r="A4005" s="0" t="s">
        <v>742</v>
      </c>
      <c r="B4005" s="0" t="n">
        <v>18</v>
      </c>
      <c r="C4005" s="0" t="n">
        <v>1.65</v>
      </c>
      <c r="D4005" s="0" t="n">
        <v>0.03</v>
      </c>
    </row>
    <row r="4006" customFormat="false" ht="13.8" hidden="true" customHeight="false" outlineLevel="0" collapsed="false">
      <c r="A4006" s="0" t="s">
        <v>742</v>
      </c>
      <c r="B4006" s="0" t="n">
        <v>18</v>
      </c>
      <c r="C4006" s="0" t="n">
        <v>1.7</v>
      </c>
      <c r="D4006" s="0" t="n">
        <v>0.031</v>
      </c>
    </row>
    <row r="4007" customFormat="false" ht="13.8" hidden="true" customHeight="false" outlineLevel="0" collapsed="false">
      <c r="A4007" s="0" t="s">
        <v>742</v>
      </c>
      <c r="B4007" s="0" t="n">
        <v>18</v>
      </c>
      <c r="C4007" s="0" t="n">
        <v>1.75</v>
      </c>
      <c r="D4007" s="0" t="n">
        <v>0.031</v>
      </c>
    </row>
    <row r="4008" customFormat="false" ht="13.8" hidden="true" customHeight="false" outlineLevel="0" collapsed="false">
      <c r="A4008" s="0" t="s">
        <v>742</v>
      </c>
      <c r="B4008" s="0" t="n">
        <v>18</v>
      </c>
      <c r="C4008" s="0" t="n">
        <v>1.8</v>
      </c>
      <c r="D4008" s="0" t="n">
        <v>0.034</v>
      </c>
    </row>
    <row r="4009" customFormat="false" ht="13.8" hidden="true" customHeight="false" outlineLevel="0" collapsed="false">
      <c r="A4009" s="0" t="s">
        <v>742</v>
      </c>
      <c r="B4009" s="0" t="n">
        <v>18</v>
      </c>
      <c r="C4009" s="0" t="n">
        <v>1.85</v>
      </c>
      <c r="D4009" s="0" t="n">
        <v>0.035</v>
      </c>
    </row>
    <row r="4010" customFormat="false" ht="13.8" hidden="true" customHeight="false" outlineLevel="0" collapsed="false">
      <c r="A4010" s="0" t="s">
        <v>742</v>
      </c>
      <c r="B4010" s="0" t="n">
        <v>18</v>
      </c>
      <c r="C4010" s="0" t="n">
        <v>1.9</v>
      </c>
      <c r="D4010" s="0" t="n">
        <v>0.035</v>
      </c>
    </row>
    <row r="4011" customFormat="false" ht="13.8" hidden="true" customHeight="false" outlineLevel="0" collapsed="false">
      <c r="A4011" s="0" t="s">
        <v>742</v>
      </c>
      <c r="B4011" s="0" t="n">
        <v>18</v>
      </c>
      <c r="C4011" s="0" t="n">
        <v>1.95</v>
      </c>
      <c r="D4011" s="0" t="n">
        <v>0.036</v>
      </c>
    </row>
    <row r="4012" customFormat="false" ht="13.8" hidden="true" customHeight="false" outlineLevel="0" collapsed="false">
      <c r="A4012" s="0" t="s">
        <v>742</v>
      </c>
      <c r="B4012" s="0" t="n">
        <v>18</v>
      </c>
      <c r="C4012" s="0" t="n">
        <v>2</v>
      </c>
      <c r="D4012" s="0" t="n">
        <v>0.038741584</v>
      </c>
    </row>
    <row r="4013" customFormat="false" ht="13.8" hidden="true" customHeight="false" outlineLevel="0" collapsed="false">
      <c r="A4013" s="0" t="s">
        <v>742</v>
      </c>
      <c r="B4013" s="0" t="n">
        <v>18</v>
      </c>
      <c r="C4013" s="0" t="n">
        <v>2.05</v>
      </c>
      <c r="D4013" s="0" t="n">
        <v>0.039710123</v>
      </c>
    </row>
    <row r="4014" customFormat="false" ht="13.8" hidden="true" customHeight="false" outlineLevel="0" collapsed="false">
      <c r="A4014" s="0" t="s">
        <v>742</v>
      </c>
      <c r="B4014" s="0" t="n">
        <v>18</v>
      </c>
      <c r="C4014" s="0" t="n">
        <v>2.1</v>
      </c>
      <c r="D4014" s="0" t="n">
        <v>0.040678663</v>
      </c>
    </row>
    <row r="4015" customFormat="false" ht="13.8" hidden="true" customHeight="false" outlineLevel="0" collapsed="false">
      <c r="A4015" s="0" t="s">
        <v>742</v>
      </c>
      <c r="B4015" s="0" t="n">
        <v>18</v>
      </c>
      <c r="C4015" s="0" t="n">
        <v>2.15</v>
      </c>
      <c r="D4015" s="0" t="n">
        <v>0.041647202</v>
      </c>
    </row>
    <row r="4016" customFormat="false" ht="13.8" hidden="true" customHeight="false" outlineLevel="0" collapsed="false">
      <c r="A4016" s="0" t="s">
        <v>742</v>
      </c>
      <c r="B4016" s="0" t="n">
        <v>18</v>
      </c>
      <c r="C4016" s="0" t="n">
        <v>2.2</v>
      </c>
      <c r="D4016" s="0" t="n">
        <v>0.039873501</v>
      </c>
    </row>
    <row r="4017" customFormat="false" ht="13.8" hidden="true" customHeight="false" outlineLevel="0" collapsed="false">
      <c r="A4017" s="0" t="s">
        <v>742</v>
      </c>
      <c r="B4017" s="0" t="n">
        <v>18</v>
      </c>
      <c r="C4017" s="0" t="n">
        <v>2.25</v>
      </c>
      <c r="D4017" s="0" t="n">
        <v>0.040779717</v>
      </c>
    </row>
    <row r="4018" customFormat="false" ht="13.8" hidden="true" customHeight="false" outlineLevel="0" collapsed="false">
      <c r="A4018" s="0" t="s">
        <v>742</v>
      </c>
      <c r="B4018" s="0" t="n">
        <v>18</v>
      </c>
      <c r="C4018" s="0" t="n">
        <v>2.3</v>
      </c>
      <c r="D4018" s="0" t="n">
        <v>0.041685933</v>
      </c>
    </row>
    <row r="4019" customFormat="false" ht="13.8" hidden="true" customHeight="false" outlineLevel="0" collapsed="false">
      <c r="A4019" s="0" t="s">
        <v>742</v>
      </c>
      <c r="B4019" s="0" t="n">
        <v>18</v>
      </c>
      <c r="C4019" s="0" t="n">
        <v>2.35</v>
      </c>
      <c r="D4019" s="0" t="n">
        <v>0.042592149</v>
      </c>
    </row>
    <row r="4020" customFormat="false" ht="13.8" hidden="true" customHeight="false" outlineLevel="0" collapsed="false">
      <c r="A4020" s="0" t="s">
        <v>742</v>
      </c>
      <c r="B4020" s="0" t="n">
        <v>18</v>
      </c>
      <c r="C4020" s="0" t="n">
        <v>2.4</v>
      </c>
      <c r="D4020" s="0" t="n">
        <v>0.043498365</v>
      </c>
    </row>
    <row r="4021" customFormat="false" ht="13.8" hidden="true" customHeight="false" outlineLevel="0" collapsed="false">
      <c r="A4021" s="0" t="s">
        <v>742</v>
      </c>
      <c r="B4021" s="0" t="n">
        <v>18</v>
      </c>
      <c r="C4021" s="0" t="n">
        <v>2.45</v>
      </c>
      <c r="D4021" s="0" t="n">
        <v>0.044404581</v>
      </c>
    </row>
    <row r="4022" customFormat="false" ht="13.8" hidden="true" customHeight="false" outlineLevel="0" collapsed="false">
      <c r="A4022" s="0" t="s">
        <v>742</v>
      </c>
      <c r="B4022" s="0" t="n">
        <v>18</v>
      </c>
      <c r="C4022" s="0" t="n">
        <v>2.5</v>
      </c>
      <c r="D4022" s="0" t="n">
        <v>0.045310796</v>
      </c>
    </row>
    <row r="4023" customFormat="false" ht="13.8" hidden="true" customHeight="false" outlineLevel="0" collapsed="false">
      <c r="A4023" s="0" t="s">
        <v>742</v>
      </c>
      <c r="B4023" s="0" t="n">
        <v>18</v>
      </c>
      <c r="C4023" s="0" t="n">
        <v>2.55</v>
      </c>
      <c r="D4023" s="0" t="n">
        <v>0.046217012</v>
      </c>
    </row>
    <row r="4024" customFormat="false" ht="13.8" hidden="true" customHeight="false" outlineLevel="0" collapsed="false">
      <c r="A4024" s="0" t="s">
        <v>742</v>
      </c>
      <c r="B4024" s="0" t="n">
        <v>18</v>
      </c>
      <c r="C4024" s="0" t="n">
        <v>2.6</v>
      </c>
      <c r="D4024" s="0" t="n">
        <v>0.047123228</v>
      </c>
    </row>
    <row r="4025" customFormat="false" ht="13.8" hidden="true" customHeight="false" outlineLevel="0" collapsed="false">
      <c r="A4025" s="0" t="s">
        <v>742</v>
      </c>
      <c r="B4025" s="0" t="n">
        <v>19</v>
      </c>
      <c r="C4025" s="0" t="n">
        <v>1.3</v>
      </c>
      <c r="D4025" s="0" t="n">
        <v>0</v>
      </c>
    </row>
    <row r="4026" customFormat="false" ht="13.8" hidden="true" customHeight="false" outlineLevel="0" collapsed="false">
      <c r="A4026" s="0" t="s">
        <v>742</v>
      </c>
      <c r="B4026" s="0" t="n">
        <v>19</v>
      </c>
      <c r="C4026" s="0" t="n">
        <v>1.35</v>
      </c>
      <c r="D4026" s="0" t="n">
        <v>0</v>
      </c>
    </row>
    <row r="4027" customFormat="false" ht="13.8" hidden="true" customHeight="false" outlineLevel="0" collapsed="false">
      <c r="A4027" s="0" t="s">
        <v>742</v>
      </c>
      <c r="B4027" s="0" t="n">
        <v>19</v>
      </c>
      <c r="C4027" s="0" t="n">
        <v>1.4</v>
      </c>
      <c r="D4027" s="0" t="n">
        <v>0</v>
      </c>
    </row>
    <row r="4028" customFormat="false" ht="13.8" hidden="true" customHeight="false" outlineLevel="0" collapsed="false">
      <c r="A4028" s="0" t="s">
        <v>742</v>
      </c>
      <c r="B4028" s="0" t="n">
        <v>19</v>
      </c>
      <c r="C4028" s="0" t="n">
        <v>1.45</v>
      </c>
      <c r="D4028" s="0" t="n">
        <v>0</v>
      </c>
    </row>
    <row r="4029" customFormat="false" ht="13.8" hidden="true" customHeight="false" outlineLevel="0" collapsed="false">
      <c r="A4029" s="0" t="s">
        <v>742</v>
      </c>
      <c r="B4029" s="0" t="n">
        <v>19</v>
      </c>
      <c r="C4029" s="0" t="n">
        <v>1.5</v>
      </c>
      <c r="D4029" s="0" t="n">
        <v>0</v>
      </c>
    </row>
    <row r="4030" customFormat="false" ht="13.8" hidden="true" customHeight="false" outlineLevel="0" collapsed="false">
      <c r="A4030" s="0" t="s">
        <v>742</v>
      </c>
      <c r="B4030" s="0" t="n">
        <v>19</v>
      </c>
      <c r="C4030" s="0" t="n">
        <v>1.55</v>
      </c>
      <c r="D4030" s="0" t="n">
        <v>0</v>
      </c>
    </row>
    <row r="4031" customFormat="false" ht="13.8" hidden="true" customHeight="false" outlineLevel="0" collapsed="false">
      <c r="A4031" s="0" t="s">
        <v>742</v>
      </c>
      <c r="B4031" s="0" t="n">
        <v>19</v>
      </c>
      <c r="C4031" s="0" t="n">
        <v>1.6</v>
      </c>
      <c r="D4031" s="0" t="n">
        <v>0.029</v>
      </c>
    </row>
    <row r="4032" customFormat="false" ht="13.8" hidden="true" customHeight="false" outlineLevel="0" collapsed="false">
      <c r="A4032" s="0" t="s">
        <v>742</v>
      </c>
      <c r="B4032" s="0" t="n">
        <v>19</v>
      </c>
      <c r="C4032" s="0" t="n">
        <v>1.65</v>
      </c>
      <c r="D4032" s="0" t="n">
        <v>0.03</v>
      </c>
    </row>
    <row r="4033" customFormat="false" ht="13.8" hidden="true" customHeight="false" outlineLevel="0" collapsed="false">
      <c r="A4033" s="0" t="s">
        <v>742</v>
      </c>
      <c r="B4033" s="0" t="n">
        <v>19</v>
      </c>
      <c r="C4033" s="0" t="n">
        <v>1.7</v>
      </c>
      <c r="D4033" s="0" t="n">
        <v>0.031</v>
      </c>
    </row>
    <row r="4034" customFormat="false" ht="13.8" hidden="true" customHeight="false" outlineLevel="0" collapsed="false">
      <c r="A4034" s="0" t="s">
        <v>742</v>
      </c>
      <c r="B4034" s="0" t="n">
        <v>19</v>
      </c>
      <c r="C4034" s="0" t="n">
        <v>1.75</v>
      </c>
      <c r="D4034" s="0" t="n">
        <v>0.031</v>
      </c>
    </row>
    <row r="4035" customFormat="false" ht="13.8" hidden="true" customHeight="false" outlineLevel="0" collapsed="false">
      <c r="A4035" s="0" t="s">
        <v>742</v>
      </c>
      <c r="B4035" s="0" t="n">
        <v>19</v>
      </c>
      <c r="C4035" s="0" t="n">
        <v>1.8</v>
      </c>
      <c r="D4035" s="0" t="n">
        <v>0.034</v>
      </c>
    </row>
    <row r="4036" customFormat="false" ht="13.8" hidden="true" customHeight="false" outlineLevel="0" collapsed="false">
      <c r="A4036" s="0" t="s">
        <v>742</v>
      </c>
      <c r="B4036" s="0" t="n">
        <v>19</v>
      </c>
      <c r="C4036" s="0" t="n">
        <v>1.85</v>
      </c>
      <c r="D4036" s="0" t="n">
        <v>0.035</v>
      </c>
    </row>
    <row r="4037" customFormat="false" ht="13.8" hidden="true" customHeight="false" outlineLevel="0" collapsed="false">
      <c r="A4037" s="0" t="s">
        <v>742</v>
      </c>
      <c r="B4037" s="0" t="n">
        <v>19</v>
      </c>
      <c r="C4037" s="0" t="n">
        <v>1.9</v>
      </c>
      <c r="D4037" s="0" t="n">
        <v>0.035</v>
      </c>
    </row>
    <row r="4038" customFormat="false" ht="13.8" hidden="true" customHeight="false" outlineLevel="0" collapsed="false">
      <c r="A4038" s="0" t="s">
        <v>742</v>
      </c>
      <c r="B4038" s="0" t="n">
        <v>19</v>
      </c>
      <c r="C4038" s="0" t="n">
        <v>1.95</v>
      </c>
      <c r="D4038" s="0" t="n">
        <v>0.036</v>
      </c>
    </row>
    <row r="4039" customFormat="false" ht="13.8" hidden="true" customHeight="false" outlineLevel="0" collapsed="false">
      <c r="A4039" s="0" t="s">
        <v>742</v>
      </c>
      <c r="B4039" s="0" t="n">
        <v>19</v>
      </c>
      <c r="C4039" s="0" t="n">
        <v>2</v>
      </c>
      <c r="D4039" s="0" t="n">
        <v>0.038741584</v>
      </c>
    </row>
    <row r="4040" customFormat="false" ht="13.8" hidden="true" customHeight="false" outlineLevel="0" collapsed="false">
      <c r="A4040" s="0" t="s">
        <v>742</v>
      </c>
      <c r="B4040" s="0" t="n">
        <v>19</v>
      </c>
      <c r="C4040" s="0" t="n">
        <v>2.05</v>
      </c>
      <c r="D4040" s="0" t="n">
        <v>0.039710123</v>
      </c>
    </row>
    <row r="4041" customFormat="false" ht="13.8" hidden="true" customHeight="false" outlineLevel="0" collapsed="false">
      <c r="A4041" s="0" t="s">
        <v>742</v>
      </c>
      <c r="B4041" s="0" t="n">
        <v>19</v>
      </c>
      <c r="C4041" s="0" t="n">
        <v>2.1</v>
      </c>
      <c r="D4041" s="0" t="n">
        <v>0.040678663</v>
      </c>
    </row>
    <row r="4042" customFormat="false" ht="13.8" hidden="true" customHeight="false" outlineLevel="0" collapsed="false">
      <c r="A4042" s="0" t="s">
        <v>742</v>
      </c>
      <c r="B4042" s="0" t="n">
        <v>19</v>
      </c>
      <c r="C4042" s="0" t="n">
        <v>2.15</v>
      </c>
      <c r="D4042" s="0" t="n">
        <v>0.041647202</v>
      </c>
    </row>
    <row r="4043" customFormat="false" ht="13.8" hidden="true" customHeight="false" outlineLevel="0" collapsed="false">
      <c r="A4043" s="0" t="s">
        <v>742</v>
      </c>
      <c r="B4043" s="0" t="n">
        <v>19</v>
      </c>
      <c r="C4043" s="0" t="n">
        <v>2.2</v>
      </c>
      <c r="D4043" s="0" t="n">
        <v>0.039873501</v>
      </c>
    </row>
    <row r="4044" customFormat="false" ht="13.8" hidden="true" customHeight="false" outlineLevel="0" collapsed="false">
      <c r="A4044" s="0" t="s">
        <v>742</v>
      </c>
      <c r="B4044" s="0" t="n">
        <v>19</v>
      </c>
      <c r="C4044" s="0" t="n">
        <v>2.25</v>
      </c>
      <c r="D4044" s="0" t="n">
        <v>0.040779717</v>
      </c>
    </row>
    <row r="4045" customFormat="false" ht="13.8" hidden="true" customHeight="false" outlineLevel="0" collapsed="false">
      <c r="A4045" s="0" t="s">
        <v>742</v>
      </c>
      <c r="B4045" s="0" t="n">
        <v>19</v>
      </c>
      <c r="C4045" s="0" t="n">
        <v>2.3</v>
      </c>
      <c r="D4045" s="0" t="n">
        <v>0.041685933</v>
      </c>
    </row>
    <row r="4046" customFormat="false" ht="13.8" hidden="true" customHeight="false" outlineLevel="0" collapsed="false">
      <c r="A4046" s="0" t="s">
        <v>742</v>
      </c>
      <c r="B4046" s="0" t="n">
        <v>19</v>
      </c>
      <c r="C4046" s="0" t="n">
        <v>2.35</v>
      </c>
      <c r="D4046" s="0" t="n">
        <v>0.042592149</v>
      </c>
    </row>
    <row r="4047" customFormat="false" ht="13.8" hidden="true" customHeight="false" outlineLevel="0" collapsed="false">
      <c r="A4047" s="0" t="s">
        <v>742</v>
      </c>
      <c r="B4047" s="0" t="n">
        <v>19</v>
      </c>
      <c r="C4047" s="0" t="n">
        <v>2.4</v>
      </c>
      <c r="D4047" s="0" t="n">
        <v>0.043498365</v>
      </c>
    </row>
    <row r="4048" customFormat="false" ht="13.8" hidden="true" customHeight="false" outlineLevel="0" collapsed="false">
      <c r="A4048" s="0" t="s">
        <v>742</v>
      </c>
      <c r="B4048" s="0" t="n">
        <v>19</v>
      </c>
      <c r="C4048" s="0" t="n">
        <v>2.45</v>
      </c>
      <c r="D4048" s="0" t="n">
        <v>0.044404581</v>
      </c>
    </row>
    <row r="4049" customFormat="false" ht="13.8" hidden="true" customHeight="false" outlineLevel="0" collapsed="false">
      <c r="A4049" s="0" t="s">
        <v>742</v>
      </c>
      <c r="B4049" s="0" t="n">
        <v>19</v>
      </c>
      <c r="C4049" s="0" t="n">
        <v>2.5</v>
      </c>
      <c r="D4049" s="0" t="n">
        <v>0.045310796</v>
      </c>
    </row>
    <row r="4050" customFormat="false" ht="13.8" hidden="true" customHeight="false" outlineLevel="0" collapsed="false">
      <c r="A4050" s="0" t="s">
        <v>742</v>
      </c>
      <c r="B4050" s="0" t="n">
        <v>19</v>
      </c>
      <c r="C4050" s="0" t="n">
        <v>2.55</v>
      </c>
      <c r="D4050" s="0" t="n">
        <v>0.046217012</v>
      </c>
    </row>
    <row r="4051" customFormat="false" ht="13.8" hidden="true" customHeight="false" outlineLevel="0" collapsed="false">
      <c r="A4051" s="0" t="s">
        <v>742</v>
      </c>
      <c r="B4051" s="0" t="n">
        <v>19</v>
      </c>
      <c r="C4051" s="0" t="n">
        <v>2.6</v>
      </c>
      <c r="D4051" s="0" t="n">
        <v>0.047123228</v>
      </c>
    </row>
    <row r="4052" customFormat="false" ht="13.8" hidden="true" customHeight="false" outlineLevel="0" collapsed="false">
      <c r="A4052" s="0" t="s">
        <v>742</v>
      </c>
      <c r="B4052" s="0" t="n">
        <v>20</v>
      </c>
      <c r="C4052" s="0" t="n">
        <v>1.3</v>
      </c>
      <c r="D4052" s="0" t="n">
        <v>0</v>
      </c>
    </row>
    <row r="4053" customFormat="false" ht="13.8" hidden="true" customHeight="false" outlineLevel="0" collapsed="false">
      <c r="A4053" s="0" t="s">
        <v>742</v>
      </c>
      <c r="B4053" s="0" t="n">
        <v>20</v>
      </c>
      <c r="C4053" s="0" t="n">
        <v>1.35</v>
      </c>
      <c r="D4053" s="0" t="n">
        <v>0</v>
      </c>
    </row>
    <row r="4054" customFormat="false" ht="13.8" hidden="true" customHeight="false" outlineLevel="0" collapsed="false">
      <c r="A4054" s="0" t="s">
        <v>742</v>
      </c>
      <c r="B4054" s="0" t="n">
        <v>20</v>
      </c>
      <c r="C4054" s="0" t="n">
        <v>1.4</v>
      </c>
      <c r="D4054" s="0" t="n">
        <v>0</v>
      </c>
    </row>
    <row r="4055" customFormat="false" ht="13.8" hidden="true" customHeight="false" outlineLevel="0" collapsed="false">
      <c r="A4055" s="0" t="s">
        <v>742</v>
      </c>
      <c r="B4055" s="0" t="n">
        <v>20</v>
      </c>
      <c r="C4055" s="0" t="n">
        <v>1.45</v>
      </c>
      <c r="D4055" s="0" t="n">
        <v>0</v>
      </c>
    </row>
    <row r="4056" customFormat="false" ht="13.8" hidden="true" customHeight="false" outlineLevel="0" collapsed="false">
      <c r="A4056" s="0" t="s">
        <v>742</v>
      </c>
      <c r="B4056" s="0" t="n">
        <v>20</v>
      </c>
      <c r="C4056" s="0" t="n">
        <v>1.5</v>
      </c>
      <c r="D4056" s="0" t="n">
        <v>0</v>
      </c>
    </row>
    <row r="4057" customFormat="false" ht="13.8" hidden="true" customHeight="false" outlineLevel="0" collapsed="false">
      <c r="A4057" s="0" t="s">
        <v>742</v>
      </c>
      <c r="B4057" s="0" t="n">
        <v>20</v>
      </c>
      <c r="C4057" s="0" t="n">
        <v>1.55</v>
      </c>
      <c r="D4057" s="0" t="n">
        <v>0</v>
      </c>
    </row>
    <row r="4058" customFormat="false" ht="13.8" hidden="true" customHeight="false" outlineLevel="0" collapsed="false">
      <c r="A4058" s="0" t="s">
        <v>742</v>
      </c>
      <c r="B4058" s="0" t="n">
        <v>20</v>
      </c>
      <c r="C4058" s="0" t="n">
        <v>1.6</v>
      </c>
      <c r="D4058" s="0" t="n">
        <v>0.029</v>
      </c>
    </row>
    <row r="4059" customFormat="false" ht="13.8" hidden="true" customHeight="false" outlineLevel="0" collapsed="false">
      <c r="A4059" s="0" t="s">
        <v>742</v>
      </c>
      <c r="B4059" s="0" t="n">
        <v>20</v>
      </c>
      <c r="C4059" s="0" t="n">
        <v>1.65</v>
      </c>
      <c r="D4059" s="0" t="n">
        <v>0.03</v>
      </c>
    </row>
    <row r="4060" customFormat="false" ht="13.8" hidden="true" customHeight="false" outlineLevel="0" collapsed="false">
      <c r="A4060" s="0" t="s">
        <v>742</v>
      </c>
      <c r="B4060" s="0" t="n">
        <v>20</v>
      </c>
      <c r="C4060" s="0" t="n">
        <v>1.7</v>
      </c>
      <c r="D4060" s="0" t="n">
        <v>0.031</v>
      </c>
    </row>
    <row r="4061" customFormat="false" ht="13.8" hidden="true" customHeight="false" outlineLevel="0" collapsed="false">
      <c r="A4061" s="0" t="s">
        <v>742</v>
      </c>
      <c r="B4061" s="0" t="n">
        <v>20</v>
      </c>
      <c r="C4061" s="0" t="n">
        <v>1.75</v>
      </c>
      <c r="D4061" s="0" t="n">
        <v>0.031</v>
      </c>
    </row>
    <row r="4062" customFormat="false" ht="13.8" hidden="true" customHeight="false" outlineLevel="0" collapsed="false">
      <c r="A4062" s="0" t="s">
        <v>742</v>
      </c>
      <c r="B4062" s="0" t="n">
        <v>20</v>
      </c>
      <c r="C4062" s="0" t="n">
        <v>1.8</v>
      </c>
      <c r="D4062" s="0" t="n">
        <v>0.034</v>
      </c>
    </row>
    <row r="4063" customFormat="false" ht="13.8" hidden="true" customHeight="false" outlineLevel="0" collapsed="false">
      <c r="A4063" s="0" t="s">
        <v>742</v>
      </c>
      <c r="B4063" s="0" t="n">
        <v>20</v>
      </c>
      <c r="C4063" s="0" t="n">
        <v>1.85</v>
      </c>
      <c r="D4063" s="0" t="n">
        <v>0.035</v>
      </c>
    </row>
    <row r="4064" customFormat="false" ht="13.8" hidden="true" customHeight="false" outlineLevel="0" collapsed="false">
      <c r="A4064" s="0" t="s">
        <v>742</v>
      </c>
      <c r="B4064" s="0" t="n">
        <v>20</v>
      </c>
      <c r="C4064" s="0" t="n">
        <v>1.9</v>
      </c>
      <c r="D4064" s="0" t="n">
        <v>0.035</v>
      </c>
    </row>
    <row r="4065" customFormat="false" ht="13.8" hidden="true" customHeight="false" outlineLevel="0" collapsed="false">
      <c r="A4065" s="0" t="s">
        <v>742</v>
      </c>
      <c r="B4065" s="0" t="n">
        <v>20</v>
      </c>
      <c r="C4065" s="0" t="n">
        <v>1.95</v>
      </c>
      <c r="D4065" s="0" t="n">
        <v>0.036</v>
      </c>
    </row>
    <row r="4066" customFormat="false" ht="13.8" hidden="true" customHeight="false" outlineLevel="0" collapsed="false">
      <c r="A4066" s="0" t="s">
        <v>742</v>
      </c>
      <c r="B4066" s="0" t="n">
        <v>20</v>
      </c>
      <c r="C4066" s="0" t="n">
        <v>2</v>
      </c>
      <c r="D4066" s="0" t="n">
        <v>0.038741584</v>
      </c>
    </row>
    <row r="4067" customFormat="false" ht="13.8" hidden="true" customHeight="false" outlineLevel="0" collapsed="false">
      <c r="A4067" s="0" t="s">
        <v>742</v>
      </c>
      <c r="B4067" s="0" t="n">
        <v>20</v>
      </c>
      <c r="C4067" s="0" t="n">
        <v>2.05</v>
      </c>
      <c r="D4067" s="0" t="n">
        <v>0.039710123</v>
      </c>
    </row>
    <row r="4068" customFormat="false" ht="13.8" hidden="true" customHeight="false" outlineLevel="0" collapsed="false">
      <c r="A4068" s="0" t="s">
        <v>742</v>
      </c>
      <c r="B4068" s="0" t="n">
        <v>20</v>
      </c>
      <c r="C4068" s="0" t="n">
        <v>2.1</v>
      </c>
      <c r="D4068" s="0" t="n">
        <v>0.040678663</v>
      </c>
    </row>
    <row r="4069" customFormat="false" ht="13.8" hidden="true" customHeight="false" outlineLevel="0" collapsed="false">
      <c r="A4069" s="0" t="s">
        <v>742</v>
      </c>
      <c r="B4069" s="0" t="n">
        <v>20</v>
      </c>
      <c r="C4069" s="0" t="n">
        <v>2.15</v>
      </c>
      <c r="D4069" s="0" t="n">
        <v>0.041647202</v>
      </c>
    </row>
    <row r="4070" customFormat="false" ht="13.8" hidden="true" customHeight="false" outlineLevel="0" collapsed="false">
      <c r="A4070" s="0" t="s">
        <v>742</v>
      </c>
      <c r="B4070" s="0" t="n">
        <v>20</v>
      </c>
      <c r="C4070" s="0" t="n">
        <v>2.2</v>
      </c>
      <c r="D4070" s="0" t="n">
        <v>0.039873501</v>
      </c>
    </row>
    <row r="4071" customFormat="false" ht="13.8" hidden="true" customHeight="false" outlineLevel="0" collapsed="false">
      <c r="A4071" s="0" t="s">
        <v>742</v>
      </c>
      <c r="B4071" s="0" t="n">
        <v>20</v>
      </c>
      <c r="C4071" s="0" t="n">
        <v>2.25</v>
      </c>
      <c r="D4071" s="0" t="n">
        <v>0.040779717</v>
      </c>
    </row>
    <row r="4072" customFormat="false" ht="13.8" hidden="true" customHeight="false" outlineLevel="0" collapsed="false">
      <c r="A4072" s="0" t="s">
        <v>742</v>
      </c>
      <c r="B4072" s="0" t="n">
        <v>20</v>
      </c>
      <c r="C4072" s="0" t="n">
        <v>2.3</v>
      </c>
      <c r="D4072" s="0" t="n">
        <v>0.041685933</v>
      </c>
    </row>
    <row r="4073" customFormat="false" ht="13.8" hidden="true" customHeight="false" outlineLevel="0" collapsed="false">
      <c r="A4073" s="0" t="s">
        <v>742</v>
      </c>
      <c r="B4073" s="0" t="n">
        <v>20</v>
      </c>
      <c r="C4073" s="0" t="n">
        <v>2.35</v>
      </c>
      <c r="D4073" s="0" t="n">
        <v>0.042592149</v>
      </c>
    </row>
    <row r="4074" customFormat="false" ht="13.8" hidden="true" customHeight="false" outlineLevel="0" collapsed="false">
      <c r="A4074" s="0" t="s">
        <v>742</v>
      </c>
      <c r="B4074" s="0" t="n">
        <v>20</v>
      </c>
      <c r="C4074" s="0" t="n">
        <v>2.4</v>
      </c>
      <c r="D4074" s="0" t="n">
        <v>0.043498365</v>
      </c>
    </row>
    <row r="4075" customFormat="false" ht="13.8" hidden="true" customHeight="false" outlineLevel="0" collapsed="false">
      <c r="A4075" s="0" t="s">
        <v>742</v>
      </c>
      <c r="B4075" s="0" t="n">
        <v>20</v>
      </c>
      <c r="C4075" s="0" t="n">
        <v>2.45</v>
      </c>
      <c r="D4075" s="0" t="n">
        <v>0.044404581</v>
      </c>
    </row>
    <row r="4076" customFormat="false" ht="13.8" hidden="true" customHeight="false" outlineLevel="0" collapsed="false">
      <c r="A4076" s="0" t="s">
        <v>742</v>
      </c>
      <c r="B4076" s="0" t="n">
        <v>20</v>
      </c>
      <c r="C4076" s="0" t="n">
        <v>2.5</v>
      </c>
      <c r="D4076" s="0" t="n">
        <v>0.045310796</v>
      </c>
    </row>
    <row r="4077" customFormat="false" ht="13.8" hidden="true" customHeight="false" outlineLevel="0" collapsed="false">
      <c r="A4077" s="0" t="s">
        <v>742</v>
      </c>
      <c r="B4077" s="0" t="n">
        <v>20</v>
      </c>
      <c r="C4077" s="0" t="n">
        <v>2.55</v>
      </c>
      <c r="D4077" s="0" t="n">
        <v>0.046217012</v>
      </c>
    </row>
    <row r="4078" customFormat="false" ht="13.8" hidden="true" customHeight="false" outlineLevel="0" collapsed="false">
      <c r="A4078" s="0" t="s">
        <v>742</v>
      </c>
      <c r="B4078" s="0" t="n">
        <v>20</v>
      </c>
      <c r="C4078" s="0" t="n">
        <v>2.6</v>
      </c>
      <c r="D4078" s="0" t="n">
        <v>0.047123228</v>
      </c>
    </row>
    <row r="4079" customFormat="false" ht="13.8" hidden="true" customHeight="false" outlineLevel="0" collapsed="false">
      <c r="A4079" s="0" t="s">
        <v>742</v>
      </c>
      <c r="B4079" s="0" t="n">
        <v>21</v>
      </c>
      <c r="C4079" s="0" t="n">
        <v>1.3</v>
      </c>
      <c r="D4079" s="0" t="n">
        <v>0</v>
      </c>
    </row>
    <row r="4080" customFormat="false" ht="13.8" hidden="true" customHeight="false" outlineLevel="0" collapsed="false">
      <c r="A4080" s="0" t="s">
        <v>742</v>
      </c>
      <c r="B4080" s="0" t="n">
        <v>21</v>
      </c>
      <c r="C4080" s="0" t="n">
        <v>1.35</v>
      </c>
      <c r="D4080" s="0" t="n">
        <v>0</v>
      </c>
    </row>
    <row r="4081" customFormat="false" ht="13.8" hidden="true" customHeight="false" outlineLevel="0" collapsed="false">
      <c r="A4081" s="0" t="s">
        <v>742</v>
      </c>
      <c r="B4081" s="0" t="n">
        <v>21</v>
      </c>
      <c r="C4081" s="0" t="n">
        <v>1.4</v>
      </c>
      <c r="D4081" s="0" t="n">
        <v>0</v>
      </c>
    </row>
    <row r="4082" customFormat="false" ht="13.8" hidden="true" customHeight="false" outlineLevel="0" collapsed="false">
      <c r="A4082" s="0" t="s">
        <v>742</v>
      </c>
      <c r="B4082" s="0" t="n">
        <v>21</v>
      </c>
      <c r="C4082" s="0" t="n">
        <v>1.45</v>
      </c>
      <c r="D4082" s="0" t="n">
        <v>0</v>
      </c>
    </row>
    <row r="4083" customFormat="false" ht="13.8" hidden="true" customHeight="false" outlineLevel="0" collapsed="false">
      <c r="A4083" s="0" t="s">
        <v>742</v>
      </c>
      <c r="B4083" s="0" t="n">
        <v>21</v>
      </c>
      <c r="C4083" s="0" t="n">
        <v>1.5</v>
      </c>
      <c r="D4083" s="0" t="n">
        <v>0</v>
      </c>
    </row>
    <row r="4084" customFormat="false" ht="13.8" hidden="true" customHeight="false" outlineLevel="0" collapsed="false">
      <c r="A4084" s="0" t="s">
        <v>742</v>
      </c>
      <c r="B4084" s="0" t="n">
        <v>21</v>
      </c>
      <c r="C4084" s="0" t="n">
        <v>1.55</v>
      </c>
      <c r="D4084" s="0" t="n">
        <v>0</v>
      </c>
    </row>
    <row r="4085" customFormat="false" ht="13.8" hidden="true" customHeight="false" outlineLevel="0" collapsed="false">
      <c r="A4085" s="0" t="s">
        <v>742</v>
      </c>
      <c r="B4085" s="0" t="n">
        <v>21</v>
      </c>
      <c r="C4085" s="0" t="n">
        <v>1.6</v>
      </c>
      <c r="D4085" s="0" t="n">
        <v>0.029</v>
      </c>
    </row>
    <row r="4086" customFormat="false" ht="13.8" hidden="true" customHeight="false" outlineLevel="0" collapsed="false">
      <c r="A4086" s="0" t="s">
        <v>742</v>
      </c>
      <c r="B4086" s="0" t="n">
        <v>21</v>
      </c>
      <c r="C4086" s="0" t="n">
        <v>1.65</v>
      </c>
      <c r="D4086" s="0" t="n">
        <v>0.03</v>
      </c>
    </row>
    <row r="4087" customFormat="false" ht="13.8" hidden="true" customHeight="false" outlineLevel="0" collapsed="false">
      <c r="A4087" s="0" t="s">
        <v>742</v>
      </c>
      <c r="B4087" s="0" t="n">
        <v>21</v>
      </c>
      <c r="C4087" s="0" t="n">
        <v>1.7</v>
      </c>
      <c r="D4087" s="0" t="n">
        <v>0.031</v>
      </c>
    </row>
    <row r="4088" customFormat="false" ht="13.8" hidden="true" customHeight="false" outlineLevel="0" collapsed="false">
      <c r="A4088" s="0" t="s">
        <v>742</v>
      </c>
      <c r="B4088" s="0" t="n">
        <v>21</v>
      </c>
      <c r="C4088" s="0" t="n">
        <v>1.75</v>
      </c>
      <c r="D4088" s="0" t="n">
        <v>0.031</v>
      </c>
    </row>
    <row r="4089" customFormat="false" ht="13.8" hidden="true" customHeight="false" outlineLevel="0" collapsed="false">
      <c r="A4089" s="0" t="s">
        <v>742</v>
      </c>
      <c r="B4089" s="0" t="n">
        <v>21</v>
      </c>
      <c r="C4089" s="0" t="n">
        <v>1.8</v>
      </c>
      <c r="D4089" s="0" t="n">
        <v>0.034</v>
      </c>
    </row>
    <row r="4090" customFormat="false" ht="13.8" hidden="true" customHeight="false" outlineLevel="0" collapsed="false">
      <c r="A4090" s="0" t="s">
        <v>742</v>
      </c>
      <c r="B4090" s="0" t="n">
        <v>21</v>
      </c>
      <c r="C4090" s="0" t="n">
        <v>1.85</v>
      </c>
      <c r="D4090" s="0" t="n">
        <v>0.035</v>
      </c>
    </row>
    <row r="4091" customFormat="false" ht="13.8" hidden="true" customHeight="false" outlineLevel="0" collapsed="false">
      <c r="A4091" s="0" t="s">
        <v>742</v>
      </c>
      <c r="B4091" s="0" t="n">
        <v>21</v>
      </c>
      <c r="C4091" s="0" t="n">
        <v>1.9</v>
      </c>
      <c r="D4091" s="0" t="n">
        <v>0.035</v>
      </c>
    </row>
    <row r="4092" customFormat="false" ht="13.8" hidden="true" customHeight="false" outlineLevel="0" collapsed="false">
      <c r="A4092" s="0" t="s">
        <v>742</v>
      </c>
      <c r="B4092" s="0" t="n">
        <v>21</v>
      </c>
      <c r="C4092" s="0" t="n">
        <v>1.95</v>
      </c>
      <c r="D4092" s="0" t="n">
        <v>0.036</v>
      </c>
    </row>
    <row r="4093" customFormat="false" ht="13.8" hidden="true" customHeight="false" outlineLevel="0" collapsed="false">
      <c r="A4093" s="0" t="s">
        <v>742</v>
      </c>
      <c r="B4093" s="0" t="n">
        <v>21</v>
      </c>
      <c r="C4093" s="0" t="n">
        <v>2</v>
      </c>
      <c r="D4093" s="0" t="n">
        <v>0.038741584</v>
      </c>
    </row>
    <row r="4094" customFormat="false" ht="13.8" hidden="true" customHeight="false" outlineLevel="0" collapsed="false">
      <c r="A4094" s="0" t="s">
        <v>742</v>
      </c>
      <c r="B4094" s="0" t="n">
        <v>21</v>
      </c>
      <c r="C4094" s="0" t="n">
        <v>2.05</v>
      </c>
      <c r="D4094" s="0" t="n">
        <v>0.039710123</v>
      </c>
    </row>
    <row r="4095" customFormat="false" ht="13.8" hidden="true" customHeight="false" outlineLevel="0" collapsed="false">
      <c r="A4095" s="0" t="s">
        <v>742</v>
      </c>
      <c r="B4095" s="0" t="n">
        <v>21</v>
      </c>
      <c r="C4095" s="0" t="n">
        <v>2.1</v>
      </c>
      <c r="D4095" s="0" t="n">
        <v>0.040678663</v>
      </c>
    </row>
    <row r="4096" customFormat="false" ht="13.8" hidden="true" customHeight="false" outlineLevel="0" collapsed="false">
      <c r="A4096" s="0" t="s">
        <v>742</v>
      </c>
      <c r="B4096" s="0" t="n">
        <v>21</v>
      </c>
      <c r="C4096" s="0" t="n">
        <v>2.15</v>
      </c>
      <c r="D4096" s="0" t="n">
        <v>0.041647202</v>
      </c>
    </row>
    <row r="4097" customFormat="false" ht="13.8" hidden="true" customHeight="false" outlineLevel="0" collapsed="false">
      <c r="A4097" s="0" t="s">
        <v>742</v>
      </c>
      <c r="B4097" s="0" t="n">
        <v>21</v>
      </c>
      <c r="C4097" s="0" t="n">
        <v>2.2</v>
      </c>
      <c r="D4097" s="0" t="n">
        <v>0.039873501</v>
      </c>
    </row>
    <row r="4098" customFormat="false" ht="13.8" hidden="true" customHeight="false" outlineLevel="0" collapsed="false">
      <c r="A4098" s="0" t="s">
        <v>742</v>
      </c>
      <c r="B4098" s="0" t="n">
        <v>21</v>
      </c>
      <c r="C4098" s="0" t="n">
        <v>2.25</v>
      </c>
      <c r="D4098" s="0" t="n">
        <v>0.040779717</v>
      </c>
    </row>
    <row r="4099" customFormat="false" ht="13.8" hidden="true" customHeight="false" outlineLevel="0" collapsed="false">
      <c r="A4099" s="0" t="s">
        <v>742</v>
      </c>
      <c r="B4099" s="0" t="n">
        <v>21</v>
      </c>
      <c r="C4099" s="0" t="n">
        <v>2.3</v>
      </c>
      <c r="D4099" s="0" t="n">
        <v>0.041685933</v>
      </c>
    </row>
    <row r="4100" customFormat="false" ht="13.8" hidden="true" customHeight="false" outlineLevel="0" collapsed="false">
      <c r="A4100" s="0" t="s">
        <v>742</v>
      </c>
      <c r="B4100" s="0" t="n">
        <v>21</v>
      </c>
      <c r="C4100" s="0" t="n">
        <v>2.35</v>
      </c>
      <c r="D4100" s="0" t="n">
        <v>0.042592149</v>
      </c>
    </row>
    <row r="4101" customFormat="false" ht="13.8" hidden="true" customHeight="false" outlineLevel="0" collapsed="false">
      <c r="A4101" s="0" t="s">
        <v>742</v>
      </c>
      <c r="B4101" s="0" t="n">
        <v>21</v>
      </c>
      <c r="C4101" s="0" t="n">
        <v>2.4</v>
      </c>
      <c r="D4101" s="0" t="n">
        <v>0.043498365</v>
      </c>
    </row>
    <row r="4102" customFormat="false" ht="13.8" hidden="true" customHeight="false" outlineLevel="0" collapsed="false">
      <c r="A4102" s="0" t="s">
        <v>742</v>
      </c>
      <c r="B4102" s="0" t="n">
        <v>21</v>
      </c>
      <c r="C4102" s="0" t="n">
        <v>2.45</v>
      </c>
      <c r="D4102" s="0" t="n">
        <v>0.044404581</v>
      </c>
    </row>
    <row r="4103" customFormat="false" ht="13.8" hidden="true" customHeight="false" outlineLevel="0" collapsed="false">
      <c r="A4103" s="0" t="s">
        <v>742</v>
      </c>
      <c r="B4103" s="0" t="n">
        <v>21</v>
      </c>
      <c r="C4103" s="0" t="n">
        <v>2.5</v>
      </c>
      <c r="D4103" s="0" t="n">
        <v>0.045310796</v>
      </c>
    </row>
    <row r="4104" customFormat="false" ht="13.8" hidden="true" customHeight="false" outlineLevel="0" collapsed="false">
      <c r="A4104" s="0" t="s">
        <v>742</v>
      </c>
      <c r="B4104" s="0" t="n">
        <v>21</v>
      </c>
      <c r="C4104" s="0" t="n">
        <v>2.55</v>
      </c>
      <c r="D4104" s="0" t="n">
        <v>0.046217012</v>
      </c>
    </row>
    <row r="4105" customFormat="false" ht="13.8" hidden="true" customHeight="false" outlineLevel="0" collapsed="false">
      <c r="A4105" s="0" t="s">
        <v>742</v>
      </c>
      <c r="B4105" s="0" t="n">
        <v>21</v>
      </c>
      <c r="C4105" s="0" t="n">
        <v>2.6</v>
      </c>
      <c r="D4105" s="0" t="n">
        <v>0.047123228</v>
      </c>
    </row>
    <row r="4106" customFormat="false" ht="13.8" hidden="true" customHeight="false" outlineLevel="0" collapsed="false">
      <c r="A4106" s="0" t="s">
        <v>228</v>
      </c>
      <c r="B4106" s="0" t="n">
        <v>27</v>
      </c>
      <c r="C4106" s="0" t="n">
        <v>1.3</v>
      </c>
      <c r="D4106" s="0" t="n">
        <v>0</v>
      </c>
    </row>
    <row r="4107" customFormat="false" ht="13.8" hidden="true" customHeight="false" outlineLevel="0" collapsed="false">
      <c r="A4107" s="0" t="s">
        <v>228</v>
      </c>
      <c r="B4107" s="0" t="n">
        <v>27</v>
      </c>
      <c r="C4107" s="0" t="n">
        <v>1.35</v>
      </c>
      <c r="D4107" s="0" t="n">
        <v>0</v>
      </c>
    </row>
    <row r="4108" customFormat="false" ht="13.8" hidden="true" customHeight="false" outlineLevel="0" collapsed="false">
      <c r="A4108" s="0" t="s">
        <v>228</v>
      </c>
      <c r="B4108" s="0" t="n">
        <v>27</v>
      </c>
      <c r="C4108" s="0" t="n">
        <v>1.4</v>
      </c>
      <c r="D4108" s="0" t="n">
        <v>0</v>
      </c>
    </row>
    <row r="4109" customFormat="false" ht="13.8" hidden="true" customHeight="false" outlineLevel="0" collapsed="false">
      <c r="A4109" s="0" t="s">
        <v>228</v>
      </c>
      <c r="B4109" s="0" t="n">
        <v>27</v>
      </c>
      <c r="C4109" s="0" t="n">
        <v>1.45</v>
      </c>
      <c r="D4109" s="0" t="n">
        <v>0</v>
      </c>
    </row>
    <row r="4110" customFormat="false" ht="13.8" hidden="true" customHeight="false" outlineLevel="0" collapsed="false">
      <c r="A4110" s="0" t="s">
        <v>228</v>
      </c>
      <c r="B4110" s="0" t="n">
        <v>27</v>
      </c>
      <c r="C4110" s="0" t="n">
        <v>1.5</v>
      </c>
      <c r="D4110" s="0" t="n">
        <v>0</v>
      </c>
    </row>
    <row r="4111" customFormat="false" ht="13.8" hidden="true" customHeight="false" outlineLevel="0" collapsed="false">
      <c r="A4111" s="0" t="s">
        <v>228</v>
      </c>
      <c r="B4111" s="0" t="n">
        <v>27</v>
      </c>
      <c r="C4111" s="0" t="n">
        <v>1.55</v>
      </c>
      <c r="D4111" s="0" t="n">
        <v>0</v>
      </c>
    </row>
    <row r="4112" customFormat="false" ht="13.8" hidden="true" customHeight="false" outlineLevel="0" collapsed="false">
      <c r="A4112" s="0" t="s">
        <v>228</v>
      </c>
      <c r="B4112" s="0" t="n">
        <v>27</v>
      </c>
      <c r="C4112" s="0" t="n">
        <v>1.6</v>
      </c>
      <c r="D4112" s="0" t="n">
        <v>0</v>
      </c>
    </row>
    <row r="4113" customFormat="false" ht="13.8" hidden="true" customHeight="false" outlineLevel="0" collapsed="false">
      <c r="A4113" s="0" t="s">
        <v>228</v>
      </c>
      <c r="B4113" s="0" t="n">
        <v>27</v>
      </c>
      <c r="C4113" s="0" t="n">
        <v>1.65</v>
      </c>
      <c r="D4113" s="0" t="n">
        <v>0</v>
      </c>
    </row>
    <row r="4114" customFormat="false" ht="13.8" hidden="true" customHeight="false" outlineLevel="0" collapsed="false">
      <c r="A4114" s="0" t="s">
        <v>228</v>
      </c>
      <c r="B4114" s="0" t="n">
        <v>27</v>
      </c>
      <c r="C4114" s="0" t="n">
        <v>1.7</v>
      </c>
      <c r="D4114" s="0" t="n">
        <v>0</v>
      </c>
    </row>
    <row r="4115" customFormat="false" ht="13.8" hidden="true" customHeight="false" outlineLevel="0" collapsed="false">
      <c r="A4115" s="0" t="s">
        <v>228</v>
      </c>
      <c r="B4115" s="0" t="n">
        <v>27</v>
      </c>
      <c r="C4115" s="0" t="n">
        <v>1.75</v>
      </c>
      <c r="D4115" s="0" t="n">
        <v>0</v>
      </c>
    </row>
    <row r="4116" customFormat="false" ht="13.8" hidden="true" customHeight="false" outlineLevel="0" collapsed="false">
      <c r="A4116" s="0" t="s">
        <v>228</v>
      </c>
      <c r="B4116" s="0" t="n">
        <v>27</v>
      </c>
      <c r="C4116" s="0" t="n">
        <v>1.8</v>
      </c>
      <c r="D4116" s="0" t="n">
        <v>0</v>
      </c>
    </row>
    <row r="4117" customFormat="false" ht="13.8" hidden="true" customHeight="false" outlineLevel="0" collapsed="false">
      <c r="A4117" s="0" t="s">
        <v>228</v>
      </c>
      <c r="B4117" s="0" t="n">
        <v>27</v>
      </c>
      <c r="C4117" s="0" t="n">
        <v>1.85</v>
      </c>
      <c r="D4117" s="0" t="n">
        <v>0</v>
      </c>
    </row>
    <row r="4118" customFormat="false" ht="13.8" hidden="true" customHeight="false" outlineLevel="0" collapsed="false">
      <c r="A4118" s="0" t="s">
        <v>228</v>
      </c>
      <c r="B4118" s="0" t="n">
        <v>27</v>
      </c>
      <c r="C4118" s="0" t="n">
        <v>1.9</v>
      </c>
      <c r="D4118" s="0" t="n">
        <v>0</v>
      </c>
    </row>
    <row r="4119" customFormat="false" ht="13.8" hidden="true" customHeight="false" outlineLevel="0" collapsed="false">
      <c r="A4119" s="0" t="s">
        <v>228</v>
      </c>
      <c r="B4119" s="0" t="n">
        <v>27</v>
      </c>
      <c r="C4119" s="0" t="n">
        <v>1.95</v>
      </c>
      <c r="D4119" s="0" t="n">
        <v>0.362</v>
      </c>
    </row>
    <row r="4120" customFormat="false" ht="13.8" hidden="true" customHeight="false" outlineLevel="0" collapsed="false">
      <c r="A4120" s="0" t="s">
        <v>228</v>
      </c>
      <c r="B4120" s="0" t="n">
        <v>27</v>
      </c>
      <c r="C4120" s="0" t="n">
        <v>2</v>
      </c>
      <c r="D4120" s="0" t="n">
        <v>0.387</v>
      </c>
    </row>
    <row r="4121" customFormat="false" ht="13.8" hidden="true" customHeight="false" outlineLevel="0" collapsed="false">
      <c r="A4121" s="0" t="s">
        <v>228</v>
      </c>
      <c r="B4121" s="0" t="n">
        <v>27</v>
      </c>
      <c r="C4121" s="0" t="n">
        <v>2.05</v>
      </c>
      <c r="D4121" s="0" t="n">
        <v>0.397</v>
      </c>
    </row>
    <row r="4122" customFormat="false" ht="13.8" hidden="true" customHeight="false" outlineLevel="0" collapsed="false">
      <c r="A4122" s="0" t="s">
        <v>228</v>
      </c>
      <c r="B4122" s="0" t="n">
        <v>27</v>
      </c>
      <c r="C4122" s="0" t="n">
        <v>2.1</v>
      </c>
      <c r="D4122" s="0" t="n">
        <v>0.406</v>
      </c>
    </row>
    <row r="4123" customFormat="false" ht="13.8" hidden="true" customHeight="false" outlineLevel="0" collapsed="false">
      <c r="A4123" s="0" t="s">
        <v>228</v>
      </c>
      <c r="B4123" s="0" t="n">
        <v>27</v>
      </c>
      <c r="C4123" s="0" t="n">
        <v>2.15</v>
      </c>
      <c r="D4123" s="0" t="n">
        <v>0.415999382</v>
      </c>
    </row>
    <row r="4124" customFormat="false" ht="13.8" hidden="true" customHeight="false" outlineLevel="0" collapsed="false">
      <c r="A4124" s="0" t="s">
        <v>228</v>
      </c>
      <c r="B4124" s="0" t="n">
        <v>27</v>
      </c>
      <c r="C4124" s="0" t="n">
        <v>2.2</v>
      </c>
      <c r="D4124" s="0" t="n">
        <v>0.425673786</v>
      </c>
    </row>
    <row r="4125" customFormat="false" ht="13.8" hidden="true" customHeight="false" outlineLevel="0" collapsed="false">
      <c r="A4125" s="0" t="s">
        <v>228</v>
      </c>
      <c r="B4125" s="0" t="n">
        <v>27</v>
      </c>
      <c r="C4125" s="0" t="n">
        <v>2.25</v>
      </c>
      <c r="D4125" s="0" t="n">
        <v>0.435348191</v>
      </c>
    </row>
    <row r="4126" customFormat="false" ht="13.8" hidden="true" customHeight="false" outlineLevel="0" collapsed="false">
      <c r="A4126" s="0" t="s">
        <v>228</v>
      </c>
      <c r="B4126" s="0" t="n">
        <v>27</v>
      </c>
      <c r="C4126" s="0" t="n">
        <v>2.3</v>
      </c>
      <c r="D4126" s="0" t="n">
        <v>0.445022595</v>
      </c>
    </row>
    <row r="4127" customFormat="false" ht="13.8" hidden="true" customHeight="false" outlineLevel="0" collapsed="false">
      <c r="A4127" s="0" t="s">
        <v>228</v>
      </c>
      <c r="B4127" s="0" t="n">
        <v>27</v>
      </c>
      <c r="C4127" s="0" t="n">
        <v>2.35</v>
      </c>
      <c r="D4127" s="0" t="n">
        <v>0.454696999</v>
      </c>
    </row>
    <row r="4128" customFormat="false" ht="13.8" hidden="true" customHeight="false" outlineLevel="0" collapsed="false">
      <c r="A4128" s="0" t="s">
        <v>228</v>
      </c>
      <c r="B4128" s="0" t="n">
        <v>27</v>
      </c>
      <c r="C4128" s="0" t="n">
        <v>2.4</v>
      </c>
      <c r="D4128" s="0" t="n">
        <v>0.464371403</v>
      </c>
    </row>
    <row r="4129" customFormat="false" ht="13.8" hidden="true" customHeight="false" outlineLevel="0" collapsed="false">
      <c r="A4129" s="0" t="s">
        <v>228</v>
      </c>
      <c r="B4129" s="0" t="n">
        <v>27</v>
      </c>
      <c r="C4129" s="0" t="n">
        <v>2.45</v>
      </c>
      <c r="D4129" s="0" t="n">
        <v>0.474045807</v>
      </c>
    </row>
    <row r="4130" customFormat="false" ht="13.8" hidden="true" customHeight="false" outlineLevel="0" collapsed="false">
      <c r="A4130" s="0" t="s">
        <v>228</v>
      </c>
      <c r="B4130" s="0" t="n">
        <v>27</v>
      </c>
      <c r="C4130" s="0" t="n">
        <v>2.5</v>
      </c>
      <c r="D4130" s="0" t="n">
        <v>0.483720212</v>
      </c>
    </row>
    <row r="4131" customFormat="false" ht="13.8" hidden="true" customHeight="false" outlineLevel="0" collapsed="false">
      <c r="A4131" s="0" t="s">
        <v>228</v>
      </c>
      <c r="B4131" s="0" t="n">
        <v>27</v>
      </c>
      <c r="C4131" s="0" t="n">
        <v>2.55</v>
      </c>
      <c r="D4131" s="0" t="n">
        <v>0.493394616</v>
      </c>
    </row>
    <row r="4132" customFormat="false" ht="13.8" hidden="true" customHeight="false" outlineLevel="0" collapsed="false">
      <c r="A4132" s="0" t="s">
        <v>228</v>
      </c>
      <c r="B4132" s="0" t="n">
        <v>27</v>
      </c>
      <c r="C4132" s="0" t="n">
        <v>2.6</v>
      </c>
      <c r="D4132" s="0" t="n">
        <v>0.50306902</v>
      </c>
    </row>
    <row r="4133" customFormat="false" ht="13.8" hidden="true" customHeight="false" outlineLevel="0" collapsed="false">
      <c r="A4133" s="0" t="s">
        <v>124</v>
      </c>
      <c r="B4133" s="0" t="n">
        <v>27</v>
      </c>
      <c r="C4133" s="0" t="n">
        <v>1.3</v>
      </c>
      <c r="D4133" s="0" t="n">
        <v>0</v>
      </c>
    </row>
    <row r="4134" customFormat="false" ht="13.8" hidden="true" customHeight="false" outlineLevel="0" collapsed="false">
      <c r="A4134" s="0" t="s">
        <v>124</v>
      </c>
      <c r="B4134" s="0" t="n">
        <v>27</v>
      </c>
      <c r="C4134" s="0" t="n">
        <v>1.35</v>
      </c>
      <c r="D4134" s="0" t="n">
        <v>0</v>
      </c>
    </row>
    <row r="4135" customFormat="false" ht="13.8" hidden="true" customHeight="false" outlineLevel="0" collapsed="false">
      <c r="A4135" s="0" t="s">
        <v>124</v>
      </c>
      <c r="B4135" s="0" t="n">
        <v>27</v>
      </c>
      <c r="C4135" s="0" t="n">
        <v>1.4</v>
      </c>
      <c r="D4135" s="0" t="n">
        <v>0</v>
      </c>
    </row>
    <row r="4136" customFormat="false" ht="13.8" hidden="true" customHeight="false" outlineLevel="0" collapsed="false">
      <c r="A4136" s="0" t="s">
        <v>124</v>
      </c>
      <c r="B4136" s="0" t="n">
        <v>27</v>
      </c>
      <c r="C4136" s="0" t="n">
        <v>1.45</v>
      </c>
      <c r="D4136" s="0" t="n">
        <v>0</v>
      </c>
    </row>
    <row r="4137" customFormat="false" ht="13.8" hidden="true" customHeight="false" outlineLevel="0" collapsed="false">
      <c r="A4137" s="0" t="s">
        <v>124</v>
      </c>
      <c r="B4137" s="0" t="n">
        <v>27</v>
      </c>
      <c r="C4137" s="0" t="n">
        <v>1.5</v>
      </c>
      <c r="D4137" s="0" t="n">
        <v>0</v>
      </c>
    </row>
    <row r="4138" customFormat="false" ht="13.8" hidden="true" customHeight="false" outlineLevel="0" collapsed="false">
      <c r="A4138" s="0" t="s">
        <v>124</v>
      </c>
      <c r="B4138" s="0" t="n">
        <v>27</v>
      </c>
      <c r="C4138" s="0" t="n">
        <v>1.55</v>
      </c>
      <c r="D4138" s="0" t="n">
        <v>0</v>
      </c>
    </row>
    <row r="4139" customFormat="false" ht="13.8" hidden="true" customHeight="false" outlineLevel="0" collapsed="false">
      <c r="A4139" s="0" t="s">
        <v>124</v>
      </c>
      <c r="B4139" s="0" t="n">
        <v>27</v>
      </c>
      <c r="C4139" s="0" t="n">
        <v>1.6</v>
      </c>
      <c r="D4139" s="0" t="n">
        <v>0.119</v>
      </c>
    </row>
    <row r="4140" customFormat="false" ht="13.8" hidden="true" customHeight="false" outlineLevel="0" collapsed="false">
      <c r="A4140" s="0" t="s">
        <v>124</v>
      </c>
      <c r="B4140" s="0" t="n">
        <v>27</v>
      </c>
      <c r="C4140" s="0" t="n">
        <v>1.65</v>
      </c>
      <c r="D4140" s="0" t="n">
        <v>0.122</v>
      </c>
    </row>
    <row r="4141" customFormat="false" ht="13.8" hidden="true" customHeight="false" outlineLevel="0" collapsed="false">
      <c r="A4141" s="0" t="s">
        <v>124</v>
      </c>
      <c r="B4141" s="0" t="n">
        <v>27</v>
      </c>
      <c r="C4141" s="0" t="n">
        <v>1.7</v>
      </c>
      <c r="D4141" s="0" t="n">
        <v>0.126</v>
      </c>
    </row>
    <row r="4142" customFormat="false" ht="13.8" hidden="true" customHeight="false" outlineLevel="0" collapsed="false">
      <c r="A4142" s="0" t="s">
        <v>124</v>
      </c>
      <c r="B4142" s="0" t="n">
        <v>27</v>
      </c>
      <c r="C4142" s="0" t="n">
        <v>1.75</v>
      </c>
      <c r="D4142" s="0" t="n">
        <v>0.13</v>
      </c>
    </row>
    <row r="4143" customFormat="false" ht="13.8" hidden="true" customHeight="false" outlineLevel="0" collapsed="false">
      <c r="A4143" s="0" t="s">
        <v>124</v>
      </c>
      <c r="B4143" s="0" t="n">
        <v>27</v>
      </c>
      <c r="C4143" s="0" t="n">
        <v>1.8</v>
      </c>
      <c r="D4143" s="0" t="n">
        <v>0.167</v>
      </c>
    </row>
    <row r="4144" customFormat="false" ht="13.8" hidden="true" customHeight="false" outlineLevel="0" collapsed="false">
      <c r="A4144" s="0" t="s">
        <v>124</v>
      </c>
      <c r="B4144" s="0" t="n">
        <v>27</v>
      </c>
      <c r="C4144" s="0" t="n">
        <v>1.85</v>
      </c>
      <c r="D4144" s="0" t="n">
        <v>0.172</v>
      </c>
    </row>
    <row r="4145" customFormat="false" ht="13.8" hidden="true" customHeight="false" outlineLevel="0" collapsed="false">
      <c r="A4145" s="0" t="s">
        <v>124</v>
      </c>
      <c r="B4145" s="0" t="n">
        <v>27</v>
      </c>
      <c r="C4145" s="0" t="n">
        <v>1.9</v>
      </c>
      <c r="D4145" s="0" t="n">
        <v>0.176</v>
      </c>
    </row>
    <row r="4146" customFormat="false" ht="13.8" hidden="true" customHeight="false" outlineLevel="0" collapsed="false">
      <c r="A4146" s="0" t="s">
        <v>124</v>
      </c>
      <c r="B4146" s="0" t="n">
        <v>27</v>
      </c>
      <c r="C4146" s="0" t="n">
        <v>1.95</v>
      </c>
      <c r="D4146" s="0" t="n">
        <v>0.181</v>
      </c>
    </row>
    <row r="4147" customFormat="false" ht="13.8" hidden="true" customHeight="false" outlineLevel="0" collapsed="false">
      <c r="A4147" s="0" t="s">
        <v>124</v>
      </c>
      <c r="B4147" s="0" t="n">
        <v>27</v>
      </c>
      <c r="C4147" s="0" t="n">
        <v>2</v>
      </c>
      <c r="D4147" s="0" t="n">
        <v>0.193</v>
      </c>
    </row>
    <row r="4148" customFormat="false" ht="13.8" hidden="true" customHeight="false" outlineLevel="0" collapsed="false">
      <c r="A4148" s="0" t="s">
        <v>124</v>
      </c>
      <c r="B4148" s="0" t="n">
        <v>27</v>
      </c>
      <c r="C4148" s="0" t="n">
        <v>2.05</v>
      </c>
      <c r="D4148" s="0" t="n">
        <v>0.198</v>
      </c>
    </row>
    <row r="4149" customFormat="false" ht="13.8" hidden="true" customHeight="false" outlineLevel="0" collapsed="false">
      <c r="A4149" s="0" t="s">
        <v>124</v>
      </c>
      <c r="B4149" s="0" t="n">
        <v>27</v>
      </c>
      <c r="C4149" s="0" t="n">
        <v>2.1</v>
      </c>
      <c r="D4149" s="0" t="n">
        <v>0.203</v>
      </c>
    </row>
    <row r="4150" customFormat="false" ht="13.8" hidden="true" customHeight="false" outlineLevel="0" collapsed="false">
      <c r="A4150" s="0" t="s">
        <v>124</v>
      </c>
      <c r="B4150" s="0" t="n">
        <v>27</v>
      </c>
      <c r="C4150" s="0" t="n">
        <v>2.15</v>
      </c>
      <c r="D4150" s="0" t="n">
        <v>0.207999691</v>
      </c>
    </row>
    <row r="4151" customFormat="false" ht="13.8" hidden="true" customHeight="false" outlineLevel="0" collapsed="false">
      <c r="A4151" s="0" t="s">
        <v>124</v>
      </c>
      <c r="B4151" s="0" t="n">
        <v>27</v>
      </c>
      <c r="C4151" s="0" t="n">
        <v>2.2</v>
      </c>
      <c r="D4151" s="0" t="n">
        <v>0.212836893</v>
      </c>
    </row>
    <row r="4152" customFormat="false" ht="13.8" hidden="true" customHeight="false" outlineLevel="0" collapsed="false">
      <c r="A4152" s="0" t="s">
        <v>124</v>
      </c>
      <c r="B4152" s="0" t="n">
        <v>27</v>
      </c>
      <c r="C4152" s="0" t="n">
        <v>2.25</v>
      </c>
      <c r="D4152" s="0" t="n">
        <v>0.217674095</v>
      </c>
    </row>
    <row r="4153" customFormat="false" ht="13.8" hidden="true" customHeight="false" outlineLevel="0" collapsed="false">
      <c r="A4153" s="0" t="s">
        <v>124</v>
      </c>
      <c r="B4153" s="0" t="n">
        <v>27</v>
      </c>
      <c r="C4153" s="0" t="n">
        <v>2.3</v>
      </c>
      <c r="D4153" s="0" t="n">
        <v>0.222511297</v>
      </c>
    </row>
    <row r="4154" customFormat="false" ht="13.8" hidden="true" customHeight="false" outlineLevel="0" collapsed="false">
      <c r="A4154" s="0" t="s">
        <v>124</v>
      </c>
      <c r="B4154" s="0" t="n">
        <v>27</v>
      </c>
      <c r="C4154" s="0" t="n">
        <v>2.35</v>
      </c>
      <c r="D4154" s="0" t="n">
        <v>0.2273485</v>
      </c>
    </row>
    <row r="4155" customFormat="false" ht="13.8" hidden="true" customHeight="false" outlineLevel="0" collapsed="false">
      <c r="A4155" s="0" t="s">
        <v>124</v>
      </c>
      <c r="B4155" s="0" t="n">
        <v>27</v>
      </c>
      <c r="C4155" s="0" t="n">
        <v>2.4</v>
      </c>
      <c r="D4155" s="0" t="n">
        <v>0.232185702</v>
      </c>
    </row>
    <row r="4156" customFormat="false" ht="13.8" hidden="true" customHeight="false" outlineLevel="0" collapsed="false">
      <c r="A4156" s="0" t="s">
        <v>124</v>
      </c>
      <c r="B4156" s="0" t="n">
        <v>27</v>
      </c>
      <c r="C4156" s="0" t="n">
        <v>2.45</v>
      </c>
      <c r="D4156" s="0" t="n">
        <v>0.237022904</v>
      </c>
    </row>
    <row r="4157" customFormat="false" ht="13.8" hidden="true" customHeight="false" outlineLevel="0" collapsed="false">
      <c r="A4157" s="0" t="s">
        <v>124</v>
      </c>
      <c r="B4157" s="0" t="n">
        <v>27</v>
      </c>
      <c r="C4157" s="0" t="n">
        <v>2.5</v>
      </c>
      <c r="D4157" s="0" t="n">
        <v>0.241860106</v>
      </c>
    </row>
    <row r="4158" customFormat="false" ht="13.8" hidden="true" customHeight="false" outlineLevel="0" collapsed="false">
      <c r="A4158" s="0" t="s">
        <v>124</v>
      </c>
      <c r="B4158" s="0" t="n">
        <v>27</v>
      </c>
      <c r="C4158" s="0" t="n">
        <v>2.55</v>
      </c>
      <c r="D4158" s="0" t="n">
        <v>0.246697308</v>
      </c>
    </row>
    <row r="4159" customFormat="false" ht="13.8" hidden="true" customHeight="false" outlineLevel="0" collapsed="false">
      <c r="A4159" s="0" t="s">
        <v>124</v>
      </c>
      <c r="B4159" s="0" t="n">
        <v>27</v>
      </c>
      <c r="C4159" s="0" t="n">
        <v>2.6</v>
      </c>
      <c r="D4159" s="0" t="n">
        <v>0.25153451</v>
      </c>
    </row>
    <row r="4160" customFormat="false" ht="13.8" hidden="true" customHeight="false" outlineLevel="0" collapsed="false">
      <c r="A4160" s="0" t="s">
        <v>229</v>
      </c>
      <c r="B4160" s="0" t="n">
        <v>27</v>
      </c>
      <c r="C4160" s="0" t="n">
        <v>1.3</v>
      </c>
      <c r="D4160" s="0" t="n">
        <v>0</v>
      </c>
    </row>
    <row r="4161" customFormat="false" ht="13.8" hidden="true" customHeight="false" outlineLevel="0" collapsed="false">
      <c r="A4161" s="0" t="s">
        <v>229</v>
      </c>
      <c r="B4161" s="0" t="n">
        <v>27</v>
      </c>
      <c r="C4161" s="0" t="n">
        <v>1.35</v>
      </c>
      <c r="D4161" s="0" t="n">
        <v>0</v>
      </c>
    </row>
    <row r="4162" customFormat="false" ht="13.8" hidden="true" customHeight="false" outlineLevel="0" collapsed="false">
      <c r="A4162" s="0" t="s">
        <v>229</v>
      </c>
      <c r="B4162" s="0" t="n">
        <v>27</v>
      </c>
      <c r="C4162" s="0" t="n">
        <v>1.4</v>
      </c>
      <c r="D4162" s="0" t="n">
        <v>0</v>
      </c>
    </row>
    <row r="4163" customFormat="false" ht="13.8" hidden="true" customHeight="false" outlineLevel="0" collapsed="false">
      <c r="A4163" s="0" t="s">
        <v>229</v>
      </c>
      <c r="B4163" s="0" t="n">
        <v>27</v>
      </c>
      <c r="C4163" s="0" t="n">
        <v>1.45</v>
      </c>
      <c r="D4163" s="0" t="n">
        <v>0</v>
      </c>
    </row>
    <row r="4164" customFormat="false" ht="13.8" hidden="true" customHeight="false" outlineLevel="0" collapsed="false">
      <c r="A4164" s="0" t="s">
        <v>229</v>
      </c>
      <c r="B4164" s="0" t="n">
        <v>27</v>
      </c>
      <c r="C4164" s="0" t="n">
        <v>1.5</v>
      </c>
      <c r="D4164" s="0" t="n">
        <v>0</v>
      </c>
    </row>
    <row r="4165" customFormat="false" ht="13.8" hidden="true" customHeight="false" outlineLevel="0" collapsed="false">
      <c r="A4165" s="0" t="s">
        <v>229</v>
      </c>
      <c r="B4165" s="0" t="n">
        <v>27</v>
      </c>
      <c r="C4165" s="0" t="n">
        <v>1.55</v>
      </c>
      <c r="D4165" s="0" t="n">
        <v>0</v>
      </c>
    </row>
    <row r="4166" customFormat="false" ht="13.8" hidden="true" customHeight="false" outlineLevel="0" collapsed="false">
      <c r="A4166" s="0" t="s">
        <v>229</v>
      </c>
      <c r="B4166" s="0" t="n">
        <v>27</v>
      </c>
      <c r="C4166" s="0" t="n">
        <v>1.6</v>
      </c>
      <c r="D4166" s="0" t="n">
        <v>0.119</v>
      </c>
    </row>
    <row r="4167" customFormat="false" ht="13.8" hidden="true" customHeight="false" outlineLevel="0" collapsed="false">
      <c r="A4167" s="0" t="s">
        <v>229</v>
      </c>
      <c r="B4167" s="0" t="n">
        <v>27</v>
      </c>
      <c r="C4167" s="0" t="n">
        <v>1.65</v>
      </c>
      <c r="D4167" s="0" t="n">
        <v>0.122</v>
      </c>
    </row>
    <row r="4168" customFormat="false" ht="13.8" hidden="true" customHeight="false" outlineLevel="0" collapsed="false">
      <c r="A4168" s="0" t="s">
        <v>229</v>
      </c>
      <c r="B4168" s="0" t="n">
        <v>27</v>
      </c>
      <c r="C4168" s="0" t="n">
        <v>1.7</v>
      </c>
      <c r="D4168" s="0" t="n">
        <v>0.126</v>
      </c>
    </row>
    <row r="4169" customFormat="false" ht="13.8" hidden="true" customHeight="false" outlineLevel="0" collapsed="false">
      <c r="A4169" s="0" t="s">
        <v>229</v>
      </c>
      <c r="B4169" s="0" t="n">
        <v>27</v>
      </c>
      <c r="C4169" s="0" t="n">
        <v>1.75</v>
      </c>
      <c r="D4169" s="0" t="n">
        <v>0.13</v>
      </c>
    </row>
    <row r="4170" customFormat="false" ht="13.8" hidden="true" customHeight="false" outlineLevel="0" collapsed="false">
      <c r="A4170" s="0" t="s">
        <v>229</v>
      </c>
      <c r="B4170" s="0" t="n">
        <v>27</v>
      </c>
      <c r="C4170" s="0" t="n">
        <v>1.8</v>
      </c>
      <c r="D4170" s="0" t="n">
        <v>0.167</v>
      </c>
    </row>
    <row r="4171" customFormat="false" ht="13.8" hidden="true" customHeight="false" outlineLevel="0" collapsed="false">
      <c r="A4171" s="0" t="s">
        <v>229</v>
      </c>
      <c r="B4171" s="0" t="n">
        <v>27</v>
      </c>
      <c r="C4171" s="0" t="n">
        <v>1.85</v>
      </c>
      <c r="D4171" s="0" t="n">
        <v>0.172</v>
      </c>
    </row>
    <row r="4172" customFormat="false" ht="13.8" hidden="true" customHeight="false" outlineLevel="0" collapsed="false">
      <c r="A4172" s="0" t="s">
        <v>229</v>
      </c>
      <c r="B4172" s="0" t="n">
        <v>27</v>
      </c>
      <c r="C4172" s="0" t="n">
        <v>1.9</v>
      </c>
      <c r="D4172" s="0" t="n">
        <v>0.176</v>
      </c>
    </row>
    <row r="4173" customFormat="false" ht="13.8" hidden="true" customHeight="false" outlineLevel="0" collapsed="false">
      <c r="A4173" s="0" t="s">
        <v>229</v>
      </c>
      <c r="B4173" s="0" t="n">
        <v>27</v>
      </c>
      <c r="C4173" s="0" t="n">
        <v>1.95</v>
      </c>
      <c r="D4173" s="0" t="n">
        <v>0.181</v>
      </c>
    </row>
    <row r="4174" customFormat="false" ht="13.8" hidden="true" customHeight="false" outlineLevel="0" collapsed="false">
      <c r="A4174" s="0" t="s">
        <v>229</v>
      </c>
      <c r="B4174" s="0" t="n">
        <v>27</v>
      </c>
      <c r="C4174" s="0" t="n">
        <v>2</v>
      </c>
      <c r="D4174" s="0" t="n">
        <v>0.193</v>
      </c>
    </row>
    <row r="4175" customFormat="false" ht="13.8" hidden="true" customHeight="false" outlineLevel="0" collapsed="false">
      <c r="A4175" s="0" t="s">
        <v>229</v>
      </c>
      <c r="B4175" s="0" t="n">
        <v>27</v>
      </c>
      <c r="C4175" s="0" t="n">
        <v>2.05</v>
      </c>
      <c r="D4175" s="0" t="n">
        <v>0.198</v>
      </c>
    </row>
    <row r="4176" customFormat="false" ht="13.8" hidden="true" customHeight="false" outlineLevel="0" collapsed="false">
      <c r="A4176" s="0" t="s">
        <v>229</v>
      </c>
      <c r="B4176" s="0" t="n">
        <v>27</v>
      </c>
      <c r="C4176" s="0" t="n">
        <v>2.1</v>
      </c>
      <c r="D4176" s="0" t="n">
        <v>0.203</v>
      </c>
    </row>
    <row r="4177" customFormat="false" ht="13.8" hidden="true" customHeight="false" outlineLevel="0" collapsed="false">
      <c r="A4177" s="0" t="s">
        <v>229</v>
      </c>
      <c r="B4177" s="0" t="n">
        <v>27</v>
      </c>
      <c r="C4177" s="0" t="n">
        <v>2.15</v>
      </c>
      <c r="D4177" s="0" t="n">
        <v>0.207999691</v>
      </c>
    </row>
    <row r="4178" customFormat="false" ht="13.8" hidden="true" customHeight="false" outlineLevel="0" collapsed="false">
      <c r="A4178" s="0" t="s">
        <v>229</v>
      </c>
      <c r="B4178" s="0" t="n">
        <v>27</v>
      </c>
      <c r="C4178" s="0" t="n">
        <v>2.2</v>
      </c>
      <c r="D4178" s="0" t="n">
        <v>0.212836893</v>
      </c>
    </row>
    <row r="4179" customFormat="false" ht="13.8" hidden="true" customHeight="false" outlineLevel="0" collapsed="false">
      <c r="A4179" s="0" t="s">
        <v>229</v>
      </c>
      <c r="B4179" s="0" t="n">
        <v>27</v>
      </c>
      <c r="C4179" s="0" t="n">
        <v>2.25</v>
      </c>
      <c r="D4179" s="0" t="n">
        <v>0.217674095</v>
      </c>
    </row>
    <row r="4180" customFormat="false" ht="13.8" hidden="true" customHeight="false" outlineLevel="0" collapsed="false">
      <c r="A4180" s="0" t="s">
        <v>229</v>
      </c>
      <c r="B4180" s="0" t="n">
        <v>27</v>
      </c>
      <c r="C4180" s="0" t="n">
        <v>2.3</v>
      </c>
      <c r="D4180" s="0" t="n">
        <v>0.222511297</v>
      </c>
    </row>
    <row r="4181" customFormat="false" ht="13.8" hidden="true" customHeight="false" outlineLevel="0" collapsed="false">
      <c r="A4181" s="0" t="s">
        <v>229</v>
      </c>
      <c r="B4181" s="0" t="n">
        <v>27</v>
      </c>
      <c r="C4181" s="0" t="n">
        <v>2.35</v>
      </c>
      <c r="D4181" s="0" t="n">
        <v>0.2273485</v>
      </c>
    </row>
    <row r="4182" customFormat="false" ht="13.8" hidden="true" customHeight="false" outlineLevel="0" collapsed="false">
      <c r="A4182" s="0" t="s">
        <v>229</v>
      </c>
      <c r="B4182" s="0" t="n">
        <v>27</v>
      </c>
      <c r="C4182" s="0" t="n">
        <v>2.4</v>
      </c>
      <c r="D4182" s="0" t="n">
        <v>0.232185702</v>
      </c>
    </row>
    <row r="4183" customFormat="false" ht="13.8" hidden="true" customHeight="false" outlineLevel="0" collapsed="false">
      <c r="A4183" s="0" t="s">
        <v>229</v>
      </c>
      <c r="B4183" s="0" t="n">
        <v>27</v>
      </c>
      <c r="C4183" s="0" t="n">
        <v>2.45</v>
      </c>
      <c r="D4183" s="0" t="n">
        <v>0.237022904</v>
      </c>
    </row>
    <row r="4184" customFormat="false" ht="13.8" hidden="true" customHeight="false" outlineLevel="0" collapsed="false">
      <c r="A4184" s="0" t="s">
        <v>229</v>
      </c>
      <c r="B4184" s="0" t="n">
        <v>27</v>
      </c>
      <c r="C4184" s="0" t="n">
        <v>2.5</v>
      </c>
      <c r="D4184" s="0" t="n">
        <v>0.241860106</v>
      </c>
    </row>
    <row r="4185" customFormat="false" ht="13.8" hidden="true" customHeight="false" outlineLevel="0" collapsed="false">
      <c r="A4185" s="0" t="s">
        <v>229</v>
      </c>
      <c r="B4185" s="0" t="n">
        <v>27</v>
      </c>
      <c r="C4185" s="0" t="n">
        <v>2.55</v>
      </c>
      <c r="D4185" s="0" t="n">
        <v>0.246697308</v>
      </c>
    </row>
    <row r="4186" customFormat="false" ht="13.8" hidden="true" customHeight="false" outlineLevel="0" collapsed="false">
      <c r="A4186" s="0" t="s">
        <v>229</v>
      </c>
      <c r="B4186" s="0" t="n">
        <v>27</v>
      </c>
      <c r="C4186" s="0" t="n">
        <v>2.6</v>
      </c>
      <c r="D4186" s="0" t="n">
        <v>0.25153451</v>
      </c>
    </row>
    <row r="4187" customFormat="false" ht="13.8" hidden="true" customHeight="false" outlineLevel="0" collapsed="false">
      <c r="A4187" s="0" t="s">
        <v>752</v>
      </c>
      <c r="B4187" s="0" t="n">
        <v>27</v>
      </c>
      <c r="C4187" s="0" t="n">
        <v>1.3</v>
      </c>
      <c r="D4187" s="0" t="n">
        <v>0</v>
      </c>
    </row>
    <row r="4188" customFormat="false" ht="13.8" hidden="true" customHeight="false" outlineLevel="0" collapsed="false">
      <c r="A4188" s="0" t="s">
        <v>752</v>
      </c>
      <c r="B4188" s="0" t="n">
        <v>27</v>
      </c>
      <c r="C4188" s="0" t="n">
        <v>1.35</v>
      </c>
      <c r="D4188" s="0" t="n">
        <v>0</v>
      </c>
    </row>
    <row r="4189" customFormat="false" ht="13.8" hidden="true" customHeight="false" outlineLevel="0" collapsed="false">
      <c r="A4189" s="0" t="s">
        <v>752</v>
      </c>
      <c r="B4189" s="0" t="n">
        <v>27</v>
      </c>
      <c r="C4189" s="0" t="n">
        <v>1.4</v>
      </c>
      <c r="D4189" s="0" t="n">
        <v>0</v>
      </c>
    </row>
    <row r="4190" customFormat="false" ht="13.8" hidden="true" customHeight="false" outlineLevel="0" collapsed="false">
      <c r="A4190" s="0" t="s">
        <v>752</v>
      </c>
      <c r="B4190" s="0" t="n">
        <v>27</v>
      </c>
      <c r="C4190" s="0" t="n">
        <v>1.45</v>
      </c>
      <c r="D4190" s="0" t="n">
        <v>0</v>
      </c>
    </row>
    <row r="4191" customFormat="false" ht="13.8" hidden="true" customHeight="false" outlineLevel="0" collapsed="false">
      <c r="A4191" s="0" t="s">
        <v>752</v>
      </c>
      <c r="B4191" s="0" t="n">
        <v>27</v>
      </c>
      <c r="C4191" s="0" t="n">
        <v>1.5</v>
      </c>
      <c r="D4191" s="0" t="n">
        <v>0</v>
      </c>
    </row>
    <row r="4192" customFormat="false" ht="13.8" hidden="true" customHeight="false" outlineLevel="0" collapsed="false">
      <c r="A4192" s="0" t="s">
        <v>752</v>
      </c>
      <c r="B4192" s="0" t="n">
        <v>27</v>
      </c>
      <c r="C4192" s="0" t="n">
        <v>1.55</v>
      </c>
      <c r="D4192" s="0" t="n">
        <v>0</v>
      </c>
    </row>
    <row r="4193" customFormat="false" ht="13.8" hidden="true" customHeight="false" outlineLevel="0" collapsed="false">
      <c r="A4193" s="0" t="s">
        <v>752</v>
      </c>
      <c r="B4193" s="0" t="n">
        <v>27</v>
      </c>
      <c r="C4193" s="0" t="n">
        <v>1.6</v>
      </c>
      <c r="D4193" s="0" t="n">
        <v>0.119</v>
      </c>
    </row>
    <row r="4194" customFormat="false" ht="13.8" hidden="true" customHeight="false" outlineLevel="0" collapsed="false">
      <c r="A4194" s="0" t="s">
        <v>752</v>
      </c>
      <c r="B4194" s="0" t="n">
        <v>27</v>
      </c>
      <c r="C4194" s="0" t="n">
        <v>1.65</v>
      </c>
      <c r="D4194" s="0" t="n">
        <v>0.122</v>
      </c>
    </row>
    <row r="4195" customFormat="false" ht="13.8" hidden="true" customHeight="false" outlineLevel="0" collapsed="false">
      <c r="A4195" s="0" t="s">
        <v>752</v>
      </c>
      <c r="B4195" s="0" t="n">
        <v>27</v>
      </c>
      <c r="C4195" s="0" t="n">
        <v>1.7</v>
      </c>
      <c r="D4195" s="0" t="n">
        <v>0.126</v>
      </c>
    </row>
    <row r="4196" customFormat="false" ht="13.8" hidden="true" customHeight="false" outlineLevel="0" collapsed="false">
      <c r="A4196" s="0" t="s">
        <v>752</v>
      </c>
      <c r="B4196" s="0" t="n">
        <v>27</v>
      </c>
      <c r="C4196" s="0" t="n">
        <v>1.75</v>
      </c>
      <c r="D4196" s="0" t="n">
        <v>0.13</v>
      </c>
    </row>
    <row r="4197" customFormat="false" ht="13.8" hidden="true" customHeight="false" outlineLevel="0" collapsed="false">
      <c r="A4197" s="0" t="s">
        <v>752</v>
      </c>
      <c r="B4197" s="0" t="n">
        <v>27</v>
      </c>
      <c r="C4197" s="0" t="n">
        <v>1.8</v>
      </c>
      <c r="D4197" s="0" t="n">
        <v>0.167</v>
      </c>
    </row>
    <row r="4198" customFormat="false" ht="13.8" hidden="true" customHeight="false" outlineLevel="0" collapsed="false">
      <c r="A4198" s="0" t="s">
        <v>752</v>
      </c>
      <c r="B4198" s="0" t="n">
        <v>27</v>
      </c>
      <c r="C4198" s="0" t="n">
        <v>1.85</v>
      </c>
      <c r="D4198" s="0" t="n">
        <v>0.172</v>
      </c>
    </row>
    <row r="4199" customFormat="false" ht="13.8" hidden="true" customHeight="false" outlineLevel="0" collapsed="false">
      <c r="A4199" s="0" t="s">
        <v>752</v>
      </c>
      <c r="B4199" s="0" t="n">
        <v>27</v>
      </c>
      <c r="C4199" s="0" t="n">
        <v>1.9</v>
      </c>
      <c r="D4199" s="0" t="n">
        <v>0.176</v>
      </c>
    </row>
    <row r="4200" customFormat="false" ht="13.8" hidden="true" customHeight="false" outlineLevel="0" collapsed="false">
      <c r="A4200" s="0" t="s">
        <v>752</v>
      </c>
      <c r="B4200" s="0" t="n">
        <v>27</v>
      </c>
      <c r="C4200" s="0" t="n">
        <v>1.95</v>
      </c>
      <c r="D4200" s="0" t="n">
        <v>0.181</v>
      </c>
    </row>
    <row r="4201" customFormat="false" ht="13.8" hidden="true" customHeight="false" outlineLevel="0" collapsed="false">
      <c r="A4201" s="0" t="s">
        <v>752</v>
      </c>
      <c r="B4201" s="0" t="n">
        <v>27</v>
      </c>
      <c r="C4201" s="0" t="n">
        <v>2</v>
      </c>
      <c r="D4201" s="0" t="n">
        <v>0.193</v>
      </c>
    </row>
    <row r="4202" customFormat="false" ht="13.8" hidden="true" customHeight="false" outlineLevel="0" collapsed="false">
      <c r="A4202" s="0" t="s">
        <v>752</v>
      </c>
      <c r="B4202" s="0" t="n">
        <v>27</v>
      </c>
      <c r="C4202" s="0" t="n">
        <v>2.05</v>
      </c>
      <c r="D4202" s="0" t="n">
        <v>0.198</v>
      </c>
    </row>
    <row r="4203" customFormat="false" ht="13.8" hidden="true" customHeight="false" outlineLevel="0" collapsed="false">
      <c r="A4203" s="0" t="s">
        <v>752</v>
      </c>
      <c r="B4203" s="0" t="n">
        <v>27</v>
      </c>
      <c r="C4203" s="0" t="n">
        <v>2.1</v>
      </c>
      <c r="D4203" s="0" t="n">
        <v>0.203</v>
      </c>
    </row>
    <row r="4204" customFormat="false" ht="13.8" hidden="true" customHeight="false" outlineLevel="0" collapsed="false">
      <c r="A4204" s="0" t="s">
        <v>752</v>
      </c>
      <c r="B4204" s="0" t="n">
        <v>27</v>
      </c>
      <c r="C4204" s="0" t="n">
        <v>2.15</v>
      </c>
      <c r="D4204" s="0" t="n">
        <v>0.207999691</v>
      </c>
    </row>
    <row r="4205" customFormat="false" ht="13.8" hidden="true" customHeight="false" outlineLevel="0" collapsed="false">
      <c r="A4205" s="0" t="s">
        <v>752</v>
      </c>
      <c r="B4205" s="0" t="n">
        <v>27</v>
      </c>
      <c r="C4205" s="0" t="n">
        <v>2.2</v>
      </c>
      <c r="D4205" s="0" t="n">
        <v>0.212836893</v>
      </c>
    </row>
    <row r="4206" customFormat="false" ht="13.8" hidden="true" customHeight="false" outlineLevel="0" collapsed="false">
      <c r="A4206" s="0" t="s">
        <v>752</v>
      </c>
      <c r="B4206" s="0" t="n">
        <v>27</v>
      </c>
      <c r="C4206" s="0" t="n">
        <v>2.25</v>
      </c>
      <c r="D4206" s="0" t="n">
        <v>0.217674095</v>
      </c>
    </row>
    <row r="4207" customFormat="false" ht="13.8" hidden="true" customHeight="false" outlineLevel="0" collapsed="false">
      <c r="A4207" s="0" t="s">
        <v>752</v>
      </c>
      <c r="B4207" s="0" t="n">
        <v>27</v>
      </c>
      <c r="C4207" s="0" t="n">
        <v>2.3</v>
      </c>
      <c r="D4207" s="0" t="n">
        <v>0.222511297</v>
      </c>
    </row>
    <row r="4208" customFormat="false" ht="13.8" hidden="true" customHeight="false" outlineLevel="0" collapsed="false">
      <c r="A4208" s="0" t="s">
        <v>752</v>
      </c>
      <c r="B4208" s="0" t="n">
        <v>27</v>
      </c>
      <c r="C4208" s="0" t="n">
        <v>2.35</v>
      </c>
      <c r="D4208" s="0" t="n">
        <v>0.2273485</v>
      </c>
    </row>
    <row r="4209" customFormat="false" ht="13.8" hidden="true" customHeight="false" outlineLevel="0" collapsed="false">
      <c r="A4209" s="0" t="s">
        <v>752</v>
      </c>
      <c r="B4209" s="0" t="n">
        <v>27</v>
      </c>
      <c r="C4209" s="0" t="n">
        <v>2.4</v>
      </c>
      <c r="D4209" s="0" t="n">
        <v>0.232185702</v>
      </c>
    </row>
    <row r="4210" customFormat="false" ht="13.8" hidden="true" customHeight="false" outlineLevel="0" collapsed="false">
      <c r="A4210" s="0" t="s">
        <v>752</v>
      </c>
      <c r="B4210" s="0" t="n">
        <v>27</v>
      </c>
      <c r="C4210" s="0" t="n">
        <v>2.45</v>
      </c>
      <c r="D4210" s="0" t="n">
        <v>0.237022904</v>
      </c>
    </row>
    <row r="4211" customFormat="false" ht="13.8" hidden="true" customHeight="false" outlineLevel="0" collapsed="false">
      <c r="A4211" s="0" t="s">
        <v>752</v>
      </c>
      <c r="B4211" s="0" t="n">
        <v>27</v>
      </c>
      <c r="C4211" s="0" t="n">
        <v>2.5</v>
      </c>
      <c r="D4211" s="0" t="n">
        <v>0.241860106</v>
      </c>
    </row>
    <row r="4212" customFormat="false" ht="13.8" hidden="true" customHeight="false" outlineLevel="0" collapsed="false">
      <c r="A4212" s="0" t="s">
        <v>752</v>
      </c>
      <c r="B4212" s="0" t="n">
        <v>27</v>
      </c>
      <c r="C4212" s="0" t="n">
        <v>2.55</v>
      </c>
      <c r="D4212" s="0" t="n">
        <v>0.246697308</v>
      </c>
    </row>
    <row r="4213" customFormat="false" ht="13.8" hidden="true" customHeight="false" outlineLevel="0" collapsed="false">
      <c r="A4213" s="0" t="s">
        <v>752</v>
      </c>
      <c r="B4213" s="0" t="n">
        <v>27</v>
      </c>
      <c r="C4213" s="0" t="n">
        <v>2.6</v>
      </c>
      <c r="D4213" s="0" t="n">
        <v>0.25153451</v>
      </c>
    </row>
    <row r="4214" customFormat="false" ht="13.8" hidden="true" customHeight="false" outlineLevel="0" collapsed="false">
      <c r="A4214" s="0" t="s">
        <v>230</v>
      </c>
      <c r="B4214" s="0" t="n">
        <v>28</v>
      </c>
      <c r="C4214" s="0" t="n">
        <v>1.3</v>
      </c>
      <c r="D4214" s="0" t="n">
        <v>0</v>
      </c>
    </row>
    <row r="4215" customFormat="false" ht="13.8" hidden="true" customHeight="false" outlineLevel="0" collapsed="false">
      <c r="A4215" s="0" t="s">
        <v>230</v>
      </c>
      <c r="B4215" s="0" t="n">
        <v>28</v>
      </c>
      <c r="C4215" s="0" t="n">
        <v>1.35</v>
      </c>
      <c r="D4215" s="0" t="n">
        <v>0</v>
      </c>
    </row>
    <row r="4216" customFormat="false" ht="13.8" hidden="true" customHeight="false" outlineLevel="0" collapsed="false">
      <c r="A4216" s="0" t="s">
        <v>230</v>
      </c>
      <c r="B4216" s="0" t="n">
        <v>28</v>
      </c>
      <c r="C4216" s="0" t="n">
        <v>1.4</v>
      </c>
      <c r="D4216" s="0" t="n">
        <v>0</v>
      </c>
    </row>
    <row r="4217" customFormat="false" ht="13.8" hidden="true" customHeight="false" outlineLevel="0" collapsed="false">
      <c r="A4217" s="0" t="s">
        <v>230</v>
      </c>
      <c r="B4217" s="0" t="n">
        <v>28</v>
      </c>
      <c r="C4217" s="0" t="n">
        <v>1.45</v>
      </c>
      <c r="D4217" s="0" t="n">
        <v>0</v>
      </c>
    </row>
    <row r="4218" customFormat="false" ht="13.8" hidden="true" customHeight="false" outlineLevel="0" collapsed="false">
      <c r="A4218" s="0" t="s">
        <v>230</v>
      </c>
      <c r="B4218" s="0" t="n">
        <v>28</v>
      </c>
      <c r="C4218" s="0" t="n">
        <v>1.5</v>
      </c>
      <c r="D4218" s="0" t="n">
        <v>0</v>
      </c>
    </row>
    <row r="4219" customFormat="false" ht="13.8" hidden="true" customHeight="false" outlineLevel="0" collapsed="false">
      <c r="A4219" s="0" t="s">
        <v>230</v>
      </c>
      <c r="B4219" s="0" t="n">
        <v>28</v>
      </c>
      <c r="C4219" s="0" t="n">
        <v>1.55</v>
      </c>
      <c r="D4219" s="0" t="n">
        <v>0</v>
      </c>
    </row>
    <row r="4220" customFormat="false" ht="13.8" hidden="true" customHeight="false" outlineLevel="0" collapsed="false">
      <c r="A4220" s="0" t="s">
        <v>230</v>
      </c>
      <c r="B4220" s="0" t="n">
        <v>28</v>
      </c>
      <c r="C4220" s="0" t="n">
        <v>1.6</v>
      </c>
      <c r="D4220" s="0" t="n">
        <v>0.254</v>
      </c>
    </row>
    <row r="4221" customFormat="false" ht="13.8" hidden="true" customHeight="false" outlineLevel="0" collapsed="false">
      <c r="A4221" s="0" t="s">
        <v>230</v>
      </c>
      <c r="B4221" s="0" t="n">
        <v>28</v>
      </c>
      <c r="C4221" s="0" t="n">
        <v>1.65</v>
      </c>
      <c r="D4221" s="0" t="n">
        <v>0.261</v>
      </c>
    </row>
    <row r="4222" customFormat="false" ht="13.8" hidden="true" customHeight="false" outlineLevel="0" collapsed="false">
      <c r="A4222" s="0" t="s">
        <v>230</v>
      </c>
      <c r="B4222" s="0" t="n">
        <v>28</v>
      </c>
      <c r="C4222" s="0" t="n">
        <v>1.7</v>
      </c>
      <c r="D4222" s="0" t="n">
        <v>0</v>
      </c>
    </row>
    <row r="4223" customFormat="false" ht="13.8" hidden="true" customHeight="false" outlineLevel="0" collapsed="false">
      <c r="A4223" s="0" t="s">
        <v>230</v>
      </c>
      <c r="B4223" s="0" t="n">
        <v>28</v>
      </c>
      <c r="C4223" s="0" t="n">
        <v>1.75</v>
      </c>
      <c r="D4223" s="0" t="n">
        <v>0</v>
      </c>
    </row>
    <row r="4224" customFormat="false" ht="13.8" hidden="true" customHeight="false" outlineLevel="0" collapsed="false">
      <c r="A4224" s="0" t="s">
        <v>230</v>
      </c>
      <c r="B4224" s="0" t="n">
        <v>28</v>
      </c>
      <c r="C4224" s="0" t="n">
        <v>1.8</v>
      </c>
      <c r="D4224" s="0" t="n">
        <v>0</v>
      </c>
    </row>
    <row r="4225" customFormat="false" ht="13.8" hidden="true" customHeight="false" outlineLevel="0" collapsed="false">
      <c r="A4225" s="0" t="s">
        <v>230</v>
      </c>
      <c r="B4225" s="0" t="n">
        <v>28</v>
      </c>
      <c r="C4225" s="0" t="n">
        <v>1.85</v>
      </c>
      <c r="D4225" s="0" t="n">
        <v>0</v>
      </c>
    </row>
    <row r="4226" customFormat="false" ht="13.8" hidden="true" customHeight="false" outlineLevel="0" collapsed="false">
      <c r="A4226" s="0" t="s">
        <v>230</v>
      </c>
      <c r="B4226" s="0" t="n">
        <v>28</v>
      </c>
      <c r="C4226" s="0" t="n">
        <v>1.9</v>
      </c>
      <c r="D4226" s="0" t="n">
        <v>0</v>
      </c>
    </row>
    <row r="4227" customFormat="false" ht="13.8" hidden="true" customHeight="false" outlineLevel="0" collapsed="false">
      <c r="A4227" s="0" t="s">
        <v>230</v>
      </c>
      <c r="B4227" s="0" t="n">
        <v>28</v>
      </c>
      <c r="C4227" s="0" t="n">
        <v>1.95</v>
      </c>
      <c r="D4227" s="0" t="n">
        <v>0</v>
      </c>
    </row>
    <row r="4228" customFormat="false" ht="13.8" hidden="true" customHeight="false" outlineLevel="0" collapsed="false">
      <c r="A4228" s="0" t="s">
        <v>230</v>
      </c>
      <c r="B4228" s="0" t="n">
        <v>28</v>
      </c>
      <c r="C4228" s="0" t="n">
        <v>2</v>
      </c>
      <c r="D4228" s="0" t="n">
        <v>0</v>
      </c>
    </row>
    <row r="4229" customFormat="false" ht="13.8" hidden="true" customHeight="false" outlineLevel="0" collapsed="false">
      <c r="A4229" s="0" t="s">
        <v>230</v>
      </c>
      <c r="B4229" s="0" t="n">
        <v>28</v>
      </c>
      <c r="C4229" s="0" t="n">
        <v>2.05</v>
      </c>
      <c r="D4229" s="0" t="n">
        <v>0</v>
      </c>
    </row>
    <row r="4230" customFormat="false" ht="13.8" hidden="true" customHeight="false" outlineLevel="0" collapsed="false">
      <c r="A4230" s="0" t="s">
        <v>230</v>
      </c>
      <c r="B4230" s="0" t="n">
        <v>28</v>
      </c>
      <c r="C4230" s="0" t="n">
        <v>2.1</v>
      </c>
      <c r="D4230" s="0" t="n">
        <v>0</v>
      </c>
    </row>
    <row r="4231" customFormat="false" ht="13.8" hidden="true" customHeight="false" outlineLevel="0" collapsed="false">
      <c r="A4231" s="0" t="s">
        <v>230</v>
      </c>
      <c r="B4231" s="0" t="n">
        <v>28</v>
      </c>
      <c r="C4231" s="0" t="n">
        <v>2.15</v>
      </c>
      <c r="D4231" s="0" t="n">
        <v>0</v>
      </c>
    </row>
    <row r="4232" customFormat="false" ht="13.8" hidden="true" customHeight="false" outlineLevel="0" collapsed="false">
      <c r="A4232" s="0" t="s">
        <v>230</v>
      </c>
      <c r="B4232" s="0" t="n">
        <v>28</v>
      </c>
      <c r="C4232" s="0" t="n">
        <v>2.2</v>
      </c>
      <c r="D4232" s="0" t="n">
        <v>0</v>
      </c>
    </row>
    <row r="4233" customFormat="false" ht="13.8" hidden="true" customHeight="false" outlineLevel="0" collapsed="false">
      <c r="A4233" s="0" t="s">
        <v>230</v>
      </c>
      <c r="B4233" s="0" t="n">
        <v>28</v>
      </c>
      <c r="C4233" s="0" t="n">
        <v>2.25</v>
      </c>
      <c r="D4233" s="0" t="n">
        <v>0</v>
      </c>
    </row>
    <row r="4234" customFormat="false" ht="13.8" hidden="true" customHeight="false" outlineLevel="0" collapsed="false">
      <c r="A4234" s="0" t="s">
        <v>230</v>
      </c>
      <c r="B4234" s="0" t="n">
        <v>28</v>
      </c>
      <c r="C4234" s="0" t="n">
        <v>2.3</v>
      </c>
      <c r="D4234" s="0" t="n">
        <v>0</v>
      </c>
    </row>
    <row r="4235" customFormat="false" ht="13.8" hidden="true" customHeight="false" outlineLevel="0" collapsed="false">
      <c r="A4235" s="0" t="s">
        <v>230</v>
      </c>
      <c r="B4235" s="0" t="n">
        <v>28</v>
      </c>
      <c r="C4235" s="0" t="n">
        <v>2.35</v>
      </c>
      <c r="D4235" s="0" t="n">
        <v>0</v>
      </c>
    </row>
    <row r="4236" customFormat="false" ht="13.8" hidden="true" customHeight="false" outlineLevel="0" collapsed="false">
      <c r="A4236" s="0" t="s">
        <v>230</v>
      </c>
      <c r="B4236" s="0" t="n">
        <v>28</v>
      </c>
      <c r="C4236" s="0" t="n">
        <v>2.4</v>
      </c>
      <c r="D4236" s="0" t="n">
        <v>0</v>
      </c>
    </row>
    <row r="4237" customFormat="false" ht="13.8" hidden="true" customHeight="false" outlineLevel="0" collapsed="false">
      <c r="A4237" s="0" t="s">
        <v>230</v>
      </c>
      <c r="B4237" s="0" t="n">
        <v>28</v>
      </c>
      <c r="C4237" s="0" t="n">
        <v>2.45</v>
      </c>
      <c r="D4237" s="0" t="n">
        <v>0</v>
      </c>
    </row>
    <row r="4238" customFormat="false" ht="13.8" hidden="true" customHeight="false" outlineLevel="0" collapsed="false">
      <c r="A4238" s="0" t="s">
        <v>230</v>
      </c>
      <c r="B4238" s="0" t="n">
        <v>28</v>
      </c>
      <c r="C4238" s="0" t="n">
        <v>2.5</v>
      </c>
      <c r="D4238" s="0" t="n">
        <v>0</v>
      </c>
    </row>
    <row r="4239" customFormat="false" ht="13.8" hidden="true" customHeight="false" outlineLevel="0" collapsed="false">
      <c r="A4239" s="0" t="s">
        <v>230</v>
      </c>
      <c r="B4239" s="0" t="n">
        <v>28</v>
      </c>
      <c r="C4239" s="0" t="n">
        <v>2.55</v>
      </c>
      <c r="D4239" s="0" t="n">
        <v>0</v>
      </c>
    </row>
    <row r="4240" customFormat="false" ht="13.8" hidden="true" customHeight="false" outlineLevel="0" collapsed="false">
      <c r="A4240" s="0" t="s">
        <v>230</v>
      </c>
      <c r="B4240" s="0" t="n">
        <v>28</v>
      </c>
      <c r="C4240" s="0" t="n">
        <v>2.6</v>
      </c>
      <c r="D4240" s="0" t="n">
        <v>0</v>
      </c>
    </row>
    <row r="4241" customFormat="false" ht="13.8" hidden="true" customHeight="false" outlineLevel="0" collapsed="false">
      <c r="A4241" s="0" t="s">
        <v>125</v>
      </c>
      <c r="B4241" s="0" t="n">
        <v>28</v>
      </c>
      <c r="C4241" s="0" t="n">
        <v>1.3</v>
      </c>
      <c r="D4241" s="0" t="n">
        <v>0</v>
      </c>
    </row>
    <row r="4242" customFormat="false" ht="13.8" hidden="true" customHeight="false" outlineLevel="0" collapsed="false">
      <c r="A4242" s="0" t="s">
        <v>125</v>
      </c>
      <c r="B4242" s="0" t="n">
        <v>28</v>
      </c>
      <c r="C4242" s="0" t="n">
        <v>1.35</v>
      </c>
      <c r="D4242" s="0" t="n">
        <v>0</v>
      </c>
    </row>
    <row r="4243" customFormat="false" ht="13.8" hidden="true" customHeight="false" outlineLevel="0" collapsed="false">
      <c r="A4243" s="0" t="s">
        <v>125</v>
      </c>
      <c r="B4243" s="0" t="n">
        <v>28</v>
      </c>
      <c r="C4243" s="0" t="n">
        <v>1.4</v>
      </c>
      <c r="D4243" s="0" t="n">
        <v>0</v>
      </c>
    </row>
    <row r="4244" customFormat="false" ht="13.8" hidden="true" customHeight="false" outlineLevel="0" collapsed="false">
      <c r="A4244" s="0" t="s">
        <v>125</v>
      </c>
      <c r="B4244" s="0" t="n">
        <v>28</v>
      </c>
      <c r="C4244" s="0" t="n">
        <v>1.45</v>
      </c>
      <c r="D4244" s="0" t="n">
        <v>0</v>
      </c>
    </row>
    <row r="4245" customFormat="false" ht="13.8" hidden="true" customHeight="false" outlineLevel="0" collapsed="false">
      <c r="A4245" s="0" t="s">
        <v>125</v>
      </c>
      <c r="B4245" s="0" t="n">
        <v>28</v>
      </c>
      <c r="C4245" s="0" t="n">
        <v>1.5</v>
      </c>
      <c r="D4245" s="0" t="n">
        <v>0</v>
      </c>
    </row>
    <row r="4246" customFormat="false" ht="13.8" hidden="true" customHeight="false" outlineLevel="0" collapsed="false">
      <c r="A4246" s="0" t="s">
        <v>125</v>
      </c>
      <c r="B4246" s="0" t="n">
        <v>28</v>
      </c>
      <c r="C4246" s="0" t="n">
        <v>1.55</v>
      </c>
      <c r="D4246" s="0" t="n">
        <v>0</v>
      </c>
    </row>
    <row r="4247" customFormat="false" ht="13.8" hidden="true" customHeight="false" outlineLevel="0" collapsed="false">
      <c r="A4247" s="0" t="s">
        <v>125</v>
      </c>
      <c r="B4247" s="0" t="n">
        <v>28</v>
      </c>
      <c r="C4247" s="0" t="n">
        <v>1.6</v>
      </c>
      <c r="D4247" s="0" t="n">
        <v>0.127</v>
      </c>
    </row>
    <row r="4248" customFormat="false" ht="13.8" hidden="true" customHeight="false" outlineLevel="0" collapsed="false">
      <c r="A4248" s="0" t="s">
        <v>125</v>
      </c>
      <c r="B4248" s="0" t="n">
        <v>28</v>
      </c>
      <c r="C4248" s="0" t="n">
        <v>1.65</v>
      </c>
      <c r="D4248" s="0" t="n">
        <v>0.131</v>
      </c>
    </row>
    <row r="4249" customFormat="false" ht="13.8" hidden="true" customHeight="false" outlineLevel="0" collapsed="false">
      <c r="A4249" s="0" t="s">
        <v>125</v>
      </c>
      <c r="B4249" s="0" t="n">
        <v>28</v>
      </c>
      <c r="C4249" s="0" t="n">
        <v>1.7</v>
      </c>
      <c r="D4249" s="0" t="n">
        <v>0.135</v>
      </c>
    </row>
    <row r="4250" customFormat="false" ht="13.8" hidden="true" customHeight="false" outlineLevel="0" collapsed="false">
      <c r="A4250" s="0" t="s">
        <v>125</v>
      </c>
      <c r="B4250" s="0" t="n">
        <v>28</v>
      </c>
      <c r="C4250" s="0" t="n">
        <v>1.75</v>
      </c>
      <c r="D4250" s="0" t="n">
        <v>0.139</v>
      </c>
    </row>
    <row r="4251" customFormat="false" ht="13.8" hidden="true" customHeight="false" outlineLevel="0" collapsed="false">
      <c r="A4251" s="0" t="s">
        <v>125</v>
      </c>
      <c r="B4251" s="0" t="n">
        <v>28</v>
      </c>
      <c r="C4251" s="0" t="n">
        <v>1.8</v>
      </c>
      <c r="D4251" s="0" t="n">
        <v>0.143</v>
      </c>
    </row>
    <row r="4252" customFormat="false" ht="13.8" hidden="true" customHeight="false" outlineLevel="0" collapsed="false">
      <c r="A4252" s="0" t="s">
        <v>125</v>
      </c>
      <c r="B4252" s="0" t="n">
        <v>28</v>
      </c>
      <c r="C4252" s="0" t="n">
        <v>1.85</v>
      </c>
      <c r="D4252" s="0" t="n">
        <v>0.147</v>
      </c>
    </row>
    <row r="4253" customFormat="false" ht="13.8" hidden="true" customHeight="false" outlineLevel="0" collapsed="false">
      <c r="A4253" s="0" t="s">
        <v>125</v>
      </c>
      <c r="B4253" s="0" t="n">
        <v>28</v>
      </c>
      <c r="C4253" s="0" t="n">
        <v>1.9</v>
      </c>
      <c r="D4253" s="0" t="n">
        <v>0.151</v>
      </c>
    </row>
    <row r="4254" customFormat="false" ht="13.8" hidden="true" customHeight="false" outlineLevel="0" collapsed="false">
      <c r="A4254" s="0" t="s">
        <v>125</v>
      </c>
      <c r="B4254" s="0" t="n">
        <v>28</v>
      </c>
      <c r="C4254" s="0" t="n">
        <v>1.95</v>
      </c>
      <c r="D4254" s="0" t="n">
        <v>0.155</v>
      </c>
    </row>
    <row r="4255" customFormat="false" ht="13.8" hidden="true" customHeight="false" outlineLevel="0" collapsed="false">
      <c r="A4255" s="0" t="s">
        <v>125</v>
      </c>
      <c r="B4255" s="0" t="n">
        <v>28</v>
      </c>
      <c r="C4255" s="0" t="n">
        <v>2</v>
      </c>
      <c r="D4255" s="0" t="n">
        <v>0.16</v>
      </c>
    </row>
    <row r="4256" customFormat="false" ht="13.8" hidden="true" customHeight="false" outlineLevel="0" collapsed="false">
      <c r="A4256" s="0" t="s">
        <v>125</v>
      </c>
      <c r="B4256" s="0" t="n">
        <v>28</v>
      </c>
      <c r="C4256" s="0" t="n">
        <v>2.05</v>
      </c>
      <c r="D4256" s="0" t="n">
        <v>0.164</v>
      </c>
    </row>
    <row r="4257" customFormat="false" ht="13.8" hidden="true" customHeight="false" outlineLevel="0" collapsed="false">
      <c r="A4257" s="0" t="s">
        <v>125</v>
      </c>
      <c r="B4257" s="0" t="n">
        <v>28</v>
      </c>
      <c r="C4257" s="0" t="n">
        <v>2.1</v>
      </c>
      <c r="D4257" s="0" t="n">
        <v>0.167</v>
      </c>
    </row>
    <row r="4258" customFormat="false" ht="13.8" hidden="true" customHeight="false" outlineLevel="0" collapsed="false">
      <c r="A4258" s="0" t="s">
        <v>125</v>
      </c>
      <c r="B4258" s="0" t="n">
        <v>28</v>
      </c>
      <c r="C4258" s="0" t="n">
        <v>2.15</v>
      </c>
      <c r="D4258" s="0" t="n">
        <v>0.171486931</v>
      </c>
    </row>
    <row r="4259" customFormat="false" ht="13.8" hidden="true" customHeight="false" outlineLevel="0" collapsed="false">
      <c r="A4259" s="0" t="s">
        <v>125</v>
      </c>
      <c r="B4259" s="0" t="n">
        <v>28</v>
      </c>
      <c r="C4259" s="0" t="n">
        <v>2.2</v>
      </c>
      <c r="D4259" s="0" t="n">
        <v>0.184538134</v>
      </c>
    </row>
    <row r="4260" customFormat="false" ht="13.8" hidden="true" customHeight="false" outlineLevel="0" collapsed="false">
      <c r="A4260" s="0" t="s">
        <v>125</v>
      </c>
      <c r="B4260" s="0" t="n">
        <v>28</v>
      </c>
      <c r="C4260" s="0" t="n">
        <v>2.25</v>
      </c>
      <c r="D4260" s="0" t="n">
        <v>0.188732182</v>
      </c>
    </row>
    <row r="4261" customFormat="false" ht="13.8" hidden="true" customHeight="false" outlineLevel="0" collapsed="false">
      <c r="A4261" s="0" t="s">
        <v>125</v>
      </c>
      <c r="B4261" s="0" t="n">
        <v>28</v>
      </c>
      <c r="C4261" s="0" t="n">
        <v>2.3</v>
      </c>
      <c r="D4261" s="0" t="n">
        <v>0.192926231</v>
      </c>
    </row>
    <row r="4262" customFormat="false" ht="13.8" hidden="true" customHeight="false" outlineLevel="0" collapsed="false">
      <c r="A4262" s="0" t="s">
        <v>125</v>
      </c>
      <c r="B4262" s="0" t="n">
        <v>28</v>
      </c>
      <c r="C4262" s="0" t="n">
        <v>2.35</v>
      </c>
      <c r="D4262" s="0" t="n">
        <v>0.197120279</v>
      </c>
    </row>
    <row r="4263" customFormat="false" ht="13.8" hidden="true" customHeight="false" outlineLevel="0" collapsed="false">
      <c r="A4263" s="0" t="s">
        <v>125</v>
      </c>
      <c r="B4263" s="0" t="n">
        <v>28</v>
      </c>
      <c r="C4263" s="0" t="n">
        <v>2.4</v>
      </c>
      <c r="D4263" s="0" t="n">
        <v>0.201314327</v>
      </c>
    </row>
    <row r="4264" customFormat="false" ht="13.8" hidden="true" customHeight="false" outlineLevel="0" collapsed="false">
      <c r="A4264" s="0" t="s">
        <v>125</v>
      </c>
      <c r="B4264" s="0" t="n">
        <v>28</v>
      </c>
      <c r="C4264" s="0" t="n">
        <v>2.45</v>
      </c>
      <c r="D4264" s="0" t="n">
        <v>0.205508376</v>
      </c>
    </row>
    <row r="4265" customFormat="false" ht="13.8" hidden="true" customHeight="false" outlineLevel="0" collapsed="false">
      <c r="A4265" s="0" t="s">
        <v>125</v>
      </c>
      <c r="B4265" s="0" t="n">
        <v>28</v>
      </c>
      <c r="C4265" s="0" t="n">
        <v>2.5</v>
      </c>
      <c r="D4265" s="0" t="n">
        <v>0.209702424</v>
      </c>
    </row>
    <row r="4266" customFormat="false" ht="13.8" hidden="true" customHeight="false" outlineLevel="0" collapsed="false">
      <c r="A4266" s="0" t="s">
        <v>125</v>
      </c>
      <c r="B4266" s="0" t="n">
        <v>28</v>
      </c>
      <c r="C4266" s="0" t="n">
        <v>2.55</v>
      </c>
      <c r="D4266" s="0" t="n">
        <v>0.213896473</v>
      </c>
    </row>
    <row r="4267" customFormat="false" ht="13.8" hidden="true" customHeight="false" outlineLevel="0" collapsed="false">
      <c r="A4267" s="0" t="s">
        <v>125</v>
      </c>
      <c r="B4267" s="0" t="n">
        <v>28</v>
      </c>
      <c r="C4267" s="0" t="n">
        <v>2.6</v>
      </c>
      <c r="D4267" s="0" t="n">
        <v>0.218090521</v>
      </c>
    </row>
    <row r="4268" customFormat="false" ht="13.8" hidden="true" customHeight="false" outlineLevel="0" collapsed="false">
      <c r="A4268" s="0" t="s">
        <v>231</v>
      </c>
      <c r="B4268" s="0" t="n">
        <v>28</v>
      </c>
      <c r="C4268" s="0" t="n">
        <v>1.3</v>
      </c>
      <c r="D4268" s="0" t="n">
        <v>0</v>
      </c>
    </row>
    <row r="4269" customFormat="false" ht="13.8" hidden="true" customHeight="false" outlineLevel="0" collapsed="false">
      <c r="A4269" s="0" t="s">
        <v>231</v>
      </c>
      <c r="B4269" s="0" t="n">
        <v>28</v>
      </c>
      <c r="C4269" s="0" t="n">
        <v>1.35</v>
      </c>
      <c r="D4269" s="0" t="n">
        <v>0</v>
      </c>
    </row>
    <row r="4270" customFormat="false" ht="13.8" hidden="true" customHeight="false" outlineLevel="0" collapsed="false">
      <c r="A4270" s="0" t="s">
        <v>231</v>
      </c>
      <c r="B4270" s="0" t="n">
        <v>28</v>
      </c>
      <c r="C4270" s="0" t="n">
        <v>1.4</v>
      </c>
      <c r="D4270" s="0" t="n">
        <v>0</v>
      </c>
    </row>
    <row r="4271" customFormat="false" ht="13.8" hidden="true" customHeight="false" outlineLevel="0" collapsed="false">
      <c r="A4271" s="0" t="s">
        <v>231</v>
      </c>
      <c r="B4271" s="0" t="n">
        <v>28</v>
      </c>
      <c r="C4271" s="0" t="n">
        <v>1.45</v>
      </c>
      <c r="D4271" s="0" t="n">
        <v>0</v>
      </c>
    </row>
    <row r="4272" customFormat="false" ht="13.8" hidden="true" customHeight="false" outlineLevel="0" collapsed="false">
      <c r="A4272" s="0" t="s">
        <v>231</v>
      </c>
      <c r="B4272" s="0" t="n">
        <v>28</v>
      </c>
      <c r="C4272" s="0" t="n">
        <v>1.5</v>
      </c>
      <c r="D4272" s="0" t="n">
        <v>0</v>
      </c>
    </row>
    <row r="4273" customFormat="false" ht="13.8" hidden="true" customHeight="false" outlineLevel="0" collapsed="false">
      <c r="A4273" s="0" t="s">
        <v>231</v>
      </c>
      <c r="B4273" s="0" t="n">
        <v>28</v>
      </c>
      <c r="C4273" s="0" t="n">
        <v>1.55</v>
      </c>
      <c r="D4273" s="0" t="n">
        <v>0</v>
      </c>
    </row>
    <row r="4274" customFormat="false" ht="13.8" hidden="true" customHeight="false" outlineLevel="0" collapsed="false">
      <c r="A4274" s="0" t="s">
        <v>231</v>
      </c>
      <c r="B4274" s="0" t="n">
        <v>28</v>
      </c>
      <c r="C4274" s="0" t="n">
        <v>1.6</v>
      </c>
      <c r="D4274" s="0" t="n">
        <v>0.127</v>
      </c>
    </row>
    <row r="4275" customFormat="false" ht="13.8" hidden="true" customHeight="false" outlineLevel="0" collapsed="false">
      <c r="A4275" s="0" t="s">
        <v>231</v>
      </c>
      <c r="B4275" s="0" t="n">
        <v>28</v>
      </c>
      <c r="C4275" s="0" t="n">
        <v>1.65</v>
      </c>
      <c r="D4275" s="0" t="n">
        <v>0.131</v>
      </c>
    </row>
    <row r="4276" customFormat="false" ht="13.8" hidden="true" customHeight="false" outlineLevel="0" collapsed="false">
      <c r="A4276" s="0" t="s">
        <v>231</v>
      </c>
      <c r="B4276" s="0" t="n">
        <v>28</v>
      </c>
      <c r="C4276" s="0" t="n">
        <v>1.7</v>
      </c>
      <c r="D4276" s="0" t="n">
        <v>0.135</v>
      </c>
    </row>
    <row r="4277" customFormat="false" ht="13.8" hidden="true" customHeight="false" outlineLevel="0" collapsed="false">
      <c r="A4277" s="0" t="s">
        <v>231</v>
      </c>
      <c r="B4277" s="0" t="n">
        <v>28</v>
      </c>
      <c r="C4277" s="0" t="n">
        <v>1.75</v>
      </c>
      <c r="D4277" s="0" t="n">
        <v>0.139</v>
      </c>
    </row>
    <row r="4278" customFormat="false" ht="13.8" hidden="true" customHeight="false" outlineLevel="0" collapsed="false">
      <c r="A4278" s="0" t="s">
        <v>231</v>
      </c>
      <c r="B4278" s="0" t="n">
        <v>28</v>
      </c>
      <c r="C4278" s="0" t="n">
        <v>1.8</v>
      </c>
      <c r="D4278" s="0" t="n">
        <v>0.143</v>
      </c>
    </row>
    <row r="4279" customFormat="false" ht="13.8" hidden="true" customHeight="false" outlineLevel="0" collapsed="false">
      <c r="A4279" s="0" t="s">
        <v>231</v>
      </c>
      <c r="B4279" s="0" t="n">
        <v>28</v>
      </c>
      <c r="C4279" s="0" t="n">
        <v>1.85</v>
      </c>
      <c r="D4279" s="0" t="n">
        <v>0.147</v>
      </c>
    </row>
    <row r="4280" customFormat="false" ht="13.8" hidden="true" customHeight="false" outlineLevel="0" collapsed="false">
      <c r="A4280" s="0" t="s">
        <v>231</v>
      </c>
      <c r="B4280" s="0" t="n">
        <v>28</v>
      </c>
      <c r="C4280" s="0" t="n">
        <v>1.9</v>
      </c>
      <c r="D4280" s="0" t="n">
        <v>0.151</v>
      </c>
    </row>
    <row r="4281" customFormat="false" ht="13.8" hidden="true" customHeight="false" outlineLevel="0" collapsed="false">
      <c r="A4281" s="0" t="s">
        <v>231</v>
      </c>
      <c r="B4281" s="0" t="n">
        <v>28</v>
      </c>
      <c r="C4281" s="0" t="n">
        <v>1.95</v>
      </c>
      <c r="D4281" s="0" t="n">
        <v>0.155</v>
      </c>
    </row>
    <row r="4282" customFormat="false" ht="13.8" hidden="true" customHeight="false" outlineLevel="0" collapsed="false">
      <c r="A4282" s="0" t="s">
        <v>231</v>
      </c>
      <c r="B4282" s="0" t="n">
        <v>28</v>
      </c>
      <c r="C4282" s="0" t="n">
        <v>2</v>
      </c>
      <c r="D4282" s="0" t="n">
        <v>0.16</v>
      </c>
    </row>
    <row r="4283" customFormat="false" ht="13.8" hidden="true" customHeight="false" outlineLevel="0" collapsed="false">
      <c r="A4283" s="0" t="s">
        <v>231</v>
      </c>
      <c r="B4283" s="0" t="n">
        <v>28</v>
      </c>
      <c r="C4283" s="0" t="n">
        <v>2.05</v>
      </c>
      <c r="D4283" s="0" t="n">
        <v>0.164</v>
      </c>
    </row>
    <row r="4284" customFormat="false" ht="13.8" hidden="true" customHeight="false" outlineLevel="0" collapsed="false">
      <c r="A4284" s="0" t="s">
        <v>231</v>
      </c>
      <c r="B4284" s="0" t="n">
        <v>28</v>
      </c>
      <c r="C4284" s="0" t="n">
        <v>2.1</v>
      </c>
      <c r="D4284" s="0" t="n">
        <v>0.167</v>
      </c>
    </row>
    <row r="4285" customFormat="false" ht="13.8" hidden="true" customHeight="false" outlineLevel="0" collapsed="false">
      <c r="A4285" s="0" t="s">
        <v>231</v>
      </c>
      <c r="B4285" s="0" t="n">
        <v>28</v>
      </c>
      <c r="C4285" s="0" t="n">
        <v>2.15</v>
      </c>
      <c r="D4285" s="0" t="n">
        <v>0.171486931</v>
      </c>
    </row>
    <row r="4286" customFormat="false" ht="13.8" hidden="true" customHeight="false" outlineLevel="0" collapsed="false">
      <c r="A4286" s="0" t="s">
        <v>231</v>
      </c>
      <c r="B4286" s="0" t="n">
        <v>28</v>
      </c>
      <c r="C4286" s="0" t="n">
        <v>2.2</v>
      </c>
      <c r="D4286" s="0" t="n">
        <v>0.184538134</v>
      </c>
    </row>
    <row r="4287" customFormat="false" ht="13.8" hidden="true" customHeight="false" outlineLevel="0" collapsed="false">
      <c r="A4287" s="0" t="s">
        <v>231</v>
      </c>
      <c r="B4287" s="0" t="n">
        <v>28</v>
      </c>
      <c r="C4287" s="0" t="n">
        <v>2.25</v>
      </c>
      <c r="D4287" s="0" t="n">
        <v>0.188732182</v>
      </c>
    </row>
    <row r="4288" customFormat="false" ht="13.8" hidden="true" customHeight="false" outlineLevel="0" collapsed="false">
      <c r="A4288" s="0" t="s">
        <v>231</v>
      </c>
      <c r="B4288" s="0" t="n">
        <v>28</v>
      </c>
      <c r="C4288" s="0" t="n">
        <v>2.3</v>
      </c>
      <c r="D4288" s="0" t="n">
        <v>0.192926231</v>
      </c>
    </row>
    <row r="4289" customFormat="false" ht="13.8" hidden="true" customHeight="false" outlineLevel="0" collapsed="false">
      <c r="A4289" s="0" t="s">
        <v>231</v>
      </c>
      <c r="B4289" s="0" t="n">
        <v>28</v>
      </c>
      <c r="C4289" s="0" t="n">
        <v>2.35</v>
      </c>
      <c r="D4289" s="0" t="n">
        <v>0.197120279</v>
      </c>
    </row>
    <row r="4290" customFormat="false" ht="13.8" hidden="true" customHeight="false" outlineLevel="0" collapsed="false">
      <c r="A4290" s="0" t="s">
        <v>231</v>
      </c>
      <c r="B4290" s="0" t="n">
        <v>28</v>
      </c>
      <c r="C4290" s="0" t="n">
        <v>2.4</v>
      </c>
      <c r="D4290" s="0" t="n">
        <v>0.201314327</v>
      </c>
    </row>
    <row r="4291" customFormat="false" ht="13.8" hidden="true" customHeight="false" outlineLevel="0" collapsed="false">
      <c r="A4291" s="0" t="s">
        <v>231</v>
      </c>
      <c r="B4291" s="0" t="n">
        <v>28</v>
      </c>
      <c r="C4291" s="0" t="n">
        <v>2.45</v>
      </c>
      <c r="D4291" s="0" t="n">
        <v>0.205508376</v>
      </c>
    </row>
    <row r="4292" customFormat="false" ht="13.8" hidden="true" customHeight="false" outlineLevel="0" collapsed="false">
      <c r="A4292" s="0" t="s">
        <v>231</v>
      </c>
      <c r="B4292" s="0" t="n">
        <v>28</v>
      </c>
      <c r="C4292" s="0" t="n">
        <v>2.5</v>
      </c>
      <c r="D4292" s="0" t="n">
        <v>0.209702424</v>
      </c>
    </row>
    <row r="4293" customFormat="false" ht="13.8" hidden="true" customHeight="false" outlineLevel="0" collapsed="false">
      <c r="A4293" s="0" t="s">
        <v>231</v>
      </c>
      <c r="B4293" s="0" t="n">
        <v>28</v>
      </c>
      <c r="C4293" s="0" t="n">
        <v>2.55</v>
      </c>
      <c r="D4293" s="0" t="n">
        <v>0.213896473</v>
      </c>
    </row>
    <row r="4294" customFormat="false" ht="13.8" hidden="true" customHeight="false" outlineLevel="0" collapsed="false">
      <c r="A4294" s="0" t="s">
        <v>231</v>
      </c>
      <c r="B4294" s="0" t="n">
        <v>28</v>
      </c>
      <c r="C4294" s="0" t="n">
        <v>2.6</v>
      </c>
      <c r="D4294" s="0" t="n">
        <v>0.218090521</v>
      </c>
    </row>
    <row r="4295" customFormat="false" ht="13.8" hidden="true" customHeight="false" outlineLevel="0" collapsed="false">
      <c r="A4295" s="0" t="s">
        <v>761</v>
      </c>
      <c r="B4295" s="0" t="n">
        <v>28</v>
      </c>
      <c r="C4295" s="0" t="n">
        <v>1.3</v>
      </c>
      <c r="D4295" s="0" t="n">
        <v>0</v>
      </c>
    </row>
    <row r="4296" customFormat="false" ht="13.8" hidden="true" customHeight="false" outlineLevel="0" collapsed="false">
      <c r="A4296" s="0" t="s">
        <v>761</v>
      </c>
      <c r="B4296" s="0" t="n">
        <v>28</v>
      </c>
      <c r="C4296" s="0" t="n">
        <v>1.35</v>
      </c>
      <c r="D4296" s="0" t="n">
        <v>0</v>
      </c>
    </row>
    <row r="4297" customFormat="false" ht="13.8" hidden="true" customHeight="false" outlineLevel="0" collapsed="false">
      <c r="A4297" s="0" t="s">
        <v>761</v>
      </c>
      <c r="B4297" s="0" t="n">
        <v>28</v>
      </c>
      <c r="C4297" s="0" t="n">
        <v>1.4</v>
      </c>
      <c r="D4297" s="0" t="n">
        <v>0</v>
      </c>
    </row>
    <row r="4298" customFormat="false" ht="13.8" hidden="true" customHeight="false" outlineLevel="0" collapsed="false">
      <c r="A4298" s="0" t="s">
        <v>761</v>
      </c>
      <c r="B4298" s="0" t="n">
        <v>28</v>
      </c>
      <c r="C4298" s="0" t="n">
        <v>1.45</v>
      </c>
      <c r="D4298" s="0" t="n">
        <v>0</v>
      </c>
    </row>
    <row r="4299" customFormat="false" ht="13.8" hidden="true" customHeight="false" outlineLevel="0" collapsed="false">
      <c r="A4299" s="0" t="s">
        <v>761</v>
      </c>
      <c r="B4299" s="0" t="n">
        <v>28</v>
      </c>
      <c r="C4299" s="0" t="n">
        <v>1.5</v>
      </c>
      <c r="D4299" s="0" t="n">
        <v>0</v>
      </c>
    </row>
    <row r="4300" customFormat="false" ht="13.8" hidden="true" customHeight="false" outlineLevel="0" collapsed="false">
      <c r="A4300" s="0" t="s">
        <v>761</v>
      </c>
      <c r="B4300" s="0" t="n">
        <v>28</v>
      </c>
      <c r="C4300" s="0" t="n">
        <v>1.55</v>
      </c>
      <c r="D4300" s="0" t="n">
        <v>0</v>
      </c>
    </row>
    <row r="4301" customFormat="false" ht="13.8" hidden="true" customHeight="false" outlineLevel="0" collapsed="false">
      <c r="A4301" s="0" t="s">
        <v>761</v>
      </c>
      <c r="B4301" s="0" t="n">
        <v>28</v>
      </c>
      <c r="C4301" s="0" t="n">
        <v>1.6</v>
      </c>
      <c r="D4301" s="0" t="n">
        <v>0.127</v>
      </c>
    </row>
    <row r="4302" customFormat="false" ht="13.8" hidden="true" customHeight="false" outlineLevel="0" collapsed="false">
      <c r="A4302" s="0" t="s">
        <v>761</v>
      </c>
      <c r="B4302" s="0" t="n">
        <v>28</v>
      </c>
      <c r="C4302" s="0" t="n">
        <v>1.65</v>
      </c>
      <c r="D4302" s="0" t="n">
        <v>0.131</v>
      </c>
    </row>
    <row r="4303" customFormat="false" ht="13.8" hidden="true" customHeight="false" outlineLevel="0" collapsed="false">
      <c r="A4303" s="0" t="s">
        <v>761</v>
      </c>
      <c r="B4303" s="0" t="n">
        <v>28</v>
      </c>
      <c r="C4303" s="0" t="n">
        <v>1.7</v>
      </c>
      <c r="D4303" s="0" t="n">
        <v>0.135</v>
      </c>
    </row>
    <row r="4304" customFormat="false" ht="13.8" hidden="true" customHeight="false" outlineLevel="0" collapsed="false">
      <c r="A4304" s="0" t="s">
        <v>761</v>
      </c>
      <c r="B4304" s="0" t="n">
        <v>28</v>
      </c>
      <c r="C4304" s="0" t="n">
        <v>1.75</v>
      </c>
      <c r="D4304" s="0" t="n">
        <v>0.139</v>
      </c>
    </row>
    <row r="4305" customFormat="false" ht="13.8" hidden="true" customHeight="false" outlineLevel="0" collapsed="false">
      <c r="A4305" s="0" t="s">
        <v>761</v>
      </c>
      <c r="B4305" s="0" t="n">
        <v>28</v>
      </c>
      <c r="C4305" s="0" t="n">
        <v>1.8</v>
      </c>
      <c r="D4305" s="0" t="n">
        <v>0.143</v>
      </c>
    </row>
    <row r="4306" customFormat="false" ht="13.8" hidden="true" customHeight="false" outlineLevel="0" collapsed="false">
      <c r="A4306" s="0" t="s">
        <v>761</v>
      </c>
      <c r="B4306" s="0" t="n">
        <v>28</v>
      </c>
      <c r="C4306" s="0" t="n">
        <v>1.85</v>
      </c>
      <c r="D4306" s="0" t="n">
        <v>0.147</v>
      </c>
    </row>
    <row r="4307" customFormat="false" ht="13.8" hidden="true" customHeight="false" outlineLevel="0" collapsed="false">
      <c r="A4307" s="0" t="s">
        <v>761</v>
      </c>
      <c r="B4307" s="0" t="n">
        <v>28</v>
      </c>
      <c r="C4307" s="0" t="n">
        <v>1.9</v>
      </c>
      <c r="D4307" s="0" t="n">
        <v>0.151</v>
      </c>
    </row>
    <row r="4308" customFormat="false" ht="13.8" hidden="true" customHeight="false" outlineLevel="0" collapsed="false">
      <c r="A4308" s="0" t="s">
        <v>761</v>
      </c>
      <c r="B4308" s="0" t="n">
        <v>28</v>
      </c>
      <c r="C4308" s="0" t="n">
        <v>1.95</v>
      </c>
      <c r="D4308" s="0" t="n">
        <v>0.155</v>
      </c>
    </row>
    <row r="4309" customFormat="false" ht="13.8" hidden="true" customHeight="false" outlineLevel="0" collapsed="false">
      <c r="A4309" s="0" t="s">
        <v>761</v>
      </c>
      <c r="B4309" s="0" t="n">
        <v>28</v>
      </c>
      <c r="C4309" s="0" t="n">
        <v>2</v>
      </c>
      <c r="D4309" s="0" t="n">
        <v>0.16</v>
      </c>
    </row>
    <row r="4310" customFormat="false" ht="13.8" hidden="true" customHeight="false" outlineLevel="0" collapsed="false">
      <c r="A4310" s="0" t="s">
        <v>761</v>
      </c>
      <c r="B4310" s="0" t="n">
        <v>28</v>
      </c>
      <c r="C4310" s="0" t="n">
        <v>2.05</v>
      </c>
      <c r="D4310" s="0" t="n">
        <v>0.164</v>
      </c>
    </row>
    <row r="4311" customFormat="false" ht="13.8" hidden="true" customHeight="false" outlineLevel="0" collapsed="false">
      <c r="A4311" s="0" t="s">
        <v>761</v>
      </c>
      <c r="B4311" s="0" t="n">
        <v>28</v>
      </c>
      <c r="C4311" s="0" t="n">
        <v>2.1</v>
      </c>
      <c r="D4311" s="0" t="n">
        <v>0.167</v>
      </c>
    </row>
    <row r="4312" customFormat="false" ht="13.8" hidden="true" customHeight="false" outlineLevel="0" collapsed="false">
      <c r="A4312" s="0" t="s">
        <v>761</v>
      </c>
      <c r="B4312" s="0" t="n">
        <v>28</v>
      </c>
      <c r="C4312" s="0" t="n">
        <v>2.15</v>
      </c>
      <c r="D4312" s="0" t="n">
        <v>0.171486931</v>
      </c>
    </row>
    <row r="4313" customFormat="false" ht="13.8" hidden="true" customHeight="false" outlineLevel="0" collapsed="false">
      <c r="A4313" s="0" t="s">
        <v>761</v>
      </c>
      <c r="B4313" s="0" t="n">
        <v>28</v>
      </c>
      <c r="C4313" s="0" t="n">
        <v>2.2</v>
      </c>
      <c r="D4313" s="0" t="n">
        <v>0.184538134</v>
      </c>
    </row>
    <row r="4314" customFormat="false" ht="13.8" hidden="true" customHeight="false" outlineLevel="0" collapsed="false">
      <c r="A4314" s="0" t="s">
        <v>761</v>
      </c>
      <c r="B4314" s="0" t="n">
        <v>28</v>
      </c>
      <c r="C4314" s="0" t="n">
        <v>2.25</v>
      </c>
      <c r="D4314" s="0" t="n">
        <v>0.188732182</v>
      </c>
    </row>
    <row r="4315" customFormat="false" ht="13.8" hidden="true" customHeight="false" outlineLevel="0" collapsed="false">
      <c r="A4315" s="0" t="s">
        <v>761</v>
      </c>
      <c r="B4315" s="0" t="n">
        <v>28</v>
      </c>
      <c r="C4315" s="0" t="n">
        <v>2.3</v>
      </c>
      <c r="D4315" s="0" t="n">
        <v>0.192926231</v>
      </c>
    </row>
    <row r="4316" customFormat="false" ht="13.8" hidden="true" customHeight="false" outlineLevel="0" collapsed="false">
      <c r="A4316" s="0" t="s">
        <v>761</v>
      </c>
      <c r="B4316" s="0" t="n">
        <v>28</v>
      </c>
      <c r="C4316" s="0" t="n">
        <v>2.35</v>
      </c>
      <c r="D4316" s="0" t="n">
        <v>0.197120279</v>
      </c>
    </row>
    <row r="4317" customFormat="false" ht="13.8" hidden="true" customHeight="false" outlineLevel="0" collapsed="false">
      <c r="A4317" s="0" t="s">
        <v>761</v>
      </c>
      <c r="B4317" s="0" t="n">
        <v>28</v>
      </c>
      <c r="C4317" s="0" t="n">
        <v>2.4</v>
      </c>
      <c r="D4317" s="0" t="n">
        <v>0.201314327</v>
      </c>
    </row>
    <row r="4318" customFormat="false" ht="13.8" hidden="true" customHeight="false" outlineLevel="0" collapsed="false">
      <c r="A4318" s="0" t="s">
        <v>761</v>
      </c>
      <c r="B4318" s="0" t="n">
        <v>28</v>
      </c>
      <c r="C4318" s="0" t="n">
        <v>2.45</v>
      </c>
      <c r="D4318" s="0" t="n">
        <v>0.205508376</v>
      </c>
    </row>
    <row r="4319" customFormat="false" ht="13.8" hidden="true" customHeight="false" outlineLevel="0" collapsed="false">
      <c r="A4319" s="0" t="s">
        <v>761</v>
      </c>
      <c r="B4319" s="0" t="n">
        <v>28</v>
      </c>
      <c r="C4319" s="0" t="n">
        <v>2.5</v>
      </c>
      <c r="D4319" s="0" t="n">
        <v>0.209702424</v>
      </c>
    </row>
    <row r="4320" customFormat="false" ht="13.8" hidden="true" customHeight="false" outlineLevel="0" collapsed="false">
      <c r="A4320" s="0" t="s">
        <v>761</v>
      </c>
      <c r="B4320" s="0" t="n">
        <v>28</v>
      </c>
      <c r="C4320" s="0" t="n">
        <v>2.55</v>
      </c>
      <c r="D4320" s="0" t="n">
        <v>0.213896473</v>
      </c>
    </row>
    <row r="4321" customFormat="false" ht="13.8" hidden="true" customHeight="false" outlineLevel="0" collapsed="false">
      <c r="A4321" s="0" t="s">
        <v>761</v>
      </c>
      <c r="B4321" s="0" t="n">
        <v>28</v>
      </c>
      <c r="C4321" s="0" t="n">
        <v>2.6</v>
      </c>
      <c r="D4321" s="0" t="n">
        <v>0.218090521</v>
      </c>
    </row>
    <row r="4322" customFormat="false" ht="13.8" hidden="true" customHeight="false" outlineLevel="0" collapsed="false">
      <c r="A4322" s="0" t="s">
        <v>764</v>
      </c>
      <c r="B4322" s="0" t="n">
        <v>28</v>
      </c>
      <c r="C4322" s="0" t="n">
        <v>1.3</v>
      </c>
      <c r="D4322" s="0" t="n">
        <v>0</v>
      </c>
    </row>
    <row r="4323" customFormat="false" ht="13.8" hidden="true" customHeight="false" outlineLevel="0" collapsed="false">
      <c r="A4323" s="0" t="s">
        <v>764</v>
      </c>
      <c r="B4323" s="0" t="n">
        <v>28</v>
      </c>
      <c r="C4323" s="0" t="n">
        <v>1.35</v>
      </c>
      <c r="D4323" s="0" t="n">
        <v>0</v>
      </c>
    </row>
    <row r="4324" customFormat="false" ht="13.8" hidden="true" customHeight="false" outlineLevel="0" collapsed="false">
      <c r="A4324" s="0" t="s">
        <v>764</v>
      </c>
      <c r="B4324" s="0" t="n">
        <v>28</v>
      </c>
      <c r="C4324" s="0" t="n">
        <v>1.4</v>
      </c>
      <c r="D4324" s="0" t="n">
        <v>0</v>
      </c>
    </row>
    <row r="4325" customFormat="false" ht="13.8" hidden="true" customHeight="false" outlineLevel="0" collapsed="false">
      <c r="A4325" s="0" t="s">
        <v>764</v>
      </c>
      <c r="B4325" s="0" t="n">
        <v>28</v>
      </c>
      <c r="C4325" s="0" t="n">
        <v>1.45</v>
      </c>
      <c r="D4325" s="0" t="n">
        <v>0</v>
      </c>
    </row>
    <row r="4326" customFormat="false" ht="13.8" hidden="true" customHeight="false" outlineLevel="0" collapsed="false">
      <c r="A4326" s="0" t="s">
        <v>764</v>
      </c>
      <c r="B4326" s="0" t="n">
        <v>28</v>
      </c>
      <c r="C4326" s="0" t="n">
        <v>1.5</v>
      </c>
      <c r="D4326" s="0" t="n">
        <v>0</v>
      </c>
    </row>
    <row r="4327" customFormat="false" ht="13.8" hidden="true" customHeight="false" outlineLevel="0" collapsed="false">
      <c r="A4327" s="0" t="s">
        <v>764</v>
      </c>
      <c r="B4327" s="0" t="n">
        <v>28</v>
      </c>
      <c r="C4327" s="0" t="n">
        <v>1.55</v>
      </c>
      <c r="D4327" s="0" t="n">
        <v>0</v>
      </c>
    </row>
    <row r="4328" customFormat="false" ht="13.8" hidden="true" customHeight="false" outlineLevel="0" collapsed="false">
      <c r="A4328" s="0" t="s">
        <v>764</v>
      </c>
      <c r="B4328" s="0" t="n">
        <v>28</v>
      </c>
      <c r="C4328" s="0" t="n">
        <v>1.6</v>
      </c>
      <c r="D4328" s="0" t="n">
        <v>0.127</v>
      </c>
    </row>
    <row r="4329" customFormat="false" ht="13.8" hidden="true" customHeight="false" outlineLevel="0" collapsed="false">
      <c r="A4329" s="0" t="s">
        <v>764</v>
      </c>
      <c r="B4329" s="0" t="n">
        <v>28</v>
      </c>
      <c r="C4329" s="0" t="n">
        <v>1.65</v>
      </c>
      <c r="D4329" s="0" t="n">
        <v>0.131</v>
      </c>
    </row>
    <row r="4330" customFormat="false" ht="13.8" hidden="true" customHeight="false" outlineLevel="0" collapsed="false">
      <c r="A4330" s="0" t="s">
        <v>764</v>
      </c>
      <c r="B4330" s="0" t="n">
        <v>28</v>
      </c>
      <c r="C4330" s="0" t="n">
        <v>1.7</v>
      </c>
      <c r="D4330" s="0" t="n">
        <v>0.135</v>
      </c>
    </row>
    <row r="4331" customFormat="false" ht="13.8" hidden="true" customHeight="false" outlineLevel="0" collapsed="false">
      <c r="A4331" s="0" t="s">
        <v>764</v>
      </c>
      <c r="B4331" s="0" t="n">
        <v>28</v>
      </c>
      <c r="C4331" s="0" t="n">
        <v>1.75</v>
      </c>
      <c r="D4331" s="0" t="n">
        <v>0.139</v>
      </c>
    </row>
    <row r="4332" customFormat="false" ht="13.8" hidden="true" customHeight="false" outlineLevel="0" collapsed="false">
      <c r="A4332" s="0" t="s">
        <v>764</v>
      </c>
      <c r="B4332" s="0" t="n">
        <v>28</v>
      </c>
      <c r="C4332" s="0" t="n">
        <v>1.8</v>
      </c>
      <c r="D4332" s="0" t="n">
        <v>0.143</v>
      </c>
    </row>
    <row r="4333" customFormat="false" ht="13.8" hidden="true" customHeight="false" outlineLevel="0" collapsed="false">
      <c r="A4333" s="0" t="s">
        <v>764</v>
      </c>
      <c r="B4333" s="0" t="n">
        <v>28</v>
      </c>
      <c r="C4333" s="0" t="n">
        <v>1.85</v>
      </c>
      <c r="D4333" s="0" t="n">
        <v>0.147</v>
      </c>
    </row>
    <row r="4334" customFormat="false" ht="13.8" hidden="true" customHeight="false" outlineLevel="0" collapsed="false">
      <c r="A4334" s="0" t="s">
        <v>764</v>
      </c>
      <c r="B4334" s="0" t="n">
        <v>28</v>
      </c>
      <c r="C4334" s="0" t="n">
        <v>1.9</v>
      </c>
      <c r="D4334" s="0" t="n">
        <v>0.151</v>
      </c>
    </row>
    <row r="4335" customFormat="false" ht="13.8" hidden="true" customHeight="false" outlineLevel="0" collapsed="false">
      <c r="A4335" s="0" t="s">
        <v>764</v>
      </c>
      <c r="B4335" s="0" t="n">
        <v>28</v>
      </c>
      <c r="C4335" s="0" t="n">
        <v>1.95</v>
      </c>
      <c r="D4335" s="0" t="n">
        <v>0.155</v>
      </c>
    </row>
    <row r="4336" customFormat="false" ht="13.8" hidden="true" customHeight="false" outlineLevel="0" collapsed="false">
      <c r="A4336" s="0" t="s">
        <v>764</v>
      </c>
      <c r="B4336" s="0" t="n">
        <v>28</v>
      </c>
      <c r="C4336" s="0" t="n">
        <v>2</v>
      </c>
      <c r="D4336" s="0" t="n">
        <v>0.16</v>
      </c>
    </row>
    <row r="4337" customFormat="false" ht="13.8" hidden="true" customHeight="false" outlineLevel="0" collapsed="false">
      <c r="A4337" s="0" t="s">
        <v>764</v>
      </c>
      <c r="B4337" s="0" t="n">
        <v>28</v>
      </c>
      <c r="C4337" s="0" t="n">
        <v>2.05</v>
      </c>
      <c r="D4337" s="0" t="n">
        <v>0.164</v>
      </c>
    </row>
    <row r="4338" customFormat="false" ht="13.8" hidden="true" customHeight="false" outlineLevel="0" collapsed="false">
      <c r="A4338" s="0" t="s">
        <v>764</v>
      </c>
      <c r="B4338" s="0" t="n">
        <v>28</v>
      </c>
      <c r="C4338" s="0" t="n">
        <v>2.1</v>
      </c>
      <c r="D4338" s="0" t="n">
        <v>0.167</v>
      </c>
    </row>
    <row r="4339" customFormat="false" ht="13.8" hidden="true" customHeight="false" outlineLevel="0" collapsed="false">
      <c r="A4339" s="0" t="s">
        <v>764</v>
      </c>
      <c r="B4339" s="0" t="n">
        <v>28</v>
      </c>
      <c r="C4339" s="0" t="n">
        <v>2.15</v>
      </c>
      <c r="D4339" s="0" t="n">
        <v>0.171486931</v>
      </c>
    </row>
    <row r="4340" customFormat="false" ht="13.8" hidden="true" customHeight="false" outlineLevel="0" collapsed="false">
      <c r="A4340" s="0" t="s">
        <v>764</v>
      </c>
      <c r="B4340" s="0" t="n">
        <v>28</v>
      </c>
      <c r="C4340" s="0" t="n">
        <v>2.2</v>
      </c>
      <c r="D4340" s="0" t="n">
        <v>0.184538134</v>
      </c>
    </row>
    <row r="4341" customFormat="false" ht="13.8" hidden="true" customHeight="false" outlineLevel="0" collapsed="false">
      <c r="A4341" s="0" t="s">
        <v>764</v>
      </c>
      <c r="B4341" s="0" t="n">
        <v>28</v>
      </c>
      <c r="C4341" s="0" t="n">
        <v>2.25</v>
      </c>
      <c r="D4341" s="0" t="n">
        <v>0.188732182</v>
      </c>
    </row>
    <row r="4342" customFormat="false" ht="13.8" hidden="true" customHeight="false" outlineLevel="0" collapsed="false">
      <c r="A4342" s="0" t="s">
        <v>764</v>
      </c>
      <c r="B4342" s="0" t="n">
        <v>28</v>
      </c>
      <c r="C4342" s="0" t="n">
        <v>2.3</v>
      </c>
      <c r="D4342" s="0" t="n">
        <v>0.192926231</v>
      </c>
    </row>
    <row r="4343" customFormat="false" ht="13.8" hidden="true" customHeight="false" outlineLevel="0" collapsed="false">
      <c r="A4343" s="0" t="s">
        <v>764</v>
      </c>
      <c r="B4343" s="0" t="n">
        <v>28</v>
      </c>
      <c r="C4343" s="0" t="n">
        <v>2.35</v>
      </c>
      <c r="D4343" s="0" t="n">
        <v>0.197120279</v>
      </c>
    </row>
    <row r="4344" customFormat="false" ht="13.8" hidden="true" customHeight="false" outlineLevel="0" collapsed="false">
      <c r="A4344" s="0" t="s">
        <v>764</v>
      </c>
      <c r="B4344" s="0" t="n">
        <v>28</v>
      </c>
      <c r="C4344" s="0" t="n">
        <v>2.4</v>
      </c>
      <c r="D4344" s="0" t="n">
        <v>0.201314327</v>
      </c>
    </row>
    <row r="4345" customFormat="false" ht="13.8" hidden="true" customHeight="false" outlineLevel="0" collapsed="false">
      <c r="A4345" s="0" t="s">
        <v>764</v>
      </c>
      <c r="B4345" s="0" t="n">
        <v>28</v>
      </c>
      <c r="C4345" s="0" t="n">
        <v>2.45</v>
      </c>
      <c r="D4345" s="0" t="n">
        <v>0.205508376</v>
      </c>
    </row>
    <row r="4346" customFormat="false" ht="13.8" hidden="true" customHeight="false" outlineLevel="0" collapsed="false">
      <c r="A4346" s="0" t="s">
        <v>764</v>
      </c>
      <c r="B4346" s="0" t="n">
        <v>28</v>
      </c>
      <c r="C4346" s="0" t="n">
        <v>2.5</v>
      </c>
      <c r="D4346" s="0" t="n">
        <v>0.209702424</v>
      </c>
    </row>
    <row r="4347" customFormat="false" ht="13.8" hidden="true" customHeight="false" outlineLevel="0" collapsed="false">
      <c r="A4347" s="0" t="s">
        <v>764</v>
      </c>
      <c r="B4347" s="0" t="n">
        <v>28</v>
      </c>
      <c r="C4347" s="0" t="n">
        <v>2.55</v>
      </c>
      <c r="D4347" s="0" t="n">
        <v>0.213896473</v>
      </c>
    </row>
    <row r="4348" customFormat="false" ht="13.8" hidden="true" customHeight="false" outlineLevel="0" collapsed="false">
      <c r="A4348" s="0" t="s">
        <v>764</v>
      </c>
      <c r="B4348" s="0" t="n">
        <v>28</v>
      </c>
      <c r="C4348" s="0" t="n">
        <v>2.6</v>
      </c>
      <c r="D4348" s="0" t="n">
        <v>0.218090521</v>
      </c>
    </row>
    <row r="4349" customFormat="false" ht="13.8" hidden="true" customHeight="false" outlineLevel="0" collapsed="false">
      <c r="A4349" s="0" t="s">
        <v>767</v>
      </c>
      <c r="B4349" s="0" t="n">
        <v>32</v>
      </c>
      <c r="C4349" s="0" t="n">
        <v>1.3</v>
      </c>
      <c r="D4349" s="0" t="n">
        <v>0</v>
      </c>
    </row>
    <row r="4350" customFormat="false" ht="13.8" hidden="true" customHeight="false" outlineLevel="0" collapsed="false">
      <c r="A4350" s="0" t="s">
        <v>767</v>
      </c>
      <c r="B4350" s="0" t="n">
        <v>32</v>
      </c>
      <c r="C4350" s="0" t="n">
        <v>1.35</v>
      </c>
      <c r="D4350" s="0" t="n">
        <v>0</v>
      </c>
    </row>
    <row r="4351" customFormat="false" ht="13.8" hidden="true" customHeight="false" outlineLevel="0" collapsed="false">
      <c r="A4351" s="0" t="s">
        <v>767</v>
      </c>
      <c r="B4351" s="0" t="n">
        <v>32</v>
      </c>
      <c r="C4351" s="0" t="n">
        <v>1.4</v>
      </c>
      <c r="D4351" s="0" t="n">
        <v>0</v>
      </c>
    </row>
    <row r="4352" customFormat="false" ht="13.8" hidden="true" customHeight="false" outlineLevel="0" collapsed="false">
      <c r="A4352" s="0" t="s">
        <v>767</v>
      </c>
      <c r="B4352" s="0" t="n">
        <v>32</v>
      </c>
      <c r="C4352" s="0" t="n">
        <v>1.45</v>
      </c>
      <c r="D4352" s="0" t="n">
        <v>0</v>
      </c>
    </row>
    <row r="4353" customFormat="false" ht="13.8" hidden="true" customHeight="false" outlineLevel="0" collapsed="false">
      <c r="A4353" s="0" t="s">
        <v>767</v>
      </c>
      <c r="B4353" s="0" t="n">
        <v>32</v>
      </c>
      <c r="C4353" s="0" t="n">
        <v>1.5</v>
      </c>
      <c r="D4353" s="0" t="n">
        <v>0</v>
      </c>
    </row>
    <row r="4354" customFormat="false" ht="13.8" hidden="true" customHeight="false" outlineLevel="0" collapsed="false">
      <c r="A4354" s="0" t="s">
        <v>767</v>
      </c>
      <c r="B4354" s="0" t="n">
        <v>32</v>
      </c>
      <c r="C4354" s="0" t="n">
        <v>1.55</v>
      </c>
      <c r="D4354" s="0" t="n">
        <v>0</v>
      </c>
    </row>
    <row r="4355" customFormat="false" ht="13.8" hidden="true" customHeight="false" outlineLevel="0" collapsed="false">
      <c r="A4355" s="0" t="s">
        <v>767</v>
      </c>
      <c r="B4355" s="0" t="n">
        <v>32</v>
      </c>
      <c r="C4355" s="0" t="n">
        <v>1.6</v>
      </c>
      <c r="D4355" s="0" t="n">
        <v>0.045398732</v>
      </c>
    </row>
    <row r="4356" customFormat="false" ht="13.8" hidden="true" customHeight="false" outlineLevel="0" collapsed="false">
      <c r="A4356" s="0" t="s">
        <v>767</v>
      </c>
      <c r="B4356" s="0" t="n">
        <v>32</v>
      </c>
      <c r="C4356" s="0" t="n">
        <v>1.65</v>
      </c>
      <c r="D4356" s="0" t="n">
        <v>0.046817443</v>
      </c>
    </row>
    <row r="4357" customFormat="false" ht="13.8" hidden="true" customHeight="false" outlineLevel="0" collapsed="false">
      <c r="A4357" s="0" t="s">
        <v>767</v>
      </c>
      <c r="B4357" s="0" t="n">
        <v>32</v>
      </c>
      <c r="C4357" s="0" t="n">
        <v>1.7</v>
      </c>
      <c r="D4357" s="0" t="n">
        <v>0.048236153</v>
      </c>
    </row>
    <row r="4358" customFormat="false" ht="13.8" hidden="true" customHeight="false" outlineLevel="0" collapsed="false">
      <c r="A4358" s="0" t="s">
        <v>767</v>
      </c>
      <c r="B4358" s="0" t="n">
        <v>32</v>
      </c>
      <c r="C4358" s="0" t="n">
        <v>1.75</v>
      </c>
      <c r="D4358" s="0" t="n">
        <v>0.049654863</v>
      </c>
    </row>
    <row r="4359" customFormat="false" ht="13.8" hidden="true" customHeight="false" outlineLevel="0" collapsed="false">
      <c r="A4359" s="0" t="s">
        <v>767</v>
      </c>
      <c r="B4359" s="0" t="n">
        <v>32</v>
      </c>
      <c r="C4359" s="0" t="n">
        <v>1.8</v>
      </c>
      <c r="D4359" s="0" t="n">
        <v>0.050203221</v>
      </c>
    </row>
    <row r="4360" customFormat="false" ht="13.8" hidden="true" customHeight="false" outlineLevel="0" collapsed="false">
      <c r="A4360" s="0" t="s">
        <v>767</v>
      </c>
      <c r="B4360" s="0" t="n">
        <v>32</v>
      </c>
      <c r="C4360" s="0" t="n">
        <v>1.85</v>
      </c>
      <c r="D4360" s="0" t="n">
        <v>0.051597755</v>
      </c>
    </row>
    <row r="4361" customFormat="false" ht="13.8" hidden="true" customHeight="false" outlineLevel="0" collapsed="false">
      <c r="A4361" s="0" t="s">
        <v>767</v>
      </c>
      <c r="B4361" s="0" t="n">
        <v>32</v>
      </c>
      <c r="C4361" s="0" t="n">
        <v>1.9</v>
      </c>
      <c r="D4361" s="0" t="n">
        <v>0.052992289</v>
      </c>
    </row>
    <row r="4362" customFormat="false" ht="13.8" hidden="true" customHeight="false" outlineLevel="0" collapsed="false">
      <c r="A4362" s="0" t="s">
        <v>767</v>
      </c>
      <c r="B4362" s="0" t="n">
        <v>32</v>
      </c>
      <c r="C4362" s="0" t="n">
        <v>1.95</v>
      </c>
      <c r="D4362" s="0" t="n">
        <v>0.054386823</v>
      </c>
    </row>
    <row r="4363" customFormat="false" ht="13.8" hidden="true" customHeight="false" outlineLevel="0" collapsed="false">
      <c r="A4363" s="0" t="s">
        <v>767</v>
      </c>
      <c r="B4363" s="0" t="n">
        <v>32</v>
      </c>
      <c r="C4363" s="0" t="n">
        <v>2</v>
      </c>
      <c r="D4363" s="0" t="n">
        <v>0.054814298</v>
      </c>
    </row>
    <row r="4364" customFormat="false" ht="13.8" hidden="true" customHeight="false" outlineLevel="0" collapsed="false">
      <c r="A4364" s="0" t="s">
        <v>767</v>
      </c>
      <c r="B4364" s="0" t="n">
        <v>32</v>
      </c>
      <c r="C4364" s="0" t="n">
        <v>2.05</v>
      </c>
      <c r="D4364" s="0" t="n">
        <v>0.056184656</v>
      </c>
    </row>
    <row r="4365" customFormat="false" ht="13.8" hidden="true" customHeight="false" outlineLevel="0" collapsed="false">
      <c r="A4365" s="0" t="s">
        <v>767</v>
      </c>
      <c r="B4365" s="0" t="n">
        <v>32</v>
      </c>
      <c r="C4365" s="0" t="n">
        <v>2.1</v>
      </c>
      <c r="D4365" s="0" t="n">
        <v>0.057555013</v>
      </c>
    </row>
    <row r="4366" customFormat="false" ht="13.8" hidden="true" customHeight="false" outlineLevel="0" collapsed="false">
      <c r="A4366" s="0" t="s">
        <v>767</v>
      </c>
      <c r="B4366" s="0" t="n">
        <v>32</v>
      </c>
      <c r="C4366" s="0" t="n">
        <v>2.15</v>
      </c>
      <c r="D4366" s="0" t="n">
        <v>0.05892537</v>
      </c>
    </row>
    <row r="4367" customFormat="false" ht="13.8" hidden="true" customHeight="false" outlineLevel="0" collapsed="false">
      <c r="A4367" s="0" t="s">
        <v>767</v>
      </c>
      <c r="B4367" s="0" t="n">
        <v>32</v>
      </c>
      <c r="C4367" s="0" t="n">
        <v>2.2</v>
      </c>
      <c r="D4367" s="0" t="n">
        <v>0.064955355</v>
      </c>
    </row>
    <row r="4368" customFormat="false" ht="13.8" hidden="true" customHeight="false" outlineLevel="0" collapsed="false">
      <c r="A4368" s="0" t="s">
        <v>767</v>
      </c>
      <c r="B4368" s="0" t="n">
        <v>32</v>
      </c>
      <c r="C4368" s="0" t="n">
        <v>2.25</v>
      </c>
      <c r="D4368" s="0" t="n">
        <v>0.066431613</v>
      </c>
    </row>
    <row r="4369" customFormat="false" ht="13.8" hidden="true" customHeight="false" outlineLevel="0" collapsed="false">
      <c r="A4369" s="0" t="s">
        <v>767</v>
      </c>
      <c r="B4369" s="0" t="n">
        <v>32</v>
      </c>
      <c r="C4369" s="0" t="n">
        <v>2.3</v>
      </c>
      <c r="D4369" s="0" t="n">
        <v>0.067907871</v>
      </c>
    </row>
    <row r="4370" customFormat="false" ht="13.8" hidden="true" customHeight="false" outlineLevel="0" collapsed="false">
      <c r="A4370" s="0" t="s">
        <v>767</v>
      </c>
      <c r="B4370" s="0" t="n">
        <v>32</v>
      </c>
      <c r="C4370" s="0" t="n">
        <v>2.35</v>
      </c>
      <c r="D4370" s="0" t="n">
        <v>0.069384129</v>
      </c>
    </row>
    <row r="4371" customFormat="false" ht="13.8" hidden="true" customHeight="false" outlineLevel="0" collapsed="false">
      <c r="A4371" s="0" t="s">
        <v>767</v>
      </c>
      <c r="B4371" s="0" t="n">
        <v>32</v>
      </c>
      <c r="C4371" s="0" t="n">
        <v>2.4</v>
      </c>
      <c r="D4371" s="0" t="n">
        <v>0.070860387</v>
      </c>
    </row>
    <row r="4372" customFormat="false" ht="13.8" hidden="true" customHeight="false" outlineLevel="0" collapsed="false">
      <c r="A4372" s="0" t="s">
        <v>767</v>
      </c>
      <c r="B4372" s="0" t="n">
        <v>32</v>
      </c>
      <c r="C4372" s="0" t="n">
        <v>2.45</v>
      </c>
      <c r="D4372" s="0" t="n">
        <v>0.072336645</v>
      </c>
    </row>
    <row r="4373" customFormat="false" ht="13.8" hidden="true" customHeight="false" outlineLevel="0" collapsed="false">
      <c r="A4373" s="0" t="s">
        <v>767</v>
      </c>
      <c r="B4373" s="0" t="n">
        <v>32</v>
      </c>
      <c r="C4373" s="0" t="n">
        <v>2.5</v>
      </c>
      <c r="D4373" s="0" t="n">
        <v>0.073812903</v>
      </c>
    </row>
    <row r="4374" customFormat="false" ht="13.8" hidden="true" customHeight="false" outlineLevel="0" collapsed="false">
      <c r="A4374" s="0" t="s">
        <v>767</v>
      </c>
      <c r="B4374" s="0" t="n">
        <v>32</v>
      </c>
      <c r="C4374" s="0" t="n">
        <v>2.55</v>
      </c>
      <c r="D4374" s="0" t="n">
        <v>0.075289161</v>
      </c>
    </row>
    <row r="4375" customFormat="false" ht="13.8" hidden="true" customHeight="false" outlineLevel="0" collapsed="false">
      <c r="A4375" s="0" t="s">
        <v>767</v>
      </c>
      <c r="B4375" s="0" t="n">
        <v>32</v>
      </c>
      <c r="C4375" s="0" t="n">
        <v>2.6</v>
      </c>
      <c r="D4375" s="0" t="n">
        <v>0.076765419</v>
      </c>
    </row>
    <row r="4376" customFormat="false" ht="13.8" hidden="true" customHeight="false" outlineLevel="0" collapsed="false">
      <c r="A4376" s="0" t="s">
        <v>770</v>
      </c>
      <c r="B4376" s="0" t="n">
        <v>32</v>
      </c>
      <c r="C4376" s="0" t="n">
        <v>1.3</v>
      </c>
      <c r="D4376" s="0" t="n">
        <v>0</v>
      </c>
    </row>
    <row r="4377" customFormat="false" ht="13.8" hidden="true" customHeight="false" outlineLevel="0" collapsed="false">
      <c r="A4377" s="0" t="s">
        <v>770</v>
      </c>
      <c r="B4377" s="0" t="n">
        <v>32</v>
      </c>
      <c r="C4377" s="0" t="n">
        <v>1.35</v>
      </c>
      <c r="D4377" s="0" t="n">
        <v>0</v>
      </c>
    </row>
    <row r="4378" customFormat="false" ht="13.8" hidden="true" customHeight="false" outlineLevel="0" collapsed="false">
      <c r="A4378" s="0" t="s">
        <v>770</v>
      </c>
      <c r="B4378" s="0" t="n">
        <v>32</v>
      </c>
      <c r="C4378" s="0" t="n">
        <v>1.4</v>
      </c>
      <c r="D4378" s="0" t="n">
        <v>0</v>
      </c>
    </row>
    <row r="4379" customFormat="false" ht="13.8" hidden="true" customHeight="false" outlineLevel="0" collapsed="false">
      <c r="A4379" s="0" t="s">
        <v>770</v>
      </c>
      <c r="B4379" s="0" t="n">
        <v>32</v>
      </c>
      <c r="C4379" s="0" t="n">
        <v>1.45</v>
      </c>
      <c r="D4379" s="0" t="n">
        <v>0</v>
      </c>
    </row>
    <row r="4380" customFormat="false" ht="13.8" hidden="true" customHeight="false" outlineLevel="0" collapsed="false">
      <c r="A4380" s="0" t="s">
        <v>770</v>
      </c>
      <c r="B4380" s="0" t="n">
        <v>32</v>
      </c>
      <c r="C4380" s="0" t="n">
        <v>1.5</v>
      </c>
      <c r="D4380" s="0" t="n">
        <v>0</v>
      </c>
    </row>
    <row r="4381" customFormat="false" ht="13.8" hidden="true" customHeight="false" outlineLevel="0" collapsed="false">
      <c r="A4381" s="0" t="s">
        <v>770</v>
      </c>
      <c r="B4381" s="0" t="n">
        <v>32</v>
      </c>
      <c r="C4381" s="0" t="n">
        <v>1.55</v>
      </c>
      <c r="D4381" s="0" t="n">
        <v>0</v>
      </c>
    </row>
    <row r="4382" customFormat="false" ht="13.8" hidden="true" customHeight="false" outlineLevel="0" collapsed="false">
      <c r="A4382" s="0" t="s">
        <v>770</v>
      </c>
      <c r="B4382" s="0" t="n">
        <v>32</v>
      </c>
      <c r="C4382" s="0" t="n">
        <v>1.6</v>
      </c>
      <c r="D4382" s="0" t="n">
        <v>0.045398732</v>
      </c>
    </row>
    <row r="4383" customFormat="false" ht="13.8" hidden="true" customHeight="false" outlineLevel="0" collapsed="false">
      <c r="A4383" s="0" t="s">
        <v>770</v>
      </c>
      <c r="B4383" s="0" t="n">
        <v>32</v>
      </c>
      <c r="C4383" s="0" t="n">
        <v>1.65</v>
      </c>
      <c r="D4383" s="0" t="n">
        <v>0.046817443</v>
      </c>
    </row>
    <row r="4384" customFormat="false" ht="13.8" hidden="true" customHeight="false" outlineLevel="0" collapsed="false">
      <c r="A4384" s="0" t="s">
        <v>770</v>
      </c>
      <c r="B4384" s="0" t="n">
        <v>32</v>
      </c>
      <c r="C4384" s="0" t="n">
        <v>1.7</v>
      </c>
      <c r="D4384" s="0" t="n">
        <v>0.048236153</v>
      </c>
    </row>
    <row r="4385" customFormat="false" ht="13.8" hidden="true" customHeight="false" outlineLevel="0" collapsed="false">
      <c r="A4385" s="0" t="s">
        <v>770</v>
      </c>
      <c r="B4385" s="0" t="n">
        <v>32</v>
      </c>
      <c r="C4385" s="0" t="n">
        <v>1.75</v>
      </c>
      <c r="D4385" s="0" t="n">
        <v>0.049654863</v>
      </c>
    </row>
    <row r="4386" customFormat="false" ht="13.8" hidden="true" customHeight="false" outlineLevel="0" collapsed="false">
      <c r="A4386" s="0" t="s">
        <v>770</v>
      </c>
      <c r="B4386" s="0" t="n">
        <v>32</v>
      </c>
      <c r="C4386" s="0" t="n">
        <v>1.8</v>
      </c>
      <c r="D4386" s="0" t="n">
        <v>0.050203221</v>
      </c>
    </row>
    <row r="4387" customFormat="false" ht="13.8" hidden="true" customHeight="false" outlineLevel="0" collapsed="false">
      <c r="A4387" s="0" t="s">
        <v>770</v>
      </c>
      <c r="B4387" s="0" t="n">
        <v>32</v>
      </c>
      <c r="C4387" s="0" t="n">
        <v>1.85</v>
      </c>
      <c r="D4387" s="0" t="n">
        <v>0.051597755</v>
      </c>
    </row>
    <row r="4388" customFormat="false" ht="13.8" hidden="true" customHeight="false" outlineLevel="0" collapsed="false">
      <c r="A4388" s="0" t="s">
        <v>770</v>
      </c>
      <c r="B4388" s="0" t="n">
        <v>32</v>
      </c>
      <c r="C4388" s="0" t="n">
        <v>1.9</v>
      </c>
      <c r="D4388" s="0" t="n">
        <v>0.052992289</v>
      </c>
    </row>
    <row r="4389" customFormat="false" ht="13.8" hidden="true" customHeight="false" outlineLevel="0" collapsed="false">
      <c r="A4389" s="0" t="s">
        <v>770</v>
      </c>
      <c r="B4389" s="0" t="n">
        <v>32</v>
      </c>
      <c r="C4389" s="0" t="n">
        <v>1.95</v>
      </c>
      <c r="D4389" s="0" t="n">
        <v>0.054386823</v>
      </c>
    </row>
    <row r="4390" customFormat="false" ht="13.8" hidden="true" customHeight="false" outlineLevel="0" collapsed="false">
      <c r="A4390" s="0" t="s">
        <v>770</v>
      </c>
      <c r="B4390" s="0" t="n">
        <v>32</v>
      </c>
      <c r="C4390" s="0" t="n">
        <v>2</v>
      </c>
      <c r="D4390" s="0" t="n">
        <v>0.054814298</v>
      </c>
    </row>
    <row r="4391" customFormat="false" ht="13.8" hidden="true" customHeight="false" outlineLevel="0" collapsed="false">
      <c r="A4391" s="0" t="s">
        <v>770</v>
      </c>
      <c r="B4391" s="0" t="n">
        <v>32</v>
      </c>
      <c r="C4391" s="0" t="n">
        <v>2.05</v>
      </c>
      <c r="D4391" s="0" t="n">
        <v>0.056184656</v>
      </c>
    </row>
    <row r="4392" customFormat="false" ht="13.8" hidden="true" customHeight="false" outlineLevel="0" collapsed="false">
      <c r="A4392" s="0" t="s">
        <v>770</v>
      </c>
      <c r="B4392" s="0" t="n">
        <v>32</v>
      </c>
      <c r="C4392" s="0" t="n">
        <v>2.1</v>
      </c>
      <c r="D4392" s="0" t="n">
        <v>0.057555013</v>
      </c>
    </row>
    <row r="4393" customFormat="false" ht="13.8" hidden="true" customHeight="false" outlineLevel="0" collapsed="false">
      <c r="A4393" s="0" t="s">
        <v>770</v>
      </c>
      <c r="B4393" s="0" t="n">
        <v>32</v>
      </c>
      <c r="C4393" s="0" t="n">
        <v>2.15</v>
      </c>
      <c r="D4393" s="0" t="n">
        <v>0.05892537</v>
      </c>
    </row>
    <row r="4394" customFormat="false" ht="13.8" hidden="true" customHeight="false" outlineLevel="0" collapsed="false">
      <c r="A4394" s="0" t="s">
        <v>770</v>
      </c>
      <c r="B4394" s="0" t="n">
        <v>32</v>
      </c>
      <c r="C4394" s="0" t="n">
        <v>2.2</v>
      </c>
      <c r="D4394" s="0" t="n">
        <v>0.064955355</v>
      </c>
    </row>
    <row r="4395" customFormat="false" ht="13.8" hidden="true" customHeight="false" outlineLevel="0" collapsed="false">
      <c r="A4395" s="0" t="s">
        <v>770</v>
      </c>
      <c r="B4395" s="0" t="n">
        <v>32</v>
      </c>
      <c r="C4395" s="0" t="n">
        <v>2.25</v>
      </c>
      <c r="D4395" s="0" t="n">
        <v>0.066431613</v>
      </c>
    </row>
    <row r="4396" customFormat="false" ht="13.8" hidden="true" customHeight="false" outlineLevel="0" collapsed="false">
      <c r="A4396" s="0" t="s">
        <v>770</v>
      </c>
      <c r="B4396" s="0" t="n">
        <v>32</v>
      </c>
      <c r="C4396" s="0" t="n">
        <v>2.3</v>
      </c>
      <c r="D4396" s="0" t="n">
        <v>0.067907871</v>
      </c>
    </row>
    <row r="4397" customFormat="false" ht="13.8" hidden="true" customHeight="false" outlineLevel="0" collapsed="false">
      <c r="A4397" s="0" t="s">
        <v>770</v>
      </c>
      <c r="B4397" s="0" t="n">
        <v>32</v>
      </c>
      <c r="C4397" s="0" t="n">
        <v>2.35</v>
      </c>
      <c r="D4397" s="0" t="n">
        <v>0.069384129</v>
      </c>
    </row>
    <row r="4398" customFormat="false" ht="13.8" hidden="true" customHeight="false" outlineLevel="0" collapsed="false">
      <c r="A4398" s="0" t="s">
        <v>770</v>
      </c>
      <c r="B4398" s="0" t="n">
        <v>32</v>
      </c>
      <c r="C4398" s="0" t="n">
        <v>2.4</v>
      </c>
      <c r="D4398" s="0" t="n">
        <v>0.070860387</v>
      </c>
    </row>
    <row r="4399" customFormat="false" ht="13.8" hidden="true" customHeight="false" outlineLevel="0" collapsed="false">
      <c r="A4399" s="0" t="s">
        <v>770</v>
      </c>
      <c r="B4399" s="0" t="n">
        <v>32</v>
      </c>
      <c r="C4399" s="0" t="n">
        <v>2.45</v>
      </c>
      <c r="D4399" s="0" t="n">
        <v>0.072336645</v>
      </c>
    </row>
    <row r="4400" customFormat="false" ht="13.8" hidden="true" customHeight="false" outlineLevel="0" collapsed="false">
      <c r="A4400" s="0" t="s">
        <v>770</v>
      </c>
      <c r="B4400" s="0" t="n">
        <v>32</v>
      </c>
      <c r="C4400" s="0" t="n">
        <v>2.5</v>
      </c>
      <c r="D4400" s="0" t="n">
        <v>0.073812903</v>
      </c>
    </row>
    <row r="4401" customFormat="false" ht="13.8" hidden="true" customHeight="false" outlineLevel="0" collapsed="false">
      <c r="A4401" s="0" t="s">
        <v>770</v>
      </c>
      <c r="B4401" s="0" t="n">
        <v>32</v>
      </c>
      <c r="C4401" s="0" t="n">
        <v>2.55</v>
      </c>
      <c r="D4401" s="0" t="n">
        <v>0.075289161</v>
      </c>
    </row>
    <row r="4402" customFormat="false" ht="13.8" hidden="true" customHeight="false" outlineLevel="0" collapsed="false">
      <c r="A4402" s="0" t="s">
        <v>770</v>
      </c>
      <c r="B4402" s="0" t="n">
        <v>32</v>
      </c>
      <c r="C4402" s="0" t="n">
        <v>2.6</v>
      </c>
      <c r="D4402" s="0" t="n">
        <v>0.076765419</v>
      </c>
    </row>
    <row r="4403" customFormat="false" ht="13.8" hidden="true" customHeight="false" outlineLevel="0" collapsed="false">
      <c r="A4403" s="0" t="s">
        <v>774</v>
      </c>
      <c r="B4403" s="0" t="n">
        <v>34</v>
      </c>
      <c r="C4403" s="0" t="n">
        <v>1.3</v>
      </c>
      <c r="D4403" s="0" t="n">
        <v>0</v>
      </c>
    </row>
    <row r="4404" customFormat="false" ht="13.8" hidden="true" customHeight="false" outlineLevel="0" collapsed="false">
      <c r="A4404" s="0" t="s">
        <v>774</v>
      </c>
      <c r="B4404" s="0" t="n">
        <v>34</v>
      </c>
      <c r="C4404" s="0" t="n">
        <v>1.35</v>
      </c>
      <c r="D4404" s="0" t="n">
        <v>0</v>
      </c>
    </row>
    <row r="4405" customFormat="false" ht="13.8" hidden="true" customHeight="false" outlineLevel="0" collapsed="false">
      <c r="A4405" s="0" t="s">
        <v>774</v>
      </c>
      <c r="B4405" s="0" t="n">
        <v>34</v>
      </c>
      <c r="C4405" s="0" t="n">
        <v>1.4</v>
      </c>
      <c r="D4405" s="0" t="n">
        <v>0</v>
      </c>
    </row>
    <row r="4406" customFormat="false" ht="13.8" hidden="true" customHeight="false" outlineLevel="0" collapsed="false">
      <c r="A4406" s="0" t="s">
        <v>774</v>
      </c>
      <c r="B4406" s="0" t="n">
        <v>34</v>
      </c>
      <c r="C4406" s="0" t="n">
        <v>1.45</v>
      </c>
      <c r="D4406" s="0" t="n">
        <v>0</v>
      </c>
    </row>
    <row r="4407" customFormat="false" ht="13.8" hidden="true" customHeight="false" outlineLevel="0" collapsed="false">
      <c r="A4407" s="0" t="s">
        <v>774</v>
      </c>
      <c r="B4407" s="0" t="n">
        <v>34</v>
      </c>
      <c r="C4407" s="0" t="n">
        <v>1.5</v>
      </c>
      <c r="D4407" s="0" t="n">
        <v>0</v>
      </c>
    </row>
    <row r="4408" customFormat="false" ht="13.8" hidden="true" customHeight="false" outlineLevel="0" collapsed="false">
      <c r="A4408" s="0" t="s">
        <v>774</v>
      </c>
      <c r="B4408" s="0" t="n">
        <v>34</v>
      </c>
      <c r="C4408" s="0" t="n">
        <v>1.55</v>
      </c>
      <c r="D4408" s="0" t="n">
        <v>0</v>
      </c>
    </row>
    <row r="4409" customFormat="false" ht="13.8" hidden="true" customHeight="false" outlineLevel="0" collapsed="false">
      <c r="A4409" s="0" t="s">
        <v>774</v>
      </c>
      <c r="B4409" s="0" t="n">
        <v>34</v>
      </c>
      <c r="C4409" s="0" t="n">
        <v>1.6</v>
      </c>
      <c r="D4409" s="0" t="n">
        <v>0.126768484</v>
      </c>
    </row>
    <row r="4410" customFormat="false" ht="13.8" hidden="true" customHeight="false" outlineLevel="0" collapsed="false">
      <c r="A4410" s="0" t="s">
        <v>774</v>
      </c>
      <c r="B4410" s="0" t="n">
        <v>34</v>
      </c>
      <c r="C4410" s="0" t="n">
        <v>1.65</v>
      </c>
      <c r="D4410" s="0" t="n">
        <v>0.130729999</v>
      </c>
    </row>
    <row r="4411" customFormat="false" ht="13.8" hidden="true" customHeight="false" outlineLevel="0" collapsed="false">
      <c r="A4411" s="0" t="s">
        <v>774</v>
      </c>
      <c r="B4411" s="0" t="n">
        <v>34</v>
      </c>
      <c r="C4411" s="0" t="n">
        <v>1.7</v>
      </c>
      <c r="D4411" s="0" t="n">
        <v>0.134691514</v>
      </c>
    </row>
    <row r="4412" customFormat="false" ht="13.8" hidden="true" customHeight="false" outlineLevel="0" collapsed="false">
      <c r="A4412" s="0" t="s">
        <v>774</v>
      </c>
      <c r="B4412" s="0" t="n">
        <v>34</v>
      </c>
      <c r="C4412" s="0" t="n">
        <v>1.75</v>
      </c>
      <c r="D4412" s="0" t="n">
        <v>0.138653029</v>
      </c>
    </row>
    <row r="4413" customFormat="false" ht="13.8" hidden="true" customHeight="false" outlineLevel="0" collapsed="false">
      <c r="A4413" s="0" t="s">
        <v>774</v>
      </c>
      <c r="B4413" s="0" t="n">
        <v>34</v>
      </c>
      <c r="C4413" s="0" t="n">
        <v>1.8</v>
      </c>
      <c r="D4413" s="0" t="n">
        <v>0.143092499</v>
      </c>
    </row>
    <row r="4414" customFormat="false" ht="13.8" hidden="true" customHeight="false" outlineLevel="0" collapsed="false">
      <c r="A4414" s="0" t="s">
        <v>774</v>
      </c>
      <c r="B4414" s="0" t="n">
        <v>34</v>
      </c>
      <c r="C4414" s="0" t="n">
        <v>1.85</v>
      </c>
      <c r="D4414" s="0" t="n">
        <v>0.14706729</v>
      </c>
    </row>
    <row r="4415" customFormat="false" ht="13.8" hidden="true" customHeight="false" outlineLevel="0" collapsed="false">
      <c r="A4415" s="0" t="s">
        <v>774</v>
      </c>
      <c r="B4415" s="0" t="n">
        <v>34</v>
      </c>
      <c r="C4415" s="0" t="n">
        <v>1.9</v>
      </c>
      <c r="D4415" s="0" t="n">
        <v>0.151042082</v>
      </c>
    </row>
    <row r="4416" customFormat="false" ht="13.8" hidden="true" customHeight="false" outlineLevel="0" collapsed="false">
      <c r="A4416" s="0" t="s">
        <v>774</v>
      </c>
      <c r="B4416" s="0" t="n">
        <v>34</v>
      </c>
      <c r="C4416" s="0" t="n">
        <v>1.95</v>
      </c>
      <c r="D4416" s="0" t="n">
        <v>0.155016874</v>
      </c>
    </row>
    <row r="4417" customFormat="false" ht="13.8" hidden="true" customHeight="false" outlineLevel="0" collapsed="false">
      <c r="A4417" s="0" t="s">
        <v>774</v>
      </c>
      <c r="B4417" s="0" t="n">
        <v>34</v>
      </c>
      <c r="C4417" s="0" t="n">
        <v>2</v>
      </c>
      <c r="D4417" s="0" t="n">
        <v>0.159522726</v>
      </c>
    </row>
    <row r="4418" customFormat="false" ht="13.8" hidden="true" customHeight="false" outlineLevel="0" collapsed="false">
      <c r="A4418" s="0" t="s">
        <v>774</v>
      </c>
      <c r="B4418" s="0" t="n">
        <v>34</v>
      </c>
      <c r="C4418" s="0" t="n">
        <v>2.05</v>
      </c>
      <c r="D4418" s="0" t="n">
        <v>0.163510794</v>
      </c>
    </row>
    <row r="4419" customFormat="false" ht="13.8" hidden="true" customHeight="false" outlineLevel="0" collapsed="false">
      <c r="A4419" s="0" t="s">
        <v>774</v>
      </c>
      <c r="B4419" s="0" t="n">
        <v>34</v>
      </c>
      <c r="C4419" s="0" t="n">
        <v>2.1</v>
      </c>
      <c r="D4419" s="0" t="n">
        <v>0.167498862</v>
      </c>
    </row>
    <row r="4420" customFormat="false" ht="13.8" hidden="true" customHeight="false" outlineLevel="0" collapsed="false">
      <c r="A4420" s="0" t="s">
        <v>774</v>
      </c>
      <c r="B4420" s="0" t="n">
        <v>34</v>
      </c>
      <c r="C4420" s="0" t="n">
        <v>2.15</v>
      </c>
      <c r="D4420" s="0" t="n">
        <v>0.171486931</v>
      </c>
    </row>
    <row r="4421" customFormat="false" ht="13.8" hidden="true" customHeight="false" outlineLevel="0" collapsed="false">
      <c r="A4421" s="0" t="s">
        <v>774</v>
      </c>
      <c r="B4421" s="0" t="n">
        <v>34</v>
      </c>
      <c r="C4421" s="0" t="n">
        <v>2.2</v>
      </c>
      <c r="D4421" s="0" t="n">
        <v>0.184538134</v>
      </c>
    </row>
    <row r="4422" customFormat="false" ht="13.8" hidden="true" customHeight="false" outlineLevel="0" collapsed="false">
      <c r="A4422" s="0" t="s">
        <v>774</v>
      </c>
      <c r="B4422" s="0" t="n">
        <v>34</v>
      </c>
      <c r="C4422" s="0" t="n">
        <v>2.25</v>
      </c>
      <c r="D4422" s="0" t="n">
        <v>0.188732182</v>
      </c>
    </row>
    <row r="4423" customFormat="false" ht="13.8" hidden="true" customHeight="false" outlineLevel="0" collapsed="false">
      <c r="A4423" s="0" t="s">
        <v>774</v>
      </c>
      <c r="B4423" s="0" t="n">
        <v>34</v>
      </c>
      <c r="C4423" s="0" t="n">
        <v>2.3</v>
      </c>
      <c r="D4423" s="0" t="n">
        <v>0.192926231</v>
      </c>
    </row>
    <row r="4424" customFormat="false" ht="13.8" hidden="true" customHeight="false" outlineLevel="0" collapsed="false">
      <c r="A4424" s="0" t="s">
        <v>774</v>
      </c>
      <c r="B4424" s="0" t="n">
        <v>34</v>
      </c>
      <c r="C4424" s="0" t="n">
        <v>2.35</v>
      </c>
      <c r="D4424" s="0" t="n">
        <v>0.197120279</v>
      </c>
    </row>
    <row r="4425" customFormat="false" ht="13.8" hidden="true" customHeight="false" outlineLevel="0" collapsed="false">
      <c r="A4425" s="0" t="s">
        <v>774</v>
      </c>
      <c r="B4425" s="0" t="n">
        <v>34</v>
      </c>
      <c r="C4425" s="0" t="n">
        <v>2.4</v>
      </c>
      <c r="D4425" s="0" t="n">
        <v>0.201314327</v>
      </c>
    </row>
    <row r="4426" customFormat="false" ht="13.8" hidden="true" customHeight="false" outlineLevel="0" collapsed="false">
      <c r="A4426" s="0" t="s">
        <v>774</v>
      </c>
      <c r="B4426" s="0" t="n">
        <v>34</v>
      </c>
      <c r="C4426" s="0" t="n">
        <v>2.45</v>
      </c>
      <c r="D4426" s="0" t="n">
        <v>0.205508376</v>
      </c>
    </row>
    <row r="4427" customFormat="false" ht="13.8" hidden="true" customHeight="false" outlineLevel="0" collapsed="false">
      <c r="A4427" s="0" t="s">
        <v>774</v>
      </c>
      <c r="B4427" s="0" t="n">
        <v>34</v>
      </c>
      <c r="C4427" s="0" t="n">
        <v>2.5</v>
      </c>
      <c r="D4427" s="0" t="n">
        <v>0.209702424</v>
      </c>
    </row>
    <row r="4428" customFormat="false" ht="13.8" hidden="true" customHeight="false" outlineLevel="0" collapsed="false">
      <c r="A4428" s="0" t="s">
        <v>774</v>
      </c>
      <c r="B4428" s="0" t="n">
        <v>34</v>
      </c>
      <c r="C4428" s="0" t="n">
        <v>2.55</v>
      </c>
      <c r="D4428" s="0" t="n">
        <v>0.213896473</v>
      </c>
    </row>
    <row r="4429" customFormat="false" ht="13.8" hidden="true" customHeight="false" outlineLevel="0" collapsed="false">
      <c r="A4429" s="0" t="s">
        <v>774</v>
      </c>
      <c r="B4429" s="0" t="n">
        <v>34</v>
      </c>
      <c r="C4429" s="0" t="n">
        <v>2.6</v>
      </c>
      <c r="D4429" s="0" t="n">
        <v>0.218090521</v>
      </c>
    </row>
    <row r="4430" customFormat="false" ht="13.8" hidden="true" customHeight="false" outlineLevel="0" collapsed="false">
      <c r="A4430" s="0" t="s">
        <v>777</v>
      </c>
      <c r="B4430" s="0" t="n">
        <v>28</v>
      </c>
      <c r="C4430" s="0" t="n">
        <v>1.3</v>
      </c>
      <c r="D4430" s="0" t="n">
        <v>0</v>
      </c>
    </row>
    <row r="4431" customFormat="false" ht="13.8" hidden="true" customHeight="false" outlineLevel="0" collapsed="false">
      <c r="A4431" s="0" t="s">
        <v>777</v>
      </c>
      <c r="B4431" s="0" t="n">
        <v>28</v>
      </c>
      <c r="C4431" s="0" t="n">
        <v>1.35</v>
      </c>
      <c r="D4431" s="0" t="n">
        <v>0</v>
      </c>
    </row>
    <row r="4432" customFormat="false" ht="13.8" hidden="true" customHeight="false" outlineLevel="0" collapsed="false">
      <c r="A4432" s="0" t="s">
        <v>777</v>
      </c>
      <c r="B4432" s="0" t="n">
        <v>28</v>
      </c>
      <c r="C4432" s="0" t="n">
        <v>1.4</v>
      </c>
      <c r="D4432" s="0" t="n">
        <v>0</v>
      </c>
    </row>
    <row r="4433" customFormat="false" ht="13.8" hidden="true" customHeight="false" outlineLevel="0" collapsed="false">
      <c r="A4433" s="0" t="s">
        <v>777</v>
      </c>
      <c r="B4433" s="0" t="n">
        <v>28</v>
      </c>
      <c r="C4433" s="0" t="n">
        <v>1.45</v>
      </c>
      <c r="D4433" s="0" t="n">
        <v>0</v>
      </c>
    </row>
    <row r="4434" customFormat="false" ht="13.8" hidden="true" customHeight="false" outlineLevel="0" collapsed="false">
      <c r="A4434" s="0" t="s">
        <v>777</v>
      </c>
      <c r="B4434" s="0" t="n">
        <v>28</v>
      </c>
      <c r="C4434" s="0" t="n">
        <v>1.5</v>
      </c>
      <c r="D4434" s="0" t="n">
        <v>0</v>
      </c>
    </row>
    <row r="4435" customFormat="false" ht="13.8" hidden="true" customHeight="false" outlineLevel="0" collapsed="false">
      <c r="A4435" s="0" t="s">
        <v>777</v>
      </c>
      <c r="B4435" s="0" t="n">
        <v>28</v>
      </c>
      <c r="C4435" s="0" t="n">
        <v>1.55</v>
      </c>
      <c r="D4435" s="0" t="n">
        <v>0</v>
      </c>
    </row>
    <row r="4436" customFormat="false" ht="13.8" hidden="true" customHeight="false" outlineLevel="0" collapsed="false">
      <c r="A4436" s="0" t="s">
        <v>777</v>
      </c>
      <c r="B4436" s="0" t="n">
        <v>28</v>
      </c>
      <c r="C4436" s="0" t="n">
        <v>1.6</v>
      </c>
      <c r="D4436" s="0" t="n">
        <v>0.127</v>
      </c>
    </row>
    <row r="4437" customFormat="false" ht="13.8" hidden="true" customHeight="false" outlineLevel="0" collapsed="false">
      <c r="A4437" s="0" t="s">
        <v>777</v>
      </c>
      <c r="B4437" s="0" t="n">
        <v>28</v>
      </c>
      <c r="C4437" s="0" t="n">
        <v>1.65</v>
      </c>
      <c r="D4437" s="0" t="n">
        <v>0.131</v>
      </c>
    </row>
    <row r="4438" customFormat="false" ht="13.8" hidden="true" customHeight="false" outlineLevel="0" collapsed="false">
      <c r="A4438" s="0" t="s">
        <v>777</v>
      </c>
      <c r="B4438" s="0" t="n">
        <v>28</v>
      </c>
      <c r="C4438" s="0" t="n">
        <v>1.7</v>
      </c>
      <c r="D4438" s="0" t="n">
        <v>0.135</v>
      </c>
    </row>
    <row r="4439" customFormat="false" ht="13.8" hidden="true" customHeight="false" outlineLevel="0" collapsed="false">
      <c r="A4439" s="0" t="s">
        <v>777</v>
      </c>
      <c r="B4439" s="0" t="n">
        <v>28</v>
      </c>
      <c r="C4439" s="0" t="n">
        <v>1.75</v>
      </c>
      <c r="D4439" s="0" t="n">
        <v>0.139</v>
      </c>
    </row>
    <row r="4440" customFormat="false" ht="13.8" hidden="true" customHeight="false" outlineLevel="0" collapsed="false">
      <c r="A4440" s="0" t="s">
        <v>777</v>
      </c>
      <c r="B4440" s="0" t="n">
        <v>28</v>
      </c>
      <c r="C4440" s="0" t="n">
        <v>1.8</v>
      </c>
      <c r="D4440" s="0" t="n">
        <v>0.143</v>
      </c>
    </row>
    <row r="4441" customFormat="false" ht="13.8" hidden="true" customHeight="false" outlineLevel="0" collapsed="false">
      <c r="A4441" s="0" t="s">
        <v>777</v>
      </c>
      <c r="B4441" s="0" t="n">
        <v>28</v>
      </c>
      <c r="C4441" s="0" t="n">
        <v>1.85</v>
      </c>
      <c r="D4441" s="0" t="n">
        <v>0.147</v>
      </c>
    </row>
    <row r="4442" customFormat="false" ht="13.8" hidden="true" customHeight="false" outlineLevel="0" collapsed="false">
      <c r="A4442" s="0" t="s">
        <v>777</v>
      </c>
      <c r="B4442" s="0" t="n">
        <v>28</v>
      </c>
      <c r="C4442" s="0" t="n">
        <v>1.9</v>
      </c>
      <c r="D4442" s="0" t="n">
        <v>0.151</v>
      </c>
    </row>
    <row r="4443" customFormat="false" ht="13.8" hidden="true" customHeight="false" outlineLevel="0" collapsed="false">
      <c r="A4443" s="0" t="s">
        <v>777</v>
      </c>
      <c r="B4443" s="0" t="n">
        <v>28</v>
      </c>
      <c r="C4443" s="0" t="n">
        <v>1.95</v>
      </c>
      <c r="D4443" s="0" t="n">
        <v>0.155</v>
      </c>
    </row>
    <row r="4444" customFormat="false" ht="13.8" hidden="true" customHeight="false" outlineLevel="0" collapsed="false">
      <c r="A4444" s="0" t="s">
        <v>777</v>
      </c>
      <c r="B4444" s="0" t="n">
        <v>28</v>
      </c>
      <c r="C4444" s="0" t="n">
        <v>2</v>
      </c>
      <c r="D4444" s="0" t="n">
        <v>0.16</v>
      </c>
    </row>
    <row r="4445" customFormat="false" ht="13.8" hidden="true" customHeight="false" outlineLevel="0" collapsed="false">
      <c r="A4445" s="0" t="s">
        <v>777</v>
      </c>
      <c r="B4445" s="0" t="n">
        <v>28</v>
      </c>
      <c r="C4445" s="0" t="n">
        <v>2.05</v>
      </c>
      <c r="D4445" s="0" t="n">
        <v>0.164</v>
      </c>
    </row>
    <row r="4446" customFormat="false" ht="13.8" hidden="true" customHeight="false" outlineLevel="0" collapsed="false">
      <c r="A4446" s="0" t="s">
        <v>777</v>
      </c>
      <c r="B4446" s="0" t="n">
        <v>28</v>
      </c>
      <c r="C4446" s="0" t="n">
        <v>2.1</v>
      </c>
      <c r="D4446" s="0" t="n">
        <v>0.167</v>
      </c>
    </row>
    <row r="4447" customFormat="false" ht="13.8" hidden="true" customHeight="false" outlineLevel="0" collapsed="false">
      <c r="A4447" s="0" t="s">
        <v>777</v>
      </c>
      <c r="B4447" s="0" t="n">
        <v>28</v>
      </c>
      <c r="C4447" s="0" t="n">
        <v>2.15</v>
      </c>
      <c r="D4447" s="0" t="n">
        <v>0.171486931</v>
      </c>
    </row>
    <row r="4448" customFormat="false" ht="13.8" hidden="true" customHeight="false" outlineLevel="0" collapsed="false">
      <c r="A4448" s="0" t="s">
        <v>777</v>
      </c>
      <c r="B4448" s="0" t="n">
        <v>28</v>
      </c>
      <c r="C4448" s="0" t="n">
        <v>2.2</v>
      </c>
      <c r="D4448" s="0" t="n">
        <v>0.184538134</v>
      </c>
    </row>
    <row r="4449" customFormat="false" ht="13.8" hidden="true" customHeight="false" outlineLevel="0" collapsed="false">
      <c r="A4449" s="0" t="s">
        <v>777</v>
      </c>
      <c r="B4449" s="0" t="n">
        <v>28</v>
      </c>
      <c r="C4449" s="0" t="n">
        <v>2.25</v>
      </c>
      <c r="D4449" s="0" t="n">
        <v>0.188732182</v>
      </c>
    </row>
    <row r="4450" customFormat="false" ht="13.8" hidden="true" customHeight="false" outlineLevel="0" collapsed="false">
      <c r="A4450" s="0" t="s">
        <v>777</v>
      </c>
      <c r="B4450" s="0" t="n">
        <v>28</v>
      </c>
      <c r="C4450" s="0" t="n">
        <v>2.3</v>
      </c>
      <c r="D4450" s="0" t="n">
        <v>0.192926231</v>
      </c>
    </row>
    <row r="4451" customFormat="false" ht="13.8" hidden="true" customHeight="false" outlineLevel="0" collapsed="false">
      <c r="A4451" s="0" t="s">
        <v>777</v>
      </c>
      <c r="B4451" s="0" t="n">
        <v>28</v>
      </c>
      <c r="C4451" s="0" t="n">
        <v>2.35</v>
      </c>
      <c r="D4451" s="0" t="n">
        <v>0.197120279</v>
      </c>
    </row>
    <row r="4452" customFormat="false" ht="13.8" hidden="true" customHeight="false" outlineLevel="0" collapsed="false">
      <c r="A4452" s="0" t="s">
        <v>777</v>
      </c>
      <c r="B4452" s="0" t="n">
        <v>28</v>
      </c>
      <c r="C4452" s="0" t="n">
        <v>2.4</v>
      </c>
      <c r="D4452" s="0" t="n">
        <v>0.201314327</v>
      </c>
    </row>
    <row r="4453" customFormat="false" ht="13.8" hidden="true" customHeight="false" outlineLevel="0" collapsed="false">
      <c r="A4453" s="0" t="s">
        <v>777</v>
      </c>
      <c r="B4453" s="0" t="n">
        <v>28</v>
      </c>
      <c r="C4453" s="0" t="n">
        <v>2.45</v>
      </c>
      <c r="D4453" s="0" t="n">
        <v>0.205508376</v>
      </c>
    </row>
    <row r="4454" customFormat="false" ht="13.8" hidden="true" customHeight="false" outlineLevel="0" collapsed="false">
      <c r="A4454" s="0" t="s">
        <v>777</v>
      </c>
      <c r="B4454" s="0" t="n">
        <v>28</v>
      </c>
      <c r="C4454" s="0" t="n">
        <v>2.5</v>
      </c>
      <c r="D4454" s="0" t="n">
        <v>0.209702424</v>
      </c>
    </row>
    <row r="4455" customFormat="false" ht="13.8" hidden="true" customHeight="false" outlineLevel="0" collapsed="false">
      <c r="A4455" s="0" t="s">
        <v>777</v>
      </c>
      <c r="B4455" s="0" t="n">
        <v>28</v>
      </c>
      <c r="C4455" s="0" t="n">
        <v>2.55</v>
      </c>
      <c r="D4455" s="0" t="n">
        <v>0.213896473</v>
      </c>
    </row>
    <row r="4456" customFormat="false" ht="13.8" hidden="true" customHeight="false" outlineLevel="0" collapsed="false">
      <c r="A4456" s="0" t="s">
        <v>777</v>
      </c>
      <c r="B4456" s="0" t="n">
        <v>28</v>
      </c>
      <c r="C4456" s="0" t="n">
        <v>2.6</v>
      </c>
      <c r="D4456" s="0" t="n">
        <v>0.218090521</v>
      </c>
    </row>
    <row r="4457" customFormat="false" ht="13.8" hidden="true" customHeight="false" outlineLevel="0" collapsed="false">
      <c r="A4457" s="0" t="s">
        <v>232</v>
      </c>
      <c r="B4457" s="0" t="n">
        <v>30</v>
      </c>
      <c r="C4457" s="0" t="n">
        <v>1.3</v>
      </c>
      <c r="D4457" s="0" t="n">
        <v>0</v>
      </c>
    </row>
    <row r="4458" customFormat="false" ht="13.8" hidden="true" customHeight="false" outlineLevel="0" collapsed="false">
      <c r="A4458" s="0" t="s">
        <v>232</v>
      </c>
      <c r="B4458" s="0" t="n">
        <v>30</v>
      </c>
      <c r="C4458" s="0" t="n">
        <v>1.35</v>
      </c>
      <c r="D4458" s="0" t="n">
        <v>0</v>
      </c>
    </row>
    <row r="4459" customFormat="false" ht="13.8" hidden="true" customHeight="false" outlineLevel="0" collapsed="false">
      <c r="A4459" s="0" t="s">
        <v>232</v>
      </c>
      <c r="B4459" s="0" t="n">
        <v>30</v>
      </c>
      <c r="C4459" s="0" t="n">
        <v>1.4</v>
      </c>
      <c r="D4459" s="0" t="n">
        <v>0</v>
      </c>
    </row>
    <row r="4460" customFormat="false" ht="13.8" hidden="true" customHeight="false" outlineLevel="0" collapsed="false">
      <c r="A4460" s="0" t="s">
        <v>232</v>
      </c>
      <c r="B4460" s="0" t="n">
        <v>30</v>
      </c>
      <c r="C4460" s="0" t="n">
        <v>1.45</v>
      </c>
      <c r="D4460" s="0" t="n">
        <v>0</v>
      </c>
    </row>
    <row r="4461" customFormat="false" ht="13.8" hidden="true" customHeight="false" outlineLevel="0" collapsed="false">
      <c r="A4461" s="0" t="s">
        <v>232</v>
      </c>
      <c r="B4461" s="0" t="n">
        <v>30</v>
      </c>
      <c r="C4461" s="0" t="n">
        <v>1.5</v>
      </c>
      <c r="D4461" s="0" t="n">
        <v>0</v>
      </c>
    </row>
    <row r="4462" customFormat="false" ht="13.8" hidden="true" customHeight="false" outlineLevel="0" collapsed="false">
      <c r="A4462" s="0" t="s">
        <v>232</v>
      </c>
      <c r="B4462" s="0" t="n">
        <v>30</v>
      </c>
      <c r="C4462" s="0" t="n">
        <v>1.55</v>
      </c>
      <c r="D4462" s="0" t="n">
        <v>0</v>
      </c>
    </row>
    <row r="4463" customFormat="false" ht="13.8" hidden="true" customHeight="false" outlineLevel="0" collapsed="false">
      <c r="A4463" s="0" t="s">
        <v>232</v>
      </c>
      <c r="B4463" s="0" t="n">
        <v>30</v>
      </c>
      <c r="C4463" s="0" t="n">
        <v>1.6</v>
      </c>
      <c r="D4463" s="0" t="n">
        <v>0.179</v>
      </c>
    </row>
    <row r="4464" customFormat="false" ht="13.8" hidden="true" customHeight="false" outlineLevel="0" collapsed="false">
      <c r="A4464" s="0" t="s">
        <v>232</v>
      </c>
      <c r="B4464" s="0" t="n">
        <v>30</v>
      </c>
      <c r="C4464" s="0" t="n">
        <v>1.65</v>
      </c>
      <c r="D4464" s="0" t="n">
        <v>0.184</v>
      </c>
    </row>
    <row r="4465" customFormat="false" ht="13.8" hidden="true" customHeight="false" outlineLevel="0" collapsed="false">
      <c r="A4465" s="0" t="s">
        <v>232</v>
      </c>
      <c r="B4465" s="0" t="n">
        <v>30</v>
      </c>
      <c r="C4465" s="0" t="n">
        <v>1.7</v>
      </c>
      <c r="D4465" s="0" t="n">
        <v>0.19</v>
      </c>
    </row>
    <row r="4466" customFormat="false" ht="13.8" hidden="true" customHeight="false" outlineLevel="0" collapsed="false">
      <c r="A4466" s="0" t="s">
        <v>232</v>
      </c>
      <c r="B4466" s="0" t="n">
        <v>30</v>
      </c>
      <c r="C4466" s="0" t="n">
        <v>1.75</v>
      </c>
      <c r="D4466" s="0" t="n">
        <v>0.196</v>
      </c>
    </row>
    <row r="4467" customFormat="false" ht="13.8" hidden="true" customHeight="false" outlineLevel="0" collapsed="false">
      <c r="A4467" s="0" t="s">
        <v>232</v>
      </c>
      <c r="B4467" s="0" t="n">
        <v>30</v>
      </c>
      <c r="C4467" s="0" t="n">
        <v>1.8</v>
      </c>
      <c r="D4467" s="0" t="n">
        <v>0</v>
      </c>
    </row>
    <row r="4468" customFormat="false" ht="13.8" hidden="true" customHeight="false" outlineLevel="0" collapsed="false">
      <c r="A4468" s="0" t="s">
        <v>232</v>
      </c>
      <c r="B4468" s="0" t="n">
        <v>30</v>
      </c>
      <c r="C4468" s="0" t="n">
        <v>1.85</v>
      </c>
      <c r="D4468" s="0" t="n">
        <v>0</v>
      </c>
    </row>
    <row r="4469" customFormat="false" ht="13.8" hidden="true" customHeight="false" outlineLevel="0" collapsed="false">
      <c r="A4469" s="0" t="s">
        <v>232</v>
      </c>
      <c r="B4469" s="0" t="n">
        <v>30</v>
      </c>
      <c r="C4469" s="0" t="n">
        <v>1.9</v>
      </c>
      <c r="D4469" s="0" t="n">
        <v>0</v>
      </c>
    </row>
    <row r="4470" customFormat="false" ht="13.8" hidden="true" customHeight="false" outlineLevel="0" collapsed="false">
      <c r="A4470" s="0" t="s">
        <v>232</v>
      </c>
      <c r="B4470" s="0" t="n">
        <v>30</v>
      </c>
      <c r="C4470" s="0" t="n">
        <v>1.95</v>
      </c>
      <c r="D4470" s="0" t="n">
        <v>0</v>
      </c>
    </row>
    <row r="4471" customFormat="false" ht="13.8" hidden="true" customHeight="false" outlineLevel="0" collapsed="false">
      <c r="A4471" s="0" t="s">
        <v>232</v>
      </c>
      <c r="B4471" s="0" t="n">
        <v>30</v>
      </c>
      <c r="C4471" s="0" t="n">
        <v>2</v>
      </c>
      <c r="D4471" s="0" t="n">
        <v>0</v>
      </c>
    </row>
    <row r="4472" customFormat="false" ht="13.8" hidden="true" customHeight="false" outlineLevel="0" collapsed="false">
      <c r="A4472" s="0" t="s">
        <v>232</v>
      </c>
      <c r="B4472" s="0" t="n">
        <v>30</v>
      </c>
      <c r="C4472" s="0" t="n">
        <v>2.05</v>
      </c>
      <c r="D4472" s="0" t="n">
        <v>0</v>
      </c>
    </row>
    <row r="4473" customFormat="false" ht="13.8" hidden="true" customHeight="false" outlineLevel="0" collapsed="false">
      <c r="A4473" s="0" t="s">
        <v>232</v>
      </c>
      <c r="B4473" s="0" t="n">
        <v>30</v>
      </c>
      <c r="C4473" s="0" t="n">
        <v>2.1</v>
      </c>
      <c r="D4473" s="0" t="n">
        <v>0</v>
      </c>
    </row>
    <row r="4474" customFormat="false" ht="13.8" hidden="true" customHeight="false" outlineLevel="0" collapsed="false">
      <c r="A4474" s="0" t="s">
        <v>232</v>
      </c>
      <c r="B4474" s="0" t="n">
        <v>30</v>
      </c>
      <c r="C4474" s="0" t="n">
        <v>2.15</v>
      </c>
      <c r="D4474" s="0" t="n">
        <v>0</v>
      </c>
    </row>
    <row r="4475" customFormat="false" ht="13.8" hidden="true" customHeight="false" outlineLevel="0" collapsed="false">
      <c r="A4475" s="0" t="s">
        <v>232</v>
      </c>
      <c r="B4475" s="0" t="n">
        <v>30</v>
      </c>
      <c r="C4475" s="0" t="n">
        <v>2.2</v>
      </c>
      <c r="D4475" s="0" t="n">
        <v>0</v>
      </c>
    </row>
    <row r="4476" customFormat="false" ht="13.8" hidden="true" customHeight="false" outlineLevel="0" collapsed="false">
      <c r="A4476" s="0" t="s">
        <v>232</v>
      </c>
      <c r="B4476" s="0" t="n">
        <v>30</v>
      </c>
      <c r="C4476" s="0" t="n">
        <v>2.25</v>
      </c>
      <c r="D4476" s="0" t="n">
        <v>0</v>
      </c>
    </row>
    <row r="4477" customFormat="false" ht="13.8" hidden="true" customHeight="false" outlineLevel="0" collapsed="false">
      <c r="A4477" s="0" t="s">
        <v>232</v>
      </c>
      <c r="B4477" s="0" t="n">
        <v>30</v>
      </c>
      <c r="C4477" s="0" t="n">
        <v>2.3</v>
      </c>
      <c r="D4477" s="0" t="n">
        <v>0</v>
      </c>
    </row>
    <row r="4478" customFormat="false" ht="13.8" hidden="true" customHeight="false" outlineLevel="0" collapsed="false">
      <c r="A4478" s="0" t="s">
        <v>232</v>
      </c>
      <c r="B4478" s="0" t="n">
        <v>30</v>
      </c>
      <c r="C4478" s="0" t="n">
        <v>2.35</v>
      </c>
      <c r="D4478" s="0" t="n">
        <v>0</v>
      </c>
    </row>
    <row r="4479" customFormat="false" ht="13.8" hidden="true" customHeight="false" outlineLevel="0" collapsed="false">
      <c r="A4479" s="0" t="s">
        <v>232</v>
      </c>
      <c r="B4479" s="0" t="n">
        <v>30</v>
      </c>
      <c r="C4479" s="0" t="n">
        <v>2.4</v>
      </c>
      <c r="D4479" s="0" t="n">
        <v>0</v>
      </c>
    </row>
    <row r="4480" customFormat="false" ht="13.8" hidden="true" customHeight="false" outlineLevel="0" collapsed="false">
      <c r="A4480" s="0" t="s">
        <v>232</v>
      </c>
      <c r="B4480" s="0" t="n">
        <v>30</v>
      </c>
      <c r="C4480" s="0" t="n">
        <v>2.45</v>
      </c>
      <c r="D4480" s="0" t="n">
        <v>0</v>
      </c>
    </row>
    <row r="4481" customFormat="false" ht="13.8" hidden="true" customHeight="false" outlineLevel="0" collapsed="false">
      <c r="A4481" s="0" t="s">
        <v>232</v>
      </c>
      <c r="B4481" s="0" t="n">
        <v>30</v>
      </c>
      <c r="C4481" s="0" t="n">
        <v>2.5</v>
      </c>
      <c r="D4481" s="0" t="n">
        <v>0</v>
      </c>
    </row>
    <row r="4482" customFormat="false" ht="13.8" hidden="true" customHeight="false" outlineLevel="0" collapsed="false">
      <c r="A4482" s="0" t="s">
        <v>232</v>
      </c>
      <c r="B4482" s="0" t="n">
        <v>30</v>
      </c>
      <c r="C4482" s="0" t="n">
        <v>2.55</v>
      </c>
      <c r="D4482" s="0" t="n">
        <v>0</v>
      </c>
    </row>
    <row r="4483" customFormat="false" ht="13.8" hidden="true" customHeight="false" outlineLevel="0" collapsed="false">
      <c r="A4483" s="0" t="s">
        <v>232</v>
      </c>
      <c r="B4483" s="0" t="n">
        <v>30</v>
      </c>
      <c r="C4483" s="0" t="n">
        <v>2.6</v>
      </c>
      <c r="D4483" s="0" t="n">
        <v>0</v>
      </c>
    </row>
    <row r="4484" customFormat="false" ht="13.8" hidden="true" customHeight="false" outlineLevel="0" collapsed="false">
      <c r="A4484" s="0" t="s">
        <v>126</v>
      </c>
      <c r="B4484" s="0" t="n">
        <v>30</v>
      </c>
      <c r="C4484" s="0" t="n">
        <v>1.3</v>
      </c>
      <c r="D4484" s="0" t="n">
        <v>0</v>
      </c>
    </row>
    <row r="4485" customFormat="false" ht="13.8" hidden="true" customHeight="false" outlineLevel="0" collapsed="false">
      <c r="A4485" s="0" t="s">
        <v>126</v>
      </c>
      <c r="B4485" s="0" t="n">
        <v>30</v>
      </c>
      <c r="C4485" s="0" t="n">
        <v>1.35</v>
      </c>
      <c r="D4485" s="0" t="n">
        <v>0</v>
      </c>
    </row>
    <row r="4486" customFormat="false" ht="13.8" hidden="true" customHeight="false" outlineLevel="0" collapsed="false">
      <c r="A4486" s="0" t="s">
        <v>126</v>
      </c>
      <c r="B4486" s="0" t="n">
        <v>30</v>
      </c>
      <c r="C4486" s="0" t="n">
        <v>1.4</v>
      </c>
      <c r="D4486" s="0" t="n">
        <v>0</v>
      </c>
    </row>
    <row r="4487" customFormat="false" ht="13.8" hidden="true" customHeight="false" outlineLevel="0" collapsed="false">
      <c r="A4487" s="0" t="s">
        <v>126</v>
      </c>
      <c r="B4487" s="0" t="n">
        <v>30</v>
      </c>
      <c r="C4487" s="0" t="n">
        <v>1.45</v>
      </c>
      <c r="D4487" s="0" t="n">
        <v>0</v>
      </c>
    </row>
    <row r="4488" customFormat="false" ht="13.8" hidden="true" customHeight="false" outlineLevel="0" collapsed="false">
      <c r="A4488" s="0" t="s">
        <v>126</v>
      </c>
      <c r="B4488" s="0" t="n">
        <v>30</v>
      </c>
      <c r="C4488" s="0" t="n">
        <v>1.5</v>
      </c>
      <c r="D4488" s="0" t="n">
        <v>0</v>
      </c>
    </row>
    <row r="4489" customFormat="false" ht="13.8" hidden="true" customHeight="false" outlineLevel="0" collapsed="false">
      <c r="A4489" s="0" t="s">
        <v>126</v>
      </c>
      <c r="B4489" s="0" t="n">
        <v>30</v>
      </c>
      <c r="C4489" s="0" t="n">
        <v>1.55</v>
      </c>
      <c r="D4489" s="0" t="n">
        <v>0</v>
      </c>
    </row>
    <row r="4490" customFormat="false" ht="13.8" hidden="true" customHeight="false" outlineLevel="0" collapsed="false">
      <c r="A4490" s="0" t="s">
        <v>126</v>
      </c>
      <c r="B4490" s="0" t="n">
        <v>30</v>
      </c>
      <c r="C4490" s="0" t="n">
        <v>1.6</v>
      </c>
      <c r="D4490" s="0" t="n">
        <v>0</v>
      </c>
    </row>
    <row r="4491" customFormat="false" ht="13.8" hidden="true" customHeight="false" outlineLevel="0" collapsed="false">
      <c r="A4491" s="0" t="s">
        <v>126</v>
      </c>
      <c r="B4491" s="0" t="n">
        <v>30</v>
      </c>
      <c r="C4491" s="0" t="n">
        <v>1.65</v>
      </c>
      <c r="D4491" s="0" t="n">
        <v>0</v>
      </c>
    </row>
    <row r="4492" customFormat="false" ht="13.8" hidden="true" customHeight="false" outlineLevel="0" collapsed="false">
      <c r="A4492" s="0" t="s">
        <v>126</v>
      </c>
      <c r="B4492" s="0" t="n">
        <v>30</v>
      </c>
      <c r="C4492" s="0" t="n">
        <v>1.7</v>
      </c>
      <c r="D4492" s="0" t="n">
        <v>0</v>
      </c>
    </row>
    <row r="4493" customFormat="false" ht="13.8" hidden="true" customHeight="false" outlineLevel="0" collapsed="false">
      <c r="A4493" s="0" t="s">
        <v>126</v>
      </c>
      <c r="B4493" s="0" t="n">
        <v>30</v>
      </c>
      <c r="C4493" s="0" t="n">
        <v>1.75</v>
      </c>
      <c r="D4493" s="0" t="n">
        <v>0</v>
      </c>
    </row>
    <row r="4494" customFormat="false" ht="13.8" hidden="true" customHeight="false" outlineLevel="0" collapsed="false">
      <c r="A4494" s="0" t="s">
        <v>126</v>
      </c>
      <c r="B4494" s="0" t="n">
        <v>30</v>
      </c>
      <c r="C4494" s="0" t="n">
        <v>1.8</v>
      </c>
      <c r="D4494" s="0" t="n">
        <v>0.208</v>
      </c>
    </row>
    <row r="4495" customFormat="false" ht="13.8" hidden="true" customHeight="false" outlineLevel="0" collapsed="false">
      <c r="A4495" s="0" t="s">
        <v>126</v>
      </c>
      <c r="B4495" s="0" t="n">
        <v>30</v>
      </c>
      <c r="C4495" s="0" t="n">
        <v>1.85</v>
      </c>
      <c r="D4495" s="0" t="n">
        <v>0.213</v>
      </c>
    </row>
    <row r="4496" customFormat="false" ht="13.8" hidden="true" customHeight="false" outlineLevel="0" collapsed="false">
      <c r="A4496" s="0" t="s">
        <v>126</v>
      </c>
      <c r="B4496" s="0" t="n">
        <v>30</v>
      </c>
      <c r="C4496" s="0" t="n">
        <v>1.9</v>
      </c>
      <c r="D4496" s="0" t="n">
        <v>0.219</v>
      </c>
    </row>
    <row r="4497" customFormat="false" ht="13.8" hidden="true" customHeight="false" outlineLevel="0" collapsed="false">
      <c r="A4497" s="0" t="s">
        <v>126</v>
      </c>
      <c r="B4497" s="0" t="n">
        <v>30</v>
      </c>
      <c r="C4497" s="0" t="n">
        <v>1.95</v>
      </c>
      <c r="D4497" s="0" t="n">
        <v>0.225</v>
      </c>
    </row>
    <row r="4498" customFormat="false" ht="13.8" hidden="true" customHeight="false" outlineLevel="0" collapsed="false">
      <c r="A4498" s="0" t="s">
        <v>126</v>
      </c>
      <c r="B4498" s="0" t="n">
        <v>30</v>
      </c>
      <c r="C4498" s="0" t="n">
        <v>2</v>
      </c>
      <c r="D4498" s="0" t="n">
        <v>0.238</v>
      </c>
    </row>
    <row r="4499" customFormat="false" ht="13.8" hidden="true" customHeight="false" outlineLevel="0" collapsed="false">
      <c r="A4499" s="0" t="s">
        <v>126</v>
      </c>
      <c r="B4499" s="0" t="n">
        <v>30</v>
      </c>
      <c r="C4499" s="0" t="n">
        <v>2.05</v>
      </c>
      <c r="D4499" s="0" t="n">
        <v>0.244</v>
      </c>
    </row>
    <row r="4500" customFormat="false" ht="13.8" hidden="true" customHeight="false" outlineLevel="0" collapsed="false">
      <c r="A4500" s="0" t="s">
        <v>126</v>
      </c>
      <c r="B4500" s="0" t="n">
        <v>30</v>
      </c>
      <c r="C4500" s="0" t="n">
        <v>2.1</v>
      </c>
      <c r="D4500" s="0" t="n">
        <v>0.25</v>
      </c>
    </row>
    <row r="4501" customFormat="false" ht="13.8" hidden="true" customHeight="false" outlineLevel="0" collapsed="false">
      <c r="A4501" s="0" t="s">
        <v>126</v>
      </c>
      <c r="B4501" s="0" t="n">
        <v>30</v>
      </c>
      <c r="C4501" s="0" t="n">
        <v>2.15</v>
      </c>
      <c r="D4501" s="0" t="n">
        <v>0.255566528</v>
      </c>
    </row>
    <row r="4502" customFormat="false" ht="13.8" hidden="true" customHeight="false" outlineLevel="0" collapsed="false">
      <c r="A4502" s="0" t="s">
        <v>126</v>
      </c>
      <c r="B4502" s="0" t="n">
        <v>30</v>
      </c>
      <c r="C4502" s="0" t="n">
        <v>2.2</v>
      </c>
      <c r="D4502" s="0" t="n">
        <v>0</v>
      </c>
    </row>
    <row r="4503" customFormat="false" ht="13.8" hidden="true" customHeight="false" outlineLevel="0" collapsed="false">
      <c r="A4503" s="0" t="s">
        <v>126</v>
      </c>
      <c r="B4503" s="0" t="n">
        <v>30</v>
      </c>
      <c r="C4503" s="0" t="n">
        <v>2.25</v>
      </c>
      <c r="D4503" s="0" t="n">
        <v>0</v>
      </c>
    </row>
    <row r="4504" customFormat="false" ht="13.8" hidden="true" customHeight="false" outlineLevel="0" collapsed="false">
      <c r="A4504" s="0" t="s">
        <v>126</v>
      </c>
      <c r="B4504" s="0" t="n">
        <v>30</v>
      </c>
      <c r="C4504" s="0" t="n">
        <v>2.3</v>
      </c>
      <c r="D4504" s="0" t="n">
        <v>0</v>
      </c>
    </row>
    <row r="4505" customFormat="false" ht="13.8" hidden="true" customHeight="false" outlineLevel="0" collapsed="false">
      <c r="A4505" s="0" t="s">
        <v>126</v>
      </c>
      <c r="B4505" s="0" t="n">
        <v>30</v>
      </c>
      <c r="C4505" s="0" t="n">
        <v>2.35</v>
      </c>
      <c r="D4505" s="0" t="n">
        <v>0</v>
      </c>
    </row>
    <row r="4506" customFormat="false" ht="13.8" hidden="true" customHeight="false" outlineLevel="0" collapsed="false">
      <c r="A4506" s="0" t="s">
        <v>126</v>
      </c>
      <c r="B4506" s="0" t="n">
        <v>30</v>
      </c>
      <c r="C4506" s="0" t="n">
        <v>2.4</v>
      </c>
      <c r="D4506" s="0" t="n">
        <v>0</v>
      </c>
    </row>
    <row r="4507" customFormat="false" ht="13.8" hidden="true" customHeight="false" outlineLevel="0" collapsed="false">
      <c r="A4507" s="0" t="s">
        <v>126</v>
      </c>
      <c r="B4507" s="0" t="n">
        <v>30</v>
      </c>
      <c r="C4507" s="0" t="n">
        <v>2.45</v>
      </c>
      <c r="D4507" s="0" t="n">
        <v>0</v>
      </c>
    </row>
    <row r="4508" customFormat="false" ht="13.8" hidden="true" customHeight="false" outlineLevel="0" collapsed="false">
      <c r="A4508" s="0" t="s">
        <v>126</v>
      </c>
      <c r="B4508" s="0" t="n">
        <v>30</v>
      </c>
      <c r="C4508" s="0" t="n">
        <v>2.5</v>
      </c>
      <c r="D4508" s="0" t="n">
        <v>0</v>
      </c>
    </row>
    <row r="4509" customFormat="false" ht="13.8" hidden="true" customHeight="false" outlineLevel="0" collapsed="false">
      <c r="A4509" s="0" t="s">
        <v>126</v>
      </c>
      <c r="B4509" s="0" t="n">
        <v>30</v>
      </c>
      <c r="C4509" s="0" t="n">
        <v>2.55</v>
      </c>
      <c r="D4509" s="0" t="n">
        <v>0</v>
      </c>
    </row>
    <row r="4510" customFormat="false" ht="13.8" hidden="true" customHeight="false" outlineLevel="0" collapsed="false">
      <c r="A4510" s="0" t="s">
        <v>126</v>
      </c>
      <c r="B4510" s="0" t="n">
        <v>30</v>
      </c>
      <c r="C4510" s="0" t="n">
        <v>2.6</v>
      </c>
      <c r="D4510" s="0" t="n">
        <v>0</v>
      </c>
    </row>
    <row r="4511" customFormat="false" ht="13.8" hidden="true" customHeight="false" outlineLevel="0" collapsed="false">
      <c r="A4511" s="0" t="s">
        <v>784</v>
      </c>
      <c r="B4511" s="0" t="n">
        <v>30</v>
      </c>
      <c r="C4511" s="0" t="n">
        <v>1.3</v>
      </c>
      <c r="D4511" s="0" t="n">
        <v>0</v>
      </c>
    </row>
    <row r="4512" customFormat="false" ht="13.8" hidden="true" customHeight="false" outlineLevel="0" collapsed="false">
      <c r="A4512" s="0" t="s">
        <v>784</v>
      </c>
      <c r="B4512" s="0" t="n">
        <v>30</v>
      </c>
      <c r="C4512" s="0" t="n">
        <v>1.35</v>
      </c>
      <c r="D4512" s="0" t="n">
        <v>0</v>
      </c>
    </row>
    <row r="4513" customFormat="false" ht="13.8" hidden="true" customHeight="false" outlineLevel="0" collapsed="false">
      <c r="A4513" s="0" t="s">
        <v>784</v>
      </c>
      <c r="B4513" s="0" t="n">
        <v>30</v>
      </c>
      <c r="C4513" s="0" t="n">
        <v>1.4</v>
      </c>
      <c r="D4513" s="0" t="n">
        <v>0</v>
      </c>
    </row>
    <row r="4514" customFormat="false" ht="13.8" hidden="true" customHeight="false" outlineLevel="0" collapsed="false">
      <c r="A4514" s="0" t="s">
        <v>784</v>
      </c>
      <c r="B4514" s="0" t="n">
        <v>30</v>
      </c>
      <c r="C4514" s="0" t="n">
        <v>1.45</v>
      </c>
      <c r="D4514" s="0" t="n">
        <v>0</v>
      </c>
    </row>
    <row r="4515" customFormat="false" ht="13.8" hidden="true" customHeight="false" outlineLevel="0" collapsed="false">
      <c r="A4515" s="0" t="s">
        <v>784</v>
      </c>
      <c r="B4515" s="0" t="n">
        <v>30</v>
      </c>
      <c r="C4515" s="0" t="n">
        <v>1.5</v>
      </c>
      <c r="D4515" s="0" t="n">
        <v>0</v>
      </c>
    </row>
    <row r="4516" customFormat="false" ht="13.8" hidden="true" customHeight="false" outlineLevel="0" collapsed="false">
      <c r="A4516" s="0" t="s">
        <v>784</v>
      </c>
      <c r="B4516" s="0" t="n">
        <v>30</v>
      </c>
      <c r="C4516" s="0" t="n">
        <v>1.55</v>
      </c>
      <c r="D4516" s="0" t="n">
        <v>0</v>
      </c>
    </row>
    <row r="4517" customFormat="false" ht="13.8" hidden="true" customHeight="false" outlineLevel="0" collapsed="false">
      <c r="A4517" s="0" t="s">
        <v>784</v>
      </c>
      <c r="B4517" s="0" t="n">
        <v>30</v>
      </c>
      <c r="C4517" s="0" t="n">
        <v>1.6</v>
      </c>
      <c r="D4517" s="0" t="n">
        <v>0</v>
      </c>
    </row>
    <row r="4518" customFormat="false" ht="13.8" hidden="true" customHeight="false" outlineLevel="0" collapsed="false">
      <c r="A4518" s="0" t="s">
        <v>784</v>
      </c>
      <c r="B4518" s="0" t="n">
        <v>30</v>
      </c>
      <c r="C4518" s="0" t="n">
        <v>1.65</v>
      </c>
      <c r="D4518" s="0" t="n">
        <v>0</v>
      </c>
    </row>
    <row r="4519" customFormat="false" ht="13.8" hidden="true" customHeight="false" outlineLevel="0" collapsed="false">
      <c r="A4519" s="0" t="s">
        <v>784</v>
      </c>
      <c r="B4519" s="0" t="n">
        <v>30</v>
      </c>
      <c r="C4519" s="0" t="n">
        <v>1.7</v>
      </c>
      <c r="D4519" s="0" t="n">
        <v>0</v>
      </c>
    </row>
    <row r="4520" customFormat="false" ht="13.8" hidden="true" customHeight="false" outlineLevel="0" collapsed="false">
      <c r="A4520" s="0" t="s">
        <v>784</v>
      </c>
      <c r="B4520" s="0" t="n">
        <v>30</v>
      </c>
      <c r="C4520" s="0" t="n">
        <v>1.75</v>
      </c>
      <c r="D4520" s="0" t="n">
        <v>0</v>
      </c>
    </row>
    <row r="4521" customFormat="false" ht="13.8" hidden="true" customHeight="false" outlineLevel="0" collapsed="false">
      <c r="A4521" s="0" t="s">
        <v>784</v>
      </c>
      <c r="B4521" s="0" t="n">
        <v>30</v>
      </c>
      <c r="C4521" s="0" t="n">
        <v>1.8</v>
      </c>
      <c r="D4521" s="0" t="n">
        <v>0.208</v>
      </c>
    </row>
    <row r="4522" customFormat="false" ht="13.8" hidden="true" customHeight="false" outlineLevel="0" collapsed="false">
      <c r="A4522" s="0" t="s">
        <v>784</v>
      </c>
      <c r="B4522" s="0" t="n">
        <v>30</v>
      </c>
      <c r="C4522" s="0" t="n">
        <v>1.85</v>
      </c>
      <c r="D4522" s="0" t="n">
        <v>0.213</v>
      </c>
    </row>
    <row r="4523" customFormat="false" ht="13.8" hidden="true" customHeight="false" outlineLevel="0" collapsed="false">
      <c r="A4523" s="0" t="s">
        <v>784</v>
      </c>
      <c r="B4523" s="0" t="n">
        <v>30</v>
      </c>
      <c r="C4523" s="0" t="n">
        <v>1.9</v>
      </c>
      <c r="D4523" s="0" t="n">
        <v>0.219</v>
      </c>
    </row>
    <row r="4524" customFormat="false" ht="13.8" hidden="true" customHeight="false" outlineLevel="0" collapsed="false">
      <c r="A4524" s="0" t="s">
        <v>784</v>
      </c>
      <c r="B4524" s="0" t="n">
        <v>30</v>
      </c>
      <c r="C4524" s="0" t="n">
        <v>1.95</v>
      </c>
      <c r="D4524" s="0" t="n">
        <v>0.225</v>
      </c>
    </row>
    <row r="4525" customFormat="false" ht="13.8" hidden="true" customHeight="false" outlineLevel="0" collapsed="false">
      <c r="A4525" s="0" t="s">
        <v>784</v>
      </c>
      <c r="B4525" s="0" t="n">
        <v>30</v>
      </c>
      <c r="C4525" s="0" t="n">
        <v>2</v>
      </c>
      <c r="D4525" s="0" t="n">
        <v>0.238</v>
      </c>
    </row>
    <row r="4526" customFormat="false" ht="13.8" hidden="true" customHeight="false" outlineLevel="0" collapsed="false">
      <c r="A4526" s="0" t="s">
        <v>784</v>
      </c>
      <c r="B4526" s="0" t="n">
        <v>30</v>
      </c>
      <c r="C4526" s="0" t="n">
        <v>2.05</v>
      </c>
      <c r="D4526" s="0" t="n">
        <v>0.244</v>
      </c>
    </row>
    <row r="4527" customFormat="false" ht="13.8" hidden="true" customHeight="false" outlineLevel="0" collapsed="false">
      <c r="A4527" s="0" t="s">
        <v>784</v>
      </c>
      <c r="B4527" s="0" t="n">
        <v>30</v>
      </c>
      <c r="C4527" s="0" t="n">
        <v>2.1</v>
      </c>
      <c r="D4527" s="0" t="n">
        <v>0.25</v>
      </c>
    </row>
    <row r="4528" customFormat="false" ht="13.8" hidden="true" customHeight="false" outlineLevel="0" collapsed="false">
      <c r="A4528" s="0" t="s">
        <v>784</v>
      </c>
      <c r="B4528" s="0" t="n">
        <v>30</v>
      </c>
      <c r="C4528" s="0" t="n">
        <v>2.15</v>
      </c>
      <c r="D4528" s="0" t="n">
        <v>0.255566528</v>
      </c>
    </row>
    <row r="4529" customFormat="false" ht="13.8" hidden="true" customHeight="false" outlineLevel="0" collapsed="false">
      <c r="A4529" s="0" t="s">
        <v>784</v>
      </c>
      <c r="B4529" s="0" t="n">
        <v>30</v>
      </c>
      <c r="C4529" s="0" t="n">
        <v>2.2</v>
      </c>
      <c r="D4529" s="0" t="n">
        <v>0</v>
      </c>
    </row>
    <row r="4530" customFormat="false" ht="13.8" hidden="true" customHeight="false" outlineLevel="0" collapsed="false">
      <c r="A4530" s="0" t="s">
        <v>784</v>
      </c>
      <c r="B4530" s="0" t="n">
        <v>30</v>
      </c>
      <c r="C4530" s="0" t="n">
        <v>2.25</v>
      </c>
      <c r="D4530" s="0" t="n">
        <v>0</v>
      </c>
    </row>
    <row r="4531" customFormat="false" ht="13.8" hidden="true" customHeight="false" outlineLevel="0" collapsed="false">
      <c r="A4531" s="0" t="s">
        <v>784</v>
      </c>
      <c r="B4531" s="0" t="n">
        <v>30</v>
      </c>
      <c r="C4531" s="0" t="n">
        <v>2.3</v>
      </c>
      <c r="D4531" s="0" t="n">
        <v>0</v>
      </c>
    </row>
    <row r="4532" customFormat="false" ht="13.8" hidden="true" customHeight="false" outlineLevel="0" collapsed="false">
      <c r="A4532" s="0" t="s">
        <v>784</v>
      </c>
      <c r="B4532" s="0" t="n">
        <v>30</v>
      </c>
      <c r="C4532" s="0" t="n">
        <v>2.35</v>
      </c>
      <c r="D4532" s="0" t="n">
        <v>0</v>
      </c>
    </row>
    <row r="4533" customFormat="false" ht="13.8" hidden="true" customHeight="false" outlineLevel="0" collapsed="false">
      <c r="A4533" s="0" t="s">
        <v>784</v>
      </c>
      <c r="B4533" s="0" t="n">
        <v>30</v>
      </c>
      <c r="C4533" s="0" t="n">
        <v>2.4</v>
      </c>
      <c r="D4533" s="0" t="n">
        <v>0</v>
      </c>
    </row>
    <row r="4534" customFormat="false" ht="13.8" hidden="true" customHeight="false" outlineLevel="0" collapsed="false">
      <c r="A4534" s="0" t="s">
        <v>784</v>
      </c>
      <c r="B4534" s="0" t="n">
        <v>30</v>
      </c>
      <c r="C4534" s="0" t="n">
        <v>2.45</v>
      </c>
      <c r="D4534" s="0" t="n">
        <v>0</v>
      </c>
    </row>
    <row r="4535" customFormat="false" ht="13.8" hidden="true" customHeight="false" outlineLevel="0" collapsed="false">
      <c r="A4535" s="0" t="s">
        <v>784</v>
      </c>
      <c r="B4535" s="0" t="n">
        <v>30</v>
      </c>
      <c r="C4535" s="0" t="n">
        <v>2.5</v>
      </c>
      <c r="D4535" s="0" t="n">
        <v>0</v>
      </c>
    </row>
    <row r="4536" customFormat="false" ht="13.8" hidden="true" customHeight="false" outlineLevel="0" collapsed="false">
      <c r="A4536" s="0" t="s">
        <v>784</v>
      </c>
      <c r="B4536" s="0" t="n">
        <v>30</v>
      </c>
      <c r="C4536" s="0" t="n">
        <v>2.55</v>
      </c>
      <c r="D4536" s="0" t="n">
        <v>0</v>
      </c>
    </row>
    <row r="4537" customFormat="false" ht="13.8" hidden="true" customHeight="false" outlineLevel="0" collapsed="false">
      <c r="A4537" s="0" t="s">
        <v>784</v>
      </c>
      <c r="B4537" s="0" t="n">
        <v>30</v>
      </c>
      <c r="C4537" s="0" t="n">
        <v>2.6</v>
      </c>
      <c r="D4537" s="0" t="n">
        <v>0</v>
      </c>
    </row>
    <row r="4538" customFormat="false" ht="13.8" hidden="true" customHeight="false" outlineLevel="0" collapsed="false">
      <c r="A4538" s="0" t="s">
        <v>233</v>
      </c>
      <c r="B4538" s="0" t="n">
        <v>30</v>
      </c>
      <c r="C4538" s="0" t="n">
        <v>1.3</v>
      </c>
      <c r="D4538" s="0" t="n">
        <v>0</v>
      </c>
    </row>
    <row r="4539" customFormat="false" ht="13.8" hidden="true" customHeight="false" outlineLevel="0" collapsed="false">
      <c r="A4539" s="0" t="s">
        <v>233</v>
      </c>
      <c r="B4539" s="0" t="n">
        <v>30</v>
      </c>
      <c r="C4539" s="0" t="n">
        <v>1.35</v>
      </c>
      <c r="D4539" s="0" t="n">
        <v>0</v>
      </c>
    </row>
    <row r="4540" customFormat="false" ht="13.8" hidden="true" customHeight="false" outlineLevel="0" collapsed="false">
      <c r="A4540" s="0" t="s">
        <v>233</v>
      </c>
      <c r="B4540" s="0" t="n">
        <v>30</v>
      </c>
      <c r="C4540" s="0" t="n">
        <v>1.4</v>
      </c>
      <c r="D4540" s="0" t="n">
        <v>0</v>
      </c>
    </row>
    <row r="4541" customFormat="false" ht="13.8" hidden="true" customHeight="false" outlineLevel="0" collapsed="false">
      <c r="A4541" s="0" t="s">
        <v>233</v>
      </c>
      <c r="B4541" s="0" t="n">
        <v>30</v>
      </c>
      <c r="C4541" s="0" t="n">
        <v>1.45</v>
      </c>
      <c r="D4541" s="0" t="n">
        <v>0</v>
      </c>
    </row>
    <row r="4542" customFormat="false" ht="13.8" hidden="true" customHeight="false" outlineLevel="0" collapsed="false">
      <c r="A4542" s="0" t="s">
        <v>233</v>
      </c>
      <c r="B4542" s="0" t="n">
        <v>30</v>
      </c>
      <c r="C4542" s="0" t="n">
        <v>1.5</v>
      </c>
      <c r="D4542" s="0" t="n">
        <v>0</v>
      </c>
    </row>
    <row r="4543" customFormat="false" ht="13.8" hidden="true" customHeight="false" outlineLevel="0" collapsed="false">
      <c r="A4543" s="0" t="s">
        <v>233</v>
      </c>
      <c r="B4543" s="0" t="n">
        <v>30</v>
      </c>
      <c r="C4543" s="0" t="n">
        <v>1.55</v>
      </c>
      <c r="D4543" s="0" t="n">
        <v>0</v>
      </c>
    </row>
    <row r="4544" customFormat="false" ht="13.8" hidden="true" customHeight="false" outlineLevel="0" collapsed="false">
      <c r="A4544" s="0" t="s">
        <v>233</v>
      </c>
      <c r="B4544" s="0" t="n">
        <v>30</v>
      </c>
      <c r="C4544" s="0" t="n">
        <v>1.6</v>
      </c>
      <c r="D4544" s="0" t="n">
        <v>0</v>
      </c>
    </row>
    <row r="4545" customFormat="false" ht="13.8" hidden="true" customHeight="false" outlineLevel="0" collapsed="false">
      <c r="A4545" s="0" t="s">
        <v>233</v>
      </c>
      <c r="B4545" s="0" t="n">
        <v>30</v>
      </c>
      <c r="C4545" s="0" t="n">
        <v>1.65</v>
      </c>
      <c r="D4545" s="0" t="n">
        <v>0</v>
      </c>
    </row>
    <row r="4546" customFormat="false" ht="13.8" hidden="true" customHeight="false" outlineLevel="0" collapsed="false">
      <c r="A4546" s="0" t="s">
        <v>233</v>
      </c>
      <c r="B4546" s="0" t="n">
        <v>30</v>
      </c>
      <c r="C4546" s="0" t="n">
        <v>1.7</v>
      </c>
      <c r="D4546" s="0" t="n">
        <v>0</v>
      </c>
    </row>
    <row r="4547" customFormat="false" ht="13.8" hidden="true" customHeight="false" outlineLevel="0" collapsed="false">
      <c r="A4547" s="0" t="s">
        <v>233</v>
      </c>
      <c r="B4547" s="0" t="n">
        <v>30</v>
      </c>
      <c r="C4547" s="0" t="n">
        <v>1.75</v>
      </c>
      <c r="D4547" s="0" t="n">
        <v>0</v>
      </c>
    </row>
    <row r="4548" customFormat="false" ht="13.8" hidden="true" customHeight="false" outlineLevel="0" collapsed="false">
      <c r="A4548" s="0" t="s">
        <v>233</v>
      </c>
      <c r="B4548" s="0" t="n">
        <v>30</v>
      </c>
      <c r="C4548" s="0" t="n">
        <v>1.8</v>
      </c>
      <c r="D4548" s="0" t="n">
        <v>0</v>
      </c>
    </row>
    <row r="4549" customFormat="false" ht="13.8" hidden="true" customHeight="false" outlineLevel="0" collapsed="false">
      <c r="A4549" s="0" t="s">
        <v>233</v>
      </c>
      <c r="B4549" s="0" t="n">
        <v>30</v>
      </c>
      <c r="C4549" s="0" t="n">
        <v>1.85</v>
      </c>
      <c r="D4549" s="0" t="n">
        <v>0</v>
      </c>
    </row>
    <row r="4550" customFormat="false" ht="13.8" hidden="true" customHeight="false" outlineLevel="0" collapsed="false">
      <c r="A4550" s="0" t="s">
        <v>233</v>
      </c>
      <c r="B4550" s="0" t="n">
        <v>30</v>
      </c>
      <c r="C4550" s="0" t="n">
        <v>1.9</v>
      </c>
      <c r="D4550" s="0" t="n">
        <v>0.219</v>
      </c>
    </row>
    <row r="4551" customFormat="false" ht="13.8" hidden="true" customHeight="false" outlineLevel="0" collapsed="false">
      <c r="A4551" s="0" t="s">
        <v>233</v>
      </c>
      <c r="B4551" s="0" t="n">
        <v>30</v>
      </c>
      <c r="C4551" s="0" t="n">
        <v>1.95</v>
      </c>
      <c r="D4551" s="0" t="n">
        <v>0.225</v>
      </c>
    </row>
    <row r="4552" customFormat="false" ht="13.8" hidden="true" customHeight="false" outlineLevel="0" collapsed="false">
      <c r="A4552" s="0" t="s">
        <v>233</v>
      </c>
      <c r="B4552" s="0" t="n">
        <v>30</v>
      </c>
      <c r="C4552" s="0" t="n">
        <v>2</v>
      </c>
      <c r="D4552" s="0" t="n">
        <v>0.238</v>
      </c>
    </row>
    <row r="4553" customFormat="false" ht="13.8" hidden="true" customHeight="false" outlineLevel="0" collapsed="false">
      <c r="A4553" s="0" t="s">
        <v>233</v>
      </c>
      <c r="B4553" s="0" t="n">
        <v>30</v>
      </c>
      <c r="C4553" s="0" t="n">
        <v>2.05</v>
      </c>
      <c r="D4553" s="0" t="n">
        <v>0.244</v>
      </c>
    </row>
    <row r="4554" customFormat="false" ht="13.8" hidden="true" customHeight="false" outlineLevel="0" collapsed="false">
      <c r="A4554" s="0" t="s">
        <v>233</v>
      </c>
      <c r="B4554" s="0" t="n">
        <v>30</v>
      </c>
      <c r="C4554" s="0" t="n">
        <v>2.1</v>
      </c>
      <c r="D4554" s="0" t="n">
        <v>0.25</v>
      </c>
    </row>
    <row r="4555" customFormat="false" ht="13.8" hidden="true" customHeight="false" outlineLevel="0" collapsed="false">
      <c r="A4555" s="0" t="s">
        <v>233</v>
      </c>
      <c r="B4555" s="0" t="n">
        <v>30</v>
      </c>
      <c r="C4555" s="0" t="n">
        <v>2.15</v>
      </c>
      <c r="D4555" s="0" t="n">
        <v>0.255566528</v>
      </c>
    </row>
    <row r="4556" customFormat="false" ht="13.8" hidden="true" customHeight="false" outlineLevel="0" collapsed="false">
      <c r="A4556" s="0" t="s">
        <v>233</v>
      </c>
      <c r="B4556" s="0" t="n">
        <v>30</v>
      </c>
      <c r="C4556" s="0" t="n">
        <v>2.2</v>
      </c>
      <c r="D4556" s="0" t="n">
        <v>0</v>
      </c>
    </row>
    <row r="4557" customFormat="false" ht="13.8" hidden="true" customHeight="false" outlineLevel="0" collapsed="false">
      <c r="A4557" s="0" t="s">
        <v>233</v>
      </c>
      <c r="B4557" s="0" t="n">
        <v>30</v>
      </c>
      <c r="C4557" s="0" t="n">
        <v>2.25</v>
      </c>
      <c r="D4557" s="0" t="n">
        <v>0</v>
      </c>
    </row>
    <row r="4558" customFormat="false" ht="13.8" hidden="true" customHeight="false" outlineLevel="0" collapsed="false">
      <c r="A4558" s="0" t="s">
        <v>233</v>
      </c>
      <c r="B4558" s="0" t="n">
        <v>30</v>
      </c>
      <c r="C4558" s="0" t="n">
        <v>2.3</v>
      </c>
      <c r="D4558" s="0" t="n">
        <v>0</v>
      </c>
    </row>
    <row r="4559" customFormat="false" ht="13.8" hidden="true" customHeight="false" outlineLevel="0" collapsed="false">
      <c r="A4559" s="0" t="s">
        <v>233</v>
      </c>
      <c r="B4559" s="0" t="n">
        <v>30</v>
      </c>
      <c r="C4559" s="0" t="n">
        <v>2.35</v>
      </c>
      <c r="D4559" s="0" t="n">
        <v>0</v>
      </c>
    </row>
    <row r="4560" customFormat="false" ht="13.8" hidden="true" customHeight="false" outlineLevel="0" collapsed="false">
      <c r="A4560" s="0" t="s">
        <v>233</v>
      </c>
      <c r="B4560" s="0" t="n">
        <v>30</v>
      </c>
      <c r="C4560" s="0" t="n">
        <v>2.4</v>
      </c>
      <c r="D4560" s="0" t="n">
        <v>0</v>
      </c>
    </row>
    <row r="4561" customFormat="false" ht="13.8" hidden="true" customHeight="false" outlineLevel="0" collapsed="false">
      <c r="A4561" s="0" t="s">
        <v>233</v>
      </c>
      <c r="B4561" s="0" t="n">
        <v>30</v>
      </c>
      <c r="C4561" s="0" t="n">
        <v>2.45</v>
      </c>
      <c r="D4561" s="0" t="n">
        <v>0</v>
      </c>
    </row>
    <row r="4562" customFormat="false" ht="13.8" hidden="true" customHeight="false" outlineLevel="0" collapsed="false">
      <c r="A4562" s="0" t="s">
        <v>233</v>
      </c>
      <c r="B4562" s="0" t="n">
        <v>30</v>
      </c>
      <c r="C4562" s="0" t="n">
        <v>2.5</v>
      </c>
      <c r="D4562" s="0" t="n">
        <v>0</v>
      </c>
    </row>
    <row r="4563" customFormat="false" ht="13.8" hidden="true" customHeight="false" outlineLevel="0" collapsed="false">
      <c r="A4563" s="0" t="s">
        <v>233</v>
      </c>
      <c r="B4563" s="0" t="n">
        <v>30</v>
      </c>
      <c r="C4563" s="0" t="n">
        <v>2.55</v>
      </c>
      <c r="D4563" s="0" t="n">
        <v>0</v>
      </c>
    </row>
    <row r="4564" customFormat="false" ht="13.8" hidden="true" customHeight="false" outlineLevel="0" collapsed="false">
      <c r="A4564" s="0" t="s">
        <v>233</v>
      </c>
      <c r="B4564" s="0" t="n">
        <v>30</v>
      </c>
      <c r="C4564" s="0" t="n">
        <v>2.6</v>
      </c>
      <c r="D4564" s="0" t="n">
        <v>0</v>
      </c>
    </row>
    <row r="4565" customFormat="false" ht="13.8" hidden="true" customHeight="false" outlineLevel="0" collapsed="false">
      <c r="A4565" s="0" t="s">
        <v>789</v>
      </c>
      <c r="B4565" s="0" t="n">
        <v>30</v>
      </c>
      <c r="C4565" s="0" t="n">
        <v>1.3</v>
      </c>
      <c r="D4565" s="0" t="n">
        <v>0</v>
      </c>
    </row>
    <row r="4566" customFormat="false" ht="13.8" hidden="true" customHeight="false" outlineLevel="0" collapsed="false">
      <c r="A4566" s="0" t="s">
        <v>789</v>
      </c>
      <c r="B4566" s="0" t="n">
        <v>30</v>
      </c>
      <c r="C4566" s="0" t="n">
        <v>1.35</v>
      </c>
      <c r="D4566" s="0" t="n">
        <v>0</v>
      </c>
    </row>
    <row r="4567" customFormat="false" ht="13.8" hidden="true" customHeight="false" outlineLevel="0" collapsed="false">
      <c r="A4567" s="0" t="s">
        <v>789</v>
      </c>
      <c r="B4567" s="0" t="n">
        <v>30</v>
      </c>
      <c r="C4567" s="0" t="n">
        <v>1.4</v>
      </c>
      <c r="D4567" s="0" t="n">
        <v>0</v>
      </c>
    </row>
    <row r="4568" customFormat="false" ht="13.8" hidden="true" customHeight="false" outlineLevel="0" collapsed="false">
      <c r="A4568" s="0" t="s">
        <v>789</v>
      </c>
      <c r="B4568" s="0" t="n">
        <v>30</v>
      </c>
      <c r="C4568" s="0" t="n">
        <v>1.45</v>
      </c>
      <c r="D4568" s="0" t="n">
        <v>0</v>
      </c>
    </row>
    <row r="4569" customFormat="false" ht="13.8" hidden="true" customHeight="false" outlineLevel="0" collapsed="false">
      <c r="A4569" s="0" t="s">
        <v>789</v>
      </c>
      <c r="B4569" s="0" t="n">
        <v>30</v>
      </c>
      <c r="C4569" s="0" t="n">
        <v>1.5</v>
      </c>
      <c r="D4569" s="0" t="n">
        <v>0</v>
      </c>
    </row>
    <row r="4570" customFormat="false" ht="13.8" hidden="true" customHeight="false" outlineLevel="0" collapsed="false">
      <c r="A4570" s="0" t="s">
        <v>789</v>
      </c>
      <c r="B4570" s="0" t="n">
        <v>30</v>
      </c>
      <c r="C4570" s="0" t="n">
        <v>1.55</v>
      </c>
      <c r="D4570" s="0" t="n">
        <v>0</v>
      </c>
    </row>
    <row r="4571" customFormat="false" ht="13.8" hidden="true" customHeight="false" outlineLevel="0" collapsed="false">
      <c r="A4571" s="0" t="s">
        <v>789</v>
      </c>
      <c r="B4571" s="0" t="n">
        <v>30</v>
      </c>
      <c r="C4571" s="0" t="n">
        <v>1.6</v>
      </c>
      <c r="D4571" s="0" t="n">
        <v>0</v>
      </c>
    </row>
    <row r="4572" customFormat="false" ht="13.8" hidden="true" customHeight="false" outlineLevel="0" collapsed="false">
      <c r="A4572" s="0" t="s">
        <v>789</v>
      </c>
      <c r="B4572" s="0" t="n">
        <v>30</v>
      </c>
      <c r="C4572" s="0" t="n">
        <v>1.65</v>
      </c>
      <c r="D4572" s="0" t="n">
        <v>0</v>
      </c>
    </row>
    <row r="4573" customFormat="false" ht="13.8" hidden="true" customHeight="false" outlineLevel="0" collapsed="false">
      <c r="A4573" s="0" t="s">
        <v>789</v>
      </c>
      <c r="B4573" s="0" t="n">
        <v>30</v>
      </c>
      <c r="C4573" s="0" t="n">
        <v>1.7</v>
      </c>
      <c r="D4573" s="0" t="n">
        <v>0</v>
      </c>
    </row>
    <row r="4574" customFormat="false" ht="13.8" hidden="true" customHeight="false" outlineLevel="0" collapsed="false">
      <c r="A4574" s="0" t="s">
        <v>789</v>
      </c>
      <c r="B4574" s="0" t="n">
        <v>30</v>
      </c>
      <c r="C4574" s="0" t="n">
        <v>1.75</v>
      </c>
      <c r="D4574" s="0" t="n">
        <v>0</v>
      </c>
    </row>
    <row r="4575" customFormat="false" ht="13.8" hidden="true" customHeight="false" outlineLevel="0" collapsed="false">
      <c r="A4575" s="0" t="s">
        <v>789</v>
      </c>
      <c r="B4575" s="0" t="n">
        <v>30</v>
      </c>
      <c r="C4575" s="0" t="n">
        <v>1.8</v>
      </c>
      <c r="D4575" s="0" t="n">
        <v>0</v>
      </c>
    </row>
    <row r="4576" customFormat="false" ht="13.8" hidden="true" customHeight="false" outlineLevel="0" collapsed="false">
      <c r="A4576" s="0" t="s">
        <v>789</v>
      </c>
      <c r="B4576" s="0" t="n">
        <v>30</v>
      </c>
      <c r="C4576" s="0" t="n">
        <v>1.85</v>
      </c>
      <c r="D4576" s="0" t="n">
        <v>0</v>
      </c>
    </row>
    <row r="4577" customFormat="false" ht="13.8" hidden="true" customHeight="false" outlineLevel="0" collapsed="false">
      <c r="A4577" s="0" t="s">
        <v>789</v>
      </c>
      <c r="B4577" s="0" t="n">
        <v>30</v>
      </c>
      <c r="C4577" s="0" t="n">
        <v>1.9</v>
      </c>
      <c r="D4577" s="0" t="n">
        <v>0.219</v>
      </c>
    </row>
    <row r="4578" customFormat="false" ht="13.8" hidden="true" customHeight="false" outlineLevel="0" collapsed="false">
      <c r="A4578" s="0" t="s">
        <v>789</v>
      </c>
      <c r="B4578" s="0" t="n">
        <v>30</v>
      </c>
      <c r="C4578" s="0" t="n">
        <v>1.95</v>
      </c>
      <c r="D4578" s="0" t="n">
        <v>0.225</v>
      </c>
    </row>
    <row r="4579" customFormat="false" ht="13.8" hidden="true" customHeight="false" outlineLevel="0" collapsed="false">
      <c r="A4579" s="0" t="s">
        <v>789</v>
      </c>
      <c r="B4579" s="0" t="n">
        <v>30</v>
      </c>
      <c r="C4579" s="0" t="n">
        <v>2</v>
      </c>
      <c r="D4579" s="0" t="n">
        <v>0.238</v>
      </c>
    </row>
    <row r="4580" customFormat="false" ht="13.8" hidden="true" customHeight="false" outlineLevel="0" collapsed="false">
      <c r="A4580" s="0" t="s">
        <v>789</v>
      </c>
      <c r="B4580" s="0" t="n">
        <v>30</v>
      </c>
      <c r="C4580" s="0" t="n">
        <v>2.05</v>
      </c>
      <c r="D4580" s="0" t="n">
        <v>0.244</v>
      </c>
    </row>
    <row r="4581" customFormat="false" ht="13.8" hidden="true" customHeight="false" outlineLevel="0" collapsed="false">
      <c r="A4581" s="0" t="s">
        <v>789</v>
      </c>
      <c r="B4581" s="0" t="n">
        <v>30</v>
      </c>
      <c r="C4581" s="0" t="n">
        <v>2.1</v>
      </c>
      <c r="D4581" s="0" t="n">
        <v>0.25</v>
      </c>
    </row>
    <row r="4582" customFormat="false" ht="13.8" hidden="true" customHeight="false" outlineLevel="0" collapsed="false">
      <c r="A4582" s="0" t="s">
        <v>789</v>
      </c>
      <c r="B4582" s="0" t="n">
        <v>30</v>
      </c>
      <c r="C4582" s="0" t="n">
        <v>2.15</v>
      </c>
      <c r="D4582" s="0" t="n">
        <v>0.255566528</v>
      </c>
    </row>
    <row r="4583" customFormat="false" ht="13.8" hidden="true" customHeight="false" outlineLevel="0" collapsed="false">
      <c r="A4583" s="0" t="s">
        <v>789</v>
      </c>
      <c r="B4583" s="0" t="n">
        <v>30</v>
      </c>
      <c r="C4583" s="0" t="n">
        <v>2.2</v>
      </c>
      <c r="D4583" s="0" t="n">
        <v>0</v>
      </c>
    </row>
    <row r="4584" customFormat="false" ht="13.8" hidden="true" customHeight="false" outlineLevel="0" collapsed="false">
      <c r="A4584" s="0" t="s">
        <v>789</v>
      </c>
      <c r="B4584" s="0" t="n">
        <v>30</v>
      </c>
      <c r="C4584" s="0" t="n">
        <v>2.25</v>
      </c>
      <c r="D4584" s="0" t="n">
        <v>0</v>
      </c>
    </row>
    <row r="4585" customFormat="false" ht="13.8" hidden="true" customHeight="false" outlineLevel="0" collapsed="false">
      <c r="A4585" s="0" t="s">
        <v>789</v>
      </c>
      <c r="B4585" s="0" t="n">
        <v>30</v>
      </c>
      <c r="C4585" s="0" t="n">
        <v>2.3</v>
      </c>
      <c r="D4585" s="0" t="n">
        <v>0</v>
      </c>
    </row>
    <row r="4586" customFormat="false" ht="13.8" hidden="true" customHeight="false" outlineLevel="0" collapsed="false">
      <c r="A4586" s="0" t="s">
        <v>789</v>
      </c>
      <c r="B4586" s="0" t="n">
        <v>30</v>
      </c>
      <c r="C4586" s="0" t="n">
        <v>2.35</v>
      </c>
      <c r="D4586" s="0" t="n">
        <v>0</v>
      </c>
    </row>
    <row r="4587" customFormat="false" ht="13.8" hidden="true" customHeight="false" outlineLevel="0" collapsed="false">
      <c r="A4587" s="0" t="s">
        <v>789</v>
      </c>
      <c r="B4587" s="0" t="n">
        <v>30</v>
      </c>
      <c r="C4587" s="0" t="n">
        <v>2.4</v>
      </c>
      <c r="D4587" s="0" t="n">
        <v>0</v>
      </c>
    </row>
    <row r="4588" customFormat="false" ht="13.8" hidden="true" customHeight="false" outlineLevel="0" collapsed="false">
      <c r="A4588" s="0" t="s">
        <v>789</v>
      </c>
      <c r="B4588" s="0" t="n">
        <v>30</v>
      </c>
      <c r="C4588" s="0" t="n">
        <v>2.45</v>
      </c>
      <c r="D4588" s="0" t="n">
        <v>0</v>
      </c>
    </row>
    <row r="4589" customFormat="false" ht="13.8" hidden="true" customHeight="false" outlineLevel="0" collapsed="false">
      <c r="A4589" s="0" t="s">
        <v>789</v>
      </c>
      <c r="B4589" s="0" t="n">
        <v>30</v>
      </c>
      <c r="C4589" s="0" t="n">
        <v>2.5</v>
      </c>
      <c r="D4589" s="0" t="n">
        <v>0</v>
      </c>
    </row>
    <row r="4590" customFormat="false" ht="13.8" hidden="true" customHeight="false" outlineLevel="0" collapsed="false">
      <c r="A4590" s="0" t="s">
        <v>789</v>
      </c>
      <c r="B4590" s="0" t="n">
        <v>30</v>
      </c>
      <c r="C4590" s="0" t="n">
        <v>2.55</v>
      </c>
      <c r="D4590" s="0" t="n">
        <v>0</v>
      </c>
    </row>
    <row r="4591" customFormat="false" ht="13.8" hidden="true" customHeight="false" outlineLevel="0" collapsed="false">
      <c r="A4591" s="0" t="s">
        <v>789</v>
      </c>
      <c r="B4591" s="0" t="n">
        <v>30</v>
      </c>
      <c r="C4591" s="0" t="n">
        <v>2.6</v>
      </c>
      <c r="D4591" s="0" t="n">
        <v>0</v>
      </c>
    </row>
    <row r="4592" customFormat="false" ht="13.8" hidden="true" customHeight="false" outlineLevel="0" collapsed="false">
      <c r="A4592" s="0" t="s">
        <v>234</v>
      </c>
      <c r="B4592" s="0" t="n">
        <v>30</v>
      </c>
      <c r="C4592" s="0" t="n">
        <v>1.3</v>
      </c>
      <c r="D4592" s="0" t="n">
        <v>0</v>
      </c>
    </row>
    <row r="4593" customFormat="false" ht="13.8" hidden="true" customHeight="false" outlineLevel="0" collapsed="false">
      <c r="A4593" s="0" t="s">
        <v>234</v>
      </c>
      <c r="B4593" s="0" t="n">
        <v>30</v>
      </c>
      <c r="C4593" s="0" t="n">
        <v>1.35</v>
      </c>
      <c r="D4593" s="0" t="n">
        <v>0</v>
      </c>
    </row>
    <row r="4594" customFormat="false" ht="13.8" hidden="true" customHeight="false" outlineLevel="0" collapsed="false">
      <c r="A4594" s="0" t="s">
        <v>234</v>
      </c>
      <c r="B4594" s="0" t="n">
        <v>30</v>
      </c>
      <c r="C4594" s="0" t="n">
        <v>1.4</v>
      </c>
      <c r="D4594" s="0" t="n">
        <v>0</v>
      </c>
    </row>
    <row r="4595" customFormat="false" ht="13.8" hidden="true" customHeight="false" outlineLevel="0" collapsed="false">
      <c r="A4595" s="0" t="s">
        <v>234</v>
      </c>
      <c r="B4595" s="0" t="n">
        <v>30</v>
      </c>
      <c r="C4595" s="0" t="n">
        <v>1.45</v>
      </c>
      <c r="D4595" s="0" t="n">
        <v>0</v>
      </c>
    </row>
    <row r="4596" customFormat="false" ht="13.8" hidden="true" customHeight="false" outlineLevel="0" collapsed="false">
      <c r="A4596" s="0" t="s">
        <v>234</v>
      </c>
      <c r="B4596" s="0" t="n">
        <v>30</v>
      </c>
      <c r="C4596" s="0" t="n">
        <v>1.5</v>
      </c>
      <c r="D4596" s="0" t="n">
        <v>0</v>
      </c>
    </row>
    <row r="4597" customFormat="false" ht="13.8" hidden="true" customHeight="false" outlineLevel="0" collapsed="false">
      <c r="A4597" s="0" t="s">
        <v>234</v>
      </c>
      <c r="B4597" s="0" t="n">
        <v>30</v>
      </c>
      <c r="C4597" s="0" t="n">
        <v>1.55</v>
      </c>
      <c r="D4597" s="0" t="n">
        <v>0</v>
      </c>
    </row>
    <row r="4598" customFormat="false" ht="13.8" hidden="true" customHeight="false" outlineLevel="0" collapsed="false">
      <c r="A4598" s="0" t="s">
        <v>234</v>
      </c>
      <c r="B4598" s="0" t="n">
        <v>30</v>
      </c>
      <c r="C4598" s="0" t="n">
        <v>1.6</v>
      </c>
      <c r="D4598" s="0" t="n">
        <v>0.089</v>
      </c>
    </row>
    <row r="4599" customFormat="false" ht="13.8" hidden="true" customHeight="false" outlineLevel="0" collapsed="false">
      <c r="A4599" s="0" t="s">
        <v>234</v>
      </c>
      <c r="B4599" s="0" t="n">
        <v>30</v>
      </c>
      <c r="C4599" s="0" t="n">
        <v>1.65</v>
      </c>
      <c r="D4599" s="0" t="n">
        <v>0.092</v>
      </c>
    </row>
    <row r="4600" customFormat="false" ht="13.8" hidden="true" customHeight="false" outlineLevel="0" collapsed="false">
      <c r="A4600" s="0" t="s">
        <v>234</v>
      </c>
      <c r="B4600" s="0" t="n">
        <v>30</v>
      </c>
      <c r="C4600" s="0" t="n">
        <v>1.7</v>
      </c>
      <c r="D4600" s="0" t="n">
        <v>0.095</v>
      </c>
    </row>
    <row r="4601" customFormat="false" ht="13.8" hidden="true" customHeight="false" outlineLevel="0" collapsed="false">
      <c r="A4601" s="0" t="s">
        <v>234</v>
      </c>
      <c r="B4601" s="0" t="n">
        <v>30</v>
      </c>
      <c r="C4601" s="0" t="n">
        <v>1.75</v>
      </c>
      <c r="D4601" s="0" t="n">
        <v>0.098</v>
      </c>
    </row>
    <row r="4602" customFormat="false" ht="13.8" hidden="true" customHeight="false" outlineLevel="0" collapsed="false">
      <c r="A4602" s="0" t="s">
        <v>234</v>
      </c>
      <c r="B4602" s="0" t="n">
        <v>30</v>
      </c>
      <c r="C4602" s="0" t="n">
        <v>1.8</v>
      </c>
      <c r="D4602" s="0" t="n">
        <v>0.104</v>
      </c>
    </row>
    <row r="4603" customFormat="false" ht="13.8" hidden="true" customHeight="false" outlineLevel="0" collapsed="false">
      <c r="A4603" s="0" t="s">
        <v>234</v>
      </c>
      <c r="B4603" s="0" t="n">
        <v>30</v>
      </c>
      <c r="C4603" s="0" t="n">
        <v>1.85</v>
      </c>
      <c r="D4603" s="0" t="n">
        <v>0.107</v>
      </c>
    </row>
    <row r="4604" customFormat="false" ht="13.8" hidden="true" customHeight="false" outlineLevel="0" collapsed="false">
      <c r="A4604" s="0" t="s">
        <v>234</v>
      </c>
      <c r="B4604" s="0" t="n">
        <v>30</v>
      </c>
      <c r="C4604" s="0" t="n">
        <v>1.9</v>
      </c>
      <c r="D4604" s="0" t="n">
        <v>0.11</v>
      </c>
    </row>
    <row r="4605" customFormat="false" ht="13.8" hidden="true" customHeight="false" outlineLevel="0" collapsed="false">
      <c r="A4605" s="0" t="s">
        <v>234</v>
      </c>
      <c r="B4605" s="0" t="n">
        <v>30</v>
      </c>
      <c r="C4605" s="0" t="n">
        <v>1.95</v>
      </c>
      <c r="D4605" s="0" t="n">
        <v>0.112</v>
      </c>
    </row>
    <row r="4606" customFormat="false" ht="13.8" hidden="true" customHeight="false" outlineLevel="0" collapsed="false">
      <c r="A4606" s="0" t="s">
        <v>234</v>
      </c>
      <c r="B4606" s="0" t="n">
        <v>30</v>
      </c>
      <c r="C4606" s="0" t="n">
        <v>2</v>
      </c>
      <c r="D4606" s="0" t="n">
        <v>0.119</v>
      </c>
    </row>
    <row r="4607" customFormat="false" ht="13.8" hidden="true" customHeight="false" outlineLevel="0" collapsed="false">
      <c r="A4607" s="0" t="s">
        <v>234</v>
      </c>
      <c r="B4607" s="0" t="n">
        <v>30</v>
      </c>
      <c r="C4607" s="0" t="n">
        <v>2.05</v>
      </c>
      <c r="D4607" s="0" t="n">
        <v>0.122</v>
      </c>
    </row>
    <row r="4608" customFormat="false" ht="13.8" hidden="true" customHeight="false" outlineLevel="0" collapsed="false">
      <c r="A4608" s="0" t="s">
        <v>234</v>
      </c>
      <c r="B4608" s="0" t="n">
        <v>30</v>
      </c>
      <c r="C4608" s="0" t="n">
        <v>2.1</v>
      </c>
      <c r="D4608" s="0" t="n">
        <v>0.125</v>
      </c>
    </row>
    <row r="4609" customFormat="false" ht="13.8" hidden="true" customHeight="false" outlineLevel="0" collapsed="false">
      <c r="A4609" s="0" t="s">
        <v>234</v>
      </c>
      <c r="B4609" s="0" t="n">
        <v>30</v>
      </c>
      <c r="C4609" s="0" t="n">
        <v>2.15</v>
      </c>
      <c r="D4609" s="0" t="n">
        <v>0.127783264</v>
      </c>
    </row>
    <row r="4610" customFormat="false" ht="13.8" hidden="true" customHeight="false" outlineLevel="0" collapsed="false">
      <c r="A4610" s="0" t="s">
        <v>234</v>
      </c>
      <c r="B4610" s="0" t="n">
        <v>30</v>
      </c>
      <c r="C4610" s="0" t="n">
        <v>2.2</v>
      </c>
      <c r="D4610" s="0" t="n">
        <v>0.139657475</v>
      </c>
    </row>
    <row r="4611" customFormat="false" ht="13.8" hidden="true" customHeight="false" outlineLevel="0" collapsed="false">
      <c r="A4611" s="0" t="s">
        <v>234</v>
      </c>
      <c r="B4611" s="0" t="n">
        <v>30</v>
      </c>
      <c r="C4611" s="0" t="n">
        <v>2.25</v>
      </c>
      <c r="D4611" s="0" t="n">
        <v>0.142831508</v>
      </c>
    </row>
    <row r="4612" customFormat="false" ht="13.8" hidden="true" customHeight="false" outlineLevel="0" collapsed="false">
      <c r="A4612" s="0" t="s">
        <v>234</v>
      </c>
      <c r="B4612" s="0" t="n">
        <v>30</v>
      </c>
      <c r="C4612" s="0" t="n">
        <v>2.3</v>
      </c>
      <c r="D4612" s="0" t="n">
        <v>0.146005542</v>
      </c>
    </row>
    <row r="4613" customFormat="false" ht="13.8" hidden="true" customHeight="false" outlineLevel="0" collapsed="false">
      <c r="A4613" s="0" t="s">
        <v>234</v>
      </c>
      <c r="B4613" s="0" t="n">
        <v>30</v>
      </c>
      <c r="C4613" s="0" t="n">
        <v>2.35</v>
      </c>
      <c r="D4613" s="0" t="n">
        <v>0.149179575</v>
      </c>
    </row>
    <row r="4614" customFormat="false" ht="13.8" hidden="true" customHeight="false" outlineLevel="0" collapsed="false">
      <c r="A4614" s="0" t="s">
        <v>234</v>
      </c>
      <c r="B4614" s="0" t="n">
        <v>30</v>
      </c>
      <c r="C4614" s="0" t="n">
        <v>2.4</v>
      </c>
      <c r="D4614" s="0" t="n">
        <v>0.152353609</v>
      </c>
    </row>
    <row r="4615" customFormat="false" ht="13.8" hidden="true" customHeight="false" outlineLevel="0" collapsed="false">
      <c r="A4615" s="0" t="s">
        <v>234</v>
      </c>
      <c r="B4615" s="0" t="n">
        <v>30</v>
      </c>
      <c r="C4615" s="0" t="n">
        <v>2.45</v>
      </c>
      <c r="D4615" s="0" t="n">
        <v>0.155527643</v>
      </c>
    </row>
    <row r="4616" customFormat="false" ht="13.8" hidden="true" customHeight="false" outlineLevel="0" collapsed="false">
      <c r="A4616" s="0" t="s">
        <v>234</v>
      </c>
      <c r="B4616" s="0" t="n">
        <v>30</v>
      </c>
      <c r="C4616" s="0" t="n">
        <v>2.5</v>
      </c>
      <c r="D4616" s="0" t="n">
        <v>0.158701676</v>
      </c>
    </row>
    <row r="4617" customFormat="false" ht="13.8" hidden="true" customHeight="false" outlineLevel="0" collapsed="false">
      <c r="A4617" s="0" t="s">
        <v>234</v>
      </c>
      <c r="B4617" s="0" t="n">
        <v>30</v>
      </c>
      <c r="C4617" s="0" t="n">
        <v>2.55</v>
      </c>
      <c r="D4617" s="0" t="n">
        <v>0.16187571</v>
      </c>
    </row>
    <row r="4618" customFormat="false" ht="13.8" hidden="true" customHeight="false" outlineLevel="0" collapsed="false">
      <c r="A4618" s="0" t="s">
        <v>234</v>
      </c>
      <c r="B4618" s="0" t="n">
        <v>30</v>
      </c>
      <c r="C4618" s="0" t="n">
        <v>2.6</v>
      </c>
      <c r="D4618" s="0" t="n">
        <v>0.165049743</v>
      </c>
    </row>
    <row r="4619" customFormat="false" ht="13.8" hidden="true" customHeight="false" outlineLevel="0" collapsed="false">
      <c r="A4619" s="0" t="s">
        <v>794</v>
      </c>
      <c r="B4619" s="0" t="n">
        <v>30</v>
      </c>
      <c r="C4619" s="0" t="n">
        <v>1.3</v>
      </c>
      <c r="D4619" s="0" t="n">
        <v>0</v>
      </c>
    </row>
    <row r="4620" customFormat="false" ht="13.8" hidden="true" customHeight="false" outlineLevel="0" collapsed="false">
      <c r="A4620" s="0" t="s">
        <v>794</v>
      </c>
      <c r="B4620" s="0" t="n">
        <v>30</v>
      </c>
      <c r="C4620" s="0" t="n">
        <v>1.35</v>
      </c>
      <c r="D4620" s="0" t="n">
        <v>0</v>
      </c>
    </row>
    <row r="4621" customFormat="false" ht="13.8" hidden="true" customHeight="false" outlineLevel="0" collapsed="false">
      <c r="A4621" s="0" t="s">
        <v>794</v>
      </c>
      <c r="B4621" s="0" t="n">
        <v>30</v>
      </c>
      <c r="C4621" s="0" t="n">
        <v>1.4</v>
      </c>
      <c r="D4621" s="0" t="n">
        <v>0</v>
      </c>
    </row>
    <row r="4622" customFormat="false" ht="13.8" hidden="true" customHeight="false" outlineLevel="0" collapsed="false">
      <c r="A4622" s="0" t="s">
        <v>794</v>
      </c>
      <c r="B4622" s="0" t="n">
        <v>30</v>
      </c>
      <c r="C4622" s="0" t="n">
        <v>1.45</v>
      </c>
      <c r="D4622" s="0" t="n">
        <v>0</v>
      </c>
    </row>
    <row r="4623" customFormat="false" ht="13.8" hidden="true" customHeight="false" outlineLevel="0" collapsed="false">
      <c r="A4623" s="0" t="s">
        <v>794</v>
      </c>
      <c r="B4623" s="0" t="n">
        <v>30</v>
      </c>
      <c r="C4623" s="0" t="n">
        <v>1.5</v>
      </c>
      <c r="D4623" s="0" t="n">
        <v>0</v>
      </c>
    </row>
    <row r="4624" customFormat="false" ht="13.8" hidden="true" customHeight="false" outlineLevel="0" collapsed="false">
      <c r="A4624" s="0" t="s">
        <v>794</v>
      </c>
      <c r="B4624" s="0" t="n">
        <v>30</v>
      </c>
      <c r="C4624" s="0" t="n">
        <v>1.55</v>
      </c>
      <c r="D4624" s="0" t="n">
        <v>0</v>
      </c>
    </row>
    <row r="4625" customFormat="false" ht="13.8" hidden="true" customHeight="false" outlineLevel="0" collapsed="false">
      <c r="A4625" s="0" t="s">
        <v>794</v>
      </c>
      <c r="B4625" s="0" t="n">
        <v>30</v>
      </c>
      <c r="C4625" s="0" t="n">
        <v>1.6</v>
      </c>
      <c r="D4625" s="0" t="n">
        <v>0.089</v>
      </c>
    </row>
    <row r="4626" customFormat="false" ht="13.8" hidden="true" customHeight="false" outlineLevel="0" collapsed="false">
      <c r="A4626" s="0" t="s">
        <v>794</v>
      </c>
      <c r="B4626" s="0" t="n">
        <v>30</v>
      </c>
      <c r="C4626" s="0" t="n">
        <v>1.65</v>
      </c>
      <c r="D4626" s="0" t="n">
        <v>0.092</v>
      </c>
    </row>
    <row r="4627" customFormat="false" ht="13.8" hidden="true" customHeight="false" outlineLevel="0" collapsed="false">
      <c r="A4627" s="0" t="s">
        <v>794</v>
      </c>
      <c r="B4627" s="0" t="n">
        <v>30</v>
      </c>
      <c r="C4627" s="0" t="n">
        <v>1.7</v>
      </c>
      <c r="D4627" s="0" t="n">
        <v>0.095</v>
      </c>
    </row>
    <row r="4628" customFormat="false" ht="13.8" hidden="true" customHeight="false" outlineLevel="0" collapsed="false">
      <c r="A4628" s="0" t="s">
        <v>794</v>
      </c>
      <c r="B4628" s="0" t="n">
        <v>30</v>
      </c>
      <c r="C4628" s="0" t="n">
        <v>1.75</v>
      </c>
      <c r="D4628" s="0" t="n">
        <v>0.098</v>
      </c>
    </row>
    <row r="4629" customFormat="false" ht="13.8" hidden="true" customHeight="false" outlineLevel="0" collapsed="false">
      <c r="A4629" s="0" t="s">
        <v>794</v>
      </c>
      <c r="B4629" s="0" t="n">
        <v>30</v>
      </c>
      <c r="C4629" s="0" t="n">
        <v>1.8</v>
      </c>
      <c r="D4629" s="0" t="n">
        <v>0.104</v>
      </c>
    </row>
    <row r="4630" customFormat="false" ht="13.8" hidden="true" customHeight="false" outlineLevel="0" collapsed="false">
      <c r="A4630" s="0" t="s">
        <v>794</v>
      </c>
      <c r="B4630" s="0" t="n">
        <v>30</v>
      </c>
      <c r="C4630" s="0" t="n">
        <v>1.85</v>
      </c>
      <c r="D4630" s="0" t="n">
        <v>0.107</v>
      </c>
    </row>
    <row r="4631" customFormat="false" ht="13.8" hidden="true" customHeight="false" outlineLevel="0" collapsed="false">
      <c r="A4631" s="0" t="s">
        <v>794</v>
      </c>
      <c r="B4631" s="0" t="n">
        <v>30</v>
      </c>
      <c r="C4631" s="0" t="n">
        <v>1.9</v>
      </c>
      <c r="D4631" s="0" t="n">
        <v>0.11</v>
      </c>
    </row>
    <row r="4632" customFormat="false" ht="13.8" hidden="true" customHeight="false" outlineLevel="0" collapsed="false">
      <c r="A4632" s="0" t="s">
        <v>794</v>
      </c>
      <c r="B4632" s="0" t="n">
        <v>30</v>
      </c>
      <c r="C4632" s="0" t="n">
        <v>1.95</v>
      </c>
      <c r="D4632" s="0" t="n">
        <v>0.112</v>
      </c>
    </row>
    <row r="4633" customFormat="false" ht="13.8" hidden="true" customHeight="false" outlineLevel="0" collapsed="false">
      <c r="A4633" s="0" t="s">
        <v>794</v>
      </c>
      <c r="B4633" s="0" t="n">
        <v>30</v>
      </c>
      <c r="C4633" s="0" t="n">
        <v>2</v>
      </c>
      <c r="D4633" s="0" t="n">
        <v>0.119</v>
      </c>
    </row>
    <row r="4634" customFormat="false" ht="13.8" hidden="true" customHeight="false" outlineLevel="0" collapsed="false">
      <c r="A4634" s="0" t="s">
        <v>794</v>
      </c>
      <c r="B4634" s="0" t="n">
        <v>30</v>
      </c>
      <c r="C4634" s="0" t="n">
        <v>2.05</v>
      </c>
      <c r="D4634" s="0" t="n">
        <v>0.122</v>
      </c>
    </row>
    <row r="4635" customFormat="false" ht="13.8" hidden="true" customHeight="false" outlineLevel="0" collapsed="false">
      <c r="A4635" s="0" t="s">
        <v>794</v>
      </c>
      <c r="B4635" s="0" t="n">
        <v>30</v>
      </c>
      <c r="C4635" s="0" t="n">
        <v>2.1</v>
      </c>
      <c r="D4635" s="0" t="n">
        <v>0.125</v>
      </c>
    </row>
    <row r="4636" customFormat="false" ht="13.8" hidden="true" customHeight="false" outlineLevel="0" collapsed="false">
      <c r="A4636" s="0" t="s">
        <v>794</v>
      </c>
      <c r="B4636" s="0" t="n">
        <v>30</v>
      </c>
      <c r="C4636" s="0" t="n">
        <v>2.15</v>
      </c>
      <c r="D4636" s="0" t="n">
        <v>0.127783264</v>
      </c>
    </row>
    <row r="4637" customFormat="false" ht="13.8" hidden="true" customHeight="false" outlineLevel="0" collapsed="false">
      <c r="A4637" s="0" t="s">
        <v>794</v>
      </c>
      <c r="B4637" s="0" t="n">
        <v>30</v>
      </c>
      <c r="C4637" s="0" t="n">
        <v>2.2</v>
      </c>
      <c r="D4637" s="0" t="n">
        <v>0.139657475</v>
      </c>
    </row>
    <row r="4638" customFormat="false" ht="13.8" hidden="true" customHeight="false" outlineLevel="0" collapsed="false">
      <c r="A4638" s="0" t="s">
        <v>794</v>
      </c>
      <c r="B4638" s="0" t="n">
        <v>30</v>
      </c>
      <c r="C4638" s="0" t="n">
        <v>2.25</v>
      </c>
      <c r="D4638" s="0" t="n">
        <v>0.142831508</v>
      </c>
    </row>
    <row r="4639" customFormat="false" ht="13.8" hidden="true" customHeight="false" outlineLevel="0" collapsed="false">
      <c r="A4639" s="0" t="s">
        <v>794</v>
      </c>
      <c r="B4639" s="0" t="n">
        <v>30</v>
      </c>
      <c r="C4639" s="0" t="n">
        <v>2.3</v>
      </c>
      <c r="D4639" s="0" t="n">
        <v>0.146005542</v>
      </c>
    </row>
    <row r="4640" customFormat="false" ht="13.8" hidden="true" customHeight="false" outlineLevel="0" collapsed="false">
      <c r="A4640" s="0" t="s">
        <v>794</v>
      </c>
      <c r="B4640" s="0" t="n">
        <v>30</v>
      </c>
      <c r="C4640" s="0" t="n">
        <v>2.35</v>
      </c>
      <c r="D4640" s="0" t="n">
        <v>0.149179575</v>
      </c>
    </row>
    <row r="4641" customFormat="false" ht="13.8" hidden="true" customHeight="false" outlineLevel="0" collapsed="false">
      <c r="A4641" s="0" t="s">
        <v>794</v>
      </c>
      <c r="B4641" s="0" t="n">
        <v>30</v>
      </c>
      <c r="C4641" s="0" t="n">
        <v>2.4</v>
      </c>
      <c r="D4641" s="0" t="n">
        <v>0.152353609</v>
      </c>
    </row>
    <row r="4642" customFormat="false" ht="13.8" hidden="true" customHeight="false" outlineLevel="0" collapsed="false">
      <c r="A4642" s="0" t="s">
        <v>794</v>
      </c>
      <c r="B4642" s="0" t="n">
        <v>30</v>
      </c>
      <c r="C4642" s="0" t="n">
        <v>2.45</v>
      </c>
      <c r="D4642" s="0" t="n">
        <v>0.155527643</v>
      </c>
    </row>
    <row r="4643" customFormat="false" ht="13.8" hidden="true" customHeight="false" outlineLevel="0" collapsed="false">
      <c r="A4643" s="0" t="s">
        <v>794</v>
      </c>
      <c r="B4643" s="0" t="n">
        <v>30</v>
      </c>
      <c r="C4643" s="0" t="n">
        <v>2.5</v>
      </c>
      <c r="D4643" s="0" t="n">
        <v>0.158701676</v>
      </c>
    </row>
    <row r="4644" customFormat="false" ht="13.8" hidden="true" customHeight="false" outlineLevel="0" collapsed="false">
      <c r="A4644" s="0" t="s">
        <v>794</v>
      </c>
      <c r="B4644" s="0" t="n">
        <v>30</v>
      </c>
      <c r="C4644" s="0" t="n">
        <v>2.55</v>
      </c>
      <c r="D4644" s="0" t="n">
        <v>0.16187571</v>
      </c>
    </row>
    <row r="4645" customFormat="false" ht="13.8" hidden="true" customHeight="false" outlineLevel="0" collapsed="false">
      <c r="A4645" s="0" t="s">
        <v>794</v>
      </c>
      <c r="B4645" s="0" t="n">
        <v>30</v>
      </c>
      <c r="C4645" s="0" t="n">
        <v>2.6</v>
      </c>
      <c r="D4645" s="0" t="n">
        <v>0.165049743</v>
      </c>
    </row>
    <row r="4646" customFormat="false" ht="13.8" hidden="true" customHeight="false" outlineLevel="0" collapsed="false">
      <c r="A4646" s="0" t="s">
        <v>235</v>
      </c>
      <c r="B4646" s="0" t="n">
        <v>30</v>
      </c>
      <c r="C4646" s="0" t="n">
        <v>1.3</v>
      </c>
      <c r="D4646" s="0" t="n">
        <v>0</v>
      </c>
    </row>
    <row r="4647" customFormat="false" ht="13.8" hidden="true" customHeight="false" outlineLevel="0" collapsed="false">
      <c r="A4647" s="0" t="s">
        <v>235</v>
      </c>
      <c r="B4647" s="0" t="n">
        <v>30</v>
      </c>
      <c r="C4647" s="0" t="n">
        <v>1.35</v>
      </c>
      <c r="D4647" s="0" t="n">
        <v>0</v>
      </c>
    </row>
    <row r="4648" customFormat="false" ht="13.8" hidden="true" customHeight="false" outlineLevel="0" collapsed="false">
      <c r="A4648" s="0" t="s">
        <v>235</v>
      </c>
      <c r="B4648" s="0" t="n">
        <v>30</v>
      </c>
      <c r="C4648" s="0" t="n">
        <v>1.4</v>
      </c>
      <c r="D4648" s="0" t="n">
        <v>0</v>
      </c>
    </row>
    <row r="4649" customFormat="false" ht="13.8" hidden="true" customHeight="false" outlineLevel="0" collapsed="false">
      <c r="A4649" s="0" t="s">
        <v>235</v>
      </c>
      <c r="B4649" s="0" t="n">
        <v>30</v>
      </c>
      <c r="C4649" s="0" t="n">
        <v>1.45</v>
      </c>
      <c r="D4649" s="0" t="n">
        <v>0</v>
      </c>
    </row>
    <row r="4650" customFormat="false" ht="13.8" hidden="true" customHeight="false" outlineLevel="0" collapsed="false">
      <c r="A4650" s="0" t="s">
        <v>235</v>
      </c>
      <c r="B4650" s="0" t="n">
        <v>30</v>
      </c>
      <c r="C4650" s="0" t="n">
        <v>1.5</v>
      </c>
      <c r="D4650" s="0" t="n">
        <v>0</v>
      </c>
    </row>
    <row r="4651" customFormat="false" ht="13.8" hidden="true" customHeight="false" outlineLevel="0" collapsed="false">
      <c r="A4651" s="0" t="s">
        <v>235</v>
      </c>
      <c r="B4651" s="0" t="n">
        <v>30</v>
      </c>
      <c r="C4651" s="0" t="n">
        <v>1.55</v>
      </c>
      <c r="D4651" s="0" t="n">
        <v>0</v>
      </c>
    </row>
    <row r="4652" customFormat="false" ht="13.8" hidden="true" customHeight="false" outlineLevel="0" collapsed="false">
      <c r="A4652" s="0" t="s">
        <v>235</v>
      </c>
      <c r="B4652" s="0" t="n">
        <v>30</v>
      </c>
      <c r="C4652" s="0" t="n">
        <v>1.6</v>
      </c>
      <c r="D4652" s="0" t="n">
        <v>0.089</v>
      </c>
    </row>
    <row r="4653" customFormat="false" ht="13.8" hidden="true" customHeight="false" outlineLevel="0" collapsed="false">
      <c r="A4653" s="0" t="s">
        <v>235</v>
      </c>
      <c r="B4653" s="0" t="n">
        <v>30</v>
      </c>
      <c r="C4653" s="0" t="n">
        <v>1.65</v>
      </c>
      <c r="D4653" s="0" t="n">
        <v>0.092</v>
      </c>
    </row>
    <row r="4654" customFormat="false" ht="13.8" hidden="true" customHeight="false" outlineLevel="0" collapsed="false">
      <c r="A4654" s="0" t="s">
        <v>235</v>
      </c>
      <c r="B4654" s="0" t="n">
        <v>30</v>
      </c>
      <c r="C4654" s="0" t="n">
        <v>1.7</v>
      </c>
      <c r="D4654" s="0" t="n">
        <v>0.095</v>
      </c>
    </row>
    <row r="4655" customFormat="false" ht="13.8" hidden="true" customHeight="false" outlineLevel="0" collapsed="false">
      <c r="A4655" s="0" t="s">
        <v>235</v>
      </c>
      <c r="B4655" s="0" t="n">
        <v>30</v>
      </c>
      <c r="C4655" s="0" t="n">
        <v>1.75</v>
      </c>
      <c r="D4655" s="0" t="n">
        <v>0.098</v>
      </c>
    </row>
    <row r="4656" customFormat="false" ht="13.8" hidden="true" customHeight="false" outlineLevel="0" collapsed="false">
      <c r="A4656" s="0" t="s">
        <v>235</v>
      </c>
      <c r="B4656" s="0" t="n">
        <v>30</v>
      </c>
      <c r="C4656" s="0" t="n">
        <v>1.8</v>
      </c>
      <c r="D4656" s="0" t="n">
        <v>0.104</v>
      </c>
    </row>
    <row r="4657" customFormat="false" ht="13.8" hidden="true" customHeight="false" outlineLevel="0" collapsed="false">
      <c r="A4657" s="0" t="s">
        <v>235</v>
      </c>
      <c r="B4657" s="0" t="n">
        <v>30</v>
      </c>
      <c r="C4657" s="0" t="n">
        <v>1.85</v>
      </c>
      <c r="D4657" s="0" t="n">
        <v>0.107</v>
      </c>
    </row>
    <row r="4658" customFormat="false" ht="13.8" hidden="true" customHeight="false" outlineLevel="0" collapsed="false">
      <c r="A4658" s="0" t="s">
        <v>235</v>
      </c>
      <c r="B4658" s="0" t="n">
        <v>30</v>
      </c>
      <c r="C4658" s="0" t="n">
        <v>1.9</v>
      </c>
      <c r="D4658" s="0" t="n">
        <v>0.11</v>
      </c>
    </row>
    <row r="4659" customFormat="false" ht="13.8" hidden="true" customHeight="false" outlineLevel="0" collapsed="false">
      <c r="A4659" s="0" t="s">
        <v>235</v>
      </c>
      <c r="B4659" s="0" t="n">
        <v>30</v>
      </c>
      <c r="C4659" s="0" t="n">
        <v>1.95</v>
      </c>
      <c r="D4659" s="0" t="n">
        <v>0.112</v>
      </c>
    </row>
    <row r="4660" customFormat="false" ht="13.8" hidden="true" customHeight="false" outlineLevel="0" collapsed="false">
      <c r="A4660" s="0" t="s">
        <v>235</v>
      </c>
      <c r="B4660" s="0" t="n">
        <v>30</v>
      </c>
      <c r="C4660" s="0" t="n">
        <v>2</v>
      </c>
      <c r="D4660" s="0" t="n">
        <v>0.119</v>
      </c>
    </row>
    <row r="4661" customFormat="false" ht="13.8" hidden="true" customHeight="false" outlineLevel="0" collapsed="false">
      <c r="A4661" s="0" t="s">
        <v>235</v>
      </c>
      <c r="B4661" s="0" t="n">
        <v>30</v>
      </c>
      <c r="C4661" s="0" t="n">
        <v>2.05</v>
      </c>
      <c r="D4661" s="0" t="n">
        <v>0.122</v>
      </c>
    </row>
    <row r="4662" customFormat="false" ht="13.8" hidden="true" customHeight="false" outlineLevel="0" collapsed="false">
      <c r="A4662" s="0" t="s">
        <v>235</v>
      </c>
      <c r="B4662" s="0" t="n">
        <v>30</v>
      </c>
      <c r="C4662" s="0" t="n">
        <v>2.1</v>
      </c>
      <c r="D4662" s="0" t="n">
        <v>0.125</v>
      </c>
    </row>
    <row r="4663" customFormat="false" ht="13.8" hidden="true" customHeight="false" outlineLevel="0" collapsed="false">
      <c r="A4663" s="0" t="s">
        <v>235</v>
      </c>
      <c r="B4663" s="0" t="n">
        <v>30</v>
      </c>
      <c r="C4663" s="0" t="n">
        <v>2.15</v>
      </c>
      <c r="D4663" s="0" t="n">
        <v>0.127783264</v>
      </c>
    </row>
    <row r="4664" customFormat="false" ht="13.8" hidden="true" customHeight="false" outlineLevel="0" collapsed="false">
      <c r="A4664" s="0" t="s">
        <v>235</v>
      </c>
      <c r="B4664" s="0" t="n">
        <v>30</v>
      </c>
      <c r="C4664" s="0" t="n">
        <v>2.2</v>
      </c>
      <c r="D4664" s="0" t="n">
        <v>0.139657475</v>
      </c>
    </row>
    <row r="4665" customFormat="false" ht="13.8" hidden="true" customHeight="false" outlineLevel="0" collapsed="false">
      <c r="A4665" s="0" t="s">
        <v>235</v>
      </c>
      <c r="B4665" s="0" t="n">
        <v>30</v>
      </c>
      <c r="C4665" s="0" t="n">
        <v>2.25</v>
      </c>
      <c r="D4665" s="0" t="n">
        <v>0.142831508</v>
      </c>
    </row>
    <row r="4666" customFormat="false" ht="13.8" hidden="true" customHeight="false" outlineLevel="0" collapsed="false">
      <c r="A4666" s="0" t="s">
        <v>235</v>
      </c>
      <c r="B4666" s="0" t="n">
        <v>30</v>
      </c>
      <c r="C4666" s="0" t="n">
        <v>2.3</v>
      </c>
      <c r="D4666" s="0" t="n">
        <v>0.146005542</v>
      </c>
    </row>
    <row r="4667" customFormat="false" ht="13.8" hidden="true" customHeight="false" outlineLevel="0" collapsed="false">
      <c r="A4667" s="0" t="s">
        <v>235</v>
      </c>
      <c r="B4667" s="0" t="n">
        <v>30</v>
      </c>
      <c r="C4667" s="0" t="n">
        <v>2.35</v>
      </c>
      <c r="D4667" s="0" t="n">
        <v>0.149179575</v>
      </c>
    </row>
    <row r="4668" customFormat="false" ht="13.8" hidden="true" customHeight="false" outlineLevel="0" collapsed="false">
      <c r="A4668" s="0" t="s">
        <v>235</v>
      </c>
      <c r="B4668" s="0" t="n">
        <v>30</v>
      </c>
      <c r="C4668" s="0" t="n">
        <v>2.4</v>
      </c>
      <c r="D4668" s="0" t="n">
        <v>0.152353609</v>
      </c>
    </row>
    <row r="4669" customFormat="false" ht="13.8" hidden="true" customHeight="false" outlineLevel="0" collapsed="false">
      <c r="A4669" s="0" t="s">
        <v>235</v>
      </c>
      <c r="B4669" s="0" t="n">
        <v>30</v>
      </c>
      <c r="C4669" s="0" t="n">
        <v>2.45</v>
      </c>
      <c r="D4669" s="0" t="n">
        <v>0.155527643</v>
      </c>
    </row>
    <row r="4670" customFormat="false" ht="13.8" hidden="true" customHeight="false" outlineLevel="0" collapsed="false">
      <c r="A4670" s="0" t="s">
        <v>235</v>
      </c>
      <c r="B4670" s="0" t="n">
        <v>30</v>
      </c>
      <c r="C4670" s="0" t="n">
        <v>2.5</v>
      </c>
      <c r="D4670" s="0" t="n">
        <v>0.158701676</v>
      </c>
    </row>
    <row r="4671" customFormat="false" ht="13.8" hidden="true" customHeight="false" outlineLevel="0" collapsed="false">
      <c r="A4671" s="0" t="s">
        <v>235</v>
      </c>
      <c r="B4671" s="0" t="n">
        <v>30</v>
      </c>
      <c r="C4671" s="0" t="n">
        <v>2.55</v>
      </c>
      <c r="D4671" s="0" t="n">
        <v>0.16187571</v>
      </c>
    </row>
    <row r="4672" customFormat="false" ht="13.8" hidden="true" customHeight="false" outlineLevel="0" collapsed="false">
      <c r="A4672" s="0" t="s">
        <v>235</v>
      </c>
      <c r="B4672" s="0" t="n">
        <v>30</v>
      </c>
      <c r="C4672" s="0" t="n">
        <v>2.6</v>
      </c>
      <c r="D4672" s="0" t="n">
        <v>0.165049743</v>
      </c>
    </row>
    <row r="4673" customFormat="false" ht="13.8" hidden="true" customHeight="false" outlineLevel="0" collapsed="false">
      <c r="A4673" s="0" t="s">
        <v>800</v>
      </c>
      <c r="B4673" s="0" t="n">
        <v>30</v>
      </c>
      <c r="C4673" s="0" t="n">
        <v>1.3</v>
      </c>
      <c r="D4673" s="0" t="n">
        <v>0</v>
      </c>
    </row>
    <row r="4674" customFormat="false" ht="13.8" hidden="true" customHeight="false" outlineLevel="0" collapsed="false">
      <c r="A4674" s="0" t="s">
        <v>800</v>
      </c>
      <c r="B4674" s="0" t="n">
        <v>30</v>
      </c>
      <c r="C4674" s="0" t="n">
        <v>1.35</v>
      </c>
      <c r="D4674" s="0" t="n">
        <v>0</v>
      </c>
    </row>
    <row r="4675" customFormat="false" ht="13.8" hidden="true" customHeight="false" outlineLevel="0" collapsed="false">
      <c r="A4675" s="0" t="s">
        <v>800</v>
      </c>
      <c r="B4675" s="0" t="n">
        <v>30</v>
      </c>
      <c r="C4675" s="0" t="n">
        <v>1.4</v>
      </c>
      <c r="D4675" s="0" t="n">
        <v>0</v>
      </c>
    </row>
    <row r="4676" customFormat="false" ht="13.8" hidden="true" customHeight="false" outlineLevel="0" collapsed="false">
      <c r="A4676" s="0" t="s">
        <v>800</v>
      </c>
      <c r="B4676" s="0" t="n">
        <v>30</v>
      </c>
      <c r="C4676" s="0" t="n">
        <v>1.45</v>
      </c>
      <c r="D4676" s="0" t="n">
        <v>0</v>
      </c>
    </row>
    <row r="4677" customFormat="false" ht="13.8" hidden="true" customHeight="false" outlineLevel="0" collapsed="false">
      <c r="A4677" s="0" t="s">
        <v>800</v>
      </c>
      <c r="B4677" s="0" t="n">
        <v>30</v>
      </c>
      <c r="C4677" s="0" t="n">
        <v>1.5</v>
      </c>
      <c r="D4677" s="0" t="n">
        <v>0</v>
      </c>
    </row>
    <row r="4678" customFormat="false" ht="13.8" hidden="true" customHeight="false" outlineLevel="0" collapsed="false">
      <c r="A4678" s="0" t="s">
        <v>800</v>
      </c>
      <c r="B4678" s="0" t="n">
        <v>30</v>
      </c>
      <c r="C4678" s="0" t="n">
        <v>1.55</v>
      </c>
      <c r="D4678" s="0" t="n">
        <v>0</v>
      </c>
    </row>
    <row r="4679" customFormat="false" ht="13.8" hidden="true" customHeight="false" outlineLevel="0" collapsed="false">
      <c r="A4679" s="0" t="s">
        <v>800</v>
      </c>
      <c r="B4679" s="0" t="n">
        <v>30</v>
      </c>
      <c r="C4679" s="0" t="n">
        <v>1.6</v>
      </c>
      <c r="D4679" s="0" t="n">
        <v>0.089</v>
      </c>
    </row>
    <row r="4680" customFormat="false" ht="13.8" hidden="true" customHeight="false" outlineLevel="0" collapsed="false">
      <c r="A4680" s="0" t="s">
        <v>800</v>
      </c>
      <c r="B4680" s="0" t="n">
        <v>30</v>
      </c>
      <c r="C4680" s="0" t="n">
        <v>1.65</v>
      </c>
      <c r="D4680" s="0" t="n">
        <v>0.092</v>
      </c>
    </row>
    <row r="4681" customFormat="false" ht="13.8" hidden="true" customHeight="false" outlineLevel="0" collapsed="false">
      <c r="A4681" s="0" t="s">
        <v>800</v>
      </c>
      <c r="B4681" s="0" t="n">
        <v>30</v>
      </c>
      <c r="C4681" s="0" t="n">
        <v>1.7</v>
      </c>
      <c r="D4681" s="0" t="n">
        <v>0.095</v>
      </c>
    </row>
    <row r="4682" customFormat="false" ht="13.8" hidden="true" customHeight="false" outlineLevel="0" collapsed="false">
      <c r="A4682" s="0" t="s">
        <v>800</v>
      </c>
      <c r="B4682" s="0" t="n">
        <v>30</v>
      </c>
      <c r="C4682" s="0" t="n">
        <v>1.75</v>
      </c>
      <c r="D4682" s="0" t="n">
        <v>0.098</v>
      </c>
    </row>
    <row r="4683" customFormat="false" ht="13.8" hidden="true" customHeight="false" outlineLevel="0" collapsed="false">
      <c r="A4683" s="0" t="s">
        <v>800</v>
      </c>
      <c r="B4683" s="0" t="n">
        <v>30</v>
      </c>
      <c r="C4683" s="0" t="n">
        <v>1.8</v>
      </c>
      <c r="D4683" s="0" t="n">
        <v>0.104</v>
      </c>
    </row>
    <row r="4684" customFormat="false" ht="13.8" hidden="true" customHeight="false" outlineLevel="0" collapsed="false">
      <c r="A4684" s="0" t="s">
        <v>800</v>
      </c>
      <c r="B4684" s="0" t="n">
        <v>30</v>
      </c>
      <c r="C4684" s="0" t="n">
        <v>1.85</v>
      </c>
      <c r="D4684" s="0" t="n">
        <v>0.107</v>
      </c>
    </row>
    <row r="4685" customFormat="false" ht="13.8" hidden="true" customHeight="false" outlineLevel="0" collapsed="false">
      <c r="A4685" s="0" t="s">
        <v>800</v>
      </c>
      <c r="B4685" s="0" t="n">
        <v>30</v>
      </c>
      <c r="C4685" s="0" t="n">
        <v>1.9</v>
      </c>
      <c r="D4685" s="0" t="n">
        <v>0.11</v>
      </c>
    </row>
    <row r="4686" customFormat="false" ht="13.8" hidden="true" customHeight="false" outlineLevel="0" collapsed="false">
      <c r="A4686" s="0" t="s">
        <v>800</v>
      </c>
      <c r="B4686" s="0" t="n">
        <v>30</v>
      </c>
      <c r="C4686" s="0" t="n">
        <v>1.95</v>
      </c>
      <c r="D4686" s="0" t="n">
        <v>0.112</v>
      </c>
    </row>
    <row r="4687" customFormat="false" ht="13.8" hidden="true" customHeight="false" outlineLevel="0" collapsed="false">
      <c r="A4687" s="0" t="s">
        <v>800</v>
      </c>
      <c r="B4687" s="0" t="n">
        <v>30</v>
      </c>
      <c r="C4687" s="0" t="n">
        <v>2</v>
      </c>
      <c r="D4687" s="0" t="n">
        <v>0.119</v>
      </c>
    </row>
    <row r="4688" customFormat="false" ht="13.8" hidden="true" customHeight="false" outlineLevel="0" collapsed="false">
      <c r="A4688" s="0" t="s">
        <v>800</v>
      </c>
      <c r="B4688" s="0" t="n">
        <v>30</v>
      </c>
      <c r="C4688" s="0" t="n">
        <v>2.05</v>
      </c>
      <c r="D4688" s="0" t="n">
        <v>0.122</v>
      </c>
    </row>
    <row r="4689" customFormat="false" ht="13.8" hidden="true" customHeight="false" outlineLevel="0" collapsed="false">
      <c r="A4689" s="0" t="s">
        <v>800</v>
      </c>
      <c r="B4689" s="0" t="n">
        <v>30</v>
      </c>
      <c r="C4689" s="0" t="n">
        <v>2.1</v>
      </c>
      <c r="D4689" s="0" t="n">
        <v>0.125</v>
      </c>
    </row>
    <row r="4690" customFormat="false" ht="13.8" hidden="true" customHeight="false" outlineLevel="0" collapsed="false">
      <c r="A4690" s="0" t="s">
        <v>800</v>
      </c>
      <c r="B4690" s="0" t="n">
        <v>30</v>
      </c>
      <c r="C4690" s="0" t="n">
        <v>2.15</v>
      </c>
      <c r="D4690" s="0" t="n">
        <v>0.127783264</v>
      </c>
    </row>
    <row r="4691" customFormat="false" ht="13.8" hidden="true" customHeight="false" outlineLevel="0" collapsed="false">
      <c r="A4691" s="0" t="s">
        <v>800</v>
      </c>
      <c r="B4691" s="0" t="n">
        <v>30</v>
      </c>
      <c r="C4691" s="0" t="n">
        <v>2.2</v>
      </c>
      <c r="D4691" s="0" t="n">
        <v>0.139657475</v>
      </c>
    </row>
    <row r="4692" customFormat="false" ht="13.8" hidden="true" customHeight="false" outlineLevel="0" collapsed="false">
      <c r="A4692" s="0" t="s">
        <v>800</v>
      </c>
      <c r="B4692" s="0" t="n">
        <v>30</v>
      </c>
      <c r="C4692" s="0" t="n">
        <v>2.25</v>
      </c>
      <c r="D4692" s="0" t="n">
        <v>0.142831508</v>
      </c>
    </row>
    <row r="4693" customFormat="false" ht="13.8" hidden="true" customHeight="false" outlineLevel="0" collapsed="false">
      <c r="A4693" s="0" t="s">
        <v>800</v>
      </c>
      <c r="B4693" s="0" t="n">
        <v>30</v>
      </c>
      <c r="C4693" s="0" t="n">
        <v>2.3</v>
      </c>
      <c r="D4693" s="0" t="n">
        <v>0.146005542</v>
      </c>
    </row>
    <row r="4694" customFormat="false" ht="13.8" hidden="true" customHeight="false" outlineLevel="0" collapsed="false">
      <c r="A4694" s="0" t="s">
        <v>800</v>
      </c>
      <c r="B4694" s="0" t="n">
        <v>30</v>
      </c>
      <c r="C4694" s="0" t="n">
        <v>2.35</v>
      </c>
      <c r="D4694" s="0" t="n">
        <v>0.149179575</v>
      </c>
    </row>
    <row r="4695" customFormat="false" ht="13.8" hidden="true" customHeight="false" outlineLevel="0" collapsed="false">
      <c r="A4695" s="0" t="s">
        <v>800</v>
      </c>
      <c r="B4695" s="0" t="n">
        <v>30</v>
      </c>
      <c r="C4695" s="0" t="n">
        <v>2.4</v>
      </c>
      <c r="D4695" s="0" t="n">
        <v>0.152353609</v>
      </c>
    </row>
    <row r="4696" customFormat="false" ht="13.8" hidden="true" customHeight="false" outlineLevel="0" collapsed="false">
      <c r="A4696" s="0" t="s">
        <v>800</v>
      </c>
      <c r="B4696" s="0" t="n">
        <v>30</v>
      </c>
      <c r="C4696" s="0" t="n">
        <v>2.45</v>
      </c>
      <c r="D4696" s="0" t="n">
        <v>0.155527643</v>
      </c>
    </row>
    <row r="4697" customFormat="false" ht="13.8" hidden="true" customHeight="false" outlineLevel="0" collapsed="false">
      <c r="A4697" s="0" t="s">
        <v>800</v>
      </c>
      <c r="B4697" s="0" t="n">
        <v>30</v>
      </c>
      <c r="C4697" s="0" t="n">
        <v>2.5</v>
      </c>
      <c r="D4697" s="0" t="n">
        <v>0.158701676</v>
      </c>
    </row>
    <row r="4698" customFormat="false" ht="13.8" hidden="true" customHeight="false" outlineLevel="0" collapsed="false">
      <c r="A4698" s="0" t="s">
        <v>800</v>
      </c>
      <c r="B4698" s="0" t="n">
        <v>30</v>
      </c>
      <c r="C4698" s="0" t="n">
        <v>2.55</v>
      </c>
      <c r="D4698" s="0" t="n">
        <v>0.16187571</v>
      </c>
    </row>
    <row r="4699" customFormat="false" ht="13.8" hidden="true" customHeight="false" outlineLevel="0" collapsed="false">
      <c r="A4699" s="0" t="s">
        <v>800</v>
      </c>
      <c r="B4699" s="0" t="n">
        <v>30</v>
      </c>
      <c r="C4699" s="0" t="n">
        <v>2.6</v>
      </c>
      <c r="D4699" s="0" t="n">
        <v>0.165049743</v>
      </c>
    </row>
    <row r="4700" customFormat="false" ht="13.8" hidden="true" customHeight="false" outlineLevel="0" collapsed="false">
      <c r="A4700" s="0" t="s">
        <v>803</v>
      </c>
      <c r="B4700" s="0" t="n">
        <v>30</v>
      </c>
      <c r="C4700" s="0" t="n">
        <v>1.3</v>
      </c>
      <c r="D4700" s="0" t="n">
        <v>0</v>
      </c>
    </row>
    <row r="4701" customFormat="false" ht="13.8" hidden="true" customHeight="false" outlineLevel="0" collapsed="false">
      <c r="A4701" s="0" t="s">
        <v>803</v>
      </c>
      <c r="B4701" s="0" t="n">
        <v>30</v>
      </c>
      <c r="C4701" s="0" t="n">
        <v>1.35</v>
      </c>
      <c r="D4701" s="0" t="n">
        <v>0</v>
      </c>
    </row>
    <row r="4702" customFormat="false" ht="13.8" hidden="true" customHeight="false" outlineLevel="0" collapsed="false">
      <c r="A4702" s="0" t="s">
        <v>803</v>
      </c>
      <c r="B4702" s="0" t="n">
        <v>30</v>
      </c>
      <c r="C4702" s="0" t="n">
        <v>1.4</v>
      </c>
      <c r="D4702" s="0" t="n">
        <v>0</v>
      </c>
    </row>
    <row r="4703" customFormat="false" ht="13.8" hidden="true" customHeight="false" outlineLevel="0" collapsed="false">
      <c r="A4703" s="0" t="s">
        <v>803</v>
      </c>
      <c r="B4703" s="0" t="n">
        <v>30</v>
      </c>
      <c r="C4703" s="0" t="n">
        <v>1.45</v>
      </c>
      <c r="D4703" s="0" t="n">
        <v>0</v>
      </c>
    </row>
    <row r="4704" customFormat="false" ht="13.8" hidden="true" customHeight="false" outlineLevel="0" collapsed="false">
      <c r="A4704" s="0" t="s">
        <v>803</v>
      </c>
      <c r="B4704" s="0" t="n">
        <v>30</v>
      </c>
      <c r="C4704" s="0" t="n">
        <v>1.5</v>
      </c>
      <c r="D4704" s="0" t="n">
        <v>0</v>
      </c>
    </row>
    <row r="4705" customFormat="false" ht="13.8" hidden="true" customHeight="false" outlineLevel="0" collapsed="false">
      <c r="A4705" s="0" t="s">
        <v>803</v>
      </c>
      <c r="B4705" s="0" t="n">
        <v>30</v>
      </c>
      <c r="C4705" s="0" t="n">
        <v>1.55</v>
      </c>
      <c r="D4705" s="0" t="n">
        <v>0</v>
      </c>
    </row>
    <row r="4706" customFormat="false" ht="13.8" hidden="true" customHeight="false" outlineLevel="0" collapsed="false">
      <c r="A4706" s="0" t="s">
        <v>803</v>
      </c>
      <c r="B4706" s="0" t="n">
        <v>30</v>
      </c>
      <c r="C4706" s="0" t="n">
        <v>1.6</v>
      </c>
      <c r="D4706" s="0" t="n">
        <v>0</v>
      </c>
    </row>
    <row r="4707" customFormat="false" ht="13.8" hidden="true" customHeight="false" outlineLevel="0" collapsed="false">
      <c r="A4707" s="0" t="s">
        <v>803</v>
      </c>
      <c r="B4707" s="0" t="n">
        <v>30</v>
      </c>
      <c r="C4707" s="0" t="n">
        <v>1.65</v>
      </c>
      <c r="D4707" s="0" t="n">
        <v>0</v>
      </c>
    </row>
    <row r="4708" customFormat="false" ht="13.8" hidden="true" customHeight="false" outlineLevel="0" collapsed="false">
      <c r="A4708" s="0" t="s">
        <v>803</v>
      </c>
      <c r="B4708" s="0" t="n">
        <v>30</v>
      </c>
      <c r="C4708" s="0" t="n">
        <v>1.7</v>
      </c>
      <c r="D4708" s="0" t="n">
        <v>0</v>
      </c>
    </row>
    <row r="4709" customFormat="false" ht="13.8" hidden="true" customHeight="false" outlineLevel="0" collapsed="false">
      <c r="A4709" s="0" t="s">
        <v>803</v>
      </c>
      <c r="B4709" s="0" t="n">
        <v>30</v>
      </c>
      <c r="C4709" s="0" t="n">
        <v>1.75</v>
      </c>
      <c r="D4709" s="0" t="n">
        <v>0</v>
      </c>
    </row>
    <row r="4710" customFormat="false" ht="13.8" hidden="true" customHeight="false" outlineLevel="0" collapsed="false">
      <c r="A4710" s="0" t="s">
        <v>803</v>
      </c>
      <c r="B4710" s="0" t="n">
        <v>30</v>
      </c>
      <c r="C4710" s="0" t="n">
        <v>1.8</v>
      </c>
      <c r="D4710" s="0" t="n">
        <v>0</v>
      </c>
    </row>
    <row r="4711" customFormat="false" ht="13.8" hidden="true" customHeight="false" outlineLevel="0" collapsed="false">
      <c r="A4711" s="0" t="s">
        <v>803</v>
      </c>
      <c r="B4711" s="0" t="n">
        <v>30</v>
      </c>
      <c r="C4711" s="0" t="n">
        <v>1.85</v>
      </c>
      <c r="D4711" s="0" t="n">
        <v>0</v>
      </c>
    </row>
    <row r="4712" customFormat="false" ht="13.8" hidden="true" customHeight="false" outlineLevel="0" collapsed="false">
      <c r="A4712" s="0" t="s">
        <v>803</v>
      </c>
      <c r="B4712" s="0" t="n">
        <v>30</v>
      </c>
      <c r="C4712" s="0" t="n">
        <v>1.9</v>
      </c>
      <c r="D4712" s="0" t="n">
        <v>0.219</v>
      </c>
    </row>
    <row r="4713" customFormat="false" ht="13.8" hidden="true" customHeight="false" outlineLevel="0" collapsed="false">
      <c r="A4713" s="0" t="s">
        <v>803</v>
      </c>
      <c r="B4713" s="0" t="n">
        <v>30</v>
      </c>
      <c r="C4713" s="0" t="n">
        <v>1.95</v>
      </c>
      <c r="D4713" s="0" t="n">
        <v>0.225</v>
      </c>
    </row>
    <row r="4714" customFormat="false" ht="13.8" hidden="true" customHeight="false" outlineLevel="0" collapsed="false">
      <c r="A4714" s="0" t="s">
        <v>803</v>
      </c>
      <c r="B4714" s="0" t="n">
        <v>30</v>
      </c>
      <c r="C4714" s="0" t="n">
        <v>2</v>
      </c>
      <c r="D4714" s="0" t="n">
        <v>0.238</v>
      </c>
    </row>
    <row r="4715" customFormat="false" ht="13.8" hidden="true" customHeight="false" outlineLevel="0" collapsed="false">
      <c r="A4715" s="0" t="s">
        <v>803</v>
      </c>
      <c r="B4715" s="0" t="n">
        <v>30</v>
      </c>
      <c r="C4715" s="0" t="n">
        <v>2.05</v>
      </c>
      <c r="D4715" s="0" t="n">
        <v>0.244</v>
      </c>
    </row>
    <row r="4716" customFormat="false" ht="13.8" hidden="true" customHeight="false" outlineLevel="0" collapsed="false">
      <c r="A4716" s="0" t="s">
        <v>803</v>
      </c>
      <c r="B4716" s="0" t="n">
        <v>30</v>
      </c>
      <c r="C4716" s="0" t="n">
        <v>2.1</v>
      </c>
      <c r="D4716" s="0" t="n">
        <v>0.25</v>
      </c>
    </row>
    <row r="4717" customFormat="false" ht="13.8" hidden="true" customHeight="false" outlineLevel="0" collapsed="false">
      <c r="A4717" s="0" t="s">
        <v>803</v>
      </c>
      <c r="B4717" s="0" t="n">
        <v>30</v>
      </c>
      <c r="C4717" s="0" t="n">
        <v>2.15</v>
      </c>
      <c r="D4717" s="0" t="n">
        <v>0.255566528</v>
      </c>
    </row>
    <row r="4718" customFormat="false" ht="13.8" hidden="true" customHeight="false" outlineLevel="0" collapsed="false">
      <c r="A4718" s="0" t="s">
        <v>803</v>
      </c>
      <c r="B4718" s="0" t="n">
        <v>30</v>
      </c>
      <c r="C4718" s="0" t="n">
        <v>2.2</v>
      </c>
      <c r="D4718" s="0" t="n">
        <v>0.27931495</v>
      </c>
    </row>
    <row r="4719" customFormat="false" ht="13.8" hidden="true" customHeight="false" outlineLevel="0" collapsed="false">
      <c r="A4719" s="0" t="s">
        <v>803</v>
      </c>
      <c r="B4719" s="0" t="n">
        <v>30</v>
      </c>
      <c r="C4719" s="0" t="n">
        <v>2.25</v>
      </c>
      <c r="D4719" s="0" t="n">
        <v>0</v>
      </c>
    </row>
    <row r="4720" customFormat="false" ht="13.8" hidden="true" customHeight="false" outlineLevel="0" collapsed="false">
      <c r="A4720" s="0" t="s">
        <v>803</v>
      </c>
      <c r="B4720" s="0" t="n">
        <v>30</v>
      </c>
      <c r="C4720" s="0" t="n">
        <v>2.3</v>
      </c>
      <c r="D4720" s="0" t="n">
        <v>0</v>
      </c>
    </row>
    <row r="4721" customFormat="false" ht="13.8" hidden="true" customHeight="false" outlineLevel="0" collapsed="false">
      <c r="A4721" s="0" t="s">
        <v>803</v>
      </c>
      <c r="B4721" s="0" t="n">
        <v>30</v>
      </c>
      <c r="C4721" s="0" t="n">
        <v>2.35</v>
      </c>
      <c r="D4721" s="0" t="n">
        <v>0</v>
      </c>
    </row>
    <row r="4722" customFormat="false" ht="13.8" hidden="true" customHeight="false" outlineLevel="0" collapsed="false">
      <c r="A4722" s="0" t="s">
        <v>803</v>
      </c>
      <c r="B4722" s="0" t="n">
        <v>30</v>
      </c>
      <c r="C4722" s="0" t="n">
        <v>2.4</v>
      </c>
      <c r="D4722" s="0" t="n">
        <v>0</v>
      </c>
    </row>
    <row r="4723" customFormat="false" ht="13.8" hidden="true" customHeight="false" outlineLevel="0" collapsed="false">
      <c r="A4723" s="0" t="s">
        <v>803</v>
      </c>
      <c r="B4723" s="0" t="n">
        <v>30</v>
      </c>
      <c r="C4723" s="0" t="n">
        <v>2.45</v>
      </c>
      <c r="D4723" s="0" t="n">
        <v>0</v>
      </c>
    </row>
    <row r="4724" customFormat="false" ht="13.8" hidden="true" customHeight="false" outlineLevel="0" collapsed="false">
      <c r="A4724" s="0" t="s">
        <v>803</v>
      </c>
      <c r="B4724" s="0" t="n">
        <v>30</v>
      </c>
      <c r="C4724" s="0" t="n">
        <v>2.5</v>
      </c>
      <c r="D4724" s="0" t="n">
        <v>0</v>
      </c>
    </row>
    <row r="4725" customFormat="false" ht="13.8" hidden="true" customHeight="false" outlineLevel="0" collapsed="false">
      <c r="A4725" s="0" t="s">
        <v>803</v>
      </c>
      <c r="B4725" s="0" t="n">
        <v>30</v>
      </c>
      <c r="C4725" s="0" t="n">
        <v>2.55</v>
      </c>
      <c r="D4725" s="0" t="n">
        <v>0</v>
      </c>
    </row>
    <row r="4726" customFormat="false" ht="13.8" hidden="true" customHeight="false" outlineLevel="0" collapsed="false">
      <c r="A4726" s="0" t="s">
        <v>803</v>
      </c>
      <c r="B4726" s="0" t="n">
        <v>30</v>
      </c>
      <c r="C4726" s="0" t="n">
        <v>2.6</v>
      </c>
      <c r="D4726" s="0" t="n">
        <v>0</v>
      </c>
    </row>
    <row r="4727" customFormat="false" ht="13.8" hidden="true" customHeight="false" outlineLevel="0" collapsed="false">
      <c r="A4727" s="0" t="s">
        <v>236</v>
      </c>
      <c r="B4727" s="0" t="n">
        <v>31</v>
      </c>
      <c r="C4727" s="0" t="n">
        <v>1.3</v>
      </c>
      <c r="D4727" s="0" t="n">
        <v>0</v>
      </c>
    </row>
    <row r="4728" customFormat="false" ht="13.8" hidden="true" customHeight="false" outlineLevel="0" collapsed="false">
      <c r="A4728" s="0" t="s">
        <v>236</v>
      </c>
      <c r="B4728" s="0" t="n">
        <v>31</v>
      </c>
      <c r="C4728" s="0" t="n">
        <v>1.35</v>
      </c>
      <c r="D4728" s="0" t="n">
        <v>0</v>
      </c>
    </row>
    <row r="4729" customFormat="false" ht="13.8" hidden="true" customHeight="false" outlineLevel="0" collapsed="false">
      <c r="A4729" s="0" t="s">
        <v>236</v>
      </c>
      <c r="B4729" s="0" t="n">
        <v>31</v>
      </c>
      <c r="C4729" s="0" t="n">
        <v>1.4</v>
      </c>
      <c r="D4729" s="0" t="n">
        <v>0</v>
      </c>
    </row>
    <row r="4730" customFormat="false" ht="13.8" hidden="true" customHeight="false" outlineLevel="0" collapsed="false">
      <c r="A4730" s="0" t="s">
        <v>236</v>
      </c>
      <c r="B4730" s="0" t="n">
        <v>31</v>
      </c>
      <c r="C4730" s="0" t="n">
        <v>1.45</v>
      </c>
      <c r="D4730" s="0" t="n">
        <v>0</v>
      </c>
    </row>
    <row r="4731" customFormat="false" ht="13.8" hidden="true" customHeight="false" outlineLevel="0" collapsed="false">
      <c r="A4731" s="0" t="s">
        <v>236</v>
      </c>
      <c r="B4731" s="0" t="n">
        <v>31</v>
      </c>
      <c r="C4731" s="0" t="n">
        <v>1.5</v>
      </c>
      <c r="D4731" s="0" t="n">
        <v>0</v>
      </c>
    </row>
    <row r="4732" customFormat="false" ht="13.8" hidden="true" customHeight="false" outlineLevel="0" collapsed="false">
      <c r="A4732" s="0" t="s">
        <v>236</v>
      </c>
      <c r="B4732" s="0" t="n">
        <v>31</v>
      </c>
      <c r="C4732" s="0" t="n">
        <v>1.55</v>
      </c>
      <c r="D4732" s="0" t="n">
        <v>0</v>
      </c>
    </row>
    <row r="4733" customFormat="false" ht="13.8" hidden="true" customHeight="false" outlineLevel="0" collapsed="false">
      <c r="A4733" s="0" t="s">
        <v>236</v>
      </c>
      <c r="B4733" s="0" t="n">
        <v>31</v>
      </c>
      <c r="C4733" s="0" t="n">
        <v>1.6</v>
      </c>
      <c r="D4733" s="0" t="n">
        <v>0</v>
      </c>
    </row>
    <row r="4734" customFormat="false" ht="13.8" hidden="true" customHeight="false" outlineLevel="0" collapsed="false">
      <c r="A4734" s="0" t="s">
        <v>236</v>
      </c>
      <c r="B4734" s="0" t="n">
        <v>31</v>
      </c>
      <c r="C4734" s="0" t="n">
        <v>1.65</v>
      </c>
      <c r="D4734" s="0" t="n">
        <v>0</v>
      </c>
    </row>
    <row r="4735" customFormat="false" ht="13.8" hidden="true" customHeight="false" outlineLevel="0" collapsed="false">
      <c r="A4735" s="0" t="s">
        <v>236</v>
      </c>
      <c r="B4735" s="0" t="n">
        <v>31</v>
      </c>
      <c r="C4735" s="0" t="n">
        <v>1.7</v>
      </c>
      <c r="D4735" s="0" t="n">
        <v>0</v>
      </c>
    </row>
    <row r="4736" customFormat="false" ht="13.8" hidden="true" customHeight="false" outlineLevel="0" collapsed="false">
      <c r="A4736" s="0" t="s">
        <v>236</v>
      </c>
      <c r="B4736" s="0" t="n">
        <v>31</v>
      </c>
      <c r="C4736" s="0" t="n">
        <v>1.75</v>
      </c>
      <c r="D4736" s="0" t="n">
        <v>0</v>
      </c>
    </row>
    <row r="4737" customFormat="false" ht="13.8" hidden="true" customHeight="false" outlineLevel="0" collapsed="false">
      <c r="A4737" s="0" t="s">
        <v>236</v>
      </c>
      <c r="B4737" s="0" t="n">
        <v>31</v>
      </c>
      <c r="C4737" s="0" t="n">
        <v>1.8</v>
      </c>
      <c r="D4737" s="0" t="n">
        <v>0</v>
      </c>
    </row>
    <row r="4738" customFormat="false" ht="13.8" hidden="true" customHeight="false" outlineLevel="0" collapsed="false">
      <c r="A4738" s="0" t="s">
        <v>236</v>
      </c>
      <c r="B4738" s="0" t="n">
        <v>31</v>
      </c>
      <c r="C4738" s="0" t="n">
        <v>1.85</v>
      </c>
      <c r="D4738" s="0" t="n">
        <v>0</v>
      </c>
    </row>
    <row r="4739" customFormat="false" ht="13.8" hidden="true" customHeight="false" outlineLevel="0" collapsed="false">
      <c r="A4739" s="0" t="s">
        <v>236</v>
      </c>
      <c r="B4739" s="0" t="n">
        <v>31</v>
      </c>
      <c r="C4739" s="0" t="n">
        <v>1.9</v>
      </c>
      <c r="D4739" s="0" t="n">
        <v>0.183</v>
      </c>
    </row>
    <row r="4740" customFormat="false" ht="13.8" hidden="true" customHeight="false" outlineLevel="0" collapsed="false">
      <c r="A4740" s="0" t="s">
        <v>236</v>
      </c>
      <c r="B4740" s="0" t="n">
        <v>31</v>
      </c>
      <c r="C4740" s="0" t="n">
        <v>1.95</v>
      </c>
      <c r="D4740" s="0" t="n">
        <v>0.188</v>
      </c>
    </row>
    <row r="4741" customFormat="false" ht="13.8" hidden="true" customHeight="false" outlineLevel="0" collapsed="false">
      <c r="A4741" s="0" t="s">
        <v>236</v>
      </c>
      <c r="B4741" s="0" t="n">
        <v>31</v>
      </c>
      <c r="C4741" s="0" t="n">
        <v>2</v>
      </c>
      <c r="D4741" s="0" t="n">
        <v>0.196</v>
      </c>
    </row>
    <row r="4742" customFormat="false" ht="13.8" hidden="true" customHeight="false" outlineLevel="0" collapsed="false">
      <c r="A4742" s="0" t="s">
        <v>236</v>
      </c>
      <c r="B4742" s="0" t="n">
        <v>31</v>
      </c>
      <c r="C4742" s="0" t="n">
        <v>2.05</v>
      </c>
      <c r="D4742" s="0" t="n">
        <v>0.201</v>
      </c>
    </row>
    <row r="4743" customFormat="false" ht="13.8" hidden="true" customHeight="false" outlineLevel="0" collapsed="false">
      <c r="A4743" s="0" t="s">
        <v>236</v>
      </c>
      <c r="B4743" s="0" t="n">
        <v>31</v>
      </c>
      <c r="C4743" s="0" t="n">
        <v>2.1</v>
      </c>
      <c r="D4743" s="0" t="n">
        <v>0.206</v>
      </c>
    </row>
    <row r="4744" customFormat="false" ht="13.8" hidden="true" customHeight="false" outlineLevel="0" collapsed="false">
      <c r="A4744" s="0" t="s">
        <v>236</v>
      </c>
      <c r="B4744" s="0" t="n">
        <v>31</v>
      </c>
      <c r="C4744" s="0" t="n">
        <v>2.15</v>
      </c>
      <c r="D4744" s="0" t="n">
        <v>0.210444092</v>
      </c>
    </row>
    <row r="4745" customFormat="false" ht="13.8" hidden="true" customHeight="false" outlineLevel="0" collapsed="false">
      <c r="A4745" s="0" t="s">
        <v>236</v>
      </c>
      <c r="B4745" s="0" t="n">
        <v>31</v>
      </c>
      <c r="C4745" s="0" t="n">
        <v>2.2</v>
      </c>
      <c r="D4745" s="0" t="n">
        <v>0.234123513</v>
      </c>
    </row>
    <row r="4746" customFormat="false" ht="13.8" hidden="true" customHeight="false" outlineLevel="0" collapsed="false">
      <c r="A4746" s="0" t="s">
        <v>236</v>
      </c>
      <c r="B4746" s="0" t="n">
        <v>31</v>
      </c>
      <c r="C4746" s="0" t="n">
        <v>2.25</v>
      </c>
      <c r="D4746" s="0" t="n">
        <v>0</v>
      </c>
    </row>
    <row r="4747" customFormat="false" ht="13.8" hidden="true" customHeight="false" outlineLevel="0" collapsed="false">
      <c r="A4747" s="0" t="s">
        <v>236</v>
      </c>
      <c r="B4747" s="0" t="n">
        <v>31</v>
      </c>
      <c r="C4747" s="0" t="n">
        <v>2.3</v>
      </c>
      <c r="D4747" s="0" t="n">
        <v>0</v>
      </c>
    </row>
    <row r="4748" customFormat="false" ht="13.8" hidden="true" customHeight="false" outlineLevel="0" collapsed="false">
      <c r="A4748" s="0" t="s">
        <v>236</v>
      </c>
      <c r="B4748" s="0" t="n">
        <v>31</v>
      </c>
      <c r="C4748" s="0" t="n">
        <v>2.35</v>
      </c>
      <c r="D4748" s="0" t="n">
        <v>0</v>
      </c>
    </row>
    <row r="4749" customFormat="false" ht="13.8" hidden="true" customHeight="false" outlineLevel="0" collapsed="false">
      <c r="A4749" s="0" t="s">
        <v>236</v>
      </c>
      <c r="B4749" s="0" t="n">
        <v>31</v>
      </c>
      <c r="C4749" s="0" t="n">
        <v>2.4</v>
      </c>
      <c r="D4749" s="0" t="n">
        <v>0</v>
      </c>
    </row>
    <row r="4750" customFormat="false" ht="13.8" hidden="true" customHeight="false" outlineLevel="0" collapsed="false">
      <c r="A4750" s="0" t="s">
        <v>236</v>
      </c>
      <c r="B4750" s="0" t="n">
        <v>31</v>
      </c>
      <c r="C4750" s="0" t="n">
        <v>2.45</v>
      </c>
      <c r="D4750" s="0" t="n">
        <v>0</v>
      </c>
    </row>
    <row r="4751" customFormat="false" ht="13.8" hidden="true" customHeight="false" outlineLevel="0" collapsed="false">
      <c r="A4751" s="0" t="s">
        <v>236</v>
      </c>
      <c r="B4751" s="0" t="n">
        <v>31</v>
      </c>
      <c r="C4751" s="0" t="n">
        <v>2.5</v>
      </c>
      <c r="D4751" s="0" t="n">
        <v>0</v>
      </c>
    </row>
    <row r="4752" customFormat="false" ht="13.8" hidden="true" customHeight="false" outlineLevel="0" collapsed="false">
      <c r="A4752" s="0" t="s">
        <v>236</v>
      </c>
      <c r="B4752" s="0" t="n">
        <v>31</v>
      </c>
      <c r="C4752" s="0" t="n">
        <v>2.55</v>
      </c>
      <c r="D4752" s="0" t="n">
        <v>0</v>
      </c>
    </row>
    <row r="4753" customFormat="false" ht="13.8" hidden="true" customHeight="false" outlineLevel="0" collapsed="false">
      <c r="A4753" s="0" t="s">
        <v>236</v>
      </c>
      <c r="B4753" s="0" t="n">
        <v>31</v>
      </c>
      <c r="C4753" s="0" t="n">
        <v>2.6</v>
      </c>
      <c r="D4753" s="0" t="n">
        <v>0</v>
      </c>
    </row>
    <row r="4754" customFormat="false" ht="13.8" hidden="true" customHeight="false" outlineLevel="0" collapsed="false">
      <c r="A4754" s="0" t="s">
        <v>236</v>
      </c>
      <c r="B4754" s="0" t="n">
        <v>32</v>
      </c>
      <c r="C4754" s="0" t="n">
        <v>1.3</v>
      </c>
      <c r="D4754" s="0" t="n">
        <v>0</v>
      </c>
    </row>
    <row r="4755" customFormat="false" ht="13.8" hidden="true" customHeight="false" outlineLevel="0" collapsed="false">
      <c r="A4755" s="0" t="s">
        <v>236</v>
      </c>
      <c r="B4755" s="0" t="n">
        <v>32</v>
      </c>
      <c r="C4755" s="0" t="n">
        <v>1.35</v>
      </c>
      <c r="D4755" s="0" t="n">
        <v>0</v>
      </c>
    </row>
    <row r="4756" customFormat="false" ht="13.8" hidden="true" customHeight="false" outlineLevel="0" collapsed="false">
      <c r="A4756" s="0" t="s">
        <v>236</v>
      </c>
      <c r="B4756" s="0" t="n">
        <v>32</v>
      </c>
      <c r="C4756" s="0" t="n">
        <v>1.4</v>
      </c>
      <c r="D4756" s="0" t="n">
        <v>0</v>
      </c>
    </row>
    <row r="4757" customFormat="false" ht="13.8" hidden="true" customHeight="false" outlineLevel="0" collapsed="false">
      <c r="A4757" s="0" t="s">
        <v>236</v>
      </c>
      <c r="B4757" s="0" t="n">
        <v>32</v>
      </c>
      <c r="C4757" s="0" t="n">
        <v>1.45</v>
      </c>
      <c r="D4757" s="0" t="n">
        <v>0</v>
      </c>
    </row>
    <row r="4758" customFormat="false" ht="13.8" hidden="true" customHeight="false" outlineLevel="0" collapsed="false">
      <c r="A4758" s="0" t="s">
        <v>236</v>
      </c>
      <c r="B4758" s="0" t="n">
        <v>32</v>
      </c>
      <c r="C4758" s="0" t="n">
        <v>1.5</v>
      </c>
      <c r="D4758" s="0" t="n">
        <v>0</v>
      </c>
    </row>
    <row r="4759" customFormat="false" ht="13.8" hidden="true" customHeight="false" outlineLevel="0" collapsed="false">
      <c r="A4759" s="0" t="s">
        <v>236</v>
      </c>
      <c r="B4759" s="0" t="n">
        <v>32</v>
      </c>
      <c r="C4759" s="0" t="n">
        <v>1.55</v>
      </c>
      <c r="D4759" s="0" t="n">
        <v>0</v>
      </c>
    </row>
    <row r="4760" customFormat="false" ht="13.8" hidden="true" customHeight="false" outlineLevel="0" collapsed="false">
      <c r="A4760" s="0" t="s">
        <v>236</v>
      </c>
      <c r="B4760" s="0" t="n">
        <v>32</v>
      </c>
      <c r="C4760" s="0" t="n">
        <v>1.6</v>
      </c>
      <c r="D4760" s="0" t="n">
        <v>0</v>
      </c>
    </row>
    <row r="4761" customFormat="false" ht="13.8" hidden="true" customHeight="false" outlineLevel="0" collapsed="false">
      <c r="A4761" s="0" t="s">
        <v>236</v>
      </c>
      <c r="B4761" s="0" t="n">
        <v>32</v>
      </c>
      <c r="C4761" s="0" t="n">
        <v>1.65</v>
      </c>
      <c r="D4761" s="0" t="n">
        <v>0</v>
      </c>
    </row>
    <row r="4762" customFormat="false" ht="13.8" hidden="true" customHeight="false" outlineLevel="0" collapsed="false">
      <c r="A4762" s="0" t="s">
        <v>236</v>
      </c>
      <c r="B4762" s="0" t="n">
        <v>32</v>
      </c>
      <c r="C4762" s="0" t="n">
        <v>1.7</v>
      </c>
      <c r="D4762" s="0" t="n">
        <v>0</v>
      </c>
    </row>
    <row r="4763" customFormat="false" ht="13.8" hidden="true" customHeight="false" outlineLevel="0" collapsed="false">
      <c r="A4763" s="0" t="s">
        <v>236</v>
      </c>
      <c r="B4763" s="0" t="n">
        <v>32</v>
      </c>
      <c r="C4763" s="0" t="n">
        <v>1.75</v>
      </c>
      <c r="D4763" s="0" t="n">
        <v>0</v>
      </c>
    </row>
    <row r="4764" customFormat="false" ht="13.8" hidden="true" customHeight="false" outlineLevel="0" collapsed="false">
      <c r="A4764" s="0" t="s">
        <v>236</v>
      </c>
      <c r="B4764" s="0" t="n">
        <v>32</v>
      </c>
      <c r="C4764" s="0" t="n">
        <v>1.8</v>
      </c>
      <c r="D4764" s="0" t="n">
        <v>0</v>
      </c>
    </row>
    <row r="4765" customFormat="false" ht="13.8" hidden="true" customHeight="false" outlineLevel="0" collapsed="false">
      <c r="A4765" s="0" t="s">
        <v>236</v>
      </c>
      <c r="B4765" s="0" t="n">
        <v>32</v>
      </c>
      <c r="C4765" s="0" t="n">
        <v>1.85</v>
      </c>
      <c r="D4765" s="0" t="n">
        <v>0</v>
      </c>
    </row>
    <row r="4766" customFormat="false" ht="13.8" hidden="true" customHeight="false" outlineLevel="0" collapsed="false">
      <c r="A4766" s="0" t="s">
        <v>236</v>
      </c>
      <c r="B4766" s="0" t="n">
        <v>32</v>
      </c>
      <c r="C4766" s="0" t="n">
        <v>1.9</v>
      </c>
      <c r="D4766" s="0" t="n">
        <v>0.183</v>
      </c>
    </row>
    <row r="4767" customFormat="false" ht="13.8" hidden="true" customHeight="false" outlineLevel="0" collapsed="false">
      <c r="A4767" s="0" t="s">
        <v>236</v>
      </c>
      <c r="B4767" s="0" t="n">
        <v>32</v>
      </c>
      <c r="C4767" s="0" t="n">
        <v>1.95</v>
      </c>
      <c r="D4767" s="0" t="n">
        <v>0.188</v>
      </c>
    </row>
    <row r="4768" customFormat="false" ht="13.8" hidden="true" customHeight="false" outlineLevel="0" collapsed="false">
      <c r="A4768" s="0" t="s">
        <v>236</v>
      </c>
      <c r="B4768" s="0" t="n">
        <v>32</v>
      </c>
      <c r="C4768" s="0" t="n">
        <v>2</v>
      </c>
      <c r="D4768" s="0" t="n">
        <v>0.196</v>
      </c>
    </row>
    <row r="4769" customFormat="false" ht="13.8" hidden="true" customHeight="false" outlineLevel="0" collapsed="false">
      <c r="A4769" s="0" t="s">
        <v>236</v>
      </c>
      <c r="B4769" s="0" t="n">
        <v>32</v>
      </c>
      <c r="C4769" s="0" t="n">
        <v>2.05</v>
      </c>
      <c r="D4769" s="0" t="n">
        <v>0.201</v>
      </c>
    </row>
    <row r="4770" customFormat="false" ht="13.8" hidden="true" customHeight="false" outlineLevel="0" collapsed="false">
      <c r="A4770" s="0" t="s">
        <v>236</v>
      </c>
      <c r="B4770" s="0" t="n">
        <v>32</v>
      </c>
      <c r="C4770" s="0" t="n">
        <v>2.1</v>
      </c>
      <c r="D4770" s="0" t="n">
        <v>0.206</v>
      </c>
    </row>
    <row r="4771" customFormat="false" ht="13.8" hidden="true" customHeight="false" outlineLevel="0" collapsed="false">
      <c r="A4771" s="0" t="s">
        <v>236</v>
      </c>
      <c r="B4771" s="0" t="n">
        <v>32</v>
      </c>
      <c r="C4771" s="0" t="n">
        <v>2.15</v>
      </c>
      <c r="D4771" s="0" t="n">
        <v>0.210444092</v>
      </c>
    </row>
    <row r="4772" customFormat="false" ht="13.8" hidden="true" customHeight="false" outlineLevel="0" collapsed="false">
      <c r="A4772" s="0" t="s">
        <v>236</v>
      </c>
      <c r="B4772" s="0" t="n">
        <v>32</v>
      </c>
      <c r="C4772" s="0" t="n">
        <v>2.2</v>
      </c>
      <c r="D4772" s="0" t="n">
        <v>0.234123513</v>
      </c>
    </row>
    <row r="4773" customFormat="false" ht="13.8" hidden="true" customHeight="false" outlineLevel="0" collapsed="false">
      <c r="A4773" s="0" t="s">
        <v>236</v>
      </c>
      <c r="B4773" s="0" t="n">
        <v>32</v>
      </c>
      <c r="C4773" s="0" t="n">
        <v>2.25</v>
      </c>
      <c r="D4773" s="0" t="n">
        <v>0</v>
      </c>
    </row>
    <row r="4774" customFormat="false" ht="13.8" hidden="true" customHeight="false" outlineLevel="0" collapsed="false">
      <c r="A4774" s="0" t="s">
        <v>236</v>
      </c>
      <c r="B4774" s="0" t="n">
        <v>32</v>
      </c>
      <c r="C4774" s="0" t="n">
        <v>2.3</v>
      </c>
      <c r="D4774" s="0" t="n">
        <v>0</v>
      </c>
    </row>
    <row r="4775" customFormat="false" ht="13.8" hidden="true" customHeight="false" outlineLevel="0" collapsed="false">
      <c r="A4775" s="0" t="s">
        <v>236</v>
      </c>
      <c r="B4775" s="0" t="n">
        <v>32</v>
      </c>
      <c r="C4775" s="0" t="n">
        <v>2.35</v>
      </c>
      <c r="D4775" s="0" t="n">
        <v>0</v>
      </c>
    </row>
    <row r="4776" customFormat="false" ht="13.8" hidden="true" customHeight="false" outlineLevel="0" collapsed="false">
      <c r="A4776" s="0" t="s">
        <v>236</v>
      </c>
      <c r="B4776" s="0" t="n">
        <v>32</v>
      </c>
      <c r="C4776" s="0" t="n">
        <v>2.4</v>
      </c>
      <c r="D4776" s="0" t="n">
        <v>0</v>
      </c>
    </row>
    <row r="4777" customFormat="false" ht="13.8" hidden="true" customHeight="false" outlineLevel="0" collapsed="false">
      <c r="A4777" s="0" t="s">
        <v>236</v>
      </c>
      <c r="B4777" s="0" t="n">
        <v>32</v>
      </c>
      <c r="C4777" s="0" t="n">
        <v>2.45</v>
      </c>
      <c r="D4777" s="0" t="n">
        <v>0</v>
      </c>
    </row>
    <row r="4778" customFormat="false" ht="13.8" hidden="true" customHeight="false" outlineLevel="0" collapsed="false">
      <c r="A4778" s="0" t="s">
        <v>236</v>
      </c>
      <c r="B4778" s="0" t="n">
        <v>32</v>
      </c>
      <c r="C4778" s="0" t="n">
        <v>2.5</v>
      </c>
      <c r="D4778" s="0" t="n">
        <v>0</v>
      </c>
    </row>
    <row r="4779" customFormat="false" ht="13.8" hidden="true" customHeight="false" outlineLevel="0" collapsed="false">
      <c r="A4779" s="0" t="s">
        <v>236</v>
      </c>
      <c r="B4779" s="0" t="n">
        <v>32</v>
      </c>
      <c r="C4779" s="0" t="n">
        <v>2.55</v>
      </c>
      <c r="D4779" s="0" t="n">
        <v>0</v>
      </c>
    </row>
    <row r="4780" customFormat="false" ht="13.8" hidden="true" customHeight="false" outlineLevel="0" collapsed="false">
      <c r="A4780" s="0" t="s">
        <v>236</v>
      </c>
      <c r="B4780" s="0" t="n">
        <v>32</v>
      </c>
      <c r="C4780" s="0" t="n">
        <v>2.6</v>
      </c>
      <c r="D4780" s="0" t="n">
        <v>0</v>
      </c>
    </row>
    <row r="4781" customFormat="false" ht="13.8" hidden="true" customHeight="false" outlineLevel="0" collapsed="false">
      <c r="A4781" s="0" t="s">
        <v>808</v>
      </c>
      <c r="B4781" s="0" t="n">
        <v>31</v>
      </c>
      <c r="C4781" s="0" t="n">
        <v>1.3</v>
      </c>
      <c r="D4781" s="0" t="n">
        <v>0</v>
      </c>
    </row>
    <row r="4782" customFormat="false" ht="13.8" hidden="true" customHeight="false" outlineLevel="0" collapsed="false">
      <c r="A4782" s="0" t="s">
        <v>808</v>
      </c>
      <c r="B4782" s="0" t="n">
        <v>31</v>
      </c>
      <c r="C4782" s="0" t="n">
        <v>1.35</v>
      </c>
      <c r="D4782" s="0" t="n">
        <v>0</v>
      </c>
    </row>
    <row r="4783" customFormat="false" ht="13.8" hidden="true" customHeight="false" outlineLevel="0" collapsed="false">
      <c r="A4783" s="0" t="s">
        <v>808</v>
      </c>
      <c r="B4783" s="0" t="n">
        <v>31</v>
      </c>
      <c r="C4783" s="0" t="n">
        <v>1.4</v>
      </c>
      <c r="D4783" s="0" t="n">
        <v>0</v>
      </c>
    </row>
    <row r="4784" customFormat="false" ht="13.8" hidden="true" customHeight="false" outlineLevel="0" collapsed="false">
      <c r="A4784" s="0" t="s">
        <v>808</v>
      </c>
      <c r="B4784" s="0" t="n">
        <v>31</v>
      </c>
      <c r="C4784" s="0" t="n">
        <v>1.45</v>
      </c>
      <c r="D4784" s="0" t="n">
        <v>0</v>
      </c>
    </row>
    <row r="4785" customFormat="false" ht="13.8" hidden="true" customHeight="false" outlineLevel="0" collapsed="false">
      <c r="A4785" s="0" t="s">
        <v>808</v>
      </c>
      <c r="B4785" s="0" t="n">
        <v>31</v>
      </c>
      <c r="C4785" s="0" t="n">
        <v>1.5</v>
      </c>
      <c r="D4785" s="0" t="n">
        <v>0</v>
      </c>
    </row>
    <row r="4786" customFormat="false" ht="13.8" hidden="true" customHeight="false" outlineLevel="0" collapsed="false">
      <c r="A4786" s="0" t="s">
        <v>808</v>
      </c>
      <c r="B4786" s="0" t="n">
        <v>31</v>
      </c>
      <c r="C4786" s="0" t="n">
        <v>1.55</v>
      </c>
      <c r="D4786" s="0" t="n">
        <v>0</v>
      </c>
    </row>
    <row r="4787" customFormat="false" ht="13.8" hidden="true" customHeight="false" outlineLevel="0" collapsed="false">
      <c r="A4787" s="0" t="s">
        <v>808</v>
      </c>
      <c r="B4787" s="0" t="n">
        <v>31</v>
      </c>
      <c r="C4787" s="0" t="n">
        <v>1.6</v>
      </c>
      <c r="D4787" s="0" t="n">
        <v>0.151</v>
      </c>
    </row>
    <row r="4788" customFormat="false" ht="13.8" hidden="true" customHeight="false" outlineLevel="0" collapsed="false">
      <c r="A4788" s="0" t="s">
        <v>808</v>
      </c>
      <c r="B4788" s="0" t="n">
        <v>31</v>
      </c>
      <c r="C4788" s="0" t="n">
        <v>1.65</v>
      </c>
      <c r="D4788" s="0" t="n">
        <v>0.156</v>
      </c>
    </row>
    <row r="4789" customFormat="false" ht="13.8" hidden="true" customHeight="false" outlineLevel="0" collapsed="false">
      <c r="A4789" s="0" t="s">
        <v>808</v>
      </c>
      <c r="B4789" s="0" t="n">
        <v>31</v>
      </c>
      <c r="C4789" s="0" t="n">
        <v>1.7</v>
      </c>
      <c r="D4789" s="0" t="n">
        <v>0.161</v>
      </c>
    </row>
    <row r="4790" customFormat="false" ht="13.8" hidden="true" customHeight="false" outlineLevel="0" collapsed="false">
      <c r="A4790" s="0" t="s">
        <v>808</v>
      </c>
      <c r="B4790" s="0" t="n">
        <v>31</v>
      </c>
      <c r="C4790" s="0" t="n">
        <v>1.75</v>
      </c>
      <c r="D4790" s="0" t="n">
        <v>0.166</v>
      </c>
    </row>
    <row r="4791" customFormat="false" ht="13.8" hidden="true" customHeight="false" outlineLevel="0" collapsed="false">
      <c r="A4791" s="0" t="s">
        <v>808</v>
      </c>
      <c r="B4791" s="0" t="n">
        <v>31</v>
      </c>
      <c r="C4791" s="0" t="n">
        <v>1.8</v>
      </c>
      <c r="D4791" s="0" t="n">
        <v>0</v>
      </c>
    </row>
    <row r="4792" customFormat="false" ht="13.8" hidden="true" customHeight="false" outlineLevel="0" collapsed="false">
      <c r="A4792" s="0" t="s">
        <v>808</v>
      </c>
      <c r="B4792" s="0" t="n">
        <v>31</v>
      </c>
      <c r="C4792" s="0" t="n">
        <v>1.85</v>
      </c>
      <c r="D4792" s="0" t="n">
        <v>0</v>
      </c>
    </row>
    <row r="4793" customFormat="false" ht="13.8" hidden="true" customHeight="false" outlineLevel="0" collapsed="false">
      <c r="A4793" s="0" t="s">
        <v>808</v>
      </c>
      <c r="B4793" s="0" t="n">
        <v>31</v>
      </c>
      <c r="C4793" s="0" t="n">
        <v>1.9</v>
      </c>
      <c r="D4793" s="0" t="n">
        <v>0</v>
      </c>
    </row>
    <row r="4794" customFormat="false" ht="13.8" hidden="true" customHeight="false" outlineLevel="0" collapsed="false">
      <c r="A4794" s="0" t="s">
        <v>808</v>
      </c>
      <c r="B4794" s="0" t="n">
        <v>31</v>
      </c>
      <c r="C4794" s="0" t="n">
        <v>1.95</v>
      </c>
      <c r="D4794" s="0" t="n">
        <v>0</v>
      </c>
    </row>
    <row r="4795" customFormat="false" ht="13.8" hidden="true" customHeight="false" outlineLevel="0" collapsed="false">
      <c r="A4795" s="0" t="s">
        <v>808</v>
      </c>
      <c r="B4795" s="0" t="n">
        <v>31</v>
      </c>
      <c r="C4795" s="0" t="n">
        <v>2</v>
      </c>
      <c r="D4795" s="0" t="n">
        <v>0</v>
      </c>
    </row>
    <row r="4796" customFormat="false" ht="13.8" hidden="true" customHeight="false" outlineLevel="0" collapsed="false">
      <c r="A4796" s="0" t="s">
        <v>808</v>
      </c>
      <c r="B4796" s="0" t="n">
        <v>31</v>
      </c>
      <c r="C4796" s="0" t="n">
        <v>2.05</v>
      </c>
      <c r="D4796" s="0" t="n">
        <v>0</v>
      </c>
    </row>
    <row r="4797" customFormat="false" ht="13.8" hidden="true" customHeight="false" outlineLevel="0" collapsed="false">
      <c r="A4797" s="0" t="s">
        <v>808</v>
      </c>
      <c r="B4797" s="0" t="n">
        <v>31</v>
      </c>
      <c r="C4797" s="0" t="n">
        <v>2.1</v>
      </c>
      <c r="D4797" s="0" t="n">
        <v>0</v>
      </c>
    </row>
    <row r="4798" customFormat="false" ht="13.8" hidden="true" customHeight="false" outlineLevel="0" collapsed="false">
      <c r="A4798" s="0" t="s">
        <v>808</v>
      </c>
      <c r="B4798" s="0" t="n">
        <v>31</v>
      </c>
      <c r="C4798" s="0" t="n">
        <v>2.15</v>
      </c>
      <c r="D4798" s="0" t="n">
        <v>0</v>
      </c>
    </row>
    <row r="4799" customFormat="false" ht="13.8" hidden="true" customHeight="false" outlineLevel="0" collapsed="false">
      <c r="A4799" s="0" t="s">
        <v>808</v>
      </c>
      <c r="B4799" s="0" t="n">
        <v>31</v>
      </c>
      <c r="C4799" s="0" t="n">
        <v>2.2</v>
      </c>
      <c r="D4799" s="0" t="n">
        <v>0</v>
      </c>
    </row>
    <row r="4800" customFormat="false" ht="13.8" hidden="true" customHeight="false" outlineLevel="0" collapsed="false">
      <c r="A4800" s="0" t="s">
        <v>808</v>
      </c>
      <c r="B4800" s="0" t="n">
        <v>31</v>
      </c>
      <c r="C4800" s="0" t="n">
        <v>2.25</v>
      </c>
      <c r="D4800" s="0" t="n">
        <v>0</v>
      </c>
    </row>
    <row r="4801" customFormat="false" ht="13.8" hidden="true" customHeight="false" outlineLevel="0" collapsed="false">
      <c r="A4801" s="0" t="s">
        <v>808</v>
      </c>
      <c r="B4801" s="0" t="n">
        <v>31</v>
      </c>
      <c r="C4801" s="0" t="n">
        <v>2.3</v>
      </c>
      <c r="D4801" s="0" t="n">
        <v>0</v>
      </c>
    </row>
    <row r="4802" customFormat="false" ht="13.8" hidden="true" customHeight="false" outlineLevel="0" collapsed="false">
      <c r="A4802" s="0" t="s">
        <v>808</v>
      </c>
      <c r="B4802" s="0" t="n">
        <v>31</v>
      </c>
      <c r="C4802" s="0" t="n">
        <v>2.35</v>
      </c>
      <c r="D4802" s="0" t="n">
        <v>0</v>
      </c>
    </row>
    <row r="4803" customFormat="false" ht="13.8" hidden="true" customHeight="false" outlineLevel="0" collapsed="false">
      <c r="A4803" s="0" t="s">
        <v>808</v>
      </c>
      <c r="B4803" s="0" t="n">
        <v>31</v>
      </c>
      <c r="C4803" s="0" t="n">
        <v>2.4</v>
      </c>
      <c r="D4803" s="0" t="n">
        <v>0</v>
      </c>
    </row>
    <row r="4804" customFormat="false" ht="13.8" hidden="true" customHeight="false" outlineLevel="0" collapsed="false">
      <c r="A4804" s="0" t="s">
        <v>808</v>
      </c>
      <c r="B4804" s="0" t="n">
        <v>31</v>
      </c>
      <c r="C4804" s="0" t="n">
        <v>2.45</v>
      </c>
      <c r="D4804" s="0" t="n">
        <v>0</v>
      </c>
    </row>
    <row r="4805" customFormat="false" ht="13.8" hidden="true" customHeight="false" outlineLevel="0" collapsed="false">
      <c r="A4805" s="0" t="s">
        <v>808</v>
      </c>
      <c r="B4805" s="0" t="n">
        <v>31</v>
      </c>
      <c r="C4805" s="0" t="n">
        <v>2.5</v>
      </c>
      <c r="D4805" s="0" t="n">
        <v>0</v>
      </c>
    </row>
    <row r="4806" customFormat="false" ht="13.8" hidden="true" customHeight="false" outlineLevel="0" collapsed="false">
      <c r="A4806" s="0" t="s">
        <v>808</v>
      </c>
      <c r="B4806" s="0" t="n">
        <v>31</v>
      </c>
      <c r="C4806" s="0" t="n">
        <v>2.55</v>
      </c>
      <c r="D4806" s="0" t="n">
        <v>0</v>
      </c>
    </row>
    <row r="4807" customFormat="false" ht="13.8" hidden="true" customHeight="false" outlineLevel="0" collapsed="false">
      <c r="A4807" s="0" t="s">
        <v>808</v>
      </c>
      <c r="B4807" s="0" t="n">
        <v>31</v>
      </c>
      <c r="C4807" s="0" t="n">
        <v>2.6</v>
      </c>
      <c r="D4807" s="0" t="n">
        <v>0</v>
      </c>
    </row>
    <row r="4808" customFormat="false" ht="13.8" hidden="true" customHeight="false" outlineLevel="0" collapsed="false">
      <c r="A4808" s="0" t="s">
        <v>808</v>
      </c>
      <c r="B4808" s="0" t="n">
        <v>32</v>
      </c>
      <c r="C4808" s="0" t="n">
        <v>1.3</v>
      </c>
      <c r="D4808" s="0" t="n">
        <v>0</v>
      </c>
    </row>
    <row r="4809" customFormat="false" ht="13.8" hidden="true" customHeight="false" outlineLevel="0" collapsed="false">
      <c r="A4809" s="0" t="s">
        <v>808</v>
      </c>
      <c r="B4809" s="0" t="n">
        <v>32</v>
      </c>
      <c r="C4809" s="0" t="n">
        <v>1.35</v>
      </c>
      <c r="D4809" s="0" t="n">
        <v>0</v>
      </c>
    </row>
    <row r="4810" customFormat="false" ht="13.8" hidden="true" customHeight="false" outlineLevel="0" collapsed="false">
      <c r="A4810" s="0" t="s">
        <v>808</v>
      </c>
      <c r="B4810" s="0" t="n">
        <v>32</v>
      </c>
      <c r="C4810" s="0" t="n">
        <v>1.4</v>
      </c>
      <c r="D4810" s="0" t="n">
        <v>0</v>
      </c>
    </row>
    <row r="4811" customFormat="false" ht="13.8" hidden="true" customHeight="false" outlineLevel="0" collapsed="false">
      <c r="A4811" s="0" t="s">
        <v>808</v>
      </c>
      <c r="B4811" s="0" t="n">
        <v>32</v>
      </c>
      <c r="C4811" s="0" t="n">
        <v>1.45</v>
      </c>
      <c r="D4811" s="0" t="n">
        <v>0</v>
      </c>
    </row>
    <row r="4812" customFormat="false" ht="13.8" hidden="true" customHeight="false" outlineLevel="0" collapsed="false">
      <c r="A4812" s="0" t="s">
        <v>808</v>
      </c>
      <c r="B4812" s="0" t="n">
        <v>32</v>
      </c>
      <c r="C4812" s="0" t="n">
        <v>1.5</v>
      </c>
      <c r="D4812" s="0" t="n">
        <v>0</v>
      </c>
    </row>
    <row r="4813" customFormat="false" ht="13.8" hidden="true" customHeight="false" outlineLevel="0" collapsed="false">
      <c r="A4813" s="0" t="s">
        <v>808</v>
      </c>
      <c r="B4813" s="0" t="n">
        <v>32</v>
      </c>
      <c r="C4813" s="0" t="n">
        <v>1.55</v>
      </c>
      <c r="D4813" s="0" t="n">
        <v>0</v>
      </c>
    </row>
    <row r="4814" customFormat="false" ht="13.8" hidden="true" customHeight="false" outlineLevel="0" collapsed="false">
      <c r="A4814" s="0" t="s">
        <v>808</v>
      </c>
      <c r="B4814" s="0" t="n">
        <v>32</v>
      </c>
      <c r="C4814" s="0" t="n">
        <v>1.6</v>
      </c>
      <c r="D4814" s="0" t="n">
        <v>0.075734544</v>
      </c>
    </row>
    <row r="4815" customFormat="false" ht="13.8" hidden="true" customHeight="false" outlineLevel="0" collapsed="false">
      <c r="A4815" s="0" t="s">
        <v>808</v>
      </c>
      <c r="B4815" s="0" t="n">
        <v>32</v>
      </c>
      <c r="C4815" s="0" t="n">
        <v>1.65</v>
      </c>
      <c r="D4815" s="0" t="n">
        <v>0.078101249</v>
      </c>
    </row>
    <row r="4816" customFormat="false" ht="13.8" hidden="true" customHeight="false" outlineLevel="0" collapsed="false">
      <c r="A4816" s="0" t="s">
        <v>808</v>
      </c>
      <c r="B4816" s="0" t="n">
        <v>32</v>
      </c>
      <c r="C4816" s="0" t="n">
        <v>1.7</v>
      </c>
      <c r="D4816" s="0" t="n">
        <v>0.080467953</v>
      </c>
    </row>
    <row r="4817" customFormat="false" ht="13.8" hidden="true" customHeight="false" outlineLevel="0" collapsed="false">
      <c r="A4817" s="0" t="s">
        <v>808</v>
      </c>
      <c r="B4817" s="0" t="n">
        <v>32</v>
      </c>
      <c r="C4817" s="0" t="n">
        <v>1.75</v>
      </c>
      <c r="D4817" s="0" t="n">
        <v>0.082834658</v>
      </c>
    </row>
    <row r="4818" customFormat="false" ht="13.8" hidden="true" customHeight="false" outlineLevel="0" collapsed="false">
      <c r="A4818" s="0" t="s">
        <v>808</v>
      </c>
      <c r="B4818" s="0" t="n">
        <v>32</v>
      </c>
      <c r="C4818" s="0" t="n">
        <v>1.8</v>
      </c>
      <c r="D4818" s="0" t="n">
        <v>0.086647119</v>
      </c>
    </row>
    <row r="4819" customFormat="false" ht="13.8" hidden="true" customHeight="false" outlineLevel="0" collapsed="false">
      <c r="A4819" s="0" t="s">
        <v>808</v>
      </c>
      <c r="B4819" s="0" t="n">
        <v>32</v>
      </c>
      <c r="C4819" s="0" t="n">
        <v>1.85</v>
      </c>
      <c r="D4819" s="0" t="n">
        <v>0.089053983</v>
      </c>
    </row>
    <row r="4820" customFormat="false" ht="13.8" hidden="true" customHeight="false" outlineLevel="0" collapsed="false">
      <c r="A4820" s="0" t="s">
        <v>808</v>
      </c>
      <c r="B4820" s="0" t="n">
        <v>32</v>
      </c>
      <c r="C4820" s="0" t="n">
        <v>1.9</v>
      </c>
      <c r="D4820" s="0" t="n">
        <v>0.091460848</v>
      </c>
    </row>
    <row r="4821" customFormat="false" ht="13.8" hidden="true" customHeight="false" outlineLevel="0" collapsed="false">
      <c r="A4821" s="0" t="s">
        <v>808</v>
      </c>
      <c r="B4821" s="0" t="n">
        <v>32</v>
      </c>
      <c r="C4821" s="0" t="n">
        <v>1.95</v>
      </c>
      <c r="D4821" s="0" t="n">
        <v>0.093867712</v>
      </c>
    </row>
    <row r="4822" customFormat="false" ht="13.8" hidden="true" customHeight="false" outlineLevel="0" collapsed="false">
      <c r="A4822" s="0" t="s">
        <v>808</v>
      </c>
      <c r="B4822" s="0" t="n">
        <v>32</v>
      </c>
      <c r="C4822" s="0" t="n">
        <v>2</v>
      </c>
      <c r="D4822" s="0" t="n">
        <v>0.097880973</v>
      </c>
    </row>
    <row r="4823" customFormat="false" ht="13.8" hidden="true" customHeight="false" outlineLevel="0" collapsed="false">
      <c r="A4823" s="0" t="s">
        <v>808</v>
      </c>
      <c r="B4823" s="0" t="n">
        <v>32</v>
      </c>
      <c r="C4823" s="0" t="n">
        <v>2.05</v>
      </c>
      <c r="D4823" s="0" t="n">
        <v>0.100327997</v>
      </c>
    </row>
    <row r="4824" customFormat="false" ht="13.8" hidden="true" customHeight="false" outlineLevel="0" collapsed="false">
      <c r="A4824" s="0" t="s">
        <v>808</v>
      </c>
      <c r="B4824" s="0" t="n">
        <v>32</v>
      </c>
      <c r="C4824" s="0" t="n">
        <v>2.1</v>
      </c>
      <c r="D4824" s="0" t="n">
        <v>0.102775022</v>
      </c>
    </row>
    <row r="4825" customFormat="false" ht="13.8" hidden="true" customHeight="false" outlineLevel="0" collapsed="false">
      <c r="A4825" s="0" t="s">
        <v>808</v>
      </c>
      <c r="B4825" s="0" t="n">
        <v>32</v>
      </c>
      <c r="C4825" s="0" t="n">
        <v>2.15</v>
      </c>
      <c r="D4825" s="0" t="n">
        <v>0.105222046</v>
      </c>
    </row>
    <row r="4826" customFormat="false" ht="13.8" hidden="true" customHeight="false" outlineLevel="0" collapsed="false">
      <c r="A4826" s="0" t="s">
        <v>808</v>
      </c>
      <c r="B4826" s="0" t="n">
        <v>32</v>
      </c>
      <c r="C4826" s="0" t="n">
        <v>2.2</v>
      </c>
      <c r="D4826" s="0" t="n">
        <v>0.117061757</v>
      </c>
    </row>
    <row r="4827" customFormat="false" ht="13.8" hidden="true" customHeight="false" outlineLevel="0" collapsed="false">
      <c r="A4827" s="0" t="s">
        <v>808</v>
      </c>
      <c r="B4827" s="0" t="n">
        <v>32</v>
      </c>
      <c r="C4827" s="0" t="n">
        <v>2.25</v>
      </c>
      <c r="D4827" s="0" t="n">
        <v>0.119722251</v>
      </c>
    </row>
    <row r="4828" customFormat="false" ht="13.8" hidden="true" customHeight="false" outlineLevel="0" collapsed="false">
      <c r="A4828" s="0" t="s">
        <v>808</v>
      </c>
      <c r="B4828" s="0" t="n">
        <v>32</v>
      </c>
      <c r="C4828" s="0" t="n">
        <v>2.3</v>
      </c>
      <c r="D4828" s="0" t="n">
        <v>0.122382746</v>
      </c>
    </row>
    <row r="4829" customFormat="false" ht="13.8" hidden="true" customHeight="false" outlineLevel="0" collapsed="false">
      <c r="A4829" s="0" t="s">
        <v>808</v>
      </c>
      <c r="B4829" s="0" t="n">
        <v>32</v>
      </c>
      <c r="C4829" s="0" t="n">
        <v>2.35</v>
      </c>
      <c r="D4829" s="0" t="n">
        <v>0.12504324</v>
      </c>
    </row>
    <row r="4830" customFormat="false" ht="13.8" hidden="true" customHeight="false" outlineLevel="0" collapsed="false">
      <c r="A4830" s="0" t="s">
        <v>808</v>
      </c>
      <c r="B4830" s="0" t="n">
        <v>32</v>
      </c>
      <c r="C4830" s="0" t="n">
        <v>2.4</v>
      </c>
      <c r="D4830" s="0" t="n">
        <v>0.127703735</v>
      </c>
    </row>
    <row r="4831" customFormat="false" ht="13.8" hidden="true" customHeight="false" outlineLevel="0" collapsed="false">
      <c r="A4831" s="0" t="s">
        <v>808</v>
      </c>
      <c r="B4831" s="0" t="n">
        <v>32</v>
      </c>
      <c r="C4831" s="0" t="n">
        <v>2.45</v>
      </c>
      <c r="D4831" s="0" t="n">
        <v>0.130364229</v>
      </c>
    </row>
    <row r="4832" customFormat="false" ht="13.8" hidden="true" customHeight="false" outlineLevel="0" collapsed="false">
      <c r="A4832" s="0" t="s">
        <v>808</v>
      </c>
      <c r="B4832" s="0" t="n">
        <v>32</v>
      </c>
      <c r="C4832" s="0" t="n">
        <v>2.5</v>
      </c>
      <c r="D4832" s="0" t="n">
        <v>0.133024723</v>
      </c>
    </row>
    <row r="4833" customFormat="false" ht="13.8" hidden="true" customHeight="false" outlineLevel="0" collapsed="false">
      <c r="A4833" s="0" t="s">
        <v>808</v>
      </c>
      <c r="B4833" s="0" t="n">
        <v>32</v>
      </c>
      <c r="C4833" s="0" t="n">
        <v>2.55</v>
      </c>
      <c r="D4833" s="0" t="n">
        <v>0.135685218</v>
      </c>
    </row>
    <row r="4834" customFormat="false" ht="13.8" hidden="true" customHeight="false" outlineLevel="0" collapsed="false">
      <c r="A4834" s="0" t="s">
        <v>808</v>
      </c>
      <c r="B4834" s="0" t="n">
        <v>32</v>
      </c>
      <c r="C4834" s="0" t="n">
        <v>2.6</v>
      </c>
      <c r="D4834" s="0" t="n">
        <v>0.138345712</v>
      </c>
    </row>
    <row r="4835" customFormat="false" ht="13.8" hidden="true" customHeight="false" outlineLevel="0" collapsed="false">
      <c r="A4835" s="0" t="s">
        <v>811</v>
      </c>
      <c r="B4835" s="0" t="n">
        <v>31</v>
      </c>
      <c r="C4835" s="0" t="n">
        <v>1.3</v>
      </c>
      <c r="D4835" s="0" t="n">
        <v>0</v>
      </c>
    </row>
    <row r="4836" customFormat="false" ht="13.8" hidden="true" customHeight="false" outlineLevel="0" collapsed="false">
      <c r="A4836" s="0" t="s">
        <v>811</v>
      </c>
      <c r="B4836" s="0" t="n">
        <v>31</v>
      </c>
      <c r="C4836" s="0" t="n">
        <v>1.35</v>
      </c>
      <c r="D4836" s="0" t="n">
        <v>0</v>
      </c>
    </row>
    <row r="4837" customFormat="false" ht="13.8" hidden="true" customHeight="false" outlineLevel="0" collapsed="false">
      <c r="A4837" s="0" t="s">
        <v>811</v>
      </c>
      <c r="B4837" s="0" t="n">
        <v>31</v>
      </c>
      <c r="C4837" s="0" t="n">
        <v>1.4</v>
      </c>
      <c r="D4837" s="0" t="n">
        <v>0</v>
      </c>
    </row>
    <row r="4838" customFormat="false" ht="13.8" hidden="true" customHeight="false" outlineLevel="0" collapsed="false">
      <c r="A4838" s="0" t="s">
        <v>811</v>
      </c>
      <c r="B4838" s="0" t="n">
        <v>31</v>
      </c>
      <c r="C4838" s="0" t="n">
        <v>1.45</v>
      </c>
      <c r="D4838" s="0" t="n">
        <v>0</v>
      </c>
    </row>
    <row r="4839" customFormat="false" ht="13.8" hidden="true" customHeight="false" outlineLevel="0" collapsed="false">
      <c r="A4839" s="0" t="s">
        <v>811</v>
      </c>
      <c r="B4839" s="0" t="n">
        <v>31</v>
      </c>
      <c r="C4839" s="0" t="n">
        <v>1.5</v>
      </c>
      <c r="D4839" s="0" t="n">
        <v>0</v>
      </c>
    </row>
    <row r="4840" customFormat="false" ht="13.8" hidden="true" customHeight="false" outlineLevel="0" collapsed="false">
      <c r="A4840" s="0" t="s">
        <v>811</v>
      </c>
      <c r="B4840" s="0" t="n">
        <v>31</v>
      </c>
      <c r="C4840" s="0" t="n">
        <v>1.55</v>
      </c>
      <c r="D4840" s="0" t="n">
        <v>0</v>
      </c>
    </row>
    <row r="4841" customFormat="false" ht="13.8" hidden="true" customHeight="false" outlineLevel="0" collapsed="false">
      <c r="A4841" s="0" t="s">
        <v>811</v>
      </c>
      <c r="B4841" s="0" t="n">
        <v>31</v>
      </c>
      <c r="C4841" s="0" t="n">
        <v>1.6</v>
      </c>
      <c r="D4841" s="0" t="n">
        <v>0.151</v>
      </c>
    </row>
    <row r="4842" customFormat="false" ht="13.8" hidden="true" customHeight="false" outlineLevel="0" collapsed="false">
      <c r="A4842" s="0" t="s">
        <v>811</v>
      </c>
      <c r="B4842" s="0" t="n">
        <v>31</v>
      </c>
      <c r="C4842" s="0" t="n">
        <v>1.65</v>
      </c>
      <c r="D4842" s="0" t="n">
        <v>0.156</v>
      </c>
    </row>
    <row r="4843" customFormat="false" ht="13.8" hidden="true" customHeight="false" outlineLevel="0" collapsed="false">
      <c r="A4843" s="0" t="s">
        <v>811</v>
      </c>
      <c r="B4843" s="0" t="n">
        <v>31</v>
      </c>
      <c r="C4843" s="0" t="n">
        <v>1.7</v>
      </c>
      <c r="D4843" s="0" t="n">
        <v>0.161</v>
      </c>
    </row>
    <row r="4844" customFormat="false" ht="13.8" hidden="true" customHeight="false" outlineLevel="0" collapsed="false">
      <c r="A4844" s="0" t="s">
        <v>811</v>
      </c>
      <c r="B4844" s="0" t="n">
        <v>31</v>
      </c>
      <c r="C4844" s="0" t="n">
        <v>1.75</v>
      </c>
      <c r="D4844" s="0" t="n">
        <v>0.166</v>
      </c>
    </row>
    <row r="4845" customFormat="false" ht="13.8" hidden="true" customHeight="false" outlineLevel="0" collapsed="false">
      <c r="A4845" s="0" t="s">
        <v>811</v>
      </c>
      <c r="B4845" s="0" t="n">
        <v>31</v>
      </c>
      <c r="C4845" s="0" t="n">
        <v>1.8</v>
      </c>
      <c r="D4845" s="0" t="n">
        <v>0</v>
      </c>
    </row>
    <row r="4846" customFormat="false" ht="13.8" hidden="true" customHeight="false" outlineLevel="0" collapsed="false">
      <c r="A4846" s="0" t="s">
        <v>811</v>
      </c>
      <c r="B4846" s="0" t="n">
        <v>31</v>
      </c>
      <c r="C4846" s="0" t="n">
        <v>1.85</v>
      </c>
      <c r="D4846" s="0" t="n">
        <v>0</v>
      </c>
    </row>
    <row r="4847" customFormat="false" ht="13.8" hidden="true" customHeight="false" outlineLevel="0" collapsed="false">
      <c r="A4847" s="0" t="s">
        <v>811</v>
      </c>
      <c r="B4847" s="0" t="n">
        <v>31</v>
      </c>
      <c r="C4847" s="0" t="n">
        <v>1.9</v>
      </c>
      <c r="D4847" s="0" t="n">
        <v>0</v>
      </c>
    </row>
    <row r="4848" customFormat="false" ht="13.8" hidden="true" customHeight="false" outlineLevel="0" collapsed="false">
      <c r="A4848" s="0" t="s">
        <v>811</v>
      </c>
      <c r="B4848" s="0" t="n">
        <v>31</v>
      </c>
      <c r="C4848" s="0" t="n">
        <v>1.95</v>
      </c>
      <c r="D4848" s="0" t="n">
        <v>0</v>
      </c>
    </row>
    <row r="4849" customFormat="false" ht="13.8" hidden="true" customHeight="false" outlineLevel="0" collapsed="false">
      <c r="A4849" s="0" t="s">
        <v>811</v>
      </c>
      <c r="B4849" s="0" t="n">
        <v>31</v>
      </c>
      <c r="C4849" s="0" t="n">
        <v>2</v>
      </c>
      <c r="D4849" s="0" t="n">
        <v>0</v>
      </c>
    </row>
    <row r="4850" customFormat="false" ht="13.8" hidden="true" customHeight="false" outlineLevel="0" collapsed="false">
      <c r="A4850" s="0" t="s">
        <v>811</v>
      </c>
      <c r="B4850" s="0" t="n">
        <v>31</v>
      </c>
      <c r="C4850" s="0" t="n">
        <v>2.05</v>
      </c>
      <c r="D4850" s="0" t="n">
        <v>0</v>
      </c>
    </row>
    <row r="4851" customFormat="false" ht="13.8" hidden="true" customHeight="false" outlineLevel="0" collapsed="false">
      <c r="A4851" s="0" t="s">
        <v>811</v>
      </c>
      <c r="B4851" s="0" t="n">
        <v>31</v>
      </c>
      <c r="C4851" s="0" t="n">
        <v>2.1</v>
      </c>
      <c r="D4851" s="0" t="n">
        <v>0</v>
      </c>
    </row>
    <row r="4852" customFormat="false" ht="13.8" hidden="true" customHeight="false" outlineLevel="0" collapsed="false">
      <c r="A4852" s="0" t="s">
        <v>811</v>
      </c>
      <c r="B4852" s="0" t="n">
        <v>31</v>
      </c>
      <c r="C4852" s="0" t="n">
        <v>2.15</v>
      </c>
      <c r="D4852" s="0" t="n">
        <v>0</v>
      </c>
    </row>
    <row r="4853" customFormat="false" ht="13.8" hidden="true" customHeight="false" outlineLevel="0" collapsed="false">
      <c r="A4853" s="0" t="s">
        <v>811</v>
      </c>
      <c r="B4853" s="0" t="n">
        <v>31</v>
      </c>
      <c r="C4853" s="0" t="n">
        <v>2.2</v>
      </c>
      <c r="D4853" s="0" t="n">
        <v>0</v>
      </c>
    </row>
    <row r="4854" customFormat="false" ht="13.8" hidden="true" customHeight="false" outlineLevel="0" collapsed="false">
      <c r="A4854" s="0" t="s">
        <v>811</v>
      </c>
      <c r="B4854" s="0" t="n">
        <v>31</v>
      </c>
      <c r="C4854" s="0" t="n">
        <v>2.25</v>
      </c>
      <c r="D4854" s="0" t="n">
        <v>0</v>
      </c>
    </row>
    <row r="4855" customFormat="false" ht="13.8" hidden="true" customHeight="false" outlineLevel="0" collapsed="false">
      <c r="A4855" s="0" t="s">
        <v>811</v>
      </c>
      <c r="B4855" s="0" t="n">
        <v>31</v>
      </c>
      <c r="C4855" s="0" t="n">
        <v>2.3</v>
      </c>
      <c r="D4855" s="0" t="n">
        <v>0</v>
      </c>
    </row>
    <row r="4856" customFormat="false" ht="13.8" hidden="true" customHeight="false" outlineLevel="0" collapsed="false">
      <c r="A4856" s="0" t="s">
        <v>811</v>
      </c>
      <c r="B4856" s="0" t="n">
        <v>31</v>
      </c>
      <c r="C4856" s="0" t="n">
        <v>2.35</v>
      </c>
      <c r="D4856" s="0" t="n">
        <v>0</v>
      </c>
    </row>
    <row r="4857" customFormat="false" ht="13.8" hidden="true" customHeight="false" outlineLevel="0" collapsed="false">
      <c r="A4857" s="0" t="s">
        <v>811</v>
      </c>
      <c r="B4857" s="0" t="n">
        <v>31</v>
      </c>
      <c r="C4857" s="0" t="n">
        <v>2.4</v>
      </c>
      <c r="D4857" s="0" t="n">
        <v>0</v>
      </c>
    </row>
    <row r="4858" customFormat="false" ht="13.8" hidden="true" customHeight="false" outlineLevel="0" collapsed="false">
      <c r="A4858" s="0" t="s">
        <v>811</v>
      </c>
      <c r="B4858" s="0" t="n">
        <v>31</v>
      </c>
      <c r="C4858" s="0" t="n">
        <v>2.45</v>
      </c>
      <c r="D4858" s="0" t="n">
        <v>0</v>
      </c>
    </row>
    <row r="4859" customFormat="false" ht="13.8" hidden="true" customHeight="false" outlineLevel="0" collapsed="false">
      <c r="A4859" s="0" t="s">
        <v>811</v>
      </c>
      <c r="B4859" s="0" t="n">
        <v>31</v>
      </c>
      <c r="C4859" s="0" t="n">
        <v>2.5</v>
      </c>
      <c r="D4859" s="0" t="n">
        <v>0</v>
      </c>
    </row>
    <row r="4860" customFormat="false" ht="13.8" hidden="true" customHeight="false" outlineLevel="0" collapsed="false">
      <c r="A4860" s="0" t="s">
        <v>811</v>
      </c>
      <c r="B4860" s="0" t="n">
        <v>31</v>
      </c>
      <c r="C4860" s="0" t="n">
        <v>2.55</v>
      </c>
      <c r="D4860" s="0" t="n">
        <v>0</v>
      </c>
    </row>
    <row r="4861" customFormat="false" ht="13.8" hidden="true" customHeight="false" outlineLevel="0" collapsed="false">
      <c r="A4861" s="0" t="s">
        <v>811</v>
      </c>
      <c r="B4861" s="0" t="n">
        <v>31</v>
      </c>
      <c r="C4861" s="0" t="n">
        <v>2.6</v>
      </c>
      <c r="D4861" s="0" t="n">
        <v>0</v>
      </c>
    </row>
    <row r="4862" customFormat="false" ht="13.8" hidden="true" customHeight="false" outlineLevel="0" collapsed="false">
      <c r="A4862" s="0" t="s">
        <v>811</v>
      </c>
      <c r="B4862" s="0" t="n">
        <v>32</v>
      </c>
      <c r="C4862" s="0" t="n">
        <v>1.3</v>
      </c>
      <c r="D4862" s="0" t="n">
        <v>0</v>
      </c>
    </row>
    <row r="4863" customFormat="false" ht="13.8" hidden="true" customHeight="false" outlineLevel="0" collapsed="false">
      <c r="A4863" s="0" t="s">
        <v>811</v>
      </c>
      <c r="B4863" s="0" t="n">
        <v>32</v>
      </c>
      <c r="C4863" s="0" t="n">
        <v>1.35</v>
      </c>
      <c r="D4863" s="0" t="n">
        <v>0</v>
      </c>
    </row>
    <row r="4864" customFormat="false" ht="13.8" hidden="true" customHeight="false" outlineLevel="0" collapsed="false">
      <c r="A4864" s="0" t="s">
        <v>811</v>
      </c>
      <c r="B4864" s="0" t="n">
        <v>32</v>
      </c>
      <c r="C4864" s="0" t="n">
        <v>1.4</v>
      </c>
      <c r="D4864" s="0" t="n">
        <v>0</v>
      </c>
    </row>
    <row r="4865" customFormat="false" ht="13.8" hidden="true" customHeight="false" outlineLevel="0" collapsed="false">
      <c r="A4865" s="0" t="s">
        <v>811</v>
      </c>
      <c r="B4865" s="0" t="n">
        <v>32</v>
      </c>
      <c r="C4865" s="0" t="n">
        <v>1.45</v>
      </c>
      <c r="D4865" s="0" t="n">
        <v>0</v>
      </c>
    </row>
    <row r="4866" customFormat="false" ht="13.8" hidden="true" customHeight="false" outlineLevel="0" collapsed="false">
      <c r="A4866" s="0" t="s">
        <v>811</v>
      </c>
      <c r="B4866" s="0" t="n">
        <v>32</v>
      </c>
      <c r="C4866" s="0" t="n">
        <v>1.5</v>
      </c>
      <c r="D4866" s="0" t="n">
        <v>0</v>
      </c>
    </row>
    <row r="4867" customFormat="false" ht="13.8" hidden="true" customHeight="false" outlineLevel="0" collapsed="false">
      <c r="A4867" s="0" t="s">
        <v>811</v>
      </c>
      <c r="B4867" s="0" t="n">
        <v>32</v>
      </c>
      <c r="C4867" s="0" t="n">
        <v>1.55</v>
      </c>
      <c r="D4867" s="0" t="n">
        <v>0</v>
      </c>
    </row>
    <row r="4868" customFormat="false" ht="13.8" hidden="true" customHeight="false" outlineLevel="0" collapsed="false">
      <c r="A4868" s="0" t="s">
        <v>811</v>
      </c>
      <c r="B4868" s="0" t="n">
        <v>32</v>
      </c>
      <c r="C4868" s="0" t="n">
        <v>1.6</v>
      </c>
      <c r="D4868" s="0" t="n">
        <v>0.075734544</v>
      </c>
    </row>
    <row r="4869" customFormat="false" ht="13.8" hidden="true" customHeight="false" outlineLevel="0" collapsed="false">
      <c r="A4869" s="0" t="s">
        <v>811</v>
      </c>
      <c r="B4869" s="0" t="n">
        <v>32</v>
      </c>
      <c r="C4869" s="0" t="n">
        <v>1.65</v>
      </c>
      <c r="D4869" s="0" t="n">
        <v>0.078101249</v>
      </c>
    </row>
    <row r="4870" customFormat="false" ht="13.8" hidden="true" customHeight="false" outlineLevel="0" collapsed="false">
      <c r="A4870" s="0" t="s">
        <v>811</v>
      </c>
      <c r="B4870" s="0" t="n">
        <v>32</v>
      </c>
      <c r="C4870" s="0" t="n">
        <v>1.7</v>
      </c>
      <c r="D4870" s="0" t="n">
        <v>0.080467953</v>
      </c>
    </row>
    <row r="4871" customFormat="false" ht="13.8" hidden="true" customHeight="false" outlineLevel="0" collapsed="false">
      <c r="A4871" s="0" t="s">
        <v>811</v>
      </c>
      <c r="B4871" s="0" t="n">
        <v>32</v>
      </c>
      <c r="C4871" s="0" t="n">
        <v>1.75</v>
      </c>
      <c r="D4871" s="0" t="n">
        <v>0.082834658</v>
      </c>
    </row>
    <row r="4872" customFormat="false" ht="13.8" hidden="true" customHeight="false" outlineLevel="0" collapsed="false">
      <c r="A4872" s="0" t="s">
        <v>811</v>
      </c>
      <c r="B4872" s="0" t="n">
        <v>32</v>
      </c>
      <c r="C4872" s="0" t="n">
        <v>1.8</v>
      </c>
      <c r="D4872" s="0" t="n">
        <v>0.086647119</v>
      </c>
    </row>
    <row r="4873" customFormat="false" ht="13.8" hidden="true" customHeight="false" outlineLevel="0" collapsed="false">
      <c r="A4873" s="0" t="s">
        <v>811</v>
      </c>
      <c r="B4873" s="0" t="n">
        <v>32</v>
      </c>
      <c r="C4873" s="0" t="n">
        <v>1.85</v>
      </c>
      <c r="D4873" s="0" t="n">
        <v>0.089053983</v>
      </c>
    </row>
    <row r="4874" customFormat="false" ht="13.8" hidden="true" customHeight="false" outlineLevel="0" collapsed="false">
      <c r="A4874" s="0" t="s">
        <v>811</v>
      </c>
      <c r="B4874" s="0" t="n">
        <v>32</v>
      </c>
      <c r="C4874" s="0" t="n">
        <v>1.9</v>
      </c>
      <c r="D4874" s="0" t="n">
        <v>0.091460848</v>
      </c>
    </row>
    <row r="4875" customFormat="false" ht="13.8" hidden="true" customHeight="false" outlineLevel="0" collapsed="false">
      <c r="A4875" s="0" t="s">
        <v>811</v>
      </c>
      <c r="B4875" s="0" t="n">
        <v>32</v>
      </c>
      <c r="C4875" s="0" t="n">
        <v>1.95</v>
      </c>
      <c r="D4875" s="0" t="n">
        <v>0.093867712</v>
      </c>
    </row>
    <row r="4876" customFormat="false" ht="13.8" hidden="true" customHeight="false" outlineLevel="0" collapsed="false">
      <c r="A4876" s="0" t="s">
        <v>811</v>
      </c>
      <c r="B4876" s="0" t="n">
        <v>32</v>
      </c>
      <c r="C4876" s="0" t="n">
        <v>2</v>
      </c>
      <c r="D4876" s="0" t="n">
        <v>0.097880973</v>
      </c>
    </row>
    <row r="4877" customFormat="false" ht="13.8" hidden="true" customHeight="false" outlineLevel="0" collapsed="false">
      <c r="A4877" s="0" t="s">
        <v>811</v>
      </c>
      <c r="B4877" s="0" t="n">
        <v>32</v>
      </c>
      <c r="C4877" s="0" t="n">
        <v>2.05</v>
      </c>
      <c r="D4877" s="0" t="n">
        <v>0.100327997</v>
      </c>
    </row>
    <row r="4878" customFormat="false" ht="13.8" hidden="true" customHeight="false" outlineLevel="0" collapsed="false">
      <c r="A4878" s="0" t="s">
        <v>811</v>
      </c>
      <c r="B4878" s="0" t="n">
        <v>32</v>
      </c>
      <c r="C4878" s="0" t="n">
        <v>2.1</v>
      </c>
      <c r="D4878" s="0" t="n">
        <v>0.102775022</v>
      </c>
    </row>
    <row r="4879" customFormat="false" ht="13.8" hidden="true" customHeight="false" outlineLevel="0" collapsed="false">
      <c r="A4879" s="0" t="s">
        <v>811</v>
      </c>
      <c r="B4879" s="0" t="n">
        <v>32</v>
      </c>
      <c r="C4879" s="0" t="n">
        <v>2.15</v>
      </c>
      <c r="D4879" s="0" t="n">
        <v>0.105222046</v>
      </c>
    </row>
    <row r="4880" customFormat="false" ht="13.8" hidden="true" customHeight="false" outlineLevel="0" collapsed="false">
      <c r="A4880" s="0" t="s">
        <v>811</v>
      </c>
      <c r="B4880" s="0" t="n">
        <v>32</v>
      </c>
      <c r="C4880" s="0" t="n">
        <v>2.2</v>
      </c>
      <c r="D4880" s="0" t="n">
        <v>0.117061757</v>
      </c>
    </row>
    <row r="4881" customFormat="false" ht="13.8" hidden="true" customHeight="false" outlineLevel="0" collapsed="false">
      <c r="A4881" s="0" t="s">
        <v>811</v>
      </c>
      <c r="B4881" s="0" t="n">
        <v>32</v>
      </c>
      <c r="C4881" s="0" t="n">
        <v>2.25</v>
      </c>
      <c r="D4881" s="0" t="n">
        <v>0.119722251</v>
      </c>
    </row>
    <row r="4882" customFormat="false" ht="13.8" hidden="true" customHeight="false" outlineLevel="0" collapsed="false">
      <c r="A4882" s="0" t="s">
        <v>811</v>
      </c>
      <c r="B4882" s="0" t="n">
        <v>32</v>
      </c>
      <c r="C4882" s="0" t="n">
        <v>2.3</v>
      </c>
      <c r="D4882" s="0" t="n">
        <v>0.122382746</v>
      </c>
    </row>
    <row r="4883" customFormat="false" ht="13.8" hidden="true" customHeight="false" outlineLevel="0" collapsed="false">
      <c r="A4883" s="0" t="s">
        <v>811</v>
      </c>
      <c r="B4883" s="0" t="n">
        <v>32</v>
      </c>
      <c r="C4883" s="0" t="n">
        <v>2.35</v>
      </c>
      <c r="D4883" s="0" t="n">
        <v>0.12504324</v>
      </c>
    </row>
    <row r="4884" customFormat="false" ht="13.8" hidden="true" customHeight="false" outlineLevel="0" collapsed="false">
      <c r="A4884" s="0" t="s">
        <v>811</v>
      </c>
      <c r="B4884" s="0" t="n">
        <v>32</v>
      </c>
      <c r="C4884" s="0" t="n">
        <v>2.4</v>
      </c>
      <c r="D4884" s="0" t="n">
        <v>0.127703735</v>
      </c>
    </row>
    <row r="4885" customFormat="false" ht="13.8" hidden="true" customHeight="false" outlineLevel="0" collapsed="false">
      <c r="A4885" s="0" t="s">
        <v>811</v>
      </c>
      <c r="B4885" s="0" t="n">
        <v>32</v>
      </c>
      <c r="C4885" s="0" t="n">
        <v>2.45</v>
      </c>
      <c r="D4885" s="0" t="n">
        <v>0.130364229</v>
      </c>
    </row>
    <row r="4886" customFormat="false" ht="13.8" hidden="true" customHeight="false" outlineLevel="0" collapsed="false">
      <c r="A4886" s="0" t="s">
        <v>811</v>
      </c>
      <c r="B4886" s="0" t="n">
        <v>32</v>
      </c>
      <c r="C4886" s="0" t="n">
        <v>2.5</v>
      </c>
      <c r="D4886" s="0" t="n">
        <v>0.133024723</v>
      </c>
    </row>
    <row r="4887" customFormat="false" ht="13.8" hidden="true" customHeight="false" outlineLevel="0" collapsed="false">
      <c r="A4887" s="0" t="s">
        <v>811</v>
      </c>
      <c r="B4887" s="0" t="n">
        <v>32</v>
      </c>
      <c r="C4887" s="0" t="n">
        <v>2.55</v>
      </c>
      <c r="D4887" s="0" t="n">
        <v>0.135685218</v>
      </c>
    </row>
    <row r="4888" customFormat="false" ht="13.8" hidden="true" customHeight="false" outlineLevel="0" collapsed="false">
      <c r="A4888" s="0" t="s">
        <v>811</v>
      </c>
      <c r="B4888" s="0" t="n">
        <v>32</v>
      </c>
      <c r="C4888" s="0" t="n">
        <v>2.6</v>
      </c>
      <c r="D4888" s="0" t="n">
        <v>0.138345712</v>
      </c>
    </row>
    <row r="4889" customFormat="false" ht="13.8" hidden="true" customHeight="false" outlineLevel="0" collapsed="false">
      <c r="A4889" s="0" t="s">
        <v>815</v>
      </c>
      <c r="B4889" s="0" t="n">
        <v>31</v>
      </c>
      <c r="C4889" s="0" t="n">
        <v>1.3</v>
      </c>
      <c r="D4889" s="0" t="n">
        <v>0</v>
      </c>
    </row>
    <row r="4890" customFormat="false" ht="13.8" hidden="true" customHeight="false" outlineLevel="0" collapsed="false">
      <c r="A4890" s="0" t="s">
        <v>815</v>
      </c>
      <c r="B4890" s="0" t="n">
        <v>31</v>
      </c>
      <c r="C4890" s="0" t="n">
        <v>1.35</v>
      </c>
      <c r="D4890" s="0" t="n">
        <v>0</v>
      </c>
    </row>
    <row r="4891" customFormat="false" ht="13.8" hidden="true" customHeight="false" outlineLevel="0" collapsed="false">
      <c r="A4891" s="0" t="s">
        <v>815</v>
      </c>
      <c r="B4891" s="0" t="n">
        <v>31</v>
      </c>
      <c r="C4891" s="0" t="n">
        <v>1.4</v>
      </c>
      <c r="D4891" s="0" t="n">
        <v>0</v>
      </c>
    </row>
    <row r="4892" customFormat="false" ht="13.8" hidden="true" customHeight="false" outlineLevel="0" collapsed="false">
      <c r="A4892" s="0" t="s">
        <v>815</v>
      </c>
      <c r="B4892" s="0" t="n">
        <v>31</v>
      </c>
      <c r="C4892" s="0" t="n">
        <v>1.45</v>
      </c>
      <c r="D4892" s="0" t="n">
        <v>0</v>
      </c>
    </row>
    <row r="4893" customFormat="false" ht="13.8" hidden="true" customHeight="false" outlineLevel="0" collapsed="false">
      <c r="A4893" s="0" t="s">
        <v>815</v>
      </c>
      <c r="B4893" s="0" t="n">
        <v>31</v>
      </c>
      <c r="C4893" s="0" t="n">
        <v>1.5</v>
      </c>
      <c r="D4893" s="0" t="n">
        <v>0</v>
      </c>
    </row>
    <row r="4894" customFormat="false" ht="13.8" hidden="true" customHeight="false" outlineLevel="0" collapsed="false">
      <c r="A4894" s="0" t="s">
        <v>815</v>
      </c>
      <c r="B4894" s="0" t="n">
        <v>31</v>
      </c>
      <c r="C4894" s="0" t="n">
        <v>1.55</v>
      </c>
      <c r="D4894" s="0" t="n">
        <v>0</v>
      </c>
    </row>
    <row r="4895" customFormat="false" ht="13.8" hidden="true" customHeight="false" outlineLevel="0" collapsed="false">
      <c r="A4895" s="0" t="s">
        <v>815</v>
      </c>
      <c r="B4895" s="0" t="n">
        <v>31</v>
      </c>
      <c r="C4895" s="0" t="n">
        <v>1.6</v>
      </c>
      <c r="D4895" s="0" t="n">
        <v>0</v>
      </c>
    </row>
    <row r="4896" customFormat="false" ht="13.8" hidden="true" customHeight="false" outlineLevel="0" collapsed="false">
      <c r="A4896" s="0" t="s">
        <v>815</v>
      </c>
      <c r="B4896" s="0" t="n">
        <v>31</v>
      </c>
      <c r="C4896" s="0" t="n">
        <v>1.65</v>
      </c>
      <c r="D4896" s="0" t="n">
        <v>0</v>
      </c>
    </row>
    <row r="4897" customFormat="false" ht="13.8" hidden="true" customHeight="false" outlineLevel="0" collapsed="false">
      <c r="A4897" s="0" t="s">
        <v>815</v>
      </c>
      <c r="B4897" s="0" t="n">
        <v>31</v>
      </c>
      <c r="C4897" s="0" t="n">
        <v>1.7</v>
      </c>
      <c r="D4897" s="0" t="n">
        <v>0.161</v>
      </c>
    </row>
    <row r="4898" customFormat="false" ht="13.8" hidden="true" customHeight="false" outlineLevel="0" collapsed="false">
      <c r="A4898" s="0" t="s">
        <v>815</v>
      </c>
      <c r="B4898" s="0" t="n">
        <v>31</v>
      </c>
      <c r="C4898" s="0" t="n">
        <v>1.75</v>
      </c>
      <c r="D4898" s="0" t="n">
        <v>0.166</v>
      </c>
    </row>
    <row r="4899" customFormat="false" ht="13.8" hidden="true" customHeight="false" outlineLevel="0" collapsed="false">
      <c r="A4899" s="0" t="s">
        <v>815</v>
      </c>
      <c r="B4899" s="0" t="n">
        <v>31</v>
      </c>
      <c r="C4899" s="0" t="n">
        <v>1.8</v>
      </c>
      <c r="D4899" s="0" t="n">
        <v>0.173</v>
      </c>
    </row>
    <row r="4900" customFormat="false" ht="13.8" hidden="true" customHeight="false" outlineLevel="0" collapsed="false">
      <c r="A4900" s="0" t="s">
        <v>815</v>
      </c>
      <c r="B4900" s="0" t="n">
        <v>31</v>
      </c>
      <c r="C4900" s="0" t="n">
        <v>1.85</v>
      </c>
      <c r="D4900" s="0" t="n">
        <v>0.178</v>
      </c>
    </row>
    <row r="4901" customFormat="false" ht="13.8" hidden="true" customHeight="false" outlineLevel="0" collapsed="false">
      <c r="A4901" s="0" t="s">
        <v>815</v>
      </c>
      <c r="B4901" s="0" t="n">
        <v>31</v>
      </c>
      <c r="C4901" s="0" t="n">
        <v>1.9</v>
      </c>
      <c r="D4901" s="0" t="n">
        <v>0.183</v>
      </c>
    </row>
    <row r="4902" customFormat="false" ht="13.8" hidden="true" customHeight="false" outlineLevel="0" collapsed="false">
      <c r="A4902" s="0" t="s">
        <v>815</v>
      </c>
      <c r="B4902" s="0" t="n">
        <v>31</v>
      </c>
      <c r="C4902" s="0" t="n">
        <v>1.95</v>
      </c>
      <c r="D4902" s="0" t="n">
        <v>0.188</v>
      </c>
    </row>
    <row r="4903" customFormat="false" ht="13.8" hidden="true" customHeight="false" outlineLevel="0" collapsed="false">
      <c r="A4903" s="0" t="s">
        <v>815</v>
      </c>
      <c r="B4903" s="0" t="n">
        <v>31</v>
      </c>
      <c r="C4903" s="0" t="n">
        <v>2</v>
      </c>
      <c r="D4903" s="0" t="n">
        <v>0</v>
      </c>
    </row>
    <row r="4904" customFormat="false" ht="13.8" hidden="true" customHeight="false" outlineLevel="0" collapsed="false">
      <c r="A4904" s="0" t="s">
        <v>815</v>
      </c>
      <c r="B4904" s="0" t="n">
        <v>31</v>
      </c>
      <c r="C4904" s="0" t="n">
        <v>2.05</v>
      </c>
      <c r="D4904" s="0" t="n">
        <v>0</v>
      </c>
    </row>
    <row r="4905" customFormat="false" ht="13.8" hidden="true" customHeight="false" outlineLevel="0" collapsed="false">
      <c r="A4905" s="0" t="s">
        <v>815</v>
      </c>
      <c r="B4905" s="0" t="n">
        <v>31</v>
      </c>
      <c r="C4905" s="0" t="n">
        <v>2.1</v>
      </c>
      <c r="D4905" s="0" t="n">
        <v>0</v>
      </c>
    </row>
    <row r="4906" customFormat="false" ht="13.8" hidden="true" customHeight="false" outlineLevel="0" collapsed="false">
      <c r="A4906" s="0" t="s">
        <v>815</v>
      </c>
      <c r="B4906" s="0" t="n">
        <v>31</v>
      </c>
      <c r="C4906" s="0" t="n">
        <v>2.15</v>
      </c>
      <c r="D4906" s="0" t="n">
        <v>0</v>
      </c>
    </row>
    <row r="4907" customFormat="false" ht="13.8" hidden="true" customHeight="false" outlineLevel="0" collapsed="false">
      <c r="A4907" s="0" t="s">
        <v>815</v>
      </c>
      <c r="B4907" s="0" t="n">
        <v>31</v>
      </c>
      <c r="C4907" s="0" t="n">
        <v>2.2</v>
      </c>
      <c r="D4907" s="0" t="n">
        <v>0</v>
      </c>
    </row>
    <row r="4908" customFormat="false" ht="13.8" hidden="true" customHeight="false" outlineLevel="0" collapsed="false">
      <c r="A4908" s="0" t="s">
        <v>815</v>
      </c>
      <c r="B4908" s="0" t="n">
        <v>31</v>
      </c>
      <c r="C4908" s="0" t="n">
        <v>2.25</v>
      </c>
      <c r="D4908" s="0" t="n">
        <v>0</v>
      </c>
    </row>
    <row r="4909" customFormat="false" ht="13.8" hidden="true" customHeight="false" outlineLevel="0" collapsed="false">
      <c r="A4909" s="0" t="s">
        <v>815</v>
      </c>
      <c r="B4909" s="0" t="n">
        <v>31</v>
      </c>
      <c r="C4909" s="0" t="n">
        <v>2.3</v>
      </c>
      <c r="D4909" s="0" t="n">
        <v>0</v>
      </c>
    </row>
    <row r="4910" customFormat="false" ht="13.8" hidden="true" customHeight="false" outlineLevel="0" collapsed="false">
      <c r="A4910" s="0" t="s">
        <v>815</v>
      </c>
      <c r="B4910" s="0" t="n">
        <v>31</v>
      </c>
      <c r="C4910" s="0" t="n">
        <v>2.35</v>
      </c>
      <c r="D4910" s="0" t="n">
        <v>0</v>
      </c>
    </row>
    <row r="4911" customFormat="false" ht="13.8" hidden="true" customHeight="false" outlineLevel="0" collapsed="false">
      <c r="A4911" s="0" t="s">
        <v>815</v>
      </c>
      <c r="B4911" s="0" t="n">
        <v>31</v>
      </c>
      <c r="C4911" s="0" t="n">
        <v>2.4</v>
      </c>
      <c r="D4911" s="0" t="n">
        <v>0</v>
      </c>
    </row>
    <row r="4912" customFormat="false" ht="13.8" hidden="true" customHeight="false" outlineLevel="0" collapsed="false">
      <c r="A4912" s="0" t="s">
        <v>815</v>
      </c>
      <c r="B4912" s="0" t="n">
        <v>31</v>
      </c>
      <c r="C4912" s="0" t="n">
        <v>2.45</v>
      </c>
      <c r="D4912" s="0" t="n">
        <v>0</v>
      </c>
    </row>
    <row r="4913" customFormat="false" ht="13.8" hidden="true" customHeight="false" outlineLevel="0" collapsed="false">
      <c r="A4913" s="0" t="s">
        <v>815</v>
      </c>
      <c r="B4913" s="0" t="n">
        <v>31</v>
      </c>
      <c r="C4913" s="0" t="n">
        <v>2.5</v>
      </c>
      <c r="D4913" s="0" t="n">
        <v>0</v>
      </c>
    </row>
    <row r="4914" customFormat="false" ht="13.8" hidden="true" customHeight="false" outlineLevel="0" collapsed="false">
      <c r="A4914" s="0" t="s">
        <v>815</v>
      </c>
      <c r="B4914" s="0" t="n">
        <v>31</v>
      </c>
      <c r="C4914" s="0" t="n">
        <v>2.55</v>
      </c>
      <c r="D4914" s="0" t="n">
        <v>0</v>
      </c>
    </row>
    <row r="4915" customFormat="false" ht="13.8" hidden="true" customHeight="false" outlineLevel="0" collapsed="false">
      <c r="A4915" s="0" t="s">
        <v>815</v>
      </c>
      <c r="B4915" s="0" t="n">
        <v>31</v>
      </c>
      <c r="C4915" s="0" t="n">
        <v>2.6</v>
      </c>
      <c r="D4915" s="0" t="n">
        <v>0</v>
      </c>
    </row>
    <row r="4916" customFormat="false" ht="13.8" hidden="true" customHeight="false" outlineLevel="0" collapsed="false">
      <c r="A4916" s="0" t="s">
        <v>815</v>
      </c>
      <c r="B4916" s="0" t="n">
        <v>32</v>
      </c>
      <c r="C4916" s="0" t="n">
        <v>1.3</v>
      </c>
      <c r="D4916" s="0" t="n">
        <v>0</v>
      </c>
    </row>
    <row r="4917" customFormat="false" ht="13.8" hidden="true" customHeight="false" outlineLevel="0" collapsed="false">
      <c r="A4917" s="0" t="s">
        <v>815</v>
      </c>
      <c r="B4917" s="0" t="n">
        <v>32</v>
      </c>
      <c r="C4917" s="0" t="n">
        <v>1.35</v>
      </c>
      <c r="D4917" s="0" t="n">
        <v>0</v>
      </c>
    </row>
    <row r="4918" customFormat="false" ht="13.8" hidden="true" customHeight="false" outlineLevel="0" collapsed="false">
      <c r="A4918" s="0" t="s">
        <v>815</v>
      </c>
      <c r="B4918" s="0" t="n">
        <v>32</v>
      </c>
      <c r="C4918" s="0" t="n">
        <v>1.4</v>
      </c>
      <c r="D4918" s="0" t="n">
        <v>0</v>
      </c>
    </row>
    <row r="4919" customFormat="false" ht="13.8" hidden="true" customHeight="false" outlineLevel="0" collapsed="false">
      <c r="A4919" s="0" t="s">
        <v>815</v>
      </c>
      <c r="B4919" s="0" t="n">
        <v>32</v>
      </c>
      <c r="C4919" s="0" t="n">
        <v>1.45</v>
      </c>
      <c r="D4919" s="0" t="n">
        <v>0</v>
      </c>
    </row>
    <row r="4920" customFormat="false" ht="13.8" hidden="true" customHeight="false" outlineLevel="0" collapsed="false">
      <c r="A4920" s="0" t="s">
        <v>815</v>
      </c>
      <c r="B4920" s="0" t="n">
        <v>32</v>
      </c>
      <c r="C4920" s="0" t="n">
        <v>1.5</v>
      </c>
      <c r="D4920" s="0" t="n">
        <v>0</v>
      </c>
    </row>
    <row r="4921" customFormat="false" ht="13.8" hidden="true" customHeight="false" outlineLevel="0" collapsed="false">
      <c r="A4921" s="0" t="s">
        <v>815</v>
      </c>
      <c r="B4921" s="0" t="n">
        <v>32</v>
      </c>
      <c r="C4921" s="0" t="n">
        <v>1.55</v>
      </c>
      <c r="D4921" s="0" t="n">
        <v>0</v>
      </c>
    </row>
    <row r="4922" customFormat="false" ht="13.8" hidden="true" customHeight="false" outlineLevel="0" collapsed="false">
      <c r="A4922" s="0" t="s">
        <v>815</v>
      </c>
      <c r="B4922" s="0" t="n">
        <v>32</v>
      </c>
      <c r="C4922" s="0" t="n">
        <v>1.6</v>
      </c>
      <c r="D4922" s="0" t="n">
        <v>0</v>
      </c>
    </row>
    <row r="4923" customFormat="false" ht="13.8" hidden="true" customHeight="false" outlineLevel="0" collapsed="false">
      <c r="A4923" s="0" t="s">
        <v>815</v>
      </c>
      <c r="B4923" s="0" t="n">
        <v>32</v>
      </c>
      <c r="C4923" s="0" t="n">
        <v>1.65</v>
      </c>
      <c r="D4923" s="0" t="n">
        <v>0</v>
      </c>
    </row>
    <row r="4924" customFormat="false" ht="13.8" hidden="true" customHeight="false" outlineLevel="0" collapsed="false">
      <c r="A4924" s="0" t="s">
        <v>815</v>
      </c>
      <c r="B4924" s="0" t="n">
        <v>32</v>
      </c>
      <c r="C4924" s="0" t="n">
        <v>1.7</v>
      </c>
      <c r="D4924" s="0" t="n">
        <v>0.160935906</v>
      </c>
    </row>
    <row r="4925" customFormat="false" ht="13.8" hidden="true" customHeight="false" outlineLevel="0" collapsed="false">
      <c r="A4925" s="0" t="s">
        <v>815</v>
      </c>
      <c r="B4925" s="0" t="n">
        <v>32</v>
      </c>
      <c r="C4925" s="0" t="n">
        <v>1.75</v>
      </c>
      <c r="D4925" s="0" t="n">
        <v>0.165669315</v>
      </c>
    </row>
    <row r="4926" customFormat="false" ht="13.8" hidden="true" customHeight="false" outlineLevel="0" collapsed="false">
      <c r="A4926" s="0" t="s">
        <v>815</v>
      </c>
      <c r="B4926" s="0" t="n">
        <v>32</v>
      </c>
      <c r="C4926" s="0" t="n">
        <v>1.8</v>
      </c>
      <c r="D4926" s="0" t="n">
        <v>0.173294238</v>
      </c>
    </row>
    <row r="4927" customFormat="false" ht="13.8" hidden="true" customHeight="false" outlineLevel="0" collapsed="false">
      <c r="A4927" s="0" t="s">
        <v>815</v>
      </c>
      <c r="B4927" s="0" t="n">
        <v>32</v>
      </c>
      <c r="C4927" s="0" t="n">
        <v>1.85</v>
      </c>
      <c r="D4927" s="0" t="n">
        <v>0.178107967</v>
      </c>
    </row>
    <row r="4928" customFormat="false" ht="13.8" hidden="true" customHeight="false" outlineLevel="0" collapsed="false">
      <c r="A4928" s="0" t="s">
        <v>815</v>
      </c>
      <c r="B4928" s="0" t="n">
        <v>32</v>
      </c>
      <c r="C4928" s="0" t="n">
        <v>1.9</v>
      </c>
      <c r="D4928" s="0" t="n">
        <v>0.182921695</v>
      </c>
    </row>
    <row r="4929" customFormat="false" ht="13.8" hidden="true" customHeight="false" outlineLevel="0" collapsed="false">
      <c r="A4929" s="0" t="s">
        <v>815</v>
      </c>
      <c r="B4929" s="0" t="n">
        <v>32</v>
      </c>
      <c r="C4929" s="0" t="n">
        <v>1.95</v>
      </c>
      <c r="D4929" s="0" t="n">
        <v>0.187735424</v>
      </c>
    </row>
    <row r="4930" customFormat="false" ht="13.8" hidden="true" customHeight="false" outlineLevel="0" collapsed="false">
      <c r="A4930" s="0" t="s">
        <v>815</v>
      </c>
      <c r="B4930" s="0" t="n">
        <v>32</v>
      </c>
      <c r="C4930" s="0" t="n">
        <v>2</v>
      </c>
      <c r="D4930" s="0" t="n">
        <v>0</v>
      </c>
    </row>
    <row r="4931" customFormat="false" ht="13.8" hidden="true" customHeight="false" outlineLevel="0" collapsed="false">
      <c r="A4931" s="0" t="s">
        <v>815</v>
      </c>
      <c r="B4931" s="0" t="n">
        <v>32</v>
      </c>
      <c r="C4931" s="0" t="n">
        <v>2.05</v>
      </c>
      <c r="D4931" s="0" t="n">
        <v>0</v>
      </c>
    </row>
    <row r="4932" customFormat="false" ht="13.8" hidden="true" customHeight="false" outlineLevel="0" collapsed="false">
      <c r="A4932" s="0" t="s">
        <v>815</v>
      </c>
      <c r="B4932" s="0" t="n">
        <v>32</v>
      </c>
      <c r="C4932" s="0" t="n">
        <v>2.1</v>
      </c>
      <c r="D4932" s="0" t="n">
        <v>0</v>
      </c>
    </row>
    <row r="4933" customFormat="false" ht="13.8" hidden="true" customHeight="false" outlineLevel="0" collapsed="false">
      <c r="A4933" s="0" t="s">
        <v>815</v>
      </c>
      <c r="B4933" s="0" t="n">
        <v>32</v>
      </c>
      <c r="C4933" s="0" t="n">
        <v>2.15</v>
      </c>
      <c r="D4933" s="0" t="n">
        <v>0</v>
      </c>
    </row>
    <row r="4934" customFormat="false" ht="13.8" hidden="true" customHeight="false" outlineLevel="0" collapsed="false">
      <c r="A4934" s="0" t="s">
        <v>815</v>
      </c>
      <c r="B4934" s="0" t="n">
        <v>32</v>
      </c>
      <c r="C4934" s="0" t="n">
        <v>2.2</v>
      </c>
      <c r="D4934" s="0" t="n">
        <v>0</v>
      </c>
    </row>
    <row r="4935" customFormat="false" ht="13.8" hidden="true" customHeight="false" outlineLevel="0" collapsed="false">
      <c r="A4935" s="0" t="s">
        <v>815</v>
      </c>
      <c r="B4935" s="0" t="n">
        <v>32</v>
      </c>
      <c r="C4935" s="0" t="n">
        <v>2.25</v>
      </c>
      <c r="D4935" s="0" t="n">
        <v>0</v>
      </c>
    </row>
    <row r="4936" customFormat="false" ht="13.8" hidden="true" customHeight="false" outlineLevel="0" collapsed="false">
      <c r="A4936" s="0" t="s">
        <v>815</v>
      </c>
      <c r="B4936" s="0" t="n">
        <v>32</v>
      </c>
      <c r="C4936" s="0" t="n">
        <v>2.3</v>
      </c>
      <c r="D4936" s="0" t="n">
        <v>0</v>
      </c>
    </row>
    <row r="4937" customFormat="false" ht="13.8" hidden="true" customHeight="false" outlineLevel="0" collapsed="false">
      <c r="A4937" s="0" t="s">
        <v>815</v>
      </c>
      <c r="B4937" s="0" t="n">
        <v>32</v>
      </c>
      <c r="C4937" s="0" t="n">
        <v>2.35</v>
      </c>
      <c r="D4937" s="0" t="n">
        <v>0</v>
      </c>
    </row>
    <row r="4938" customFormat="false" ht="13.8" hidden="true" customHeight="false" outlineLevel="0" collapsed="false">
      <c r="A4938" s="0" t="s">
        <v>815</v>
      </c>
      <c r="B4938" s="0" t="n">
        <v>32</v>
      </c>
      <c r="C4938" s="0" t="n">
        <v>2.4</v>
      </c>
      <c r="D4938" s="0" t="n">
        <v>0</v>
      </c>
    </row>
    <row r="4939" customFormat="false" ht="13.8" hidden="true" customHeight="false" outlineLevel="0" collapsed="false">
      <c r="A4939" s="0" t="s">
        <v>815</v>
      </c>
      <c r="B4939" s="0" t="n">
        <v>32</v>
      </c>
      <c r="C4939" s="0" t="n">
        <v>2.45</v>
      </c>
      <c r="D4939" s="0" t="n">
        <v>0</v>
      </c>
    </row>
    <row r="4940" customFormat="false" ht="13.8" hidden="true" customHeight="false" outlineLevel="0" collapsed="false">
      <c r="A4940" s="0" t="s">
        <v>815</v>
      </c>
      <c r="B4940" s="0" t="n">
        <v>32</v>
      </c>
      <c r="C4940" s="0" t="n">
        <v>2.5</v>
      </c>
      <c r="D4940" s="0" t="n">
        <v>0</v>
      </c>
    </row>
    <row r="4941" customFormat="false" ht="13.8" hidden="true" customHeight="false" outlineLevel="0" collapsed="false">
      <c r="A4941" s="0" t="s">
        <v>815</v>
      </c>
      <c r="B4941" s="0" t="n">
        <v>32</v>
      </c>
      <c r="C4941" s="0" t="n">
        <v>2.55</v>
      </c>
      <c r="D4941" s="0" t="n">
        <v>0</v>
      </c>
    </row>
    <row r="4942" customFormat="false" ht="13.8" hidden="true" customHeight="false" outlineLevel="0" collapsed="false">
      <c r="A4942" s="0" t="s">
        <v>815</v>
      </c>
      <c r="B4942" s="0" t="n">
        <v>32</v>
      </c>
      <c r="C4942" s="0" t="n">
        <v>2.6</v>
      </c>
      <c r="D4942" s="0" t="n">
        <v>0</v>
      </c>
    </row>
    <row r="4943" customFormat="false" ht="13.8" hidden="true" customHeight="false" outlineLevel="0" collapsed="false">
      <c r="A4943" s="0" t="s">
        <v>818</v>
      </c>
      <c r="B4943" s="0" t="n">
        <v>31</v>
      </c>
      <c r="C4943" s="0" t="n">
        <v>1.3</v>
      </c>
      <c r="D4943" s="0" t="n">
        <v>0</v>
      </c>
    </row>
    <row r="4944" customFormat="false" ht="13.8" hidden="true" customHeight="false" outlineLevel="0" collapsed="false">
      <c r="A4944" s="0" t="s">
        <v>818</v>
      </c>
      <c r="B4944" s="0" t="n">
        <v>31</v>
      </c>
      <c r="C4944" s="0" t="n">
        <v>1.35</v>
      </c>
      <c r="D4944" s="0" t="n">
        <v>0</v>
      </c>
    </row>
    <row r="4945" customFormat="false" ht="13.8" hidden="true" customHeight="false" outlineLevel="0" collapsed="false">
      <c r="A4945" s="0" t="s">
        <v>818</v>
      </c>
      <c r="B4945" s="0" t="n">
        <v>31</v>
      </c>
      <c r="C4945" s="0" t="n">
        <v>1.4</v>
      </c>
      <c r="D4945" s="0" t="n">
        <v>0</v>
      </c>
    </row>
    <row r="4946" customFormat="false" ht="13.8" hidden="true" customHeight="false" outlineLevel="0" collapsed="false">
      <c r="A4946" s="0" t="s">
        <v>818</v>
      </c>
      <c r="B4946" s="0" t="n">
        <v>31</v>
      </c>
      <c r="C4946" s="0" t="n">
        <v>1.45</v>
      </c>
      <c r="D4946" s="0" t="n">
        <v>0</v>
      </c>
    </row>
    <row r="4947" customFormat="false" ht="13.8" hidden="true" customHeight="false" outlineLevel="0" collapsed="false">
      <c r="A4947" s="0" t="s">
        <v>818</v>
      </c>
      <c r="B4947" s="0" t="n">
        <v>31</v>
      </c>
      <c r="C4947" s="0" t="n">
        <v>1.5</v>
      </c>
      <c r="D4947" s="0" t="n">
        <v>0</v>
      </c>
    </row>
    <row r="4948" customFormat="false" ht="13.8" hidden="true" customHeight="false" outlineLevel="0" collapsed="false">
      <c r="A4948" s="0" t="s">
        <v>818</v>
      </c>
      <c r="B4948" s="0" t="n">
        <v>31</v>
      </c>
      <c r="C4948" s="0" t="n">
        <v>1.55</v>
      </c>
      <c r="D4948" s="0" t="n">
        <v>0</v>
      </c>
    </row>
    <row r="4949" customFormat="false" ht="13.8" hidden="true" customHeight="false" outlineLevel="0" collapsed="false">
      <c r="A4949" s="0" t="s">
        <v>818</v>
      </c>
      <c r="B4949" s="0" t="n">
        <v>31</v>
      </c>
      <c r="C4949" s="0" t="n">
        <v>1.6</v>
      </c>
      <c r="D4949" s="0" t="n">
        <v>0</v>
      </c>
    </row>
    <row r="4950" customFormat="false" ht="13.8" hidden="true" customHeight="false" outlineLevel="0" collapsed="false">
      <c r="A4950" s="0" t="s">
        <v>818</v>
      </c>
      <c r="B4950" s="0" t="n">
        <v>31</v>
      </c>
      <c r="C4950" s="0" t="n">
        <v>1.65</v>
      </c>
      <c r="D4950" s="0" t="n">
        <v>0</v>
      </c>
    </row>
    <row r="4951" customFormat="false" ht="13.8" hidden="true" customHeight="false" outlineLevel="0" collapsed="false">
      <c r="A4951" s="0" t="s">
        <v>818</v>
      </c>
      <c r="B4951" s="0" t="n">
        <v>31</v>
      </c>
      <c r="C4951" s="0" t="n">
        <v>1.7</v>
      </c>
      <c r="D4951" s="0" t="n">
        <v>0</v>
      </c>
    </row>
    <row r="4952" customFormat="false" ht="13.8" hidden="true" customHeight="false" outlineLevel="0" collapsed="false">
      <c r="A4952" s="0" t="s">
        <v>818</v>
      </c>
      <c r="B4952" s="0" t="n">
        <v>31</v>
      </c>
      <c r="C4952" s="0" t="n">
        <v>1.75</v>
      </c>
      <c r="D4952" s="0" t="n">
        <v>0</v>
      </c>
    </row>
    <row r="4953" customFormat="false" ht="13.8" hidden="true" customHeight="false" outlineLevel="0" collapsed="false">
      <c r="A4953" s="0" t="s">
        <v>818</v>
      </c>
      <c r="B4953" s="0" t="n">
        <v>31</v>
      </c>
      <c r="C4953" s="0" t="n">
        <v>1.8</v>
      </c>
      <c r="D4953" s="0" t="n">
        <v>0.173</v>
      </c>
    </row>
    <row r="4954" customFormat="false" ht="13.8" hidden="true" customHeight="false" outlineLevel="0" collapsed="false">
      <c r="A4954" s="0" t="s">
        <v>818</v>
      </c>
      <c r="B4954" s="0" t="n">
        <v>31</v>
      </c>
      <c r="C4954" s="0" t="n">
        <v>1.85</v>
      </c>
      <c r="D4954" s="0" t="n">
        <v>0.178</v>
      </c>
    </row>
    <row r="4955" customFormat="false" ht="13.8" hidden="true" customHeight="false" outlineLevel="0" collapsed="false">
      <c r="A4955" s="0" t="s">
        <v>818</v>
      </c>
      <c r="B4955" s="0" t="n">
        <v>31</v>
      </c>
      <c r="C4955" s="0" t="n">
        <v>1.9</v>
      </c>
      <c r="D4955" s="0" t="n">
        <v>0.183</v>
      </c>
    </row>
    <row r="4956" customFormat="false" ht="13.8" hidden="true" customHeight="false" outlineLevel="0" collapsed="false">
      <c r="A4956" s="0" t="s">
        <v>818</v>
      </c>
      <c r="B4956" s="0" t="n">
        <v>31</v>
      </c>
      <c r="C4956" s="0" t="n">
        <v>1.95</v>
      </c>
      <c r="D4956" s="0" t="n">
        <v>0.188</v>
      </c>
    </row>
    <row r="4957" customFormat="false" ht="13.8" hidden="true" customHeight="false" outlineLevel="0" collapsed="false">
      <c r="A4957" s="0" t="s">
        <v>818</v>
      </c>
      <c r="B4957" s="0" t="n">
        <v>31</v>
      </c>
      <c r="C4957" s="0" t="n">
        <v>2</v>
      </c>
      <c r="D4957" s="0" t="n">
        <v>0.196</v>
      </c>
    </row>
    <row r="4958" customFormat="false" ht="13.8" hidden="true" customHeight="false" outlineLevel="0" collapsed="false">
      <c r="A4958" s="0" t="s">
        <v>818</v>
      </c>
      <c r="B4958" s="0" t="n">
        <v>31</v>
      </c>
      <c r="C4958" s="0" t="n">
        <v>2.05</v>
      </c>
      <c r="D4958" s="0" t="n">
        <v>0.201</v>
      </c>
    </row>
    <row r="4959" customFormat="false" ht="13.8" hidden="true" customHeight="false" outlineLevel="0" collapsed="false">
      <c r="A4959" s="0" t="s">
        <v>818</v>
      </c>
      <c r="B4959" s="0" t="n">
        <v>31</v>
      </c>
      <c r="C4959" s="0" t="n">
        <v>2.1</v>
      </c>
      <c r="D4959" s="0" t="n">
        <v>0.206</v>
      </c>
    </row>
    <row r="4960" customFormat="false" ht="13.8" hidden="true" customHeight="false" outlineLevel="0" collapsed="false">
      <c r="A4960" s="0" t="s">
        <v>818</v>
      </c>
      <c r="B4960" s="0" t="n">
        <v>31</v>
      </c>
      <c r="C4960" s="0" t="n">
        <v>2.15</v>
      </c>
      <c r="D4960" s="0" t="n">
        <v>0.210444092</v>
      </c>
    </row>
    <row r="4961" customFormat="false" ht="13.8" hidden="true" customHeight="false" outlineLevel="0" collapsed="false">
      <c r="A4961" s="0" t="s">
        <v>818</v>
      </c>
      <c r="B4961" s="0" t="n">
        <v>31</v>
      </c>
      <c r="C4961" s="0" t="n">
        <v>2.2</v>
      </c>
      <c r="D4961" s="0" t="n">
        <v>0</v>
      </c>
    </row>
    <row r="4962" customFormat="false" ht="13.8" hidden="true" customHeight="false" outlineLevel="0" collapsed="false">
      <c r="A4962" s="0" t="s">
        <v>818</v>
      </c>
      <c r="B4962" s="0" t="n">
        <v>31</v>
      </c>
      <c r="C4962" s="0" t="n">
        <v>2.25</v>
      </c>
      <c r="D4962" s="0" t="n">
        <v>0</v>
      </c>
    </row>
    <row r="4963" customFormat="false" ht="13.8" hidden="true" customHeight="false" outlineLevel="0" collapsed="false">
      <c r="A4963" s="0" t="s">
        <v>818</v>
      </c>
      <c r="B4963" s="0" t="n">
        <v>31</v>
      </c>
      <c r="C4963" s="0" t="n">
        <v>2.3</v>
      </c>
      <c r="D4963" s="0" t="n">
        <v>0</v>
      </c>
    </row>
    <row r="4964" customFormat="false" ht="13.8" hidden="true" customHeight="false" outlineLevel="0" collapsed="false">
      <c r="A4964" s="0" t="s">
        <v>818</v>
      </c>
      <c r="B4964" s="0" t="n">
        <v>31</v>
      </c>
      <c r="C4964" s="0" t="n">
        <v>2.35</v>
      </c>
      <c r="D4964" s="0" t="n">
        <v>0</v>
      </c>
    </row>
    <row r="4965" customFormat="false" ht="13.8" hidden="true" customHeight="false" outlineLevel="0" collapsed="false">
      <c r="A4965" s="0" t="s">
        <v>818</v>
      </c>
      <c r="B4965" s="0" t="n">
        <v>31</v>
      </c>
      <c r="C4965" s="0" t="n">
        <v>2.4</v>
      </c>
      <c r="D4965" s="0" t="n">
        <v>0</v>
      </c>
    </row>
    <row r="4966" customFormat="false" ht="13.8" hidden="true" customHeight="false" outlineLevel="0" collapsed="false">
      <c r="A4966" s="0" t="s">
        <v>818</v>
      </c>
      <c r="B4966" s="0" t="n">
        <v>31</v>
      </c>
      <c r="C4966" s="0" t="n">
        <v>2.45</v>
      </c>
      <c r="D4966" s="0" t="n">
        <v>0</v>
      </c>
    </row>
    <row r="4967" customFormat="false" ht="13.8" hidden="true" customHeight="false" outlineLevel="0" collapsed="false">
      <c r="A4967" s="0" t="s">
        <v>818</v>
      </c>
      <c r="B4967" s="0" t="n">
        <v>31</v>
      </c>
      <c r="C4967" s="0" t="n">
        <v>2.5</v>
      </c>
      <c r="D4967" s="0" t="n">
        <v>0</v>
      </c>
    </row>
    <row r="4968" customFormat="false" ht="13.8" hidden="true" customHeight="false" outlineLevel="0" collapsed="false">
      <c r="A4968" s="0" t="s">
        <v>818</v>
      </c>
      <c r="B4968" s="0" t="n">
        <v>31</v>
      </c>
      <c r="C4968" s="0" t="n">
        <v>2.55</v>
      </c>
      <c r="D4968" s="0" t="n">
        <v>0</v>
      </c>
    </row>
    <row r="4969" customFormat="false" ht="13.8" hidden="true" customHeight="false" outlineLevel="0" collapsed="false">
      <c r="A4969" s="0" t="s">
        <v>818</v>
      </c>
      <c r="B4969" s="0" t="n">
        <v>31</v>
      </c>
      <c r="C4969" s="0" t="n">
        <v>2.6</v>
      </c>
      <c r="D4969" s="0" t="n">
        <v>0</v>
      </c>
    </row>
    <row r="4970" customFormat="false" ht="13.8" hidden="true" customHeight="false" outlineLevel="0" collapsed="false">
      <c r="A4970" s="0" t="s">
        <v>818</v>
      </c>
      <c r="B4970" s="0" t="n">
        <v>32</v>
      </c>
      <c r="C4970" s="0" t="n">
        <v>1.3</v>
      </c>
      <c r="D4970" s="0" t="n">
        <v>0</v>
      </c>
    </row>
    <row r="4971" customFormat="false" ht="13.8" hidden="true" customHeight="false" outlineLevel="0" collapsed="false">
      <c r="A4971" s="0" t="s">
        <v>818</v>
      </c>
      <c r="B4971" s="0" t="n">
        <v>32</v>
      </c>
      <c r="C4971" s="0" t="n">
        <v>1.35</v>
      </c>
      <c r="D4971" s="0" t="n">
        <v>0</v>
      </c>
    </row>
    <row r="4972" customFormat="false" ht="13.8" hidden="true" customHeight="false" outlineLevel="0" collapsed="false">
      <c r="A4972" s="0" t="s">
        <v>818</v>
      </c>
      <c r="B4972" s="0" t="n">
        <v>32</v>
      </c>
      <c r="C4972" s="0" t="n">
        <v>1.4</v>
      </c>
      <c r="D4972" s="0" t="n">
        <v>0</v>
      </c>
    </row>
    <row r="4973" customFormat="false" ht="13.8" hidden="true" customHeight="false" outlineLevel="0" collapsed="false">
      <c r="A4973" s="0" t="s">
        <v>818</v>
      </c>
      <c r="B4973" s="0" t="n">
        <v>32</v>
      </c>
      <c r="C4973" s="0" t="n">
        <v>1.45</v>
      </c>
      <c r="D4973" s="0" t="n">
        <v>0</v>
      </c>
    </row>
    <row r="4974" customFormat="false" ht="13.8" hidden="true" customHeight="false" outlineLevel="0" collapsed="false">
      <c r="A4974" s="0" t="s">
        <v>818</v>
      </c>
      <c r="B4974" s="0" t="n">
        <v>32</v>
      </c>
      <c r="C4974" s="0" t="n">
        <v>1.5</v>
      </c>
      <c r="D4974" s="0" t="n">
        <v>0</v>
      </c>
    </row>
    <row r="4975" customFormat="false" ht="13.8" hidden="true" customHeight="false" outlineLevel="0" collapsed="false">
      <c r="A4975" s="0" t="s">
        <v>818</v>
      </c>
      <c r="B4975" s="0" t="n">
        <v>32</v>
      </c>
      <c r="C4975" s="0" t="n">
        <v>1.55</v>
      </c>
      <c r="D4975" s="0" t="n">
        <v>0</v>
      </c>
    </row>
    <row r="4976" customFormat="false" ht="13.8" hidden="true" customHeight="false" outlineLevel="0" collapsed="false">
      <c r="A4976" s="0" t="s">
        <v>818</v>
      </c>
      <c r="B4976" s="0" t="n">
        <v>32</v>
      </c>
      <c r="C4976" s="0" t="n">
        <v>1.6</v>
      </c>
      <c r="D4976" s="0" t="n">
        <v>0</v>
      </c>
    </row>
    <row r="4977" customFormat="false" ht="13.8" hidden="true" customHeight="false" outlineLevel="0" collapsed="false">
      <c r="A4977" s="0" t="s">
        <v>818</v>
      </c>
      <c r="B4977" s="0" t="n">
        <v>32</v>
      </c>
      <c r="C4977" s="0" t="n">
        <v>1.65</v>
      </c>
      <c r="D4977" s="0" t="n">
        <v>0</v>
      </c>
    </row>
    <row r="4978" customFormat="false" ht="13.8" hidden="true" customHeight="false" outlineLevel="0" collapsed="false">
      <c r="A4978" s="0" t="s">
        <v>818</v>
      </c>
      <c r="B4978" s="0" t="n">
        <v>32</v>
      </c>
      <c r="C4978" s="0" t="n">
        <v>1.7</v>
      </c>
      <c r="D4978" s="0" t="n">
        <v>0</v>
      </c>
    </row>
    <row r="4979" customFormat="false" ht="13.8" hidden="true" customHeight="false" outlineLevel="0" collapsed="false">
      <c r="A4979" s="0" t="s">
        <v>818</v>
      </c>
      <c r="B4979" s="0" t="n">
        <v>32</v>
      </c>
      <c r="C4979" s="0" t="n">
        <v>1.75</v>
      </c>
      <c r="D4979" s="0" t="n">
        <v>0</v>
      </c>
    </row>
    <row r="4980" customFormat="false" ht="13.8" hidden="true" customHeight="false" outlineLevel="0" collapsed="false">
      <c r="A4980" s="0" t="s">
        <v>818</v>
      </c>
      <c r="B4980" s="0" t="n">
        <v>32</v>
      </c>
      <c r="C4980" s="0" t="n">
        <v>1.8</v>
      </c>
      <c r="D4980" s="0" t="n">
        <v>0.173294238</v>
      </c>
    </row>
    <row r="4981" customFormat="false" ht="13.8" hidden="true" customHeight="false" outlineLevel="0" collapsed="false">
      <c r="A4981" s="0" t="s">
        <v>818</v>
      </c>
      <c r="B4981" s="0" t="n">
        <v>32</v>
      </c>
      <c r="C4981" s="0" t="n">
        <v>1.85</v>
      </c>
      <c r="D4981" s="0" t="n">
        <v>0.178107967</v>
      </c>
    </row>
    <row r="4982" customFormat="false" ht="13.8" hidden="true" customHeight="false" outlineLevel="0" collapsed="false">
      <c r="A4982" s="0" t="s">
        <v>818</v>
      </c>
      <c r="B4982" s="0" t="n">
        <v>32</v>
      </c>
      <c r="C4982" s="0" t="n">
        <v>1.9</v>
      </c>
      <c r="D4982" s="0" t="n">
        <v>0.182921695</v>
      </c>
    </row>
    <row r="4983" customFormat="false" ht="13.8" hidden="true" customHeight="false" outlineLevel="0" collapsed="false">
      <c r="A4983" s="0" t="s">
        <v>818</v>
      </c>
      <c r="B4983" s="0" t="n">
        <v>32</v>
      </c>
      <c r="C4983" s="0" t="n">
        <v>1.95</v>
      </c>
      <c r="D4983" s="0" t="n">
        <v>0.187735424</v>
      </c>
    </row>
    <row r="4984" customFormat="false" ht="13.8" hidden="true" customHeight="false" outlineLevel="0" collapsed="false">
      <c r="A4984" s="0" t="s">
        <v>818</v>
      </c>
      <c r="B4984" s="0" t="n">
        <v>32</v>
      </c>
      <c r="C4984" s="0" t="n">
        <v>2</v>
      </c>
      <c r="D4984" s="0" t="n">
        <v>0.195761946</v>
      </c>
    </row>
    <row r="4985" customFormat="false" ht="13.8" hidden="true" customHeight="false" outlineLevel="0" collapsed="false">
      <c r="A4985" s="0" t="s">
        <v>818</v>
      </c>
      <c r="B4985" s="0" t="n">
        <v>32</v>
      </c>
      <c r="C4985" s="0" t="n">
        <v>2.05</v>
      </c>
      <c r="D4985" s="0" t="n">
        <v>0.200655995</v>
      </c>
    </row>
    <row r="4986" customFormat="false" ht="13.8" hidden="true" customHeight="false" outlineLevel="0" collapsed="false">
      <c r="A4986" s="0" t="s">
        <v>818</v>
      </c>
      <c r="B4986" s="0" t="n">
        <v>32</v>
      </c>
      <c r="C4986" s="0" t="n">
        <v>2.1</v>
      </c>
      <c r="D4986" s="0" t="n">
        <v>0.205550043</v>
      </c>
    </row>
    <row r="4987" customFormat="false" ht="13.8" hidden="true" customHeight="false" outlineLevel="0" collapsed="false">
      <c r="A4987" s="0" t="s">
        <v>818</v>
      </c>
      <c r="B4987" s="0" t="n">
        <v>32</v>
      </c>
      <c r="C4987" s="0" t="n">
        <v>2.15</v>
      </c>
      <c r="D4987" s="0" t="n">
        <v>0.210444092</v>
      </c>
    </row>
    <row r="4988" customFormat="false" ht="13.8" hidden="true" customHeight="false" outlineLevel="0" collapsed="false">
      <c r="A4988" s="0" t="s">
        <v>818</v>
      </c>
      <c r="B4988" s="0" t="n">
        <v>32</v>
      </c>
      <c r="C4988" s="0" t="n">
        <v>2.2</v>
      </c>
      <c r="D4988" s="0" t="n">
        <v>0</v>
      </c>
    </row>
    <row r="4989" customFormat="false" ht="13.8" hidden="true" customHeight="false" outlineLevel="0" collapsed="false">
      <c r="A4989" s="0" t="s">
        <v>818</v>
      </c>
      <c r="B4989" s="0" t="n">
        <v>32</v>
      </c>
      <c r="C4989" s="0" t="n">
        <v>2.25</v>
      </c>
      <c r="D4989" s="0" t="n">
        <v>0</v>
      </c>
    </row>
    <row r="4990" customFormat="false" ht="13.8" hidden="true" customHeight="false" outlineLevel="0" collapsed="false">
      <c r="A4990" s="0" t="s">
        <v>818</v>
      </c>
      <c r="B4990" s="0" t="n">
        <v>32</v>
      </c>
      <c r="C4990" s="0" t="n">
        <v>2.3</v>
      </c>
      <c r="D4990" s="0" t="n">
        <v>0</v>
      </c>
    </row>
    <row r="4991" customFormat="false" ht="13.8" hidden="true" customHeight="false" outlineLevel="0" collapsed="false">
      <c r="A4991" s="0" t="s">
        <v>818</v>
      </c>
      <c r="B4991" s="0" t="n">
        <v>32</v>
      </c>
      <c r="C4991" s="0" t="n">
        <v>2.35</v>
      </c>
      <c r="D4991" s="0" t="n">
        <v>0</v>
      </c>
    </row>
    <row r="4992" customFormat="false" ht="13.8" hidden="true" customHeight="false" outlineLevel="0" collapsed="false">
      <c r="A4992" s="0" t="s">
        <v>818</v>
      </c>
      <c r="B4992" s="0" t="n">
        <v>32</v>
      </c>
      <c r="C4992" s="0" t="n">
        <v>2.4</v>
      </c>
      <c r="D4992" s="0" t="n">
        <v>0</v>
      </c>
    </row>
    <row r="4993" customFormat="false" ht="13.8" hidden="true" customHeight="false" outlineLevel="0" collapsed="false">
      <c r="A4993" s="0" t="s">
        <v>818</v>
      </c>
      <c r="B4993" s="0" t="n">
        <v>32</v>
      </c>
      <c r="C4993" s="0" t="n">
        <v>2.45</v>
      </c>
      <c r="D4993" s="0" t="n">
        <v>0</v>
      </c>
    </row>
    <row r="4994" customFormat="false" ht="13.8" hidden="true" customHeight="false" outlineLevel="0" collapsed="false">
      <c r="A4994" s="0" t="s">
        <v>818</v>
      </c>
      <c r="B4994" s="0" t="n">
        <v>32</v>
      </c>
      <c r="C4994" s="0" t="n">
        <v>2.5</v>
      </c>
      <c r="D4994" s="0" t="n">
        <v>0</v>
      </c>
    </row>
    <row r="4995" customFormat="false" ht="13.8" hidden="true" customHeight="false" outlineLevel="0" collapsed="false">
      <c r="A4995" s="0" t="s">
        <v>818</v>
      </c>
      <c r="B4995" s="0" t="n">
        <v>32</v>
      </c>
      <c r="C4995" s="0" t="n">
        <v>2.55</v>
      </c>
      <c r="D4995" s="0" t="n">
        <v>0</v>
      </c>
    </row>
    <row r="4996" customFormat="false" ht="13.8" hidden="true" customHeight="false" outlineLevel="0" collapsed="false">
      <c r="A4996" s="0" t="s">
        <v>818</v>
      </c>
      <c r="B4996" s="0" t="n">
        <v>32</v>
      </c>
      <c r="C4996" s="0" t="n">
        <v>2.6</v>
      </c>
      <c r="D4996" s="0" t="n">
        <v>0</v>
      </c>
    </row>
    <row r="4997" customFormat="false" ht="13.8" hidden="true" customHeight="false" outlineLevel="0" collapsed="false">
      <c r="A4997" s="0" t="s">
        <v>127</v>
      </c>
      <c r="B4997" s="0" t="n">
        <v>31</v>
      </c>
      <c r="C4997" s="0" t="n">
        <v>1.3</v>
      </c>
      <c r="D4997" s="0" t="n">
        <v>0</v>
      </c>
    </row>
    <row r="4998" customFormat="false" ht="13.8" hidden="true" customHeight="false" outlineLevel="0" collapsed="false">
      <c r="A4998" s="0" t="s">
        <v>127</v>
      </c>
      <c r="B4998" s="0" t="n">
        <v>31</v>
      </c>
      <c r="C4998" s="0" t="n">
        <v>1.35</v>
      </c>
      <c r="D4998" s="0" t="n">
        <v>0</v>
      </c>
    </row>
    <row r="4999" customFormat="false" ht="13.8" hidden="true" customHeight="false" outlineLevel="0" collapsed="false">
      <c r="A4999" s="0" t="s">
        <v>127</v>
      </c>
      <c r="B4999" s="0" t="n">
        <v>31</v>
      </c>
      <c r="C4999" s="0" t="n">
        <v>1.4</v>
      </c>
      <c r="D4999" s="0" t="n">
        <v>0</v>
      </c>
    </row>
    <row r="5000" customFormat="false" ht="13.8" hidden="true" customHeight="false" outlineLevel="0" collapsed="false">
      <c r="A5000" s="0" t="s">
        <v>127</v>
      </c>
      <c r="B5000" s="0" t="n">
        <v>31</v>
      </c>
      <c r="C5000" s="0" t="n">
        <v>1.45</v>
      </c>
      <c r="D5000" s="0" t="n">
        <v>0</v>
      </c>
    </row>
    <row r="5001" customFormat="false" ht="13.8" hidden="true" customHeight="false" outlineLevel="0" collapsed="false">
      <c r="A5001" s="0" t="s">
        <v>127</v>
      </c>
      <c r="B5001" s="0" t="n">
        <v>31</v>
      </c>
      <c r="C5001" s="0" t="n">
        <v>1.5</v>
      </c>
      <c r="D5001" s="0" t="n">
        <v>0</v>
      </c>
    </row>
    <row r="5002" customFormat="false" ht="13.8" hidden="true" customHeight="false" outlineLevel="0" collapsed="false">
      <c r="A5002" s="0" t="s">
        <v>127</v>
      </c>
      <c r="B5002" s="0" t="n">
        <v>31</v>
      </c>
      <c r="C5002" s="0" t="n">
        <v>1.55</v>
      </c>
      <c r="D5002" s="0" t="n">
        <v>0</v>
      </c>
    </row>
    <row r="5003" customFormat="false" ht="13.8" hidden="true" customHeight="false" outlineLevel="0" collapsed="false">
      <c r="A5003" s="0" t="s">
        <v>127</v>
      </c>
      <c r="B5003" s="0" t="n">
        <v>31</v>
      </c>
      <c r="C5003" s="0" t="n">
        <v>1.6</v>
      </c>
      <c r="D5003" s="0" t="n">
        <v>0.076</v>
      </c>
    </row>
    <row r="5004" customFormat="false" ht="13.8" hidden="true" customHeight="false" outlineLevel="0" collapsed="false">
      <c r="A5004" s="0" t="s">
        <v>127</v>
      </c>
      <c r="B5004" s="0" t="n">
        <v>31</v>
      </c>
      <c r="C5004" s="0" t="n">
        <v>1.65</v>
      </c>
      <c r="D5004" s="0" t="n">
        <v>0.078</v>
      </c>
    </row>
    <row r="5005" customFormat="false" ht="13.8" hidden="true" customHeight="false" outlineLevel="0" collapsed="false">
      <c r="A5005" s="0" t="s">
        <v>127</v>
      </c>
      <c r="B5005" s="0" t="n">
        <v>31</v>
      </c>
      <c r="C5005" s="0" t="n">
        <v>1.7</v>
      </c>
      <c r="D5005" s="0" t="n">
        <v>0.08</v>
      </c>
    </row>
    <row r="5006" customFormat="false" ht="13.8" hidden="true" customHeight="false" outlineLevel="0" collapsed="false">
      <c r="A5006" s="0" t="s">
        <v>127</v>
      </c>
      <c r="B5006" s="0" t="n">
        <v>31</v>
      </c>
      <c r="C5006" s="0" t="n">
        <v>1.75</v>
      </c>
      <c r="D5006" s="0" t="n">
        <v>0.083</v>
      </c>
    </row>
    <row r="5007" customFormat="false" ht="13.8" hidden="true" customHeight="false" outlineLevel="0" collapsed="false">
      <c r="A5007" s="0" t="s">
        <v>127</v>
      </c>
      <c r="B5007" s="0" t="n">
        <v>31</v>
      </c>
      <c r="C5007" s="0" t="n">
        <v>1.8</v>
      </c>
      <c r="D5007" s="0" t="n">
        <v>0.087</v>
      </c>
    </row>
    <row r="5008" customFormat="false" ht="13.8" hidden="true" customHeight="false" outlineLevel="0" collapsed="false">
      <c r="A5008" s="0" t="s">
        <v>127</v>
      </c>
      <c r="B5008" s="0" t="n">
        <v>31</v>
      </c>
      <c r="C5008" s="0" t="n">
        <v>1.85</v>
      </c>
      <c r="D5008" s="0" t="n">
        <v>0.089</v>
      </c>
    </row>
    <row r="5009" customFormat="false" ht="13.8" hidden="true" customHeight="false" outlineLevel="0" collapsed="false">
      <c r="A5009" s="0" t="s">
        <v>127</v>
      </c>
      <c r="B5009" s="0" t="n">
        <v>31</v>
      </c>
      <c r="C5009" s="0" t="n">
        <v>1.9</v>
      </c>
      <c r="D5009" s="0" t="n">
        <v>0.091</v>
      </c>
    </row>
    <row r="5010" customFormat="false" ht="13.8" hidden="true" customHeight="false" outlineLevel="0" collapsed="false">
      <c r="A5010" s="0" t="s">
        <v>127</v>
      </c>
      <c r="B5010" s="0" t="n">
        <v>31</v>
      </c>
      <c r="C5010" s="0" t="n">
        <v>1.95</v>
      </c>
      <c r="D5010" s="0" t="n">
        <v>0.094</v>
      </c>
    </row>
    <row r="5011" customFormat="false" ht="13.8" hidden="true" customHeight="false" outlineLevel="0" collapsed="false">
      <c r="A5011" s="0" t="s">
        <v>127</v>
      </c>
      <c r="B5011" s="0" t="n">
        <v>31</v>
      </c>
      <c r="C5011" s="0" t="n">
        <v>2</v>
      </c>
      <c r="D5011" s="0" t="n">
        <v>0.098</v>
      </c>
    </row>
    <row r="5012" customFormat="false" ht="13.8" hidden="true" customHeight="false" outlineLevel="0" collapsed="false">
      <c r="A5012" s="0" t="s">
        <v>127</v>
      </c>
      <c r="B5012" s="0" t="n">
        <v>31</v>
      </c>
      <c r="C5012" s="0" t="n">
        <v>2.05</v>
      </c>
      <c r="D5012" s="0" t="n">
        <v>0.1</v>
      </c>
    </row>
    <row r="5013" customFormat="false" ht="13.8" hidden="true" customHeight="false" outlineLevel="0" collapsed="false">
      <c r="A5013" s="0" t="s">
        <v>127</v>
      </c>
      <c r="B5013" s="0" t="n">
        <v>31</v>
      </c>
      <c r="C5013" s="0" t="n">
        <v>2.1</v>
      </c>
      <c r="D5013" s="0" t="n">
        <v>0.103</v>
      </c>
    </row>
    <row r="5014" customFormat="false" ht="13.8" hidden="true" customHeight="false" outlineLevel="0" collapsed="false">
      <c r="A5014" s="0" t="s">
        <v>127</v>
      </c>
      <c r="B5014" s="0" t="n">
        <v>31</v>
      </c>
      <c r="C5014" s="0" t="n">
        <v>2.15</v>
      </c>
      <c r="D5014" s="0" t="n">
        <v>0.105222046</v>
      </c>
    </row>
    <row r="5015" customFormat="false" ht="13.8" hidden="true" customHeight="false" outlineLevel="0" collapsed="false">
      <c r="A5015" s="0" t="s">
        <v>127</v>
      </c>
      <c r="B5015" s="0" t="n">
        <v>31</v>
      </c>
      <c r="C5015" s="0" t="n">
        <v>2.2</v>
      </c>
      <c r="D5015" s="0" t="n">
        <v>0.117061757</v>
      </c>
    </row>
    <row r="5016" customFormat="false" ht="13.8" hidden="true" customHeight="false" outlineLevel="0" collapsed="false">
      <c r="A5016" s="0" t="s">
        <v>127</v>
      </c>
      <c r="B5016" s="0" t="n">
        <v>31</v>
      </c>
      <c r="C5016" s="0" t="n">
        <v>2.25</v>
      </c>
      <c r="D5016" s="0" t="n">
        <v>0.119722251</v>
      </c>
    </row>
    <row r="5017" customFormat="false" ht="13.8" hidden="true" customHeight="false" outlineLevel="0" collapsed="false">
      <c r="A5017" s="0" t="s">
        <v>127</v>
      </c>
      <c r="B5017" s="0" t="n">
        <v>31</v>
      </c>
      <c r="C5017" s="0" t="n">
        <v>2.3</v>
      </c>
      <c r="D5017" s="0" t="n">
        <v>0.122382746</v>
      </c>
    </row>
    <row r="5018" customFormat="false" ht="13.8" hidden="true" customHeight="false" outlineLevel="0" collapsed="false">
      <c r="A5018" s="0" t="s">
        <v>127</v>
      </c>
      <c r="B5018" s="0" t="n">
        <v>31</v>
      </c>
      <c r="C5018" s="0" t="n">
        <v>2.35</v>
      </c>
      <c r="D5018" s="0" t="n">
        <v>0.12504324</v>
      </c>
    </row>
    <row r="5019" customFormat="false" ht="13.8" hidden="true" customHeight="false" outlineLevel="0" collapsed="false">
      <c r="A5019" s="0" t="s">
        <v>127</v>
      </c>
      <c r="B5019" s="0" t="n">
        <v>31</v>
      </c>
      <c r="C5019" s="0" t="n">
        <v>2.4</v>
      </c>
      <c r="D5019" s="0" t="n">
        <v>0.127703735</v>
      </c>
    </row>
    <row r="5020" customFormat="false" ht="13.8" hidden="true" customHeight="false" outlineLevel="0" collapsed="false">
      <c r="A5020" s="0" t="s">
        <v>127</v>
      </c>
      <c r="B5020" s="0" t="n">
        <v>31</v>
      </c>
      <c r="C5020" s="0" t="n">
        <v>2.45</v>
      </c>
      <c r="D5020" s="0" t="n">
        <v>0.130364229</v>
      </c>
    </row>
    <row r="5021" customFormat="false" ht="13.8" hidden="true" customHeight="false" outlineLevel="0" collapsed="false">
      <c r="A5021" s="0" t="s">
        <v>127</v>
      </c>
      <c r="B5021" s="0" t="n">
        <v>31</v>
      </c>
      <c r="C5021" s="0" t="n">
        <v>2.5</v>
      </c>
      <c r="D5021" s="0" t="n">
        <v>0.133024723</v>
      </c>
    </row>
    <row r="5022" customFormat="false" ht="13.8" hidden="true" customHeight="false" outlineLevel="0" collapsed="false">
      <c r="A5022" s="0" t="s">
        <v>127</v>
      </c>
      <c r="B5022" s="0" t="n">
        <v>31</v>
      </c>
      <c r="C5022" s="0" t="n">
        <v>2.55</v>
      </c>
      <c r="D5022" s="0" t="n">
        <v>0.135685218</v>
      </c>
    </row>
    <row r="5023" customFormat="false" ht="13.8" hidden="true" customHeight="false" outlineLevel="0" collapsed="false">
      <c r="A5023" s="0" t="s">
        <v>127</v>
      </c>
      <c r="B5023" s="0" t="n">
        <v>31</v>
      </c>
      <c r="C5023" s="0" t="n">
        <v>2.6</v>
      </c>
      <c r="D5023" s="0" t="n">
        <v>0.138345712</v>
      </c>
    </row>
    <row r="5024" customFormat="false" ht="13.8" hidden="true" customHeight="false" outlineLevel="0" collapsed="false">
      <c r="A5024" s="0" t="s">
        <v>127</v>
      </c>
      <c r="B5024" s="0" t="n">
        <v>32</v>
      </c>
      <c r="C5024" s="0" t="n">
        <v>1.3</v>
      </c>
      <c r="D5024" s="0" t="n">
        <v>0</v>
      </c>
    </row>
    <row r="5025" customFormat="false" ht="13.8" hidden="true" customHeight="false" outlineLevel="0" collapsed="false">
      <c r="A5025" s="0" t="s">
        <v>127</v>
      </c>
      <c r="B5025" s="0" t="n">
        <v>32</v>
      </c>
      <c r="C5025" s="0" t="n">
        <v>1.35</v>
      </c>
      <c r="D5025" s="0" t="n">
        <v>0</v>
      </c>
    </row>
    <row r="5026" customFormat="false" ht="13.8" hidden="true" customHeight="false" outlineLevel="0" collapsed="false">
      <c r="A5026" s="0" t="s">
        <v>127</v>
      </c>
      <c r="B5026" s="0" t="n">
        <v>32</v>
      </c>
      <c r="C5026" s="0" t="n">
        <v>1.4</v>
      </c>
      <c r="D5026" s="0" t="n">
        <v>0</v>
      </c>
    </row>
    <row r="5027" customFormat="false" ht="13.8" hidden="true" customHeight="false" outlineLevel="0" collapsed="false">
      <c r="A5027" s="0" t="s">
        <v>127</v>
      </c>
      <c r="B5027" s="0" t="n">
        <v>32</v>
      </c>
      <c r="C5027" s="0" t="n">
        <v>1.45</v>
      </c>
      <c r="D5027" s="0" t="n">
        <v>0</v>
      </c>
    </row>
    <row r="5028" customFormat="false" ht="13.8" hidden="true" customHeight="false" outlineLevel="0" collapsed="false">
      <c r="A5028" s="0" t="s">
        <v>127</v>
      </c>
      <c r="B5028" s="0" t="n">
        <v>32</v>
      </c>
      <c r="C5028" s="0" t="n">
        <v>1.5</v>
      </c>
      <c r="D5028" s="0" t="n">
        <v>0</v>
      </c>
    </row>
    <row r="5029" customFormat="false" ht="13.8" hidden="true" customHeight="false" outlineLevel="0" collapsed="false">
      <c r="A5029" s="0" t="s">
        <v>127</v>
      </c>
      <c r="B5029" s="0" t="n">
        <v>32</v>
      </c>
      <c r="C5029" s="0" t="n">
        <v>1.55</v>
      </c>
      <c r="D5029" s="0" t="n">
        <v>0</v>
      </c>
    </row>
    <row r="5030" customFormat="false" ht="13.8" hidden="true" customHeight="false" outlineLevel="0" collapsed="false">
      <c r="A5030" s="0" t="s">
        <v>127</v>
      </c>
      <c r="B5030" s="0" t="n">
        <v>32</v>
      </c>
      <c r="C5030" s="0" t="n">
        <v>1.6</v>
      </c>
      <c r="D5030" s="0" t="n">
        <v>0.076</v>
      </c>
    </row>
    <row r="5031" customFormat="false" ht="13.8" hidden="true" customHeight="false" outlineLevel="0" collapsed="false">
      <c r="A5031" s="0" t="s">
        <v>127</v>
      </c>
      <c r="B5031" s="0" t="n">
        <v>32</v>
      </c>
      <c r="C5031" s="0" t="n">
        <v>1.65</v>
      </c>
      <c r="D5031" s="0" t="n">
        <v>0.078</v>
      </c>
    </row>
    <row r="5032" customFormat="false" ht="13.8" hidden="true" customHeight="false" outlineLevel="0" collapsed="false">
      <c r="A5032" s="0" t="s">
        <v>127</v>
      </c>
      <c r="B5032" s="0" t="n">
        <v>32</v>
      </c>
      <c r="C5032" s="0" t="n">
        <v>1.7</v>
      </c>
      <c r="D5032" s="0" t="n">
        <v>0.08</v>
      </c>
    </row>
    <row r="5033" customFormat="false" ht="13.8" hidden="true" customHeight="false" outlineLevel="0" collapsed="false">
      <c r="A5033" s="0" t="s">
        <v>127</v>
      </c>
      <c r="B5033" s="0" t="n">
        <v>32</v>
      </c>
      <c r="C5033" s="0" t="n">
        <v>1.75</v>
      </c>
      <c r="D5033" s="0" t="n">
        <v>0.083</v>
      </c>
    </row>
    <row r="5034" customFormat="false" ht="13.8" hidden="true" customHeight="false" outlineLevel="0" collapsed="false">
      <c r="A5034" s="0" t="s">
        <v>127</v>
      </c>
      <c r="B5034" s="0" t="n">
        <v>32</v>
      </c>
      <c r="C5034" s="0" t="n">
        <v>1.8</v>
      </c>
      <c r="D5034" s="0" t="n">
        <v>0.087</v>
      </c>
    </row>
    <row r="5035" customFormat="false" ht="13.8" hidden="true" customHeight="false" outlineLevel="0" collapsed="false">
      <c r="A5035" s="0" t="s">
        <v>127</v>
      </c>
      <c r="B5035" s="0" t="n">
        <v>32</v>
      </c>
      <c r="C5035" s="0" t="n">
        <v>1.85</v>
      </c>
      <c r="D5035" s="0" t="n">
        <v>0.089</v>
      </c>
    </row>
    <row r="5036" customFormat="false" ht="13.8" hidden="true" customHeight="false" outlineLevel="0" collapsed="false">
      <c r="A5036" s="0" t="s">
        <v>127</v>
      </c>
      <c r="B5036" s="0" t="n">
        <v>32</v>
      </c>
      <c r="C5036" s="0" t="n">
        <v>1.9</v>
      </c>
      <c r="D5036" s="0" t="n">
        <v>0.091</v>
      </c>
    </row>
    <row r="5037" customFormat="false" ht="13.8" hidden="true" customHeight="false" outlineLevel="0" collapsed="false">
      <c r="A5037" s="0" t="s">
        <v>127</v>
      </c>
      <c r="B5037" s="0" t="n">
        <v>32</v>
      </c>
      <c r="C5037" s="0" t="n">
        <v>1.95</v>
      </c>
      <c r="D5037" s="0" t="n">
        <v>0.094</v>
      </c>
    </row>
    <row r="5038" customFormat="false" ht="13.8" hidden="true" customHeight="false" outlineLevel="0" collapsed="false">
      <c r="A5038" s="0" t="s">
        <v>127</v>
      </c>
      <c r="B5038" s="0" t="n">
        <v>32</v>
      </c>
      <c r="C5038" s="0" t="n">
        <v>2</v>
      </c>
      <c r="D5038" s="0" t="n">
        <v>0.098</v>
      </c>
    </row>
    <row r="5039" customFormat="false" ht="13.8" hidden="true" customHeight="false" outlineLevel="0" collapsed="false">
      <c r="A5039" s="0" t="s">
        <v>127</v>
      </c>
      <c r="B5039" s="0" t="n">
        <v>32</v>
      </c>
      <c r="C5039" s="0" t="n">
        <v>2.05</v>
      </c>
      <c r="D5039" s="0" t="n">
        <v>0.1</v>
      </c>
    </row>
    <row r="5040" customFormat="false" ht="13.8" hidden="true" customHeight="false" outlineLevel="0" collapsed="false">
      <c r="A5040" s="0" t="s">
        <v>127</v>
      </c>
      <c r="B5040" s="0" t="n">
        <v>32</v>
      </c>
      <c r="C5040" s="0" t="n">
        <v>2.1</v>
      </c>
      <c r="D5040" s="0" t="n">
        <v>0.103</v>
      </c>
    </row>
    <row r="5041" customFormat="false" ht="13.8" hidden="true" customHeight="false" outlineLevel="0" collapsed="false">
      <c r="A5041" s="0" t="s">
        <v>127</v>
      </c>
      <c r="B5041" s="0" t="n">
        <v>32</v>
      </c>
      <c r="C5041" s="0" t="n">
        <v>2.15</v>
      </c>
      <c r="D5041" s="0" t="n">
        <v>0.105222046</v>
      </c>
    </row>
    <row r="5042" customFormat="false" ht="13.8" hidden="true" customHeight="false" outlineLevel="0" collapsed="false">
      <c r="A5042" s="0" t="s">
        <v>127</v>
      </c>
      <c r="B5042" s="0" t="n">
        <v>32</v>
      </c>
      <c r="C5042" s="0" t="n">
        <v>2.2</v>
      </c>
      <c r="D5042" s="0" t="n">
        <v>0.117061757</v>
      </c>
    </row>
    <row r="5043" customFormat="false" ht="13.8" hidden="true" customHeight="false" outlineLevel="0" collapsed="false">
      <c r="A5043" s="0" t="s">
        <v>127</v>
      </c>
      <c r="B5043" s="0" t="n">
        <v>32</v>
      </c>
      <c r="C5043" s="0" t="n">
        <v>2.25</v>
      </c>
      <c r="D5043" s="0" t="n">
        <v>0.119722251</v>
      </c>
    </row>
    <row r="5044" customFormat="false" ht="13.8" hidden="true" customHeight="false" outlineLevel="0" collapsed="false">
      <c r="A5044" s="0" t="s">
        <v>127</v>
      </c>
      <c r="B5044" s="0" t="n">
        <v>32</v>
      </c>
      <c r="C5044" s="0" t="n">
        <v>2.3</v>
      </c>
      <c r="D5044" s="0" t="n">
        <v>0.122382746</v>
      </c>
    </row>
    <row r="5045" customFormat="false" ht="13.8" hidden="true" customHeight="false" outlineLevel="0" collapsed="false">
      <c r="A5045" s="0" t="s">
        <v>127</v>
      </c>
      <c r="B5045" s="0" t="n">
        <v>32</v>
      </c>
      <c r="C5045" s="0" t="n">
        <v>2.35</v>
      </c>
      <c r="D5045" s="0" t="n">
        <v>0.12504324</v>
      </c>
    </row>
    <row r="5046" customFormat="false" ht="13.8" hidden="true" customHeight="false" outlineLevel="0" collapsed="false">
      <c r="A5046" s="0" t="s">
        <v>127</v>
      </c>
      <c r="B5046" s="0" t="n">
        <v>32</v>
      </c>
      <c r="C5046" s="0" t="n">
        <v>2.4</v>
      </c>
      <c r="D5046" s="0" t="n">
        <v>0.127703735</v>
      </c>
    </row>
    <row r="5047" customFormat="false" ht="13.8" hidden="true" customHeight="false" outlineLevel="0" collapsed="false">
      <c r="A5047" s="0" t="s">
        <v>127</v>
      </c>
      <c r="B5047" s="0" t="n">
        <v>32</v>
      </c>
      <c r="C5047" s="0" t="n">
        <v>2.45</v>
      </c>
      <c r="D5047" s="0" t="n">
        <v>0.130364229</v>
      </c>
    </row>
    <row r="5048" customFormat="false" ht="13.8" hidden="true" customHeight="false" outlineLevel="0" collapsed="false">
      <c r="A5048" s="0" t="s">
        <v>127</v>
      </c>
      <c r="B5048" s="0" t="n">
        <v>32</v>
      </c>
      <c r="C5048" s="0" t="n">
        <v>2.5</v>
      </c>
      <c r="D5048" s="0" t="n">
        <v>0.133024723</v>
      </c>
    </row>
    <row r="5049" customFormat="false" ht="13.8" hidden="true" customHeight="false" outlineLevel="0" collapsed="false">
      <c r="A5049" s="0" t="s">
        <v>127</v>
      </c>
      <c r="B5049" s="0" t="n">
        <v>32</v>
      </c>
      <c r="C5049" s="0" t="n">
        <v>2.55</v>
      </c>
      <c r="D5049" s="0" t="n">
        <v>0.135685218</v>
      </c>
    </row>
    <row r="5050" customFormat="false" ht="13.8" hidden="true" customHeight="false" outlineLevel="0" collapsed="false">
      <c r="A5050" s="0" t="s">
        <v>127</v>
      </c>
      <c r="B5050" s="0" t="n">
        <v>32</v>
      </c>
      <c r="C5050" s="0" t="n">
        <v>2.6</v>
      </c>
      <c r="D5050" s="0" t="n">
        <v>0.138345712</v>
      </c>
    </row>
    <row r="5051" customFormat="false" ht="13.8" hidden="true" customHeight="false" outlineLevel="0" collapsed="false">
      <c r="A5051" s="0" t="s">
        <v>237</v>
      </c>
      <c r="B5051" s="0" t="n">
        <v>31</v>
      </c>
      <c r="C5051" s="0" t="n">
        <v>1.3</v>
      </c>
      <c r="D5051" s="0" t="n">
        <v>0</v>
      </c>
    </row>
    <row r="5052" customFormat="false" ht="13.8" hidden="true" customHeight="false" outlineLevel="0" collapsed="false">
      <c r="A5052" s="0" t="s">
        <v>237</v>
      </c>
      <c r="B5052" s="0" t="n">
        <v>31</v>
      </c>
      <c r="C5052" s="0" t="n">
        <v>1.35</v>
      </c>
      <c r="D5052" s="0" t="n">
        <v>0</v>
      </c>
    </row>
    <row r="5053" customFormat="false" ht="13.8" hidden="true" customHeight="false" outlineLevel="0" collapsed="false">
      <c r="A5053" s="0" t="s">
        <v>237</v>
      </c>
      <c r="B5053" s="0" t="n">
        <v>31</v>
      </c>
      <c r="C5053" s="0" t="n">
        <v>1.4</v>
      </c>
      <c r="D5053" s="0" t="n">
        <v>0</v>
      </c>
    </row>
    <row r="5054" customFormat="false" ht="13.8" hidden="true" customHeight="false" outlineLevel="0" collapsed="false">
      <c r="A5054" s="0" t="s">
        <v>237</v>
      </c>
      <c r="B5054" s="0" t="n">
        <v>31</v>
      </c>
      <c r="C5054" s="0" t="n">
        <v>1.45</v>
      </c>
      <c r="D5054" s="0" t="n">
        <v>0</v>
      </c>
    </row>
    <row r="5055" customFormat="false" ht="13.8" hidden="true" customHeight="false" outlineLevel="0" collapsed="false">
      <c r="A5055" s="0" t="s">
        <v>237</v>
      </c>
      <c r="B5055" s="0" t="n">
        <v>31</v>
      </c>
      <c r="C5055" s="0" t="n">
        <v>1.5</v>
      </c>
      <c r="D5055" s="0" t="n">
        <v>0</v>
      </c>
    </row>
    <row r="5056" customFormat="false" ht="13.8" hidden="true" customHeight="false" outlineLevel="0" collapsed="false">
      <c r="A5056" s="0" t="s">
        <v>237</v>
      </c>
      <c r="B5056" s="0" t="n">
        <v>31</v>
      </c>
      <c r="C5056" s="0" t="n">
        <v>1.55</v>
      </c>
      <c r="D5056" s="0" t="n">
        <v>0</v>
      </c>
    </row>
    <row r="5057" customFormat="false" ht="13.8" hidden="true" customHeight="false" outlineLevel="0" collapsed="false">
      <c r="A5057" s="0" t="s">
        <v>237</v>
      </c>
      <c r="B5057" s="0" t="n">
        <v>31</v>
      </c>
      <c r="C5057" s="0" t="n">
        <v>1.6</v>
      </c>
      <c r="D5057" s="0" t="n">
        <v>0.076</v>
      </c>
    </row>
    <row r="5058" customFormat="false" ht="13.8" hidden="true" customHeight="false" outlineLevel="0" collapsed="false">
      <c r="A5058" s="0" t="s">
        <v>237</v>
      </c>
      <c r="B5058" s="0" t="n">
        <v>31</v>
      </c>
      <c r="C5058" s="0" t="n">
        <v>1.65</v>
      </c>
      <c r="D5058" s="0" t="n">
        <v>0.078</v>
      </c>
    </row>
    <row r="5059" customFormat="false" ht="13.8" hidden="true" customHeight="false" outlineLevel="0" collapsed="false">
      <c r="A5059" s="0" t="s">
        <v>237</v>
      </c>
      <c r="B5059" s="0" t="n">
        <v>31</v>
      </c>
      <c r="C5059" s="0" t="n">
        <v>1.7</v>
      </c>
      <c r="D5059" s="0" t="n">
        <v>0.08</v>
      </c>
    </row>
    <row r="5060" customFormat="false" ht="13.8" hidden="true" customHeight="false" outlineLevel="0" collapsed="false">
      <c r="A5060" s="0" t="s">
        <v>237</v>
      </c>
      <c r="B5060" s="0" t="n">
        <v>31</v>
      </c>
      <c r="C5060" s="0" t="n">
        <v>1.75</v>
      </c>
      <c r="D5060" s="0" t="n">
        <v>0.083</v>
      </c>
    </row>
    <row r="5061" customFormat="false" ht="13.8" hidden="true" customHeight="false" outlineLevel="0" collapsed="false">
      <c r="A5061" s="0" t="s">
        <v>237</v>
      </c>
      <c r="B5061" s="0" t="n">
        <v>31</v>
      </c>
      <c r="C5061" s="0" t="n">
        <v>1.8</v>
      </c>
      <c r="D5061" s="0" t="n">
        <v>0.087</v>
      </c>
    </row>
    <row r="5062" customFormat="false" ht="13.8" hidden="true" customHeight="false" outlineLevel="0" collapsed="false">
      <c r="A5062" s="0" t="s">
        <v>237</v>
      </c>
      <c r="B5062" s="0" t="n">
        <v>31</v>
      </c>
      <c r="C5062" s="0" t="n">
        <v>1.85</v>
      </c>
      <c r="D5062" s="0" t="n">
        <v>0.089</v>
      </c>
    </row>
    <row r="5063" customFormat="false" ht="13.8" hidden="true" customHeight="false" outlineLevel="0" collapsed="false">
      <c r="A5063" s="0" t="s">
        <v>237</v>
      </c>
      <c r="B5063" s="0" t="n">
        <v>31</v>
      </c>
      <c r="C5063" s="0" t="n">
        <v>1.9</v>
      </c>
      <c r="D5063" s="0" t="n">
        <v>0.091</v>
      </c>
    </row>
    <row r="5064" customFormat="false" ht="13.8" hidden="true" customHeight="false" outlineLevel="0" collapsed="false">
      <c r="A5064" s="0" t="s">
        <v>237</v>
      </c>
      <c r="B5064" s="0" t="n">
        <v>31</v>
      </c>
      <c r="C5064" s="0" t="n">
        <v>1.95</v>
      </c>
      <c r="D5064" s="0" t="n">
        <v>0.094</v>
      </c>
    </row>
    <row r="5065" customFormat="false" ht="13.8" hidden="true" customHeight="false" outlineLevel="0" collapsed="false">
      <c r="A5065" s="0" t="s">
        <v>237</v>
      </c>
      <c r="B5065" s="0" t="n">
        <v>31</v>
      </c>
      <c r="C5065" s="0" t="n">
        <v>2</v>
      </c>
      <c r="D5065" s="0" t="n">
        <v>0.098</v>
      </c>
    </row>
    <row r="5066" customFormat="false" ht="13.8" hidden="true" customHeight="false" outlineLevel="0" collapsed="false">
      <c r="A5066" s="0" t="s">
        <v>237</v>
      </c>
      <c r="B5066" s="0" t="n">
        <v>31</v>
      </c>
      <c r="C5066" s="0" t="n">
        <v>2.05</v>
      </c>
      <c r="D5066" s="0" t="n">
        <v>0.1</v>
      </c>
    </row>
    <row r="5067" customFormat="false" ht="13.8" hidden="true" customHeight="false" outlineLevel="0" collapsed="false">
      <c r="A5067" s="0" t="s">
        <v>237</v>
      </c>
      <c r="B5067" s="0" t="n">
        <v>31</v>
      </c>
      <c r="C5067" s="0" t="n">
        <v>2.1</v>
      </c>
      <c r="D5067" s="0" t="n">
        <v>0.103</v>
      </c>
    </row>
    <row r="5068" customFormat="false" ht="13.8" hidden="true" customHeight="false" outlineLevel="0" collapsed="false">
      <c r="A5068" s="0" t="s">
        <v>237</v>
      </c>
      <c r="B5068" s="0" t="n">
        <v>31</v>
      </c>
      <c r="C5068" s="0" t="n">
        <v>2.15</v>
      </c>
      <c r="D5068" s="0" t="n">
        <v>0.105222046</v>
      </c>
    </row>
    <row r="5069" customFormat="false" ht="13.8" hidden="true" customHeight="false" outlineLevel="0" collapsed="false">
      <c r="A5069" s="0" t="s">
        <v>237</v>
      </c>
      <c r="B5069" s="0" t="n">
        <v>31</v>
      </c>
      <c r="C5069" s="0" t="n">
        <v>2.2</v>
      </c>
      <c r="D5069" s="0" t="n">
        <v>0.117061757</v>
      </c>
    </row>
    <row r="5070" customFormat="false" ht="13.8" hidden="true" customHeight="false" outlineLevel="0" collapsed="false">
      <c r="A5070" s="0" t="s">
        <v>237</v>
      </c>
      <c r="B5070" s="0" t="n">
        <v>31</v>
      </c>
      <c r="C5070" s="0" t="n">
        <v>2.25</v>
      </c>
      <c r="D5070" s="0" t="n">
        <v>0.119722251</v>
      </c>
    </row>
    <row r="5071" customFormat="false" ht="13.8" hidden="true" customHeight="false" outlineLevel="0" collapsed="false">
      <c r="A5071" s="0" t="s">
        <v>237</v>
      </c>
      <c r="B5071" s="0" t="n">
        <v>31</v>
      </c>
      <c r="C5071" s="0" t="n">
        <v>2.3</v>
      </c>
      <c r="D5071" s="0" t="n">
        <v>0.122382746</v>
      </c>
    </row>
    <row r="5072" customFormat="false" ht="13.8" hidden="true" customHeight="false" outlineLevel="0" collapsed="false">
      <c r="A5072" s="0" t="s">
        <v>237</v>
      </c>
      <c r="B5072" s="0" t="n">
        <v>31</v>
      </c>
      <c r="C5072" s="0" t="n">
        <v>2.35</v>
      </c>
      <c r="D5072" s="0" t="n">
        <v>0.12504324</v>
      </c>
    </row>
    <row r="5073" customFormat="false" ht="13.8" hidden="true" customHeight="false" outlineLevel="0" collapsed="false">
      <c r="A5073" s="0" t="s">
        <v>237</v>
      </c>
      <c r="B5073" s="0" t="n">
        <v>31</v>
      </c>
      <c r="C5073" s="0" t="n">
        <v>2.4</v>
      </c>
      <c r="D5073" s="0" t="n">
        <v>0.127703735</v>
      </c>
    </row>
    <row r="5074" customFormat="false" ht="13.8" hidden="true" customHeight="false" outlineLevel="0" collapsed="false">
      <c r="A5074" s="0" t="s">
        <v>237</v>
      </c>
      <c r="B5074" s="0" t="n">
        <v>31</v>
      </c>
      <c r="C5074" s="0" t="n">
        <v>2.45</v>
      </c>
      <c r="D5074" s="0" t="n">
        <v>0.130364229</v>
      </c>
    </row>
    <row r="5075" customFormat="false" ht="13.8" hidden="true" customHeight="false" outlineLevel="0" collapsed="false">
      <c r="A5075" s="0" t="s">
        <v>237</v>
      </c>
      <c r="B5075" s="0" t="n">
        <v>31</v>
      </c>
      <c r="C5075" s="0" t="n">
        <v>2.5</v>
      </c>
      <c r="D5075" s="0" t="n">
        <v>0.133024723</v>
      </c>
    </row>
    <row r="5076" customFormat="false" ht="13.8" hidden="true" customHeight="false" outlineLevel="0" collapsed="false">
      <c r="A5076" s="0" t="s">
        <v>237</v>
      </c>
      <c r="B5076" s="0" t="n">
        <v>31</v>
      </c>
      <c r="C5076" s="0" t="n">
        <v>2.55</v>
      </c>
      <c r="D5076" s="0" t="n">
        <v>0.135685218</v>
      </c>
    </row>
    <row r="5077" customFormat="false" ht="13.8" hidden="true" customHeight="false" outlineLevel="0" collapsed="false">
      <c r="A5077" s="0" t="s">
        <v>237</v>
      </c>
      <c r="B5077" s="0" t="n">
        <v>31</v>
      </c>
      <c r="C5077" s="0" t="n">
        <v>2.6</v>
      </c>
      <c r="D5077" s="0" t="n">
        <v>0.138345712</v>
      </c>
    </row>
    <row r="5078" customFormat="false" ht="13.8" hidden="true" customHeight="false" outlineLevel="0" collapsed="false">
      <c r="A5078" s="0" t="s">
        <v>237</v>
      </c>
      <c r="B5078" s="0" t="n">
        <v>32</v>
      </c>
      <c r="C5078" s="0" t="n">
        <v>1.3</v>
      </c>
      <c r="D5078" s="0" t="n">
        <v>0</v>
      </c>
    </row>
    <row r="5079" customFormat="false" ht="13.8" hidden="true" customHeight="false" outlineLevel="0" collapsed="false">
      <c r="A5079" s="0" t="s">
        <v>237</v>
      </c>
      <c r="B5079" s="0" t="n">
        <v>32</v>
      </c>
      <c r="C5079" s="0" t="n">
        <v>1.35</v>
      </c>
      <c r="D5079" s="0" t="n">
        <v>0</v>
      </c>
    </row>
    <row r="5080" customFormat="false" ht="13.8" hidden="true" customHeight="false" outlineLevel="0" collapsed="false">
      <c r="A5080" s="0" t="s">
        <v>237</v>
      </c>
      <c r="B5080" s="0" t="n">
        <v>32</v>
      </c>
      <c r="C5080" s="0" t="n">
        <v>1.4</v>
      </c>
      <c r="D5080" s="0" t="n">
        <v>0</v>
      </c>
    </row>
    <row r="5081" customFormat="false" ht="13.8" hidden="true" customHeight="false" outlineLevel="0" collapsed="false">
      <c r="A5081" s="0" t="s">
        <v>237</v>
      </c>
      <c r="B5081" s="0" t="n">
        <v>32</v>
      </c>
      <c r="C5081" s="0" t="n">
        <v>1.45</v>
      </c>
      <c r="D5081" s="0" t="n">
        <v>0</v>
      </c>
    </row>
    <row r="5082" customFormat="false" ht="13.8" hidden="true" customHeight="false" outlineLevel="0" collapsed="false">
      <c r="A5082" s="0" t="s">
        <v>237</v>
      </c>
      <c r="B5082" s="0" t="n">
        <v>32</v>
      </c>
      <c r="C5082" s="0" t="n">
        <v>1.5</v>
      </c>
      <c r="D5082" s="0" t="n">
        <v>0</v>
      </c>
    </row>
    <row r="5083" customFormat="false" ht="13.8" hidden="true" customHeight="false" outlineLevel="0" collapsed="false">
      <c r="A5083" s="0" t="s">
        <v>237</v>
      </c>
      <c r="B5083" s="0" t="n">
        <v>32</v>
      </c>
      <c r="C5083" s="0" t="n">
        <v>1.55</v>
      </c>
      <c r="D5083" s="0" t="n">
        <v>0</v>
      </c>
    </row>
    <row r="5084" customFormat="false" ht="13.8" hidden="true" customHeight="false" outlineLevel="0" collapsed="false">
      <c r="A5084" s="0" t="s">
        <v>237</v>
      </c>
      <c r="B5084" s="0" t="n">
        <v>32</v>
      </c>
      <c r="C5084" s="0" t="n">
        <v>1.6</v>
      </c>
      <c r="D5084" s="0" t="n">
        <v>0.076</v>
      </c>
    </row>
    <row r="5085" customFormat="false" ht="13.8" hidden="true" customHeight="false" outlineLevel="0" collapsed="false">
      <c r="A5085" s="0" t="s">
        <v>237</v>
      </c>
      <c r="B5085" s="0" t="n">
        <v>32</v>
      </c>
      <c r="C5085" s="0" t="n">
        <v>1.65</v>
      </c>
      <c r="D5085" s="0" t="n">
        <v>0.078</v>
      </c>
    </row>
    <row r="5086" customFormat="false" ht="13.8" hidden="true" customHeight="false" outlineLevel="0" collapsed="false">
      <c r="A5086" s="0" t="s">
        <v>237</v>
      </c>
      <c r="B5086" s="0" t="n">
        <v>32</v>
      </c>
      <c r="C5086" s="0" t="n">
        <v>1.7</v>
      </c>
      <c r="D5086" s="0" t="n">
        <v>0.08</v>
      </c>
    </row>
    <row r="5087" customFormat="false" ht="13.8" hidden="true" customHeight="false" outlineLevel="0" collapsed="false">
      <c r="A5087" s="0" t="s">
        <v>237</v>
      </c>
      <c r="B5087" s="0" t="n">
        <v>32</v>
      </c>
      <c r="C5087" s="0" t="n">
        <v>1.75</v>
      </c>
      <c r="D5087" s="0" t="n">
        <v>0.083</v>
      </c>
    </row>
    <row r="5088" customFormat="false" ht="13.8" hidden="true" customHeight="false" outlineLevel="0" collapsed="false">
      <c r="A5088" s="0" t="s">
        <v>237</v>
      </c>
      <c r="B5088" s="0" t="n">
        <v>32</v>
      </c>
      <c r="C5088" s="0" t="n">
        <v>1.8</v>
      </c>
      <c r="D5088" s="0" t="n">
        <v>0.087</v>
      </c>
    </row>
    <row r="5089" customFormat="false" ht="13.8" hidden="true" customHeight="false" outlineLevel="0" collapsed="false">
      <c r="A5089" s="0" t="s">
        <v>237</v>
      </c>
      <c r="B5089" s="0" t="n">
        <v>32</v>
      </c>
      <c r="C5089" s="0" t="n">
        <v>1.85</v>
      </c>
      <c r="D5089" s="0" t="n">
        <v>0.089</v>
      </c>
    </row>
    <row r="5090" customFormat="false" ht="13.8" hidden="true" customHeight="false" outlineLevel="0" collapsed="false">
      <c r="A5090" s="0" t="s">
        <v>237</v>
      </c>
      <c r="B5090" s="0" t="n">
        <v>32</v>
      </c>
      <c r="C5090" s="0" t="n">
        <v>1.9</v>
      </c>
      <c r="D5090" s="0" t="n">
        <v>0.091</v>
      </c>
    </row>
    <row r="5091" customFormat="false" ht="13.8" hidden="true" customHeight="false" outlineLevel="0" collapsed="false">
      <c r="A5091" s="0" t="s">
        <v>237</v>
      </c>
      <c r="B5091" s="0" t="n">
        <v>32</v>
      </c>
      <c r="C5091" s="0" t="n">
        <v>1.95</v>
      </c>
      <c r="D5091" s="0" t="n">
        <v>0.094</v>
      </c>
    </row>
    <row r="5092" customFormat="false" ht="13.8" hidden="true" customHeight="false" outlineLevel="0" collapsed="false">
      <c r="A5092" s="0" t="s">
        <v>237</v>
      </c>
      <c r="B5092" s="0" t="n">
        <v>32</v>
      </c>
      <c r="C5092" s="0" t="n">
        <v>2</v>
      </c>
      <c r="D5092" s="0" t="n">
        <v>0.098</v>
      </c>
    </row>
    <row r="5093" customFormat="false" ht="13.8" hidden="true" customHeight="false" outlineLevel="0" collapsed="false">
      <c r="A5093" s="0" t="s">
        <v>237</v>
      </c>
      <c r="B5093" s="0" t="n">
        <v>32</v>
      </c>
      <c r="C5093" s="0" t="n">
        <v>2.05</v>
      </c>
      <c r="D5093" s="0" t="n">
        <v>0.1</v>
      </c>
    </row>
    <row r="5094" customFormat="false" ht="13.8" hidden="true" customHeight="false" outlineLevel="0" collapsed="false">
      <c r="A5094" s="0" t="s">
        <v>237</v>
      </c>
      <c r="B5094" s="0" t="n">
        <v>32</v>
      </c>
      <c r="C5094" s="0" t="n">
        <v>2.1</v>
      </c>
      <c r="D5094" s="0" t="n">
        <v>0.103</v>
      </c>
    </row>
    <row r="5095" customFormat="false" ht="13.8" hidden="true" customHeight="false" outlineLevel="0" collapsed="false">
      <c r="A5095" s="0" t="s">
        <v>237</v>
      </c>
      <c r="B5095" s="0" t="n">
        <v>32</v>
      </c>
      <c r="C5095" s="0" t="n">
        <v>2.15</v>
      </c>
      <c r="D5095" s="0" t="n">
        <v>0.105222046</v>
      </c>
    </row>
    <row r="5096" customFormat="false" ht="13.8" hidden="true" customHeight="false" outlineLevel="0" collapsed="false">
      <c r="A5096" s="0" t="s">
        <v>237</v>
      </c>
      <c r="B5096" s="0" t="n">
        <v>32</v>
      </c>
      <c r="C5096" s="0" t="n">
        <v>2.2</v>
      </c>
      <c r="D5096" s="0" t="n">
        <v>0.117061757</v>
      </c>
    </row>
    <row r="5097" customFormat="false" ht="13.8" hidden="true" customHeight="false" outlineLevel="0" collapsed="false">
      <c r="A5097" s="0" t="s">
        <v>237</v>
      </c>
      <c r="B5097" s="0" t="n">
        <v>32</v>
      </c>
      <c r="C5097" s="0" t="n">
        <v>2.25</v>
      </c>
      <c r="D5097" s="0" t="n">
        <v>0.119722251</v>
      </c>
    </row>
    <row r="5098" customFormat="false" ht="13.8" hidden="true" customHeight="false" outlineLevel="0" collapsed="false">
      <c r="A5098" s="0" t="s">
        <v>237</v>
      </c>
      <c r="B5098" s="0" t="n">
        <v>32</v>
      </c>
      <c r="C5098" s="0" t="n">
        <v>2.3</v>
      </c>
      <c r="D5098" s="0" t="n">
        <v>0.122382746</v>
      </c>
    </row>
    <row r="5099" customFormat="false" ht="13.8" hidden="true" customHeight="false" outlineLevel="0" collapsed="false">
      <c r="A5099" s="0" t="s">
        <v>237</v>
      </c>
      <c r="B5099" s="0" t="n">
        <v>32</v>
      </c>
      <c r="C5099" s="0" t="n">
        <v>2.35</v>
      </c>
      <c r="D5099" s="0" t="n">
        <v>0.12504324</v>
      </c>
    </row>
    <row r="5100" customFormat="false" ht="13.8" hidden="true" customHeight="false" outlineLevel="0" collapsed="false">
      <c r="A5100" s="0" t="s">
        <v>237</v>
      </c>
      <c r="B5100" s="0" t="n">
        <v>32</v>
      </c>
      <c r="C5100" s="0" t="n">
        <v>2.4</v>
      </c>
      <c r="D5100" s="0" t="n">
        <v>0.127703735</v>
      </c>
    </row>
    <row r="5101" customFormat="false" ht="13.8" hidden="true" customHeight="false" outlineLevel="0" collapsed="false">
      <c r="A5101" s="0" t="s">
        <v>237</v>
      </c>
      <c r="B5101" s="0" t="n">
        <v>32</v>
      </c>
      <c r="C5101" s="0" t="n">
        <v>2.45</v>
      </c>
      <c r="D5101" s="0" t="n">
        <v>0.130364229</v>
      </c>
    </row>
    <row r="5102" customFormat="false" ht="13.8" hidden="true" customHeight="false" outlineLevel="0" collapsed="false">
      <c r="A5102" s="0" t="s">
        <v>237</v>
      </c>
      <c r="B5102" s="0" t="n">
        <v>32</v>
      </c>
      <c r="C5102" s="0" t="n">
        <v>2.5</v>
      </c>
      <c r="D5102" s="0" t="n">
        <v>0.133024723</v>
      </c>
    </row>
    <row r="5103" customFormat="false" ht="13.8" hidden="true" customHeight="false" outlineLevel="0" collapsed="false">
      <c r="A5103" s="0" t="s">
        <v>237</v>
      </c>
      <c r="B5103" s="0" t="n">
        <v>32</v>
      </c>
      <c r="C5103" s="0" t="n">
        <v>2.55</v>
      </c>
      <c r="D5103" s="0" t="n">
        <v>0.135685218</v>
      </c>
    </row>
    <row r="5104" customFormat="false" ht="13.8" hidden="true" customHeight="false" outlineLevel="0" collapsed="false">
      <c r="A5104" s="0" t="s">
        <v>237</v>
      </c>
      <c r="B5104" s="0" t="n">
        <v>32</v>
      </c>
      <c r="C5104" s="0" t="n">
        <v>2.6</v>
      </c>
      <c r="D5104" s="0" t="n">
        <v>0.138345712</v>
      </c>
    </row>
    <row r="5105" customFormat="false" ht="13.8" hidden="true" customHeight="false" outlineLevel="0" collapsed="false">
      <c r="A5105" s="0" t="s">
        <v>825</v>
      </c>
      <c r="B5105" s="0" t="n">
        <v>31</v>
      </c>
      <c r="C5105" s="0" t="n">
        <v>1.3</v>
      </c>
      <c r="D5105" s="0" t="n">
        <v>0</v>
      </c>
    </row>
    <row r="5106" customFormat="false" ht="13.8" hidden="true" customHeight="false" outlineLevel="0" collapsed="false">
      <c r="A5106" s="0" t="s">
        <v>825</v>
      </c>
      <c r="B5106" s="0" t="n">
        <v>31</v>
      </c>
      <c r="C5106" s="0" t="n">
        <v>1.35</v>
      </c>
      <c r="D5106" s="0" t="n">
        <v>0</v>
      </c>
    </row>
    <row r="5107" customFormat="false" ht="13.8" hidden="true" customHeight="false" outlineLevel="0" collapsed="false">
      <c r="A5107" s="0" t="s">
        <v>825</v>
      </c>
      <c r="B5107" s="0" t="n">
        <v>31</v>
      </c>
      <c r="C5107" s="0" t="n">
        <v>1.4</v>
      </c>
      <c r="D5107" s="0" t="n">
        <v>0</v>
      </c>
    </row>
    <row r="5108" customFormat="false" ht="13.8" hidden="true" customHeight="false" outlineLevel="0" collapsed="false">
      <c r="A5108" s="0" t="s">
        <v>825</v>
      </c>
      <c r="B5108" s="0" t="n">
        <v>31</v>
      </c>
      <c r="C5108" s="0" t="n">
        <v>1.45</v>
      </c>
      <c r="D5108" s="0" t="n">
        <v>0</v>
      </c>
    </row>
    <row r="5109" customFormat="false" ht="13.8" hidden="true" customHeight="false" outlineLevel="0" collapsed="false">
      <c r="A5109" s="0" t="s">
        <v>825</v>
      </c>
      <c r="B5109" s="0" t="n">
        <v>31</v>
      </c>
      <c r="C5109" s="0" t="n">
        <v>1.5</v>
      </c>
      <c r="D5109" s="0" t="n">
        <v>0</v>
      </c>
    </row>
    <row r="5110" customFormat="false" ht="13.8" hidden="true" customHeight="false" outlineLevel="0" collapsed="false">
      <c r="A5110" s="0" t="s">
        <v>825</v>
      </c>
      <c r="B5110" s="0" t="n">
        <v>31</v>
      </c>
      <c r="C5110" s="0" t="n">
        <v>1.55</v>
      </c>
      <c r="D5110" s="0" t="n">
        <v>0</v>
      </c>
    </row>
    <row r="5111" customFormat="false" ht="13.8" hidden="true" customHeight="false" outlineLevel="0" collapsed="false">
      <c r="A5111" s="0" t="s">
        <v>825</v>
      </c>
      <c r="B5111" s="0" t="n">
        <v>31</v>
      </c>
      <c r="C5111" s="0" t="n">
        <v>1.6</v>
      </c>
      <c r="D5111" s="0" t="n">
        <v>0.076</v>
      </c>
    </row>
    <row r="5112" customFormat="false" ht="13.8" hidden="true" customHeight="false" outlineLevel="0" collapsed="false">
      <c r="A5112" s="0" t="s">
        <v>825</v>
      </c>
      <c r="B5112" s="0" t="n">
        <v>31</v>
      </c>
      <c r="C5112" s="0" t="n">
        <v>1.65</v>
      </c>
      <c r="D5112" s="0" t="n">
        <v>0.078</v>
      </c>
    </row>
    <row r="5113" customFormat="false" ht="13.8" hidden="true" customHeight="false" outlineLevel="0" collapsed="false">
      <c r="A5113" s="0" t="s">
        <v>825</v>
      </c>
      <c r="B5113" s="0" t="n">
        <v>31</v>
      </c>
      <c r="C5113" s="0" t="n">
        <v>1.7</v>
      </c>
      <c r="D5113" s="0" t="n">
        <v>0.08</v>
      </c>
    </row>
    <row r="5114" customFormat="false" ht="13.8" hidden="true" customHeight="false" outlineLevel="0" collapsed="false">
      <c r="A5114" s="0" t="s">
        <v>825</v>
      </c>
      <c r="B5114" s="0" t="n">
        <v>31</v>
      </c>
      <c r="C5114" s="0" t="n">
        <v>1.75</v>
      </c>
      <c r="D5114" s="0" t="n">
        <v>0.083</v>
      </c>
    </row>
    <row r="5115" customFormat="false" ht="13.8" hidden="true" customHeight="false" outlineLevel="0" collapsed="false">
      <c r="A5115" s="0" t="s">
        <v>825</v>
      </c>
      <c r="B5115" s="0" t="n">
        <v>31</v>
      </c>
      <c r="C5115" s="0" t="n">
        <v>1.8</v>
      </c>
      <c r="D5115" s="0" t="n">
        <v>0.087</v>
      </c>
    </row>
    <row r="5116" customFormat="false" ht="13.8" hidden="true" customHeight="false" outlineLevel="0" collapsed="false">
      <c r="A5116" s="0" t="s">
        <v>825</v>
      </c>
      <c r="B5116" s="0" t="n">
        <v>31</v>
      </c>
      <c r="C5116" s="0" t="n">
        <v>1.85</v>
      </c>
      <c r="D5116" s="0" t="n">
        <v>0.089</v>
      </c>
    </row>
    <row r="5117" customFormat="false" ht="13.8" hidden="true" customHeight="false" outlineLevel="0" collapsed="false">
      <c r="A5117" s="0" t="s">
        <v>825</v>
      </c>
      <c r="B5117" s="0" t="n">
        <v>31</v>
      </c>
      <c r="C5117" s="0" t="n">
        <v>1.9</v>
      </c>
      <c r="D5117" s="0" t="n">
        <v>0.091</v>
      </c>
    </row>
    <row r="5118" customFormat="false" ht="13.8" hidden="true" customHeight="false" outlineLevel="0" collapsed="false">
      <c r="A5118" s="0" t="s">
        <v>825</v>
      </c>
      <c r="B5118" s="0" t="n">
        <v>31</v>
      </c>
      <c r="C5118" s="0" t="n">
        <v>1.95</v>
      </c>
      <c r="D5118" s="0" t="n">
        <v>0.094</v>
      </c>
    </row>
    <row r="5119" customFormat="false" ht="13.8" hidden="true" customHeight="false" outlineLevel="0" collapsed="false">
      <c r="A5119" s="0" t="s">
        <v>825</v>
      </c>
      <c r="B5119" s="0" t="n">
        <v>31</v>
      </c>
      <c r="C5119" s="0" t="n">
        <v>2</v>
      </c>
      <c r="D5119" s="0" t="n">
        <v>0.098</v>
      </c>
    </row>
    <row r="5120" customFormat="false" ht="13.8" hidden="true" customHeight="false" outlineLevel="0" collapsed="false">
      <c r="A5120" s="0" t="s">
        <v>825</v>
      </c>
      <c r="B5120" s="0" t="n">
        <v>31</v>
      </c>
      <c r="C5120" s="0" t="n">
        <v>2.05</v>
      </c>
      <c r="D5120" s="0" t="n">
        <v>0.1</v>
      </c>
    </row>
    <row r="5121" customFormat="false" ht="13.8" hidden="true" customHeight="false" outlineLevel="0" collapsed="false">
      <c r="A5121" s="0" t="s">
        <v>825</v>
      </c>
      <c r="B5121" s="0" t="n">
        <v>31</v>
      </c>
      <c r="C5121" s="0" t="n">
        <v>2.1</v>
      </c>
      <c r="D5121" s="0" t="n">
        <v>0.103</v>
      </c>
    </row>
    <row r="5122" customFormat="false" ht="13.8" hidden="true" customHeight="false" outlineLevel="0" collapsed="false">
      <c r="A5122" s="0" t="s">
        <v>825</v>
      </c>
      <c r="B5122" s="0" t="n">
        <v>31</v>
      </c>
      <c r="C5122" s="0" t="n">
        <v>2.15</v>
      </c>
      <c r="D5122" s="0" t="n">
        <v>0.105222046</v>
      </c>
    </row>
    <row r="5123" customFormat="false" ht="13.8" hidden="true" customHeight="false" outlineLevel="0" collapsed="false">
      <c r="A5123" s="0" t="s">
        <v>825</v>
      </c>
      <c r="B5123" s="0" t="n">
        <v>31</v>
      </c>
      <c r="C5123" s="0" t="n">
        <v>2.2</v>
      </c>
      <c r="D5123" s="0" t="n">
        <v>0.117061757</v>
      </c>
    </row>
    <row r="5124" customFormat="false" ht="13.8" hidden="true" customHeight="false" outlineLevel="0" collapsed="false">
      <c r="A5124" s="0" t="s">
        <v>825</v>
      </c>
      <c r="B5124" s="0" t="n">
        <v>31</v>
      </c>
      <c r="C5124" s="0" t="n">
        <v>2.25</v>
      </c>
      <c r="D5124" s="0" t="n">
        <v>0.119722251</v>
      </c>
    </row>
    <row r="5125" customFormat="false" ht="13.8" hidden="true" customHeight="false" outlineLevel="0" collapsed="false">
      <c r="A5125" s="0" t="s">
        <v>825</v>
      </c>
      <c r="B5125" s="0" t="n">
        <v>31</v>
      </c>
      <c r="C5125" s="0" t="n">
        <v>2.3</v>
      </c>
      <c r="D5125" s="0" t="n">
        <v>0.122382746</v>
      </c>
    </row>
    <row r="5126" customFormat="false" ht="13.8" hidden="true" customHeight="false" outlineLevel="0" collapsed="false">
      <c r="A5126" s="0" t="s">
        <v>825</v>
      </c>
      <c r="B5126" s="0" t="n">
        <v>31</v>
      </c>
      <c r="C5126" s="0" t="n">
        <v>2.35</v>
      </c>
      <c r="D5126" s="0" t="n">
        <v>0.12504324</v>
      </c>
    </row>
    <row r="5127" customFormat="false" ht="13.8" hidden="true" customHeight="false" outlineLevel="0" collapsed="false">
      <c r="A5127" s="0" t="s">
        <v>825</v>
      </c>
      <c r="B5127" s="0" t="n">
        <v>31</v>
      </c>
      <c r="C5127" s="0" t="n">
        <v>2.4</v>
      </c>
      <c r="D5127" s="0" t="n">
        <v>0.127703735</v>
      </c>
    </row>
    <row r="5128" customFormat="false" ht="13.8" hidden="true" customHeight="false" outlineLevel="0" collapsed="false">
      <c r="A5128" s="0" t="s">
        <v>825</v>
      </c>
      <c r="B5128" s="0" t="n">
        <v>31</v>
      </c>
      <c r="C5128" s="0" t="n">
        <v>2.45</v>
      </c>
      <c r="D5128" s="0" t="n">
        <v>0.130364229</v>
      </c>
    </row>
    <row r="5129" customFormat="false" ht="13.8" hidden="true" customHeight="false" outlineLevel="0" collapsed="false">
      <c r="A5129" s="0" t="s">
        <v>825</v>
      </c>
      <c r="B5129" s="0" t="n">
        <v>31</v>
      </c>
      <c r="C5129" s="0" t="n">
        <v>2.5</v>
      </c>
      <c r="D5129" s="0" t="n">
        <v>0.133024723</v>
      </c>
    </row>
    <row r="5130" customFormat="false" ht="13.8" hidden="true" customHeight="false" outlineLevel="0" collapsed="false">
      <c r="A5130" s="0" t="s">
        <v>825</v>
      </c>
      <c r="B5130" s="0" t="n">
        <v>31</v>
      </c>
      <c r="C5130" s="0" t="n">
        <v>2.55</v>
      </c>
      <c r="D5130" s="0" t="n">
        <v>0.135685218</v>
      </c>
    </row>
    <row r="5131" customFormat="false" ht="13.8" hidden="true" customHeight="false" outlineLevel="0" collapsed="false">
      <c r="A5131" s="0" t="s">
        <v>825</v>
      </c>
      <c r="B5131" s="0" t="n">
        <v>31</v>
      </c>
      <c r="C5131" s="0" t="n">
        <v>2.6</v>
      </c>
      <c r="D5131" s="0" t="n">
        <v>0.138345712</v>
      </c>
    </row>
    <row r="5132" customFormat="false" ht="13.8" hidden="true" customHeight="false" outlineLevel="0" collapsed="false">
      <c r="A5132" s="0" t="s">
        <v>825</v>
      </c>
      <c r="B5132" s="0" t="n">
        <v>32</v>
      </c>
      <c r="C5132" s="0" t="n">
        <v>1.3</v>
      </c>
      <c r="D5132" s="0" t="n">
        <v>0</v>
      </c>
    </row>
    <row r="5133" customFormat="false" ht="13.8" hidden="true" customHeight="false" outlineLevel="0" collapsed="false">
      <c r="A5133" s="0" t="s">
        <v>825</v>
      </c>
      <c r="B5133" s="0" t="n">
        <v>32</v>
      </c>
      <c r="C5133" s="0" t="n">
        <v>1.35</v>
      </c>
      <c r="D5133" s="0" t="n">
        <v>0</v>
      </c>
    </row>
    <row r="5134" customFormat="false" ht="13.8" hidden="true" customHeight="false" outlineLevel="0" collapsed="false">
      <c r="A5134" s="0" t="s">
        <v>825</v>
      </c>
      <c r="B5134" s="0" t="n">
        <v>32</v>
      </c>
      <c r="C5134" s="0" t="n">
        <v>1.4</v>
      </c>
      <c r="D5134" s="0" t="n">
        <v>0</v>
      </c>
    </row>
    <row r="5135" customFormat="false" ht="13.8" hidden="true" customHeight="false" outlineLevel="0" collapsed="false">
      <c r="A5135" s="0" t="s">
        <v>825</v>
      </c>
      <c r="B5135" s="0" t="n">
        <v>32</v>
      </c>
      <c r="C5135" s="0" t="n">
        <v>1.45</v>
      </c>
      <c r="D5135" s="0" t="n">
        <v>0</v>
      </c>
    </row>
    <row r="5136" customFormat="false" ht="13.8" hidden="true" customHeight="false" outlineLevel="0" collapsed="false">
      <c r="A5136" s="0" t="s">
        <v>825</v>
      </c>
      <c r="B5136" s="0" t="n">
        <v>32</v>
      </c>
      <c r="C5136" s="0" t="n">
        <v>1.5</v>
      </c>
      <c r="D5136" s="0" t="n">
        <v>0</v>
      </c>
    </row>
    <row r="5137" customFormat="false" ht="13.8" hidden="true" customHeight="false" outlineLevel="0" collapsed="false">
      <c r="A5137" s="0" t="s">
        <v>825</v>
      </c>
      <c r="B5137" s="0" t="n">
        <v>32</v>
      </c>
      <c r="C5137" s="0" t="n">
        <v>1.55</v>
      </c>
      <c r="D5137" s="0" t="n">
        <v>0</v>
      </c>
    </row>
    <row r="5138" customFormat="false" ht="13.8" hidden="true" customHeight="false" outlineLevel="0" collapsed="false">
      <c r="A5138" s="0" t="s">
        <v>825</v>
      </c>
      <c r="B5138" s="0" t="n">
        <v>32</v>
      </c>
      <c r="C5138" s="0" t="n">
        <v>1.6</v>
      </c>
      <c r="D5138" s="0" t="n">
        <v>0.076</v>
      </c>
    </row>
    <row r="5139" customFormat="false" ht="13.8" hidden="true" customHeight="false" outlineLevel="0" collapsed="false">
      <c r="A5139" s="0" t="s">
        <v>825</v>
      </c>
      <c r="B5139" s="0" t="n">
        <v>32</v>
      </c>
      <c r="C5139" s="0" t="n">
        <v>1.65</v>
      </c>
      <c r="D5139" s="0" t="n">
        <v>0.078</v>
      </c>
    </row>
    <row r="5140" customFormat="false" ht="13.8" hidden="true" customHeight="false" outlineLevel="0" collapsed="false">
      <c r="A5140" s="0" t="s">
        <v>825</v>
      </c>
      <c r="B5140" s="0" t="n">
        <v>32</v>
      </c>
      <c r="C5140" s="0" t="n">
        <v>1.7</v>
      </c>
      <c r="D5140" s="0" t="n">
        <v>0.08</v>
      </c>
    </row>
    <row r="5141" customFormat="false" ht="13.8" hidden="true" customHeight="false" outlineLevel="0" collapsed="false">
      <c r="A5141" s="0" t="s">
        <v>825</v>
      </c>
      <c r="B5141" s="0" t="n">
        <v>32</v>
      </c>
      <c r="C5141" s="0" t="n">
        <v>1.75</v>
      </c>
      <c r="D5141" s="0" t="n">
        <v>0.083</v>
      </c>
    </row>
    <row r="5142" customFormat="false" ht="13.8" hidden="true" customHeight="false" outlineLevel="0" collapsed="false">
      <c r="A5142" s="0" t="s">
        <v>825</v>
      </c>
      <c r="B5142" s="0" t="n">
        <v>32</v>
      </c>
      <c r="C5142" s="0" t="n">
        <v>1.8</v>
      </c>
      <c r="D5142" s="0" t="n">
        <v>0.087</v>
      </c>
    </row>
    <row r="5143" customFormat="false" ht="13.8" hidden="true" customHeight="false" outlineLevel="0" collapsed="false">
      <c r="A5143" s="0" t="s">
        <v>825</v>
      </c>
      <c r="B5143" s="0" t="n">
        <v>32</v>
      </c>
      <c r="C5143" s="0" t="n">
        <v>1.85</v>
      </c>
      <c r="D5143" s="0" t="n">
        <v>0.089</v>
      </c>
    </row>
    <row r="5144" customFormat="false" ht="13.8" hidden="true" customHeight="false" outlineLevel="0" collapsed="false">
      <c r="A5144" s="0" t="s">
        <v>825</v>
      </c>
      <c r="B5144" s="0" t="n">
        <v>32</v>
      </c>
      <c r="C5144" s="0" t="n">
        <v>1.9</v>
      </c>
      <c r="D5144" s="0" t="n">
        <v>0.091</v>
      </c>
    </row>
    <row r="5145" customFormat="false" ht="13.8" hidden="true" customHeight="false" outlineLevel="0" collapsed="false">
      <c r="A5145" s="0" t="s">
        <v>825</v>
      </c>
      <c r="B5145" s="0" t="n">
        <v>32</v>
      </c>
      <c r="C5145" s="0" t="n">
        <v>1.95</v>
      </c>
      <c r="D5145" s="0" t="n">
        <v>0.094</v>
      </c>
    </row>
    <row r="5146" customFormat="false" ht="13.8" hidden="true" customHeight="false" outlineLevel="0" collapsed="false">
      <c r="A5146" s="0" t="s">
        <v>825</v>
      </c>
      <c r="B5146" s="0" t="n">
        <v>32</v>
      </c>
      <c r="C5146" s="0" t="n">
        <v>2</v>
      </c>
      <c r="D5146" s="0" t="n">
        <v>0.098</v>
      </c>
    </row>
    <row r="5147" customFormat="false" ht="13.8" hidden="true" customHeight="false" outlineLevel="0" collapsed="false">
      <c r="A5147" s="0" t="s">
        <v>825</v>
      </c>
      <c r="B5147" s="0" t="n">
        <v>32</v>
      </c>
      <c r="C5147" s="0" t="n">
        <v>2.05</v>
      </c>
      <c r="D5147" s="0" t="n">
        <v>0.1</v>
      </c>
    </row>
    <row r="5148" customFormat="false" ht="13.8" hidden="true" customHeight="false" outlineLevel="0" collapsed="false">
      <c r="A5148" s="0" t="s">
        <v>825</v>
      </c>
      <c r="B5148" s="0" t="n">
        <v>32</v>
      </c>
      <c r="C5148" s="0" t="n">
        <v>2.1</v>
      </c>
      <c r="D5148" s="0" t="n">
        <v>0.103</v>
      </c>
    </row>
    <row r="5149" customFormat="false" ht="13.8" hidden="true" customHeight="false" outlineLevel="0" collapsed="false">
      <c r="A5149" s="0" t="s">
        <v>825</v>
      </c>
      <c r="B5149" s="0" t="n">
        <v>32</v>
      </c>
      <c r="C5149" s="0" t="n">
        <v>2.15</v>
      </c>
      <c r="D5149" s="0" t="n">
        <v>0.105222046</v>
      </c>
    </row>
    <row r="5150" customFormat="false" ht="13.8" hidden="true" customHeight="false" outlineLevel="0" collapsed="false">
      <c r="A5150" s="0" t="s">
        <v>825</v>
      </c>
      <c r="B5150" s="0" t="n">
        <v>32</v>
      </c>
      <c r="C5150" s="0" t="n">
        <v>2.2</v>
      </c>
      <c r="D5150" s="0" t="n">
        <v>0.117061757</v>
      </c>
    </row>
    <row r="5151" customFormat="false" ht="13.8" hidden="true" customHeight="false" outlineLevel="0" collapsed="false">
      <c r="A5151" s="0" t="s">
        <v>825</v>
      </c>
      <c r="B5151" s="0" t="n">
        <v>32</v>
      </c>
      <c r="C5151" s="0" t="n">
        <v>2.25</v>
      </c>
      <c r="D5151" s="0" t="n">
        <v>0.119722251</v>
      </c>
    </row>
    <row r="5152" customFormat="false" ht="13.8" hidden="true" customHeight="false" outlineLevel="0" collapsed="false">
      <c r="A5152" s="0" t="s">
        <v>825</v>
      </c>
      <c r="B5152" s="0" t="n">
        <v>32</v>
      </c>
      <c r="C5152" s="0" t="n">
        <v>2.3</v>
      </c>
      <c r="D5152" s="0" t="n">
        <v>0.122382746</v>
      </c>
    </row>
    <row r="5153" customFormat="false" ht="13.8" hidden="true" customHeight="false" outlineLevel="0" collapsed="false">
      <c r="A5153" s="0" t="s">
        <v>825</v>
      </c>
      <c r="B5153" s="0" t="n">
        <v>32</v>
      </c>
      <c r="C5153" s="0" t="n">
        <v>2.35</v>
      </c>
      <c r="D5153" s="0" t="n">
        <v>0.12504324</v>
      </c>
    </row>
    <row r="5154" customFormat="false" ht="13.8" hidden="true" customHeight="false" outlineLevel="0" collapsed="false">
      <c r="A5154" s="0" t="s">
        <v>825</v>
      </c>
      <c r="B5154" s="0" t="n">
        <v>32</v>
      </c>
      <c r="C5154" s="0" t="n">
        <v>2.4</v>
      </c>
      <c r="D5154" s="0" t="n">
        <v>0.127703735</v>
      </c>
    </row>
    <row r="5155" customFormat="false" ht="13.8" hidden="true" customHeight="false" outlineLevel="0" collapsed="false">
      <c r="A5155" s="0" t="s">
        <v>825</v>
      </c>
      <c r="B5155" s="0" t="n">
        <v>32</v>
      </c>
      <c r="C5155" s="0" t="n">
        <v>2.45</v>
      </c>
      <c r="D5155" s="0" t="n">
        <v>0.130364229</v>
      </c>
    </row>
    <row r="5156" customFormat="false" ht="13.8" hidden="true" customHeight="false" outlineLevel="0" collapsed="false">
      <c r="A5156" s="0" t="s">
        <v>825</v>
      </c>
      <c r="B5156" s="0" t="n">
        <v>32</v>
      </c>
      <c r="C5156" s="0" t="n">
        <v>2.5</v>
      </c>
      <c r="D5156" s="0" t="n">
        <v>0.133024723</v>
      </c>
    </row>
    <row r="5157" customFormat="false" ht="13.8" hidden="true" customHeight="false" outlineLevel="0" collapsed="false">
      <c r="A5157" s="0" t="s">
        <v>825</v>
      </c>
      <c r="B5157" s="0" t="n">
        <v>32</v>
      </c>
      <c r="C5157" s="0" t="n">
        <v>2.55</v>
      </c>
      <c r="D5157" s="0" t="n">
        <v>0.135685218</v>
      </c>
    </row>
    <row r="5158" customFormat="false" ht="13.8" hidden="true" customHeight="false" outlineLevel="0" collapsed="false">
      <c r="A5158" s="0" t="s">
        <v>825</v>
      </c>
      <c r="B5158" s="0" t="n">
        <v>32</v>
      </c>
      <c r="C5158" s="0" t="n">
        <v>2.6</v>
      </c>
      <c r="D5158" s="0" t="n">
        <v>0.138345712</v>
      </c>
    </row>
    <row r="5159" customFormat="false" ht="13.8" hidden="true" customHeight="false" outlineLevel="0" collapsed="false">
      <c r="A5159" s="0" t="s">
        <v>828</v>
      </c>
      <c r="B5159" s="0" t="n">
        <v>31</v>
      </c>
      <c r="C5159" s="0" t="n">
        <v>1.3</v>
      </c>
      <c r="D5159" s="0" t="n">
        <v>0</v>
      </c>
    </row>
    <row r="5160" customFormat="false" ht="13.8" hidden="true" customHeight="false" outlineLevel="0" collapsed="false">
      <c r="A5160" s="0" t="s">
        <v>828</v>
      </c>
      <c r="B5160" s="0" t="n">
        <v>31</v>
      </c>
      <c r="C5160" s="0" t="n">
        <v>1.35</v>
      </c>
      <c r="D5160" s="0" t="n">
        <v>0</v>
      </c>
    </row>
    <row r="5161" customFormat="false" ht="13.8" hidden="true" customHeight="false" outlineLevel="0" collapsed="false">
      <c r="A5161" s="0" t="s">
        <v>828</v>
      </c>
      <c r="B5161" s="0" t="n">
        <v>31</v>
      </c>
      <c r="C5161" s="0" t="n">
        <v>1.4</v>
      </c>
      <c r="D5161" s="0" t="n">
        <v>0</v>
      </c>
    </row>
    <row r="5162" customFormat="false" ht="13.8" hidden="true" customHeight="false" outlineLevel="0" collapsed="false">
      <c r="A5162" s="0" t="s">
        <v>828</v>
      </c>
      <c r="B5162" s="0" t="n">
        <v>31</v>
      </c>
      <c r="C5162" s="0" t="n">
        <v>1.45</v>
      </c>
      <c r="D5162" s="0" t="n">
        <v>0</v>
      </c>
    </row>
    <row r="5163" customFormat="false" ht="13.8" hidden="true" customHeight="false" outlineLevel="0" collapsed="false">
      <c r="A5163" s="0" t="s">
        <v>828</v>
      </c>
      <c r="B5163" s="0" t="n">
        <v>31</v>
      </c>
      <c r="C5163" s="0" t="n">
        <v>1.5</v>
      </c>
      <c r="D5163" s="0" t="n">
        <v>0</v>
      </c>
    </row>
    <row r="5164" customFormat="false" ht="13.8" hidden="true" customHeight="false" outlineLevel="0" collapsed="false">
      <c r="A5164" s="0" t="s">
        <v>828</v>
      </c>
      <c r="B5164" s="0" t="n">
        <v>31</v>
      </c>
      <c r="C5164" s="0" t="n">
        <v>1.55</v>
      </c>
      <c r="D5164" s="0" t="n">
        <v>0</v>
      </c>
    </row>
    <row r="5165" customFormat="false" ht="13.8" hidden="true" customHeight="false" outlineLevel="0" collapsed="false">
      <c r="A5165" s="0" t="s">
        <v>828</v>
      </c>
      <c r="B5165" s="0" t="n">
        <v>31</v>
      </c>
      <c r="C5165" s="0" t="n">
        <v>1.6</v>
      </c>
      <c r="D5165" s="0" t="n">
        <v>0.076</v>
      </c>
    </row>
    <row r="5166" customFormat="false" ht="13.8" hidden="true" customHeight="false" outlineLevel="0" collapsed="false">
      <c r="A5166" s="0" t="s">
        <v>828</v>
      </c>
      <c r="B5166" s="0" t="n">
        <v>31</v>
      </c>
      <c r="C5166" s="0" t="n">
        <v>1.65</v>
      </c>
      <c r="D5166" s="0" t="n">
        <v>0.078</v>
      </c>
    </row>
    <row r="5167" customFormat="false" ht="13.8" hidden="true" customHeight="false" outlineLevel="0" collapsed="false">
      <c r="A5167" s="0" t="s">
        <v>828</v>
      </c>
      <c r="B5167" s="0" t="n">
        <v>31</v>
      </c>
      <c r="C5167" s="0" t="n">
        <v>1.7</v>
      </c>
      <c r="D5167" s="0" t="n">
        <v>0.08</v>
      </c>
    </row>
    <row r="5168" customFormat="false" ht="13.8" hidden="true" customHeight="false" outlineLevel="0" collapsed="false">
      <c r="A5168" s="0" t="s">
        <v>828</v>
      </c>
      <c r="B5168" s="0" t="n">
        <v>31</v>
      </c>
      <c r="C5168" s="0" t="n">
        <v>1.75</v>
      </c>
      <c r="D5168" s="0" t="n">
        <v>0.083</v>
      </c>
    </row>
    <row r="5169" customFormat="false" ht="13.8" hidden="true" customHeight="false" outlineLevel="0" collapsed="false">
      <c r="A5169" s="0" t="s">
        <v>828</v>
      </c>
      <c r="B5169" s="0" t="n">
        <v>31</v>
      </c>
      <c r="C5169" s="0" t="n">
        <v>1.8</v>
      </c>
      <c r="D5169" s="0" t="n">
        <v>0.087</v>
      </c>
    </row>
    <row r="5170" customFormat="false" ht="13.8" hidden="true" customHeight="false" outlineLevel="0" collapsed="false">
      <c r="A5170" s="0" t="s">
        <v>828</v>
      </c>
      <c r="B5170" s="0" t="n">
        <v>31</v>
      </c>
      <c r="C5170" s="0" t="n">
        <v>1.85</v>
      </c>
      <c r="D5170" s="0" t="n">
        <v>0.089</v>
      </c>
    </row>
    <row r="5171" customFormat="false" ht="13.8" hidden="true" customHeight="false" outlineLevel="0" collapsed="false">
      <c r="A5171" s="0" t="s">
        <v>828</v>
      </c>
      <c r="B5171" s="0" t="n">
        <v>31</v>
      </c>
      <c r="C5171" s="0" t="n">
        <v>1.9</v>
      </c>
      <c r="D5171" s="0" t="n">
        <v>0.091</v>
      </c>
    </row>
    <row r="5172" customFormat="false" ht="13.8" hidden="true" customHeight="false" outlineLevel="0" collapsed="false">
      <c r="A5172" s="0" t="s">
        <v>828</v>
      </c>
      <c r="B5172" s="0" t="n">
        <v>31</v>
      </c>
      <c r="C5172" s="0" t="n">
        <v>1.95</v>
      </c>
      <c r="D5172" s="0" t="n">
        <v>0.094</v>
      </c>
    </row>
    <row r="5173" customFormat="false" ht="13.8" hidden="true" customHeight="false" outlineLevel="0" collapsed="false">
      <c r="A5173" s="0" t="s">
        <v>828</v>
      </c>
      <c r="B5173" s="0" t="n">
        <v>31</v>
      </c>
      <c r="C5173" s="0" t="n">
        <v>2</v>
      </c>
      <c r="D5173" s="0" t="n">
        <v>0.098</v>
      </c>
    </row>
    <row r="5174" customFormat="false" ht="13.8" hidden="true" customHeight="false" outlineLevel="0" collapsed="false">
      <c r="A5174" s="0" t="s">
        <v>828</v>
      </c>
      <c r="B5174" s="0" t="n">
        <v>31</v>
      </c>
      <c r="C5174" s="0" t="n">
        <v>2.05</v>
      </c>
      <c r="D5174" s="0" t="n">
        <v>0.1</v>
      </c>
    </row>
    <row r="5175" customFormat="false" ht="13.8" hidden="true" customHeight="false" outlineLevel="0" collapsed="false">
      <c r="A5175" s="0" t="s">
        <v>828</v>
      </c>
      <c r="B5175" s="0" t="n">
        <v>31</v>
      </c>
      <c r="C5175" s="0" t="n">
        <v>2.1</v>
      </c>
      <c r="D5175" s="0" t="n">
        <v>0.103</v>
      </c>
    </row>
    <row r="5176" customFormat="false" ht="13.8" hidden="true" customHeight="false" outlineLevel="0" collapsed="false">
      <c r="A5176" s="0" t="s">
        <v>828</v>
      </c>
      <c r="B5176" s="0" t="n">
        <v>31</v>
      </c>
      <c r="C5176" s="0" t="n">
        <v>2.15</v>
      </c>
      <c r="D5176" s="0" t="n">
        <v>0.105222046</v>
      </c>
    </row>
    <row r="5177" customFormat="false" ht="13.8" hidden="true" customHeight="false" outlineLevel="0" collapsed="false">
      <c r="A5177" s="0" t="s">
        <v>828</v>
      </c>
      <c r="B5177" s="0" t="n">
        <v>31</v>
      </c>
      <c r="C5177" s="0" t="n">
        <v>2.2</v>
      </c>
      <c r="D5177" s="0" t="n">
        <v>0.117061757</v>
      </c>
    </row>
    <row r="5178" customFormat="false" ht="13.8" hidden="true" customHeight="false" outlineLevel="0" collapsed="false">
      <c r="A5178" s="0" t="s">
        <v>828</v>
      </c>
      <c r="B5178" s="0" t="n">
        <v>31</v>
      </c>
      <c r="C5178" s="0" t="n">
        <v>2.25</v>
      </c>
      <c r="D5178" s="0" t="n">
        <v>0.119722251</v>
      </c>
    </row>
    <row r="5179" customFormat="false" ht="13.8" hidden="true" customHeight="false" outlineLevel="0" collapsed="false">
      <c r="A5179" s="0" t="s">
        <v>828</v>
      </c>
      <c r="B5179" s="0" t="n">
        <v>31</v>
      </c>
      <c r="C5179" s="0" t="n">
        <v>2.3</v>
      </c>
      <c r="D5179" s="0" t="n">
        <v>0.122382746</v>
      </c>
    </row>
    <row r="5180" customFormat="false" ht="13.8" hidden="true" customHeight="false" outlineLevel="0" collapsed="false">
      <c r="A5180" s="0" t="s">
        <v>828</v>
      </c>
      <c r="B5180" s="0" t="n">
        <v>31</v>
      </c>
      <c r="C5180" s="0" t="n">
        <v>2.35</v>
      </c>
      <c r="D5180" s="0" t="n">
        <v>0.12504324</v>
      </c>
    </row>
    <row r="5181" customFormat="false" ht="13.8" hidden="true" customHeight="false" outlineLevel="0" collapsed="false">
      <c r="A5181" s="0" t="s">
        <v>828</v>
      </c>
      <c r="B5181" s="0" t="n">
        <v>31</v>
      </c>
      <c r="C5181" s="0" t="n">
        <v>2.4</v>
      </c>
      <c r="D5181" s="0" t="n">
        <v>0.127703735</v>
      </c>
    </row>
    <row r="5182" customFormat="false" ht="13.8" hidden="true" customHeight="false" outlineLevel="0" collapsed="false">
      <c r="A5182" s="0" t="s">
        <v>828</v>
      </c>
      <c r="B5182" s="0" t="n">
        <v>31</v>
      </c>
      <c r="C5182" s="0" t="n">
        <v>2.45</v>
      </c>
      <c r="D5182" s="0" t="n">
        <v>0.130364229</v>
      </c>
    </row>
    <row r="5183" customFormat="false" ht="13.8" hidden="true" customHeight="false" outlineLevel="0" collapsed="false">
      <c r="A5183" s="0" t="s">
        <v>828</v>
      </c>
      <c r="B5183" s="0" t="n">
        <v>31</v>
      </c>
      <c r="C5183" s="0" t="n">
        <v>2.5</v>
      </c>
      <c r="D5183" s="0" t="n">
        <v>0.133024723</v>
      </c>
    </row>
    <row r="5184" customFormat="false" ht="13.8" hidden="true" customHeight="false" outlineLevel="0" collapsed="false">
      <c r="A5184" s="0" t="s">
        <v>828</v>
      </c>
      <c r="B5184" s="0" t="n">
        <v>31</v>
      </c>
      <c r="C5184" s="0" t="n">
        <v>2.55</v>
      </c>
      <c r="D5184" s="0" t="n">
        <v>0.135685218</v>
      </c>
    </row>
    <row r="5185" customFormat="false" ht="13.8" hidden="true" customHeight="false" outlineLevel="0" collapsed="false">
      <c r="A5185" s="0" t="s">
        <v>828</v>
      </c>
      <c r="B5185" s="0" t="n">
        <v>31</v>
      </c>
      <c r="C5185" s="0" t="n">
        <v>2.6</v>
      </c>
      <c r="D5185" s="0" t="n">
        <v>0.138345712</v>
      </c>
    </row>
    <row r="5186" customFormat="false" ht="13.8" hidden="true" customHeight="false" outlineLevel="0" collapsed="false">
      <c r="A5186" s="0" t="s">
        <v>828</v>
      </c>
      <c r="B5186" s="0" t="n">
        <v>32</v>
      </c>
      <c r="C5186" s="0" t="n">
        <v>1.3</v>
      </c>
      <c r="D5186" s="0" t="n">
        <v>0</v>
      </c>
    </row>
    <row r="5187" customFormat="false" ht="13.8" hidden="true" customHeight="false" outlineLevel="0" collapsed="false">
      <c r="A5187" s="0" t="s">
        <v>828</v>
      </c>
      <c r="B5187" s="0" t="n">
        <v>32</v>
      </c>
      <c r="C5187" s="0" t="n">
        <v>1.35</v>
      </c>
      <c r="D5187" s="0" t="n">
        <v>0</v>
      </c>
    </row>
    <row r="5188" customFormat="false" ht="13.8" hidden="true" customHeight="false" outlineLevel="0" collapsed="false">
      <c r="A5188" s="0" t="s">
        <v>828</v>
      </c>
      <c r="B5188" s="0" t="n">
        <v>32</v>
      </c>
      <c r="C5188" s="0" t="n">
        <v>1.4</v>
      </c>
      <c r="D5188" s="0" t="n">
        <v>0</v>
      </c>
    </row>
    <row r="5189" customFormat="false" ht="13.8" hidden="true" customHeight="false" outlineLevel="0" collapsed="false">
      <c r="A5189" s="0" t="s">
        <v>828</v>
      </c>
      <c r="B5189" s="0" t="n">
        <v>32</v>
      </c>
      <c r="C5189" s="0" t="n">
        <v>1.45</v>
      </c>
      <c r="D5189" s="0" t="n">
        <v>0</v>
      </c>
    </row>
    <row r="5190" customFormat="false" ht="13.8" hidden="true" customHeight="false" outlineLevel="0" collapsed="false">
      <c r="A5190" s="0" t="s">
        <v>828</v>
      </c>
      <c r="B5190" s="0" t="n">
        <v>32</v>
      </c>
      <c r="C5190" s="0" t="n">
        <v>1.5</v>
      </c>
      <c r="D5190" s="0" t="n">
        <v>0</v>
      </c>
    </row>
    <row r="5191" customFormat="false" ht="13.8" hidden="true" customHeight="false" outlineLevel="0" collapsed="false">
      <c r="A5191" s="0" t="s">
        <v>828</v>
      </c>
      <c r="B5191" s="0" t="n">
        <v>32</v>
      </c>
      <c r="C5191" s="0" t="n">
        <v>1.55</v>
      </c>
      <c r="D5191" s="0" t="n">
        <v>0</v>
      </c>
    </row>
    <row r="5192" customFormat="false" ht="13.8" hidden="true" customHeight="false" outlineLevel="0" collapsed="false">
      <c r="A5192" s="0" t="s">
        <v>828</v>
      </c>
      <c r="B5192" s="0" t="n">
        <v>32</v>
      </c>
      <c r="C5192" s="0" t="n">
        <v>1.6</v>
      </c>
      <c r="D5192" s="0" t="n">
        <v>0.076</v>
      </c>
    </row>
    <row r="5193" customFormat="false" ht="13.8" hidden="true" customHeight="false" outlineLevel="0" collapsed="false">
      <c r="A5193" s="0" t="s">
        <v>828</v>
      </c>
      <c r="B5193" s="0" t="n">
        <v>32</v>
      </c>
      <c r="C5193" s="0" t="n">
        <v>1.65</v>
      </c>
      <c r="D5193" s="0" t="n">
        <v>0.078</v>
      </c>
    </row>
    <row r="5194" customFormat="false" ht="13.8" hidden="true" customHeight="false" outlineLevel="0" collapsed="false">
      <c r="A5194" s="0" t="s">
        <v>828</v>
      </c>
      <c r="B5194" s="0" t="n">
        <v>32</v>
      </c>
      <c r="C5194" s="0" t="n">
        <v>1.7</v>
      </c>
      <c r="D5194" s="0" t="n">
        <v>0.08</v>
      </c>
    </row>
    <row r="5195" customFormat="false" ht="13.8" hidden="true" customHeight="false" outlineLevel="0" collapsed="false">
      <c r="A5195" s="0" t="s">
        <v>828</v>
      </c>
      <c r="B5195" s="0" t="n">
        <v>32</v>
      </c>
      <c r="C5195" s="0" t="n">
        <v>1.75</v>
      </c>
      <c r="D5195" s="0" t="n">
        <v>0.083</v>
      </c>
    </row>
    <row r="5196" customFormat="false" ht="13.8" hidden="true" customHeight="false" outlineLevel="0" collapsed="false">
      <c r="A5196" s="0" t="s">
        <v>828</v>
      </c>
      <c r="B5196" s="0" t="n">
        <v>32</v>
      </c>
      <c r="C5196" s="0" t="n">
        <v>1.8</v>
      </c>
      <c r="D5196" s="0" t="n">
        <v>0.087</v>
      </c>
    </row>
    <row r="5197" customFormat="false" ht="13.8" hidden="true" customHeight="false" outlineLevel="0" collapsed="false">
      <c r="A5197" s="0" t="s">
        <v>828</v>
      </c>
      <c r="B5197" s="0" t="n">
        <v>32</v>
      </c>
      <c r="C5197" s="0" t="n">
        <v>1.85</v>
      </c>
      <c r="D5197" s="0" t="n">
        <v>0.089</v>
      </c>
    </row>
    <row r="5198" customFormat="false" ht="13.8" hidden="true" customHeight="false" outlineLevel="0" collapsed="false">
      <c r="A5198" s="0" t="s">
        <v>828</v>
      </c>
      <c r="B5198" s="0" t="n">
        <v>32</v>
      </c>
      <c r="C5198" s="0" t="n">
        <v>1.9</v>
      </c>
      <c r="D5198" s="0" t="n">
        <v>0.091</v>
      </c>
    </row>
    <row r="5199" customFormat="false" ht="13.8" hidden="true" customHeight="false" outlineLevel="0" collapsed="false">
      <c r="A5199" s="0" t="s">
        <v>828</v>
      </c>
      <c r="B5199" s="0" t="n">
        <v>32</v>
      </c>
      <c r="C5199" s="0" t="n">
        <v>1.95</v>
      </c>
      <c r="D5199" s="0" t="n">
        <v>0.094</v>
      </c>
    </row>
    <row r="5200" customFormat="false" ht="13.8" hidden="true" customHeight="false" outlineLevel="0" collapsed="false">
      <c r="A5200" s="0" t="s">
        <v>828</v>
      </c>
      <c r="B5200" s="0" t="n">
        <v>32</v>
      </c>
      <c r="C5200" s="0" t="n">
        <v>2</v>
      </c>
      <c r="D5200" s="0" t="n">
        <v>0.098</v>
      </c>
    </row>
    <row r="5201" customFormat="false" ht="13.8" hidden="true" customHeight="false" outlineLevel="0" collapsed="false">
      <c r="A5201" s="0" t="s">
        <v>828</v>
      </c>
      <c r="B5201" s="0" t="n">
        <v>32</v>
      </c>
      <c r="C5201" s="0" t="n">
        <v>2.05</v>
      </c>
      <c r="D5201" s="0" t="n">
        <v>0.1</v>
      </c>
    </row>
    <row r="5202" customFormat="false" ht="13.8" hidden="true" customHeight="false" outlineLevel="0" collapsed="false">
      <c r="A5202" s="0" t="s">
        <v>828</v>
      </c>
      <c r="B5202" s="0" t="n">
        <v>32</v>
      </c>
      <c r="C5202" s="0" t="n">
        <v>2.1</v>
      </c>
      <c r="D5202" s="0" t="n">
        <v>0.103</v>
      </c>
    </row>
    <row r="5203" customFormat="false" ht="13.8" hidden="true" customHeight="false" outlineLevel="0" collapsed="false">
      <c r="A5203" s="0" t="s">
        <v>828</v>
      </c>
      <c r="B5203" s="0" t="n">
        <v>32</v>
      </c>
      <c r="C5203" s="0" t="n">
        <v>2.15</v>
      </c>
      <c r="D5203" s="0" t="n">
        <v>0.105222046</v>
      </c>
    </row>
    <row r="5204" customFormat="false" ht="13.8" hidden="true" customHeight="false" outlineLevel="0" collapsed="false">
      <c r="A5204" s="0" t="s">
        <v>828</v>
      </c>
      <c r="B5204" s="0" t="n">
        <v>32</v>
      </c>
      <c r="C5204" s="0" t="n">
        <v>2.2</v>
      </c>
      <c r="D5204" s="0" t="n">
        <v>0.117061757</v>
      </c>
    </row>
    <row r="5205" customFormat="false" ht="13.8" hidden="true" customHeight="false" outlineLevel="0" collapsed="false">
      <c r="A5205" s="0" t="s">
        <v>828</v>
      </c>
      <c r="B5205" s="0" t="n">
        <v>32</v>
      </c>
      <c r="C5205" s="0" t="n">
        <v>2.25</v>
      </c>
      <c r="D5205" s="0" t="n">
        <v>0.119722251</v>
      </c>
    </row>
    <row r="5206" customFormat="false" ht="13.8" hidden="true" customHeight="false" outlineLevel="0" collapsed="false">
      <c r="A5206" s="0" t="s">
        <v>828</v>
      </c>
      <c r="B5206" s="0" t="n">
        <v>32</v>
      </c>
      <c r="C5206" s="0" t="n">
        <v>2.3</v>
      </c>
      <c r="D5206" s="0" t="n">
        <v>0.122382746</v>
      </c>
    </row>
    <row r="5207" customFormat="false" ht="13.8" hidden="true" customHeight="false" outlineLevel="0" collapsed="false">
      <c r="A5207" s="0" t="s">
        <v>828</v>
      </c>
      <c r="B5207" s="0" t="n">
        <v>32</v>
      </c>
      <c r="C5207" s="0" t="n">
        <v>2.35</v>
      </c>
      <c r="D5207" s="0" t="n">
        <v>0.12504324</v>
      </c>
    </row>
    <row r="5208" customFormat="false" ht="13.8" hidden="true" customHeight="false" outlineLevel="0" collapsed="false">
      <c r="A5208" s="0" t="s">
        <v>828</v>
      </c>
      <c r="B5208" s="0" t="n">
        <v>32</v>
      </c>
      <c r="C5208" s="0" t="n">
        <v>2.4</v>
      </c>
      <c r="D5208" s="0" t="n">
        <v>0.127703735</v>
      </c>
    </row>
    <row r="5209" customFormat="false" ht="13.8" hidden="true" customHeight="false" outlineLevel="0" collapsed="false">
      <c r="A5209" s="0" t="s">
        <v>828</v>
      </c>
      <c r="B5209" s="0" t="n">
        <v>32</v>
      </c>
      <c r="C5209" s="0" t="n">
        <v>2.45</v>
      </c>
      <c r="D5209" s="0" t="n">
        <v>0.130364229</v>
      </c>
    </row>
    <row r="5210" customFormat="false" ht="13.8" hidden="true" customHeight="false" outlineLevel="0" collapsed="false">
      <c r="A5210" s="0" t="s">
        <v>828</v>
      </c>
      <c r="B5210" s="0" t="n">
        <v>32</v>
      </c>
      <c r="C5210" s="0" t="n">
        <v>2.5</v>
      </c>
      <c r="D5210" s="0" t="n">
        <v>0.133024723</v>
      </c>
    </row>
    <row r="5211" customFormat="false" ht="13.8" hidden="true" customHeight="false" outlineLevel="0" collapsed="false">
      <c r="A5211" s="0" t="s">
        <v>828</v>
      </c>
      <c r="B5211" s="0" t="n">
        <v>32</v>
      </c>
      <c r="C5211" s="0" t="n">
        <v>2.55</v>
      </c>
      <c r="D5211" s="0" t="n">
        <v>0.135685218</v>
      </c>
    </row>
    <row r="5212" customFormat="false" ht="13.8" hidden="true" customHeight="false" outlineLevel="0" collapsed="false">
      <c r="A5212" s="0" t="s">
        <v>828</v>
      </c>
      <c r="B5212" s="0" t="n">
        <v>32</v>
      </c>
      <c r="C5212" s="0" t="n">
        <v>2.6</v>
      </c>
      <c r="D5212" s="0" t="n">
        <v>0.138345712</v>
      </c>
    </row>
    <row r="5213" customFormat="false" ht="13.8" hidden="true" customHeight="false" outlineLevel="0" collapsed="false">
      <c r="A5213" s="0" t="s">
        <v>128</v>
      </c>
      <c r="B5213" s="0" t="n">
        <v>31</v>
      </c>
      <c r="C5213" s="0" t="n">
        <v>1.3</v>
      </c>
      <c r="D5213" s="0" t="n">
        <v>0</v>
      </c>
    </row>
    <row r="5214" customFormat="false" ht="13.8" hidden="true" customHeight="false" outlineLevel="0" collapsed="false">
      <c r="A5214" s="0" t="s">
        <v>128</v>
      </c>
      <c r="B5214" s="0" t="n">
        <v>31</v>
      </c>
      <c r="C5214" s="0" t="n">
        <v>1.35</v>
      </c>
      <c r="D5214" s="0" t="n">
        <v>0</v>
      </c>
    </row>
    <row r="5215" customFormat="false" ht="13.8" hidden="true" customHeight="false" outlineLevel="0" collapsed="false">
      <c r="A5215" s="0" t="s">
        <v>128</v>
      </c>
      <c r="B5215" s="0" t="n">
        <v>31</v>
      </c>
      <c r="C5215" s="0" t="n">
        <v>1.4</v>
      </c>
      <c r="D5215" s="0" t="n">
        <v>0</v>
      </c>
    </row>
    <row r="5216" customFormat="false" ht="13.8" hidden="true" customHeight="false" outlineLevel="0" collapsed="false">
      <c r="A5216" s="0" t="s">
        <v>128</v>
      </c>
      <c r="B5216" s="0" t="n">
        <v>31</v>
      </c>
      <c r="C5216" s="0" t="n">
        <v>1.45</v>
      </c>
      <c r="D5216" s="0" t="n">
        <v>0</v>
      </c>
    </row>
    <row r="5217" customFormat="false" ht="13.8" hidden="true" customHeight="false" outlineLevel="0" collapsed="false">
      <c r="A5217" s="0" t="s">
        <v>128</v>
      </c>
      <c r="B5217" s="0" t="n">
        <v>31</v>
      </c>
      <c r="C5217" s="0" t="n">
        <v>1.5</v>
      </c>
      <c r="D5217" s="0" t="n">
        <v>0</v>
      </c>
    </row>
    <row r="5218" customFormat="false" ht="13.8" hidden="true" customHeight="false" outlineLevel="0" collapsed="false">
      <c r="A5218" s="0" t="s">
        <v>128</v>
      </c>
      <c r="B5218" s="0" t="n">
        <v>31</v>
      </c>
      <c r="C5218" s="0" t="n">
        <v>1.55</v>
      </c>
      <c r="D5218" s="0" t="n">
        <v>0</v>
      </c>
    </row>
    <row r="5219" customFormat="false" ht="13.8" hidden="true" customHeight="false" outlineLevel="0" collapsed="false">
      <c r="A5219" s="0" t="s">
        <v>128</v>
      </c>
      <c r="B5219" s="0" t="n">
        <v>31</v>
      </c>
      <c r="C5219" s="0" t="n">
        <v>1.6</v>
      </c>
      <c r="D5219" s="0" t="n">
        <v>0.076</v>
      </c>
    </row>
    <row r="5220" customFormat="false" ht="13.8" hidden="true" customHeight="false" outlineLevel="0" collapsed="false">
      <c r="A5220" s="0" t="s">
        <v>128</v>
      </c>
      <c r="B5220" s="0" t="n">
        <v>31</v>
      </c>
      <c r="C5220" s="0" t="n">
        <v>1.65</v>
      </c>
      <c r="D5220" s="0" t="n">
        <v>0.078</v>
      </c>
    </row>
    <row r="5221" customFormat="false" ht="13.8" hidden="true" customHeight="false" outlineLevel="0" collapsed="false">
      <c r="A5221" s="0" t="s">
        <v>128</v>
      </c>
      <c r="B5221" s="0" t="n">
        <v>31</v>
      </c>
      <c r="C5221" s="0" t="n">
        <v>1.7</v>
      </c>
      <c r="D5221" s="0" t="n">
        <v>0.08</v>
      </c>
    </row>
    <row r="5222" customFormat="false" ht="13.8" hidden="true" customHeight="false" outlineLevel="0" collapsed="false">
      <c r="A5222" s="0" t="s">
        <v>128</v>
      </c>
      <c r="B5222" s="0" t="n">
        <v>31</v>
      </c>
      <c r="C5222" s="0" t="n">
        <v>1.75</v>
      </c>
      <c r="D5222" s="0" t="n">
        <v>0.083</v>
      </c>
    </row>
    <row r="5223" customFormat="false" ht="13.8" hidden="true" customHeight="false" outlineLevel="0" collapsed="false">
      <c r="A5223" s="0" t="s">
        <v>128</v>
      </c>
      <c r="B5223" s="0" t="n">
        <v>31</v>
      </c>
      <c r="C5223" s="0" t="n">
        <v>1.8</v>
      </c>
      <c r="D5223" s="0" t="n">
        <v>0.087</v>
      </c>
    </row>
    <row r="5224" customFormat="false" ht="13.8" hidden="true" customHeight="false" outlineLevel="0" collapsed="false">
      <c r="A5224" s="0" t="s">
        <v>128</v>
      </c>
      <c r="B5224" s="0" t="n">
        <v>31</v>
      </c>
      <c r="C5224" s="0" t="n">
        <v>1.85</v>
      </c>
      <c r="D5224" s="0" t="n">
        <v>0.089</v>
      </c>
    </row>
    <row r="5225" customFormat="false" ht="13.8" hidden="true" customHeight="false" outlineLevel="0" collapsed="false">
      <c r="A5225" s="0" t="s">
        <v>128</v>
      </c>
      <c r="B5225" s="0" t="n">
        <v>31</v>
      </c>
      <c r="C5225" s="0" t="n">
        <v>1.9</v>
      </c>
      <c r="D5225" s="0" t="n">
        <v>0.091</v>
      </c>
    </row>
    <row r="5226" customFormat="false" ht="13.8" hidden="true" customHeight="false" outlineLevel="0" collapsed="false">
      <c r="A5226" s="0" t="s">
        <v>128</v>
      </c>
      <c r="B5226" s="0" t="n">
        <v>31</v>
      </c>
      <c r="C5226" s="0" t="n">
        <v>1.95</v>
      </c>
      <c r="D5226" s="0" t="n">
        <v>0.094</v>
      </c>
    </row>
    <row r="5227" customFormat="false" ht="13.8" hidden="true" customHeight="false" outlineLevel="0" collapsed="false">
      <c r="A5227" s="0" t="s">
        <v>128</v>
      </c>
      <c r="B5227" s="0" t="n">
        <v>31</v>
      </c>
      <c r="C5227" s="0" t="n">
        <v>2</v>
      </c>
      <c r="D5227" s="0" t="n">
        <v>0.098</v>
      </c>
    </row>
    <row r="5228" customFormat="false" ht="13.8" hidden="true" customHeight="false" outlineLevel="0" collapsed="false">
      <c r="A5228" s="0" t="s">
        <v>128</v>
      </c>
      <c r="B5228" s="0" t="n">
        <v>31</v>
      </c>
      <c r="C5228" s="0" t="n">
        <v>2.05</v>
      </c>
      <c r="D5228" s="0" t="n">
        <v>0.1</v>
      </c>
    </row>
    <row r="5229" customFormat="false" ht="13.8" hidden="true" customHeight="false" outlineLevel="0" collapsed="false">
      <c r="A5229" s="0" t="s">
        <v>128</v>
      </c>
      <c r="B5229" s="0" t="n">
        <v>31</v>
      </c>
      <c r="C5229" s="0" t="n">
        <v>2.1</v>
      </c>
      <c r="D5229" s="0" t="n">
        <v>0.103</v>
      </c>
    </row>
    <row r="5230" customFormat="false" ht="13.8" hidden="true" customHeight="false" outlineLevel="0" collapsed="false">
      <c r="A5230" s="0" t="s">
        <v>128</v>
      </c>
      <c r="B5230" s="0" t="n">
        <v>31</v>
      </c>
      <c r="C5230" s="0" t="n">
        <v>2.15</v>
      </c>
      <c r="D5230" s="0" t="n">
        <v>0.105222046</v>
      </c>
    </row>
    <row r="5231" customFormat="false" ht="13.8" hidden="true" customHeight="false" outlineLevel="0" collapsed="false">
      <c r="A5231" s="0" t="s">
        <v>128</v>
      </c>
      <c r="B5231" s="0" t="n">
        <v>31</v>
      </c>
      <c r="C5231" s="0" t="n">
        <v>2.2</v>
      </c>
      <c r="D5231" s="0" t="n">
        <v>0.117061757</v>
      </c>
    </row>
    <row r="5232" customFormat="false" ht="13.8" hidden="true" customHeight="false" outlineLevel="0" collapsed="false">
      <c r="A5232" s="0" t="s">
        <v>128</v>
      </c>
      <c r="B5232" s="0" t="n">
        <v>31</v>
      </c>
      <c r="C5232" s="0" t="n">
        <v>2.25</v>
      </c>
      <c r="D5232" s="0" t="n">
        <v>0.119722251</v>
      </c>
    </row>
    <row r="5233" customFormat="false" ht="13.8" hidden="true" customHeight="false" outlineLevel="0" collapsed="false">
      <c r="A5233" s="0" t="s">
        <v>128</v>
      </c>
      <c r="B5233" s="0" t="n">
        <v>31</v>
      </c>
      <c r="C5233" s="0" t="n">
        <v>2.3</v>
      </c>
      <c r="D5233" s="0" t="n">
        <v>0.122382746</v>
      </c>
    </row>
    <row r="5234" customFormat="false" ht="13.8" hidden="true" customHeight="false" outlineLevel="0" collapsed="false">
      <c r="A5234" s="0" t="s">
        <v>128</v>
      </c>
      <c r="B5234" s="0" t="n">
        <v>31</v>
      </c>
      <c r="C5234" s="0" t="n">
        <v>2.35</v>
      </c>
      <c r="D5234" s="0" t="n">
        <v>0.12504324</v>
      </c>
    </row>
    <row r="5235" customFormat="false" ht="13.8" hidden="true" customHeight="false" outlineLevel="0" collapsed="false">
      <c r="A5235" s="0" t="s">
        <v>128</v>
      </c>
      <c r="B5235" s="0" t="n">
        <v>31</v>
      </c>
      <c r="C5235" s="0" t="n">
        <v>2.4</v>
      </c>
      <c r="D5235" s="0" t="n">
        <v>0.127703735</v>
      </c>
    </row>
    <row r="5236" customFormat="false" ht="13.8" hidden="true" customHeight="false" outlineLevel="0" collapsed="false">
      <c r="A5236" s="0" t="s">
        <v>128</v>
      </c>
      <c r="B5236" s="0" t="n">
        <v>31</v>
      </c>
      <c r="C5236" s="0" t="n">
        <v>2.45</v>
      </c>
      <c r="D5236" s="0" t="n">
        <v>0.130364229</v>
      </c>
    </row>
    <row r="5237" customFormat="false" ht="13.8" hidden="true" customHeight="false" outlineLevel="0" collapsed="false">
      <c r="A5237" s="0" t="s">
        <v>128</v>
      </c>
      <c r="B5237" s="0" t="n">
        <v>31</v>
      </c>
      <c r="C5237" s="0" t="n">
        <v>2.5</v>
      </c>
      <c r="D5237" s="0" t="n">
        <v>0.133024723</v>
      </c>
    </row>
    <row r="5238" customFormat="false" ht="13.8" hidden="true" customHeight="false" outlineLevel="0" collapsed="false">
      <c r="A5238" s="0" t="s">
        <v>128</v>
      </c>
      <c r="B5238" s="0" t="n">
        <v>31</v>
      </c>
      <c r="C5238" s="0" t="n">
        <v>2.55</v>
      </c>
      <c r="D5238" s="0" t="n">
        <v>0.135685218</v>
      </c>
    </row>
    <row r="5239" customFormat="false" ht="13.8" hidden="true" customHeight="false" outlineLevel="0" collapsed="false">
      <c r="A5239" s="0" t="s">
        <v>128</v>
      </c>
      <c r="B5239" s="0" t="n">
        <v>31</v>
      </c>
      <c r="C5239" s="0" t="n">
        <v>2.6</v>
      </c>
      <c r="D5239" s="0" t="n">
        <v>0.138345712</v>
      </c>
    </row>
    <row r="5240" customFormat="false" ht="13.8" hidden="true" customHeight="false" outlineLevel="0" collapsed="false">
      <c r="A5240" s="0" t="s">
        <v>128</v>
      </c>
      <c r="B5240" s="0" t="n">
        <v>32</v>
      </c>
      <c r="C5240" s="0" t="n">
        <v>1.3</v>
      </c>
      <c r="D5240" s="0" t="n">
        <v>0</v>
      </c>
    </row>
    <row r="5241" customFormat="false" ht="13.8" hidden="true" customHeight="false" outlineLevel="0" collapsed="false">
      <c r="A5241" s="0" t="s">
        <v>128</v>
      </c>
      <c r="B5241" s="0" t="n">
        <v>32</v>
      </c>
      <c r="C5241" s="0" t="n">
        <v>1.35</v>
      </c>
      <c r="D5241" s="0" t="n">
        <v>0</v>
      </c>
    </row>
    <row r="5242" customFormat="false" ht="13.8" hidden="true" customHeight="false" outlineLevel="0" collapsed="false">
      <c r="A5242" s="0" t="s">
        <v>128</v>
      </c>
      <c r="B5242" s="0" t="n">
        <v>32</v>
      </c>
      <c r="C5242" s="0" t="n">
        <v>1.4</v>
      </c>
      <c r="D5242" s="0" t="n">
        <v>0</v>
      </c>
    </row>
    <row r="5243" customFormat="false" ht="13.8" hidden="true" customHeight="false" outlineLevel="0" collapsed="false">
      <c r="A5243" s="0" t="s">
        <v>128</v>
      </c>
      <c r="B5243" s="0" t="n">
        <v>32</v>
      </c>
      <c r="C5243" s="0" t="n">
        <v>1.45</v>
      </c>
      <c r="D5243" s="0" t="n">
        <v>0</v>
      </c>
    </row>
    <row r="5244" customFormat="false" ht="13.8" hidden="true" customHeight="false" outlineLevel="0" collapsed="false">
      <c r="A5244" s="0" t="s">
        <v>128</v>
      </c>
      <c r="B5244" s="0" t="n">
        <v>32</v>
      </c>
      <c r="C5244" s="0" t="n">
        <v>1.5</v>
      </c>
      <c r="D5244" s="0" t="n">
        <v>0</v>
      </c>
    </row>
    <row r="5245" customFormat="false" ht="13.8" hidden="true" customHeight="false" outlineLevel="0" collapsed="false">
      <c r="A5245" s="0" t="s">
        <v>128</v>
      </c>
      <c r="B5245" s="0" t="n">
        <v>32</v>
      </c>
      <c r="C5245" s="0" t="n">
        <v>1.55</v>
      </c>
      <c r="D5245" s="0" t="n">
        <v>0</v>
      </c>
    </row>
    <row r="5246" customFormat="false" ht="13.8" hidden="true" customHeight="false" outlineLevel="0" collapsed="false">
      <c r="A5246" s="0" t="s">
        <v>128</v>
      </c>
      <c r="B5246" s="0" t="n">
        <v>32</v>
      </c>
      <c r="C5246" s="0" t="n">
        <v>1.6</v>
      </c>
      <c r="D5246" s="0" t="n">
        <v>0.076</v>
      </c>
    </row>
    <row r="5247" customFormat="false" ht="13.8" hidden="true" customHeight="false" outlineLevel="0" collapsed="false">
      <c r="A5247" s="0" t="s">
        <v>128</v>
      </c>
      <c r="B5247" s="0" t="n">
        <v>32</v>
      </c>
      <c r="C5247" s="0" t="n">
        <v>1.65</v>
      </c>
      <c r="D5247" s="0" t="n">
        <v>0.078</v>
      </c>
    </row>
    <row r="5248" customFormat="false" ht="13.8" hidden="true" customHeight="false" outlineLevel="0" collapsed="false">
      <c r="A5248" s="0" t="s">
        <v>128</v>
      </c>
      <c r="B5248" s="0" t="n">
        <v>32</v>
      </c>
      <c r="C5248" s="0" t="n">
        <v>1.7</v>
      </c>
      <c r="D5248" s="0" t="n">
        <v>0.08</v>
      </c>
    </row>
    <row r="5249" customFormat="false" ht="13.8" hidden="true" customHeight="false" outlineLevel="0" collapsed="false">
      <c r="A5249" s="0" t="s">
        <v>128</v>
      </c>
      <c r="B5249" s="0" t="n">
        <v>32</v>
      </c>
      <c r="C5249" s="0" t="n">
        <v>1.75</v>
      </c>
      <c r="D5249" s="0" t="n">
        <v>0.083</v>
      </c>
    </row>
    <row r="5250" customFormat="false" ht="13.8" hidden="true" customHeight="false" outlineLevel="0" collapsed="false">
      <c r="A5250" s="0" t="s">
        <v>128</v>
      </c>
      <c r="B5250" s="0" t="n">
        <v>32</v>
      </c>
      <c r="C5250" s="0" t="n">
        <v>1.8</v>
      </c>
      <c r="D5250" s="0" t="n">
        <v>0.087</v>
      </c>
    </row>
    <row r="5251" customFormat="false" ht="13.8" hidden="true" customHeight="false" outlineLevel="0" collapsed="false">
      <c r="A5251" s="0" t="s">
        <v>128</v>
      </c>
      <c r="B5251" s="0" t="n">
        <v>32</v>
      </c>
      <c r="C5251" s="0" t="n">
        <v>1.85</v>
      </c>
      <c r="D5251" s="0" t="n">
        <v>0.089</v>
      </c>
    </row>
    <row r="5252" customFormat="false" ht="13.8" hidden="true" customHeight="false" outlineLevel="0" collapsed="false">
      <c r="A5252" s="0" t="s">
        <v>128</v>
      </c>
      <c r="B5252" s="0" t="n">
        <v>32</v>
      </c>
      <c r="C5252" s="0" t="n">
        <v>1.9</v>
      </c>
      <c r="D5252" s="0" t="n">
        <v>0.091</v>
      </c>
    </row>
    <row r="5253" customFormat="false" ht="13.8" hidden="true" customHeight="false" outlineLevel="0" collapsed="false">
      <c r="A5253" s="0" t="s">
        <v>128</v>
      </c>
      <c r="B5253" s="0" t="n">
        <v>32</v>
      </c>
      <c r="C5253" s="0" t="n">
        <v>1.95</v>
      </c>
      <c r="D5253" s="0" t="n">
        <v>0.094</v>
      </c>
    </row>
    <row r="5254" customFormat="false" ht="13.8" hidden="true" customHeight="false" outlineLevel="0" collapsed="false">
      <c r="A5254" s="0" t="s">
        <v>128</v>
      </c>
      <c r="B5254" s="0" t="n">
        <v>32</v>
      </c>
      <c r="C5254" s="0" t="n">
        <v>2</v>
      </c>
      <c r="D5254" s="0" t="n">
        <v>0.098</v>
      </c>
    </row>
    <row r="5255" customFormat="false" ht="13.8" hidden="true" customHeight="false" outlineLevel="0" collapsed="false">
      <c r="A5255" s="0" t="s">
        <v>128</v>
      </c>
      <c r="B5255" s="0" t="n">
        <v>32</v>
      </c>
      <c r="C5255" s="0" t="n">
        <v>2.05</v>
      </c>
      <c r="D5255" s="0" t="n">
        <v>0.1</v>
      </c>
    </row>
    <row r="5256" customFormat="false" ht="13.8" hidden="true" customHeight="false" outlineLevel="0" collapsed="false">
      <c r="A5256" s="0" t="s">
        <v>128</v>
      </c>
      <c r="B5256" s="0" t="n">
        <v>32</v>
      </c>
      <c r="C5256" s="0" t="n">
        <v>2.1</v>
      </c>
      <c r="D5256" s="0" t="n">
        <v>0.103</v>
      </c>
    </row>
    <row r="5257" customFormat="false" ht="13.8" hidden="true" customHeight="false" outlineLevel="0" collapsed="false">
      <c r="A5257" s="0" t="s">
        <v>128</v>
      </c>
      <c r="B5257" s="0" t="n">
        <v>32</v>
      </c>
      <c r="C5257" s="0" t="n">
        <v>2.15</v>
      </c>
      <c r="D5257" s="0" t="n">
        <v>0.105222046</v>
      </c>
    </row>
    <row r="5258" customFormat="false" ht="13.8" hidden="true" customHeight="false" outlineLevel="0" collapsed="false">
      <c r="A5258" s="0" t="s">
        <v>128</v>
      </c>
      <c r="B5258" s="0" t="n">
        <v>32</v>
      </c>
      <c r="C5258" s="0" t="n">
        <v>2.2</v>
      </c>
      <c r="D5258" s="0" t="n">
        <v>0.117061757</v>
      </c>
    </row>
    <row r="5259" customFormat="false" ht="13.8" hidden="true" customHeight="false" outlineLevel="0" collapsed="false">
      <c r="A5259" s="0" t="s">
        <v>128</v>
      </c>
      <c r="B5259" s="0" t="n">
        <v>32</v>
      </c>
      <c r="C5259" s="0" t="n">
        <v>2.25</v>
      </c>
      <c r="D5259" s="0" t="n">
        <v>0.119722251</v>
      </c>
    </row>
    <row r="5260" customFormat="false" ht="13.8" hidden="true" customHeight="false" outlineLevel="0" collapsed="false">
      <c r="A5260" s="0" t="s">
        <v>128</v>
      </c>
      <c r="B5260" s="0" t="n">
        <v>32</v>
      </c>
      <c r="C5260" s="0" t="n">
        <v>2.3</v>
      </c>
      <c r="D5260" s="0" t="n">
        <v>0.122382746</v>
      </c>
    </row>
    <row r="5261" customFormat="false" ht="13.8" hidden="true" customHeight="false" outlineLevel="0" collapsed="false">
      <c r="A5261" s="0" t="s">
        <v>128</v>
      </c>
      <c r="B5261" s="0" t="n">
        <v>32</v>
      </c>
      <c r="C5261" s="0" t="n">
        <v>2.35</v>
      </c>
      <c r="D5261" s="0" t="n">
        <v>0.12504324</v>
      </c>
    </row>
    <row r="5262" customFormat="false" ht="13.8" hidden="true" customHeight="false" outlineLevel="0" collapsed="false">
      <c r="A5262" s="0" t="s">
        <v>128</v>
      </c>
      <c r="B5262" s="0" t="n">
        <v>32</v>
      </c>
      <c r="C5262" s="0" t="n">
        <v>2.4</v>
      </c>
      <c r="D5262" s="0" t="n">
        <v>0.127703735</v>
      </c>
    </row>
    <row r="5263" customFormat="false" ht="13.8" hidden="true" customHeight="false" outlineLevel="0" collapsed="false">
      <c r="A5263" s="0" t="s">
        <v>128</v>
      </c>
      <c r="B5263" s="0" t="n">
        <v>32</v>
      </c>
      <c r="C5263" s="0" t="n">
        <v>2.45</v>
      </c>
      <c r="D5263" s="0" t="n">
        <v>0.130364229</v>
      </c>
    </row>
    <row r="5264" customFormat="false" ht="13.8" hidden="true" customHeight="false" outlineLevel="0" collapsed="false">
      <c r="A5264" s="0" t="s">
        <v>128</v>
      </c>
      <c r="B5264" s="0" t="n">
        <v>32</v>
      </c>
      <c r="C5264" s="0" t="n">
        <v>2.5</v>
      </c>
      <c r="D5264" s="0" t="n">
        <v>0.133024723</v>
      </c>
    </row>
    <row r="5265" customFormat="false" ht="13.8" hidden="true" customHeight="false" outlineLevel="0" collapsed="false">
      <c r="A5265" s="0" t="s">
        <v>128</v>
      </c>
      <c r="B5265" s="0" t="n">
        <v>32</v>
      </c>
      <c r="C5265" s="0" t="n">
        <v>2.55</v>
      </c>
      <c r="D5265" s="0" t="n">
        <v>0.135685218</v>
      </c>
    </row>
    <row r="5266" customFormat="false" ht="13.8" hidden="true" customHeight="false" outlineLevel="0" collapsed="false">
      <c r="A5266" s="0" t="s">
        <v>128</v>
      </c>
      <c r="B5266" s="0" t="n">
        <v>32</v>
      </c>
      <c r="C5266" s="0" t="n">
        <v>2.6</v>
      </c>
      <c r="D5266" s="0" t="n">
        <v>0.138345712</v>
      </c>
    </row>
    <row r="5267" customFormat="false" ht="13.8" hidden="true" customHeight="false" outlineLevel="0" collapsed="false">
      <c r="A5267" s="0" t="s">
        <v>238</v>
      </c>
      <c r="B5267" s="0" t="n">
        <v>31</v>
      </c>
      <c r="C5267" s="0" t="n">
        <v>1.3</v>
      </c>
      <c r="D5267" s="0" t="n">
        <v>0</v>
      </c>
    </row>
    <row r="5268" customFormat="false" ht="13.8" hidden="true" customHeight="false" outlineLevel="0" collapsed="false">
      <c r="A5268" s="0" t="s">
        <v>238</v>
      </c>
      <c r="B5268" s="0" t="n">
        <v>31</v>
      </c>
      <c r="C5268" s="0" t="n">
        <v>1.35</v>
      </c>
      <c r="D5268" s="0" t="n">
        <v>0</v>
      </c>
    </row>
    <row r="5269" customFormat="false" ht="13.8" hidden="true" customHeight="false" outlineLevel="0" collapsed="false">
      <c r="A5269" s="0" t="s">
        <v>238</v>
      </c>
      <c r="B5269" s="0" t="n">
        <v>31</v>
      </c>
      <c r="C5269" s="0" t="n">
        <v>1.4</v>
      </c>
      <c r="D5269" s="0" t="n">
        <v>0</v>
      </c>
    </row>
    <row r="5270" customFormat="false" ht="13.8" hidden="true" customHeight="false" outlineLevel="0" collapsed="false">
      <c r="A5270" s="0" t="s">
        <v>238</v>
      </c>
      <c r="B5270" s="0" t="n">
        <v>31</v>
      </c>
      <c r="C5270" s="0" t="n">
        <v>1.45</v>
      </c>
      <c r="D5270" s="0" t="n">
        <v>0</v>
      </c>
    </row>
    <row r="5271" customFormat="false" ht="13.8" hidden="true" customHeight="false" outlineLevel="0" collapsed="false">
      <c r="A5271" s="0" t="s">
        <v>238</v>
      </c>
      <c r="B5271" s="0" t="n">
        <v>31</v>
      </c>
      <c r="C5271" s="0" t="n">
        <v>1.5</v>
      </c>
      <c r="D5271" s="0" t="n">
        <v>0</v>
      </c>
    </row>
    <row r="5272" customFormat="false" ht="13.8" hidden="true" customHeight="false" outlineLevel="0" collapsed="false">
      <c r="A5272" s="0" t="s">
        <v>238</v>
      </c>
      <c r="B5272" s="0" t="n">
        <v>31</v>
      </c>
      <c r="C5272" s="0" t="n">
        <v>1.55</v>
      </c>
      <c r="D5272" s="0" t="n">
        <v>0</v>
      </c>
    </row>
    <row r="5273" customFormat="false" ht="13.8" hidden="true" customHeight="false" outlineLevel="0" collapsed="false">
      <c r="A5273" s="0" t="s">
        <v>238</v>
      </c>
      <c r="B5273" s="0" t="n">
        <v>31</v>
      </c>
      <c r="C5273" s="0" t="n">
        <v>1.6</v>
      </c>
      <c r="D5273" s="0" t="n">
        <v>0.076</v>
      </c>
    </row>
    <row r="5274" customFormat="false" ht="13.8" hidden="true" customHeight="false" outlineLevel="0" collapsed="false">
      <c r="A5274" s="0" t="s">
        <v>238</v>
      </c>
      <c r="B5274" s="0" t="n">
        <v>31</v>
      </c>
      <c r="C5274" s="0" t="n">
        <v>1.65</v>
      </c>
      <c r="D5274" s="0" t="n">
        <v>0.078</v>
      </c>
    </row>
    <row r="5275" customFormat="false" ht="13.8" hidden="true" customHeight="false" outlineLevel="0" collapsed="false">
      <c r="A5275" s="0" t="s">
        <v>238</v>
      </c>
      <c r="B5275" s="0" t="n">
        <v>31</v>
      </c>
      <c r="C5275" s="0" t="n">
        <v>1.7</v>
      </c>
      <c r="D5275" s="0" t="n">
        <v>0.08</v>
      </c>
    </row>
    <row r="5276" customFormat="false" ht="13.8" hidden="true" customHeight="false" outlineLevel="0" collapsed="false">
      <c r="A5276" s="0" t="s">
        <v>238</v>
      </c>
      <c r="B5276" s="0" t="n">
        <v>31</v>
      </c>
      <c r="C5276" s="0" t="n">
        <v>1.75</v>
      </c>
      <c r="D5276" s="0" t="n">
        <v>0.083</v>
      </c>
    </row>
    <row r="5277" customFormat="false" ht="13.8" hidden="true" customHeight="false" outlineLevel="0" collapsed="false">
      <c r="A5277" s="0" t="s">
        <v>238</v>
      </c>
      <c r="B5277" s="0" t="n">
        <v>31</v>
      </c>
      <c r="C5277" s="0" t="n">
        <v>1.8</v>
      </c>
      <c r="D5277" s="0" t="n">
        <v>0.087</v>
      </c>
    </row>
    <row r="5278" customFormat="false" ht="13.8" hidden="true" customHeight="false" outlineLevel="0" collapsed="false">
      <c r="A5278" s="0" t="s">
        <v>238</v>
      </c>
      <c r="B5278" s="0" t="n">
        <v>31</v>
      </c>
      <c r="C5278" s="0" t="n">
        <v>1.85</v>
      </c>
      <c r="D5278" s="0" t="n">
        <v>0.089</v>
      </c>
    </row>
    <row r="5279" customFormat="false" ht="13.8" hidden="true" customHeight="false" outlineLevel="0" collapsed="false">
      <c r="A5279" s="0" t="s">
        <v>238</v>
      </c>
      <c r="B5279" s="0" t="n">
        <v>31</v>
      </c>
      <c r="C5279" s="0" t="n">
        <v>1.9</v>
      </c>
      <c r="D5279" s="0" t="n">
        <v>0.091</v>
      </c>
    </row>
    <row r="5280" customFormat="false" ht="13.8" hidden="true" customHeight="false" outlineLevel="0" collapsed="false">
      <c r="A5280" s="0" t="s">
        <v>238</v>
      </c>
      <c r="B5280" s="0" t="n">
        <v>31</v>
      </c>
      <c r="C5280" s="0" t="n">
        <v>1.95</v>
      </c>
      <c r="D5280" s="0" t="n">
        <v>0.094</v>
      </c>
    </row>
    <row r="5281" customFormat="false" ht="13.8" hidden="true" customHeight="false" outlineLevel="0" collapsed="false">
      <c r="A5281" s="0" t="s">
        <v>238</v>
      </c>
      <c r="B5281" s="0" t="n">
        <v>31</v>
      </c>
      <c r="C5281" s="0" t="n">
        <v>2</v>
      </c>
      <c r="D5281" s="0" t="n">
        <v>0.098</v>
      </c>
    </row>
    <row r="5282" customFormat="false" ht="13.8" hidden="true" customHeight="false" outlineLevel="0" collapsed="false">
      <c r="A5282" s="0" t="s">
        <v>238</v>
      </c>
      <c r="B5282" s="0" t="n">
        <v>31</v>
      </c>
      <c r="C5282" s="0" t="n">
        <v>2.05</v>
      </c>
      <c r="D5282" s="0" t="n">
        <v>0.1</v>
      </c>
    </row>
    <row r="5283" customFormat="false" ht="13.8" hidden="true" customHeight="false" outlineLevel="0" collapsed="false">
      <c r="A5283" s="0" t="s">
        <v>238</v>
      </c>
      <c r="B5283" s="0" t="n">
        <v>31</v>
      </c>
      <c r="C5283" s="0" t="n">
        <v>2.1</v>
      </c>
      <c r="D5283" s="0" t="n">
        <v>0.103</v>
      </c>
    </row>
    <row r="5284" customFormat="false" ht="13.8" hidden="true" customHeight="false" outlineLevel="0" collapsed="false">
      <c r="A5284" s="0" t="s">
        <v>238</v>
      </c>
      <c r="B5284" s="0" t="n">
        <v>31</v>
      </c>
      <c r="C5284" s="0" t="n">
        <v>2.15</v>
      </c>
      <c r="D5284" s="0" t="n">
        <v>0.105222046</v>
      </c>
    </row>
    <row r="5285" customFormat="false" ht="13.8" hidden="true" customHeight="false" outlineLevel="0" collapsed="false">
      <c r="A5285" s="0" t="s">
        <v>238</v>
      </c>
      <c r="B5285" s="0" t="n">
        <v>31</v>
      </c>
      <c r="C5285" s="0" t="n">
        <v>2.2</v>
      </c>
      <c r="D5285" s="0" t="n">
        <v>0.117061757</v>
      </c>
    </row>
    <row r="5286" customFormat="false" ht="13.8" hidden="true" customHeight="false" outlineLevel="0" collapsed="false">
      <c r="A5286" s="0" t="s">
        <v>238</v>
      </c>
      <c r="B5286" s="0" t="n">
        <v>31</v>
      </c>
      <c r="C5286" s="0" t="n">
        <v>2.25</v>
      </c>
      <c r="D5286" s="0" t="n">
        <v>0.119722251</v>
      </c>
    </row>
    <row r="5287" customFormat="false" ht="13.8" hidden="true" customHeight="false" outlineLevel="0" collapsed="false">
      <c r="A5287" s="0" t="s">
        <v>238</v>
      </c>
      <c r="B5287" s="0" t="n">
        <v>31</v>
      </c>
      <c r="C5287" s="0" t="n">
        <v>2.3</v>
      </c>
      <c r="D5287" s="0" t="n">
        <v>0.122382746</v>
      </c>
    </row>
    <row r="5288" customFormat="false" ht="13.8" hidden="true" customHeight="false" outlineLevel="0" collapsed="false">
      <c r="A5288" s="0" t="s">
        <v>238</v>
      </c>
      <c r="B5288" s="0" t="n">
        <v>31</v>
      </c>
      <c r="C5288" s="0" t="n">
        <v>2.35</v>
      </c>
      <c r="D5288" s="0" t="n">
        <v>0.12504324</v>
      </c>
    </row>
    <row r="5289" customFormat="false" ht="13.8" hidden="true" customHeight="false" outlineLevel="0" collapsed="false">
      <c r="A5289" s="0" t="s">
        <v>238</v>
      </c>
      <c r="B5289" s="0" t="n">
        <v>31</v>
      </c>
      <c r="C5289" s="0" t="n">
        <v>2.4</v>
      </c>
      <c r="D5289" s="0" t="n">
        <v>0.127703735</v>
      </c>
    </row>
    <row r="5290" customFormat="false" ht="13.8" hidden="true" customHeight="false" outlineLevel="0" collapsed="false">
      <c r="A5290" s="0" t="s">
        <v>238</v>
      </c>
      <c r="B5290" s="0" t="n">
        <v>31</v>
      </c>
      <c r="C5290" s="0" t="n">
        <v>2.45</v>
      </c>
      <c r="D5290" s="0" t="n">
        <v>0.130364229</v>
      </c>
    </row>
    <row r="5291" customFormat="false" ht="13.8" hidden="true" customHeight="false" outlineLevel="0" collapsed="false">
      <c r="A5291" s="0" t="s">
        <v>238</v>
      </c>
      <c r="B5291" s="0" t="n">
        <v>31</v>
      </c>
      <c r="C5291" s="0" t="n">
        <v>2.5</v>
      </c>
      <c r="D5291" s="0" t="n">
        <v>0.133024723</v>
      </c>
    </row>
    <row r="5292" customFormat="false" ht="13.8" hidden="true" customHeight="false" outlineLevel="0" collapsed="false">
      <c r="A5292" s="0" t="s">
        <v>238</v>
      </c>
      <c r="B5292" s="0" t="n">
        <v>31</v>
      </c>
      <c r="C5292" s="0" t="n">
        <v>2.55</v>
      </c>
      <c r="D5292" s="0" t="n">
        <v>0.135685218</v>
      </c>
    </row>
    <row r="5293" customFormat="false" ht="13.8" hidden="true" customHeight="false" outlineLevel="0" collapsed="false">
      <c r="A5293" s="0" t="s">
        <v>238</v>
      </c>
      <c r="B5293" s="0" t="n">
        <v>31</v>
      </c>
      <c r="C5293" s="0" t="n">
        <v>2.6</v>
      </c>
      <c r="D5293" s="0" t="n">
        <v>0.138345712</v>
      </c>
    </row>
    <row r="5294" customFormat="false" ht="13.8" hidden="true" customHeight="false" outlineLevel="0" collapsed="false">
      <c r="A5294" s="0" t="s">
        <v>238</v>
      </c>
      <c r="B5294" s="0" t="n">
        <v>32</v>
      </c>
      <c r="C5294" s="0" t="n">
        <v>1.3</v>
      </c>
      <c r="D5294" s="0" t="n">
        <v>0</v>
      </c>
    </row>
    <row r="5295" customFormat="false" ht="13.8" hidden="true" customHeight="false" outlineLevel="0" collapsed="false">
      <c r="A5295" s="0" t="s">
        <v>238</v>
      </c>
      <c r="B5295" s="0" t="n">
        <v>32</v>
      </c>
      <c r="C5295" s="0" t="n">
        <v>1.35</v>
      </c>
      <c r="D5295" s="0" t="n">
        <v>0</v>
      </c>
    </row>
    <row r="5296" customFormat="false" ht="13.8" hidden="true" customHeight="false" outlineLevel="0" collapsed="false">
      <c r="A5296" s="0" t="s">
        <v>238</v>
      </c>
      <c r="B5296" s="0" t="n">
        <v>32</v>
      </c>
      <c r="C5296" s="0" t="n">
        <v>1.4</v>
      </c>
      <c r="D5296" s="0" t="n">
        <v>0</v>
      </c>
    </row>
    <row r="5297" customFormat="false" ht="13.8" hidden="true" customHeight="false" outlineLevel="0" collapsed="false">
      <c r="A5297" s="0" t="s">
        <v>238</v>
      </c>
      <c r="B5297" s="0" t="n">
        <v>32</v>
      </c>
      <c r="C5297" s="0" t="n">
        <v>1.45</v>
      </c>
      <c r="D5297" s="0" t="n">
        <v>0</v>
      </c>
    </row>
    <row r="5298" customFormat="false" ht="13.8" hidden="true" customHeight="false" outlineLevel="0" collapsed="false">
      <c r="A5298" s="0" t="s">
        <v>238</v>
      </c>
      <c r="B5298" s="0" t="n">
        <v>32</v>
      </c>
      <c r="C5298" s="0" t="n">
        <v>1.5</v>
      </c>
      <c r="D5298" s="0" t="n">
        <v>0</v>
      </c>
    </row>
    <row r="5299" customFormat="false" ht="13.8" hidden="true" customHeight="false" outlineLevel="0" collapsed="false">
      <c r="A5299" s="0" t="s">
        <v>238</v>
      </c>
      <c r="B5299" s="0" t="n">
        <v>32</v>
      </c>
      <c r="C5299" s="0" t="n">
        <v>1.55</v>
      </c>
      <c r="D5299" s="0" t="n">
        <v>0</v>
      </c>
    </row>
    <row r="5300" customFormat="false" ht="13.8" hidden="true" customHeight="false" outlineLevel="0" collapsed="false">
      <c r="A5300" s="0" t="s">
        <v>238</v>
      </c>
      <c r="B5300" s="0" t="n">
        <v>32</v>
      </c>
      <c r="C5300" s="0" t="n">
        <v>1.6</v>
      </c>
      <c r="D5300" s="0" t="n">
        <v>0.076</v>
      </c>
    </row>
    <row r="5301" customFormat="false" ht="13.8" hidden="true" customHeight="false" outlineLevel="0" collapsed="false">
      <c r="A5301" s="0" t="s">
        <v>238</v>
      </c>
      <c r="B5301" s="0" t="n">
        <v>32</v>
      </c>
      <c r="C5301" s="0" t="n">
        <v>1.65</v>
      </c>
      <c r="D5301" s="0" t="n">
        <v>0.078</v>
      </c>
    </row>
    <row r="5302" customFormat="false" ht="13.8" hidden="true" customHeight="false" outlineLevel="0" collapsed="false">
      <c r="A5302" s="0" t="s">
        <v>238</v>
      </c>
      <c r="B5302" s="0" t="n">
        <v>32</v>
      </c>
      <c r="C5302" s="0" t="n">
        <v>1.7</v>
      </c>
      <c r="D5302" s="0" t="n">
        <v>0.08</v>
      </c>
    </row>
    <row r="5303" customFormat="false" ht="13.8" hidden="true" customHeight="false" outlineLevel="0" collapsed="false">
      <c r="A5303" s="0" t="s">
        <v>238</v>
      </c>
      <c r="B5303" s="0" t="n">
        <v>32</v>
      </c>
      <c r="C5303" s="0" t="n">
        <v>1.75</v>
      </c>
      <c r="D5303" s="0" t="n">
        <v>0.083</v>
      </c>
    </row>
    <row r="5304" customFormat="false" ht="13.8" hidden="true" customHeight="false" outlineLevel="0" collapsed="false">
      <c r="A5304" s="0" t="s">
        <v>238</v>
      </c>
      <c r="B5304" s="0" t="n">
        <v>32</v>
      </c>
      <c r="C5304" s="0" t="n">
        <v>1.8</v>
      </c>
      <c r="D5304" s="0" t="n">
        <v>0.087</v>
      </c>
    </row>
    <row r="5305" customFormat="false" ht="13.8" hidden="true" customHeight="false" outlineLevel="0" collapsed="false">
      <c r="A5305" s="0" t="s">
        <v>238</v>
      </c>
      <c r="B5305" s="0" t="n">
        <v>32</v>
      </c>
      <c r="C5305" s="0" t="n">
        <v>1.85</v>
      </c>
      <c r="D5305" s="0" t="n">
        <v>0.089</v>
      </c>
    </row>
    <row r="5306" customFormat="false" ht="13.8" hidden="true" customHeight="false" outlineLevel="0" collapsed="false">
      <c r="A5306" s="0" t="s">
        <v>238</v>
      </c>
      <c r="B5306" s="0" t="n">
        <v>32</v>
      </c>
      <c r="C5306" s="0" t="n">
        <v>1.9</v>
      </c>
      <c r="D5306" s="0" t="n">
        <v>0.091</v>
      </c>
    </row>
    <row r="5307" customFormat="false" ht="13.8" hidden="true" customHeight="false" outlineLevel="0" collapsed="false">
      <c r="A5307" s="0" t="s">
        <v>238</v>
      </c>
      <c r="B5307" s="0" t="n">
        <v>32</v>
      </c>
      <c r="C5307" s="0" t="n">
        <v>1.95</v>
      </c>
      <c r="D5307" s="0" t="n">
        <v>0.094</v>
      </c>
    </row>
    <row r="5308" customFormat="false" ht="13.8" hidden="true" customHeight="false" outlineLevel="0" collapsed="false">
      <c r="A5308" s="0" t="s">
        <v>238</v>
      </c>
      <c r="B5308" s="0" t="n">
        <v>32</v>
      </c>
      <c r="C5308" s="0" t="n">
        <v>2</v>
      </c>
      <c r="D5308" s="0" t="n">
        <v>0.098</v>
      </c>
    </row>
    <row r="5309" customFormat="false" ht="13.8" hidden="true" customHeight="false" outlineLevel="0" collapsed="false">
      <c r="A5309" s="0" t="s">
        <v>238</v>
      </c>
      <c r="B5309" s="0" t="n">
        <v>32</v>
      </c>
      <c r="C5309" s="0" t="n">
        <v>2.05</v>
      </c>
      <c r="D5309" s="0" t="n">
        <v>0.1</v>
      </c>
    </row>
    <row r="5310" customFormat="false" ht="13.8" hidden="true" customHeight="false" outlineLevel="0" collapsed="false">
      <c r="A5310" s="0" t="s">
        <v>238</v>
      </c>
      <c r="B5310" s="0" t="n">
        <v>32</v>
      </c>
      <c r="C5310" s="0" t="n">
        <v>2.1</v>
      </c>
      <c r="D5310" s="0" t="n">
        <v>0.103</v>
      </c>
    </row>
    <row r="5311" customFormat="false" ht="13.8" hidden="true" customHeight="false" outlineLevel="0" collapsed="false">
      <c r="A5311" s="0" t="s">
        <v>238</v>
      </c>
      <c r="B5311" s="0" t="n">
        <v>32</v>
      </c>
      <c r="C5311" s="0" t="n">
        <v>2.15</v>
      </c>
      <c r="D5311" s="0" t="n">
        <v>0.105222046</v>
      </c>
    </row>
    <row r="5312" customFormat="false" ht="13.8" hidden="true" customHeight="false" outlineLevel="0" collapsed="false">
      <c r="A5312" s="0" t="s">
        <v>238</v>
      </c>
      <c r="B5312" s="0" t="n">
        <v>32</v>
      </c>
      <c r="C5312" s="0" t="n">
        <v>2.2</v>
      </c>
      <c r="D5312" s="0" t="n">
        <v>0.117061757</v>
      </c>
    </row>
    <row r="5313" customFormat="false" ht="13.8" hidden="true" customHeight="false" outlineLevel="0" collapsed="false">
      <c r="A5313" s="0" t="s">
        <v>238</v>
      </c>
      <c r="B5313" s="0" t="n">
        <v>32</v>
      </c>
      <c r="C5313" s="0" t="n">
        <v>2.25</v>
      </c>
      <c r="D5313" s="0" t="n">
        <v>0.119722251</v>
      </c>
    </row>
    <row r="5314" customFormat="false" ht="13.8" hidden="true" customHeight="false" outlineLevel="0" collapsed="false">
      <c r="A5314" s="0" t="s">
        <v>238</v>
      </c>
      <c r="B5314" s="0" t="n">
        <v>32</v>
      </c>
      <c r="C5314" s="0" t="n">
        <v>2.3</v>
      </c>
      <c r="D5314" s="0" t="n">
        <v>0.122382746</v>
      </c>
    </row>
    <row r="5315" customFormat="false" ht="13.8" hidden="true" customHeight="false" outlineLevel="0" collapsed="false">
      <c r="A5315" s="0" t="s">
        <v>238</v>
      </c>
      <c r="B5315" s="0" t="n">
        <v>32</v>
      </c>
      <c r="C5315" s="0" t="n">
        <v>2.35</v>
      </c>
      <c r="D5315" s="0" t="n">
        <v>0.12504324</v>
      </c>
    </row>
    <row r="5316" customFormat="false" ht="13.8" hidden="true" customHeight="false" outlineLevel="0" collapsed="false">
      <c r="A5316" s="0" t="s">
        <v>238</v>
      </c>
      <c r="B5316" s="0" t="n">
        <v>32</v>
      </c>
      <c r="C5316" s="0" t="n">
        <v>2.4</v>
      </c>
      <c r="D5316" s="0" t="n">
        <v>0.127703735</v>
      </c>
    </row>
    <row r="5317" customFormat="false" ht="13.8" hidden="true" customHeight="false" outlineLevel="0" collapsed="false">
      <c r="A5317" s="0" t="s">
        <v>238</v>
      </c>
      <c r="B5317" s="0" t="n">
        <v>32</v>
      </c>
      <c r="C5317" s="0" t="n">
        <v>2.45</v>
      </c>
      <c r="D5317" s="0" t="n">
        <v>0.130364229</v>
      </c>
    </row>
    <row r="5318" customFormat="false" ht="13.8" hidden="true" customHeight="false" outlineLevel="0" collapsed="false">
      <c r="A5318" s="0" t="s">
        <v>238</v>
      </c>
      <c r="B5318" s="0" t="n">
        <v>32</v>
      </c>
      <c r="C5318" s="0" t="n">
        <v>2.5</v>
      </c>
      <c r="D5318" s="0" t="n">
        <v>0.133024723</v>
      </c>
    </row>
    <row r="5319" customFormat="false" ht="13.8" hidden="true" customHeight="false" outlineLevel="0" collapsed="false">
      <c r="A5319" s="0" t="s">
        <v>238</v>
      </c>
      <c r="B5319" s="0" t="n">
        <v>32</v>
      </c>
      <c r="C5319" s="0" t="n">
        <v>2.55</v>
      </c>
      <c r="D5319" s="0" t="n">
        <v>0.135685218</v>
      </c>
    </row>
    <row r="5320" customFormat="false" ht="13.8" hidden="true" customHeight="false" outlineLevel="0" collapsed="false">
      <c r="A5320" s="0" t="s">
        <v>238</v>
      </c>
      <c r="B5320" s="0" t="n">
        <v>32</v>
      </c>
      <c r="C5320" s="0" t="n">
        <v>2.6</v>
      </c>
      <c r="D5320" s="0" t="n">
        <v>0.138345712</v>
      </c>
    </row>
    <row r="5321" customFormat="false" ht="13.8" hidden="true" customHeight="false" outlineLevel="0" collapsed="false">
      <c r="A5321" s="0" t="s">
        <v>239</v>
      </c>
      <c r="B5321" s="0" t="n">
        <v>33</v>
      </c>
      <c r="C5321" s="0" t="n">
        <v>1.3</v>
      </c>
      <c r="D5321" s="0" t="n">
        <v>0</v>
      </c>
    </row>
    <row r="5322" customFormat="false" ht="13.8" hidden="true" customHeight="false" outlineLevel="0" collapsed="false">
      <c r="A5322" s="0" t="s">
        <v>239</v>
      </c>
      <c r="B5322" s="0" t="n">
        <v>33</v>
      </c>
      <c r="C5322" s="0" t="n">
        <v>1.35</v>
      </c>
      <c r="D5322" s="0" t="n">
        <v>0</v>
      </c>
    </row>
    <row r="5323" customFormat="false" ht="13.8" hidden="true" customHeight="false" outlineLevel="0" collapsed="false">
      <c r="A5323" s="0" t="s">
        <v>239</v>
      </c>
      <c r="B5323" s="0" t="n">
        <v>33</v>
      </c>
      <c r="C5323" s="0" t="n">
        <v>1.4</v>
      </c>
      <c r="D5323" s="0" t="n">
        <v>0</v>
      </c>
    </row>
    <row r="5324" customFormat="false" ht="13.8" hidden="true" customHeight="false" outlineLevel="0" collapsed="false">
      <c r="A5324" s="0" t="s">
        <v>239</v>
      </c>
      <c r="B5324" s="0" t="n">
        <v>33</v>
      </c>
      <c r="C5324" s="0" t="n">
        <v>1.45</v>
      </c>
      <c r="D5324" s="0" t="n">
        <v>0</v>
      </c>
    </row>
    <row r="5325" customFormat="false" ht="13.8" hidden="true" customHeight="false" outlineLevel="0" collapsed="false">
      <c r="A5325" s="0" t="s">
        <v>239</v>
      </c>
      <c r="B5325" s="0" t="n">
        <v>33</v>
      </c>
      <c r="C5325" s="0" t="n">
        <v>1.5</v>
      </c>
      <c r="D5325" s="0" t="n">
        <v>0</v>
      </c>
    </row>
    <row r="5326" customFormat="false" ht="13.8" hidden="true" customHeight="false" outlineLevel="0" collapsed="false">
      <c r="A5326" s="0" t="s">
        <v>239</v>
      </c>
      <c r="B5326" s="0" t="n">
        <v>33</v>
      </c>
      <c r="C5326" s="0" t="n">
        <v>1.55</v>
      </c>
      <c r="D5326" s="0" t="n">
        <v>0</v>
      </c>
    </row>
    <row r="5327" customFormat="false" ht="13.8" hidden="true" customHeight="false" outlineLevel="0" collapsed="false">
      <c r="A5327" s="0" t="s">
        <v>239</v>
      </c>
      <c r="B5327" s="0" t="n">
        <v>33</v>
      </c>
      <c r="C5327" s="0" t="n">
        <v>1.6</v>
      </c>
      <c r="D5327" s="0" t="n">
        <v>0.126768484</v>
      </c>
    </row>
    <row r="5328" customFormat="false" ht="13.8" hidden="true" customHeight="false" outlineLevel="0" collapsed="false">
      <c r="A5328" s="0" t="s">
        <v>239</v>
      </c>
      <c r="B5328" s="0" t="n">
        <v>33</v>
      </c>
      <c r="C5328" s="0" t="n">
        <v>1.65</v>
      </c>
      <c r="D5328" s="0" t="n">
        <v>0.130729999</v>
      </c>
    </row>
    <row r="5329" customFormat="false" ht="13.8" hidden="true" customHeight="false" outlineLevel="0" collapsed="false">
      <c r="A5329" s="0" t="s">
        <v>239</v>
      </c>
      <c r="B5329" s="0" t="n">
        <v>33</v>
      </c>
      <c r="C5329" s="0" t="n">
        <v>1.7</v>
      </c>
      <c r="D5329" s="0" t="n">
        <v>0.134691514</v>
      </c>
    </row>
    <row r="5330" customFormat="false" ht="13.8" hidden="true" customHeight="false" outlineLevel="0" collapsed="false">
      <c r="A5330" s="0" t="s">
        <v>239</v>
      </c>
      <c r="B5330" s="0" t="n">
        <v>33</v>
      </c>
      <c r="C5330" s="0" t="n">
        <v>1.75</v>
      </c>
      <c r="D5330" s="0" t="n">
        <v>0.138653029</v>
      </c>
    </row>
    <row r="5331" customFormat="false" ht="13.8" hidden="true" customHeight="false" outlineLevel="0" collapsed="false">
      <c r="A5331" s="0" t="s">
        <v>239</v>
      </c>
      <c r="B5331" s="0" t="n">
        <v>33</v>
      </c>
      <c r="C5331" s="0" t="n">
        <v>1.8</v>
      </c>
      <c r="D5331" s="0" t="n">
        <v>0.143092499</v>
      </c>
    </row>
    <row r="5332" customFormat="false" ht="13.8" hidden="true" customHeight="false" outlineLevel="0" collapsed="false">
      <c r="A5332" s="0" t="s">
        <v>239</v>
      </c>
      <c r="B5332" s="0" t="n">
        <v>33</v>
      </c>
      <c r="C5332" s="0" t="n">
        <v>1.85</v>
      </c>
      <c r="D5332" s="0" t="n">
        <v>0.14706729</v>
      </c>
    </row>
    <row r="5333" customFormat="false" ht="13.8" hidden="true" customHeight="false" outlineLevel="0" collapsed="false">
      <c r="A5333" s="0" t="s">
        <v>239</v>
      </c>
      <c r="B5333" s="0" t="n">
        <v>33</v>
      </c>
      <c r="C5333" s="0" t="n">
        <v>1.9</v>
      </c>
      <c r="D5333" s="0" t="n">
        <v>0.151042082</v>
      </c>
    </row>
    <row r="5334" customFormat="false" ht="13.8" hidden="true" customHeight="false" outlineLevel="0" collapsed="false">
      <c r="A5334" s="0" t="s">
        <v>239</v>
      </c>
      <c r="B5334" s="0" t="n">
        <v>33</v>
      </c>
      <c r="C5334" s="0" t="n">
        <v>1.95</v>
      </c>
      <c r="D5334" s="0" t="n">
        <v>0.155016874</v>
      </c>
    </row>
    <row r="5335" customFormat="false" ht="13.8" hidden="true" customHeight="false" outlineLevel="0" collapsed="false">
      <c r="A5335" s="0" t="s">
        <v>239</v>
      </c>
      <c r="B5335" s="0" t="n">
        <v>33</v>
      </c>
      <c r="C5335" s="0" t="n">
        <v>2</v>
      </c>
      <c r="D5335" s="0" t="n">
        <v>0.159522726</v>
      </c>
    </row>
    <row r="5336" customFormat="false" ht="13.8" hidden="true" customHeight="false" outlineLevel="0" collapsed="false">
      <c r="A5336" s="0" t="s">
        <v>239</v>
      </c>
      <c r="B5336" s="0" t="n">
        <v>33</v>
      </c>
      <c r="C5336" s="0" t="n">
        <v>2.05</v>
      </c>
      <c r="D5336" s="0" t="n">
        <v>0.163510794</v>
      </c>
    </row>
    <row r="5337" customFormat="false" ht="13.8" hidden="true" customHeight="false" outlineLevel="0" collapsed="false">
      <c r="A5337" s="0" t="s">
        <v>239</v>
      </c>
      <c r="B5337" s="0" t="n">
        <v>33</v>
      </c>
      <c r="C5337" s="0" t="n">
        <v>2.1</v>
      </c>
      <c r="D5337" s="0" t="n">
        <v>0.167498862</v>
      </c>
    </row>
    <row r="5338" customFormat="false" ht="13.8" hidden="true" customHeight="false" outlineLevel="0" collapsed="false">
      <c r="A5338" s="0" t="s">
        <v>239</v>
      </c>
      <c r="B5338" s="0" t="n">
        <v>33</v>
      </c>
      <c r="C5338" s="0" t="n">
        <v>2.15</v>
      </c>
      <c r="D5338" s="0" t="n">
        <v>0.171486931</v>
      </c>
    </row>
    <row r="5339" customFormat="false" ht="13.8" hidden="true" customHeight="false" outlineLevel="0" collapsed="false">
      <c r="A5339" s="0" t="s">
        <v>239</v>
      </c>
      <c r="B5339" s="0" t="n">
        <v>33</v>
      </c>
      <c r="C5339" s="0" t="n">
        <v>2.2</v>
      </c>
      <c r="D5339" s="0" t="n">
        <v>0.184538134</v>
      </c>
    </row>
    <row r="5340" customFormat="false" ht="13.8" hidden="true" customHeight="false" outlineLevel="0" collapsed="false">
      <c r="A5340" s="0" t="s">
        <v>239</v>
      </c>
      <c r="B5340" s="0" t="n">
        <v>33</v>
      </c>
      <c r="C5340" s="0" t="n">
        <v>2.25</v>
      </c>
      <c r="D5340" s="0" t="n">
        <v>0.188732182</v>
      </c>
    </row>
    <row r="5341" customFormat="false" ht="13.8" hidden="true" customHeight="false" outlineLevel="0" collapsed="false">
      <c r="A5341" s="0" t="s">
        <v>239</v>
      </c>
      <c r="B5341" s="0" t="n">
        <v>33</v>
      </c>
      <c r="C5341" s="0" t="n">
        <v>2.3</v>
      </c>
      <c r="D5341" s="0" t="n">
        <v>0.192926231</v>
      </c>
    </row>
    <row r="5342" customFormat="false" ht="13.8" hidden="true" customHeight="false" outlineLevel="0" collapsed="false">
      <c r="A5342" s="0" t="s">
        <v>239</v>
      </c>
      <c r="B5342" s="0" t="n">
        <v>33</v>
      </c>
      <c r="C5342" s="0" t="n">
        <v>2.35</v>
      </c>
      <c r="D5342" s="0" t="n">
        <v>0.197120279</v>
      </c>
    </row>
    <row r="5343" customFormat="false" ht="13.8" hidden="true" customHeight="false" outlineLevel="0" collapsed="false">
      <c r="A5343" s="0" t="s">
        <v>239</v>
      </c>
      <c r="B5343" s="0" t="n">
        <v>33</v>
      </c>
      <c r="C5343" s="0" t="n">
        <v>2.4</v>
      </c>
      <c r="D5343" s="0" t="n">
        <v>0.201314327</v>
      </c>
    </row>
    <row r="5344" customFormat="false" ht="13.8" hidden="true" customHeight="false" outlineLevel="0" collapsed="false">
      <c r="A5344" s="0" t="s">
        <v>239</v>
      </c>
      <c r="B5344" s="0" t="n">
        <v>33</v>
      </c>
      <c r="C5344" s="0" t="n">
        <v>2.45</v>
      </c>
      <c r="D5344" s="0" t="n">
        <v>0.205508376</v>
      </c>
    </row>
    <row r="5345" customFormat="false" ht="13.8" hidden="true" customHeight="false" outlineLevel="0" collapsed="false">
      <c r="A5345" s="0" t="s">
        <v>239</v>
      </c>
      <c r="B5345" s="0" t="n">
        <v>33</v>
      </c>
      <c r="C5345" s="0" t="n">
        <v>2.5</v>
      </c>
      <c r="D5345" s="0" t="n">
        <v>0.209702424</v>
      </c>
    </row>
    <row r="5346" customFormat="false" ht="13.8" hidden="true" customHeight="false" outlineLevel="0" collapsed="false">
      <c r="A5346" s="0" t="s">
        <v>239</v>
      </c>
      <c r="B5346" s="0" t="n">
        <v>33</v>
      </c>
      <c r="C5346" s="0" t="n">
        <v>2.55</v>
      </c>
      <c r="D5346" s="0" t="n">
        <v>0.213896473</v>
      </c>
    </row>
    <row r="5347" customFormat="false" ht="13.8" hidden="true" customHeight="false" outlineLevel="0" collapsed="false">
      <c r="A5347" s="0" t="s">
        <v>239</v>
      </c>
      <c r="B5347" s="0" t="n">
        <v>33</v>
      </c>
      <c r="C5347" s="0" t="n">
        <v>2.6</v>
      </c>
      <c r="D5347" s="0" t="n">
        <v>0.218090521</v>
      </c>
    </row>
    <row r="5348" customFormat="false" ht="13.8" hidden="true" customHeight="false" outlineLevel="0" collapsed="false">
      <c r="A5348" s="0" t="s">
        <v>129</v>
      </c>
      <c r="B5348" s="0" t="n">
        <v>31</v>
      </c>
      <c r="C5348" s="0" t="n">
        <v>1.3</v>
      </c>
      <c r="D5348" s="0" t="n">
        <v>0</v>
      </c>
    </row>
    <row r="5349" customFormat="false" ht="13.8" hidden="true" customHeight="false" outlineLevel="0" collapsed="false">
      <c r="A5349" s="0" t="s">
        <v>129</v>
      </c>
      <c r="B5349" s="0" t="n">
        <v>31</v>
      </c>
      <c r="C5349" s="0" t="n">
        <v>1.35</v>
      </c>
      <c r="D5349" s="0" t="n">
        <v>0</v>
      </c>
    </row>
    <row r="5350" customFormat="false" ht="13.8" hidden="true" customHeight="false" outlineLevel="0" collapsed="false">
      <c r="A5350" s="0" t="s">
        <v>129</v>
      </c>
      <c r="B5350" s="0" t="n">
        <v>31</v>
      </c>
      <c r="C5350" s="0" t="n">
        <v>1.4</v>
      </c>
      <c r="D5350" s="0" t="n">
        <v>0</v>
      </c>
    </row>
    <row r="5351" customFormat="false" ht="13.8" hidden="true" customHeight="false" outlineLevel="0" collapsed="false">
      <c r="A5351" s="0" t="s">
        <v>129</v>
      </c>
      <c r="B5351" s="0" t="n">
        <v>31</v>
      </c>
      <c r="C5351" s="0" t="n">
        <v>1.45</v>
      </c>
      <c r="D5351" s="0" t="n">
        <v>0</v>
      </c>
    </row>
    <row r="5352" customFormat="false" ht="13.8" hidden="true" customHeight="false" outlineLevel="0" collapsed="false">
      <c r="A5352" s="0" t="s">
        <v>129</v>
      </c>
      <c r="B5352" s="0" t="n">
        <v>31</v>
      </c>
      <c r="C5352" s="0" t="n">
        <v>1.5</v>
      </c>
      <c r="D5352" s="0" t="n">
        <v>0</v>
      </c>
    </row>
    <row r="5353" customFormat="false" ht="13.8" hidden="true" customHeight="false" outlineLevel="0" collapsed="false">
      <c r="A5353" s="0" t="s">
        <v>129</v>
      </c>
      <c r="B5353" s="0" t="n">
        <v>31</v>
      </c>
      <c r="C5353" s="0" t="n">
        <v>1.55</v>
      </c>
      <c r="D5353" s="0" t="n">
        <v>0</v>
      </c>
    </row>
    <row r="5354" customFormat="false" ht="13.8" hidden="true" customHeight="false" outlineLevel="0" collapsed="false">
      <c r="A5354" s="0" t="s">
        <v>129</v>
      </c>
      <c r="B5354" s="0" t="n">
        <v>31</v>
      </c>
      <c r="C5354" s="0" t="n">
        <v>1.6</v>
      </c>
      <c r="D5354" s="0" t="n">
        <v>0.076</v>
      </c>
    </row>
    <row r="5355" customFormat="false" ht="13.8" hidden="true" customHeight="false" outlineLevel="0" collapsed="false">
      <c r="A5355" s="0" t="s">
        <v>129</v>
      </c>
      <c r="B5355" s="0" t="n">
        <v>31</v>
      </c>
      <c r="C5355" s="0" t="n">
        <v>1.65</v>
      </c>
      <c r="D5355" s="0" t="n">
        <v>0.078</v>
      </c>
    </row>
    <row r="5356" customFormat="false" ht="13.8" hidden="true" customHeight="false" outlineLevel="0" collapsed="false">
      <c r="A5356" s="0" t="s">
        <v>129</v>
      </c>
      <c r="B5356" s="0" t="n">
        <v>31</v>
      </c>
      <c r="C5356" s="0" t="n">
        <v>1.7</v>
      </c>
      <c r="D5356" s="0" t="n">
        <v>0.08</v>
      </c>
    </row>
    <row r="5357" customFormat="false" ht="13.8" hidden="true" customHeight="false" outlineLevel="0" collapsed="false">
      <c r="A5357" s="0" t="s">
        <v>129</v>
      </c>
      <c r="B5357" s="0" t="n">
        <v>31</v>
      </c>
      <c r="C5357" s="0" t="n">
        <v>1.75</v>
      </c>
      <c r="D5357" s="0" t="n">
        <v>0.083</v>
      </c>
    </row>
    <row r="5358" customFormat="false" ht="13.8" hidden="true" customHeight="false" outlineLevel="0" collapsed="false">
      <c r="A5358" s="0" t="s">
        <v>129</v>
      </c>
      <c r="B5358" s="0" t="n">
        <v>31</v>
      </c>
      <c r="C5358" s="0" t="n">
        <v>1.8</v>
      </c>
      <c r="D5358" s="0" t="n">
        <v>0.087</v>
      </c>
    </row>
    <row r="5359" customFormat="false" ht="13.8" hidden="true" customHeight="false" outlineLevel="0" collapsed="false">
      <c r="A5359" s="0" t="s">
        <v>129</v>
      </c>
      <c r="B5359" s="0" t="n">
        <v>31</v>
      </c>
      <c r="C5359" s="0" t="n">
        <v>1.85</v>
      </c>
      <c r="D5359" s="0" t="n">
        <v>0.089</v>
      </c>
    </row>
    <row r="5360" customFormat="false" ht="13.8" hidden="true" customHeight="false" outlineLevel="0" collapsed="false">
      <c r="A5360" s="0" t="s">
        <v>129</v>
      </c>
      <c r="B5360" s="0" t="n">
        <v>31</v>
      </c>
      <c r="C5360" s="0" t="n">
        <v>1.9</v>
      </c>
      <c r="D5360" s="0" t="n">
        <v>0.091</v>
      </c>
    </row>
    <row r="5361" customFormat="false" ht="13.8" hidden="true" customHeight="false" outlineLevel="0" collapsed="false">
      <c r="A5361" s="0" t="s">
        <v>129</v>
      </c>
      <c r="B5361" s="0" t="n">
        <v>31</v>
      </c>
      <c r="C5361" s="0" t="n">
        <v>1.95</v>
      </c>
      <c r="D5361" s="0" t="n">
        <v>0.094</v>
      </c>
    </row>
    <row r="5362" customFormat="false" ht="13.8" hidden="true" customHeight="false" outlineLevel="0" collapsed="false">
      <c r="A5362" s="0" t="s">
        <v>129</v>
      </c>
      <c r="B5362" s="0" t="n">
        <v>31</v>
      </c>
      <c r="C5362" s="0" t="n">
        <v>2</v>
      </c>
      <c r="D5362" s="0" t="n">
        <v>0.098</v>
      </c>
    </row>
    <row r="5363" customFormat="false" ht="13.8" hidden="true" customHeight="false" outlineLevel="0" collapsed="false">
      <c r="A5363" s="0" t="s">
        <v>129</v>
      </c>
      <c r="B5363" s="0" t="n">
        <v>31</v>
      </c>
      <c r="C5363" s="0" t="n">
        <v>2.05</v>
      </c>
      <c r="D5363" s="0" t="n">
        <v>0.1</v>
      </c>
    </row>
    <row r="5364" customFormat="false" ht="13.8" hidden="true" customHeight="false" outlineLevel="0" collapsed="false">
      <c r="A5364" s="0" t="s">
        <v>129</v>
      </c>
      <c r="B5364" s="0" t="n">
        <v>31</v>
      </c>
      <c r="C5364" s="0" t="n">
        <v>2.1</v>
      </c>
      <c r="D5364" s="0" t="n">
        <v>0.103</v>
      </c>
    </row>
    <row r="5365" customFormat="false" ht="13.8" hidden="true" customHeight="false" outlineLevel="0" collapsed="false">
      <c r="A5365" s="0" t="s">
        <v>129</v>
      </c>
      <c r="B5365" s="0" t="n">
        <v>31</v>
      </c>
      <c r="C5365" s="0" t="n">
        <v>2.15</v>
      </c>
      <c r="D5365" s="0" t="n">
        <v>0.105222046</v>
      </c>
    </row>
    <row r="5366" customFormat="false" ht="13.8" hidden="true" customHeight="false" outlineLevel="0" collapsed="false">
      <c r="A5366" s="0" t="s">
        <v>129</v>
      </c>
      <c r="B5366" s="0" t="n">
        <v>31</v>
      </c>
      <c r="C5366" s="0" t="n">
        <v>2.2</v>
      </c>
      <c r="D5366" s="0" t="n">
        <v>0.117061757</v>
      </c>
    </row>
    <row r="5367" customFormat="false" ht="13.8" hidden="true" customHeight="false" outlineLevel="0" collapsed="false">
      <c r="A5367" s="0" t="s">
        <v>129</v>
      </c>
      <c r="B5367" s="0" t="n">
        <v>31</v>
      </c>
      <c r="C5367" s="0" t="n">
        <v>2.25</v>
      </c>
      <c r="D5367" s="0" t="n">
        <v>0.119722251</v>
      </c>
    </row>
    <row r="5368" customFormat="false" ht="13.8" hidden="true" customHeight="false" outlineLevel="0" collapsed="false">
      <c r="A5368" s="0" t="s">
        <v>129</v>
      </c>
      <c r="B5368" s="0" t="n">
        <v>31</v>
      </c>
      <c r="C5368" s="0" t="n">
        <v>2.3</v>
      </c>
      <c r="D5368" s="0" t="n">
        <v>0.122382746</v>
      </c>
    </row>
    <row r="5369" customFormat="false" ht="13.8" hidden="true" customHeight="false" outlineLevel="0" collapsed="false">
      <c r="A5369" s="0" t="s">
        <v>129</v>
      </c>
      <c r="B5369" s="0" t="n">
        <v>31</v>
      </c>
      <c r="C5369" s="0" t="n">
        <v>2.35</v>
      </c>
      <c r="D5369" s="0" t="n">
        <v>0.12504324</v>
      </c>
    </row>
    <row r="5370" customFormat="false" ht="13.8" hidden="true" customHeight="false" outlineLevel="0" collapsed="false">
      <c r="A5370" s="0" t="s">
        <v>129</v>
      </c>
      <c r="B5370" s="0" t="n">
        <v>31</v>
      </c>
      <c r="C5370" s="0" t="n">
        <v>2.4</v>
      </c>
      <c r="D5370" s="0" t="n">
        <v>0.127703735</v>
      </c>
    </row>
    <row r="5371" customFormat="false" ht="13.8" hidden="true" customHeight="false" outlineLevel="0" collapsed="false">
      <c r="A5371" s="0" t="s">
        <v>129</v>
      </c>
      <c r="B5371" s="0" t="n">
        <v>31</v>
      </c>
      <c r="C5371" s="0" t="n">
        <v>2.45</v>
      </c>
      <c r="D5371" s="0" t="n">
        <v>0.130364229</v>
      </c>
    </row>
    <row r="5372" customFormat="false" ht="13.8" hidden="true" customHeight="false" outlineLevel="0" collapsed="false">
      <c r="A5372" s="0" t="s">
        <v>129</v>
      </c>
      <c r="B5372" s="0" t="n">
        <v>31</v>
      </c>
      <c r="C5372" s="0" t="n">
        <v>2.5</v>
      </c>
      <c r="D5372" s="0" t="n">
        <v>0.133024723</v>
      </c>
    </row>
    <row r="5373" customFormat="false" ht="13.8" hidden="true" customHeight="false" outlineLevel="0" collapsed="false">
      <c r="A5373" s="0" t="s">
        <v>129</v>
      </c>
      <c r="B5373" s="0" t="n">
        <v>31</v>
      </c>
      <c r="C5373" s="0" t="n">
        <v>2.55</v>
      </c>
      <c r="D5373" s="0" t="n">
        <v>0.135685218</v>
      </c>
    </row>
    <row r="5374" customFormat="false" ht="13.8" hidden="true" customHeight="false" outlineLevel="0" collapsed="false">
      <c r="A5374" s="0" t="s">
        <v>129</v>
      </c>
      <c r="B5374" s="0" t="n">
        <v>31</v>
      </c>
      <c r="C5374" s="0" t="n">
        <v>2.6</v>
      </c>
      <c r="D5374" s="0" t="n">
        <v>0.138345712</v>
      </c>
    </row>
    <row r="5375" customFormat="false" ht="13.8" hidden="true" customHeight="false" outlineLevel="0" collapsed="false">
      <c r="A5375" s="0" t="s">
        <v>129</v>
      </c>
      <c r="B5375" s="0" t="n">
        <v>32</v>
      </c>
      <c r="C5375" s="0" t="n">
        <v>1.3</v>
      </c>
      <c r="D5375" s="0" t="n">
        <v>0</v>
      </c>
    </row>
    <row r="5376" customFormat="false" ht="13.8" hidden="true" customHeight="false" outlineLevel="0" collapsed="false">
      <c r="A5376" s="0" t="s">
        <v>129</v>
      </c>
      <c r="B5376" s="0" t="n">
        <v>32</v>
      </c>
      <c r="C5376" s="0" t="n">
        <v>1.35</v>
      </c>
      <c r="D5376" s="0" t="n">
        <v>0</v>
      </c>
    </row>
    <row r="5377" customFormat="false" ht="13.8" hidden="true" customHeight="false" outlineLevel="0" collapsed="false">
      <c r="A5377" s="0" t="s">
        <v>129</v>
      </c>
      <c r="B5377" s="0" t="n">
        <v>32</v>
      </c>
      <c r="C5377" s="0" t="n">
        <v>1.4</v>
      </c>
      <c r="D5377" s="0" t="n">
        <v>0</v>
      </c>
    </row>
    <row r="5378" customFormat="false" ht="13.8" hidden="true" customHeight="false" outlineLevel="0" collapsed="false">
      <c r="A5378" s="0" t="s">
        <v>129</v>
      </c>
      <c r="B5378" s="0" t="n">
        <v>32</v>
      </c>
      <c r="C5378" s="0" t="n">
        <v>1.45</v>
      </c>
      <c r="D5378" s="0" t="n">
        <v>0</v>
      </c>
    </row>
    <row r="5379" customFormat="false" ht="13.8" hidden="true" customHeight="false" outlineLevel="0" collapsed="false">
      <c r="A5379" s="0" t="s">
        <v>129</v>
      </c>
      <c r="B5379" s="0" t="n">
        <v>32</v>
      </c>
      <c r="C5379" s="0" t="n">
        <v>1.5</v>
      </c>
      <c r="D5379" s="0" t="n">
        <v>0</v>
      </c>
    </row>
    <row r="5380" customFormat="false" ht="13.8" hidden="true" customHeight="false" outlineLevel="0" collapsed="false">
      <c r="A5380" s="0" t="s">
        <v>129</v>
      </c>
      <c r="B5380" s="0" t="n">
        <v>32</v>
      </c>
      <c r="C5380" s="0" t="n">
        <v>1.55</v>
      </c>
      <c r="D5380" s="0" t="n">
        <v>0</v>
      </c>
    </row>
    <row r="5381" customFormat="false" ht="13.8" hidden="true" customHeight="false" outlineLevel="0" collapsed="false">
      <c r="A5381" s="0" t="s">
        <v>129</v>
      </c>
      <c r="B5381" s="0" t="n">
        <v>32</v>
      </c>
      <c r="C5381" s="0" t="n">
        <v>1.6</v>
      </c>
      <c r="D5381" s="0" t="n">
        <v>0.076</v>
      </c>
    </row>
    <row r="5382" customFormat="false" ht="13.8" hidden="true" customHeight="false" outlineLevel="0" collapsed="false">
      <c r="A5382" s="0" t="s">
        <v>129</v>
      </c>
      <c r="B5382" s="0" t="n">
        <v>32</v>
      </c>
      <c r="C5382" s="0" t="n">
        <v>1.65</v>
      </c>
      <c r="D5382" s="0" t="n">
        <v>0.078</v>
      </c>
    </row>
    <row r="5383" customFormat="false" ht="13.8" hidden="true" customHeight="false" outlineLevel="0" collapsed="false">
      <c r="A5383" s="0" t="s">
        <v>129</v>
      </c>
      <c r="B5383" s="0" t="n">
        <v>32</v>
      </c>
      <c r="C5383" s="0" t="n">
        <v>1.7</v>
      </c>
      <c r="D5383" s="0" t="n">
        <v>0.08</v>
      </c>
    </row>
    <row r="5384" customFormat="false" ht="13.8" hidden="true" customHeight="false" outlineLevel="0" collapsed="false">
      <c r="A5384" s="0" t="s">
        <v>129</v>
      </c>
      <c r="B5384" s="0" t="n">
        <v>32</v>
      </c>
      <c r="C5384" s="0" t="n">
        <v>1.75</v>
      </c>
      <c r="D5384" s="0" t="n">
        <v>0.083</v>
      </c>
    </row>
    <row r="5385" customFormat="false" ht="13.8" hidden="true" customHeight="false" outlineLevel="0" collapsed="false">
      <c r="A5385" s="0" t="s">
        <v>129</v>
      </c>
      <c r="B5385" s="0" t="n">
        <v>32</v>
      </c>
      <c r="C5385" s="0" t="n">
        <v>1.8</v>
      </c>
      <c r="D5385" s="0" t="n">
        <v>0.087</v>
      </c>
    </row>
    <row r="5386" customFormat="false" ht="13.8" hidden="true" customHeight="false" outlineLevel="0" collapsed="false">
      <c r="A5386" s="0" t="s">
        <v>129</v>
      </c>
      <c r="B5386" s="0" t="n">
        <v>32</v>
      </c>
      <c r="C5386" s="0" t="n">
        <v>1.85</v>
      </c>
      <c r="D5386" s="0" t="n">
        <v>0.089</v>
      </c>
    </row>
    <row r="5387" customFormat="false" ht="13.8" hidden="true" customHeight="false" outlineLevel="0" collapsed="false">
      <c r="A5387" s="0" t="s">
        <v>129</v>
      </c>
      <c r="B5387" s="0" t="n">
        <v>32</v>
      </c>
      <c r="C5387" s="0" t="n">
        <v>1.9</v>
      </c>
      <c r="D5387" s="0" t="n">
        <v>0.091</v>
      </c>
    </row>
    <row r="5388" customFormat="false" ht="13.8" hidden="true" customHeight="false" outlineLevel="0" collapsed="false">
      <c r="A5388" s="0" t="s">
        <v>129</v>
      </c>
      <c r="B5388" s="0" t="n">
        <v>32</v>
      </c>
      <c r="C5388" s="0" t="n">
        <v>1.95</v>
      </c>
      <c r="D5388" s="0" t="n">
        <v>0.094</v>
      </c>
    </row>
    <row r="5389" customFormat="false" ht="13.8" hidden="true" customHeight="false" outlineLevel="0" collapsed="false">
      <c r="A5389" s="0" t="s">
        <v>129</v>
      </c>
      <c r="B5389" s="0" t="n">
        <v>32</v>
      </c>
      <c r="C5389" s="0" t="n">
        <v>2</v>
      </c>
      <c r="D5389" s="0" t="n">
        <v>0.098</v>
      </c>
    </row>
    <row r="5390" customFormat="false" ht="13.8" hidden="true" customHeight="false" outlineLevel="0" collapsed="false">
      <c r="A5390" s="0" t="s">
        <v>129</v>
      </c>
      <c r="B5390" s="0" t="n">
        <v>32</v>
      </c>
      <c r="C5390" s="0" t="n">
        <v>2.05</v>
      </c>
      <c r="D5390" s="0" t="n">
        <v>0.1</v>
      </c>
    </row>
    <row r="5391" customFormat="false" ht="13.8" hidden="true" customHeight="false" outlineLevel="0" collapsed="false">
      <c r="A5391" s="0" t="s">
        <v>129</v>
      </c>
      <c r="B5391" s="0" t="n">
        <v>32</v>
      </c>
      <c r="C5391" s="0" t="n">
        <v>2.1</v>
      </c>
      <c r="D5391" s="0" t="n">
        <v>0.103</v>
      </c>
    </row>
    <row r="5392" customFormat="false" ht="13.8" hidden="true" customHeight="false" outlineLevel="0" collapsed="false">
      <c r="A5392" s="0" t="s">
        <v>129</v>
      </c>
      <c r="B5392" s="0" t="n">
        <v>32</v>
      </c>
      <c r="C5392" s="0" t="n">
        <v>2.15</v>
      </c>
      <c r="D5392" s="0" t="n">
        <v>0.105222046</v>
      </c>
    </row>
    <row r="5393" customFormat="false" ht="13.8" hidden="true" customHeight="false" outlineLevel="0" collapsed="false">
      <c r="A5393" s="0" t="s">
        <v>129</v>
      </c>
      <c r="B5393" s="0" t="n">
        <v>32</v>
      </c>
      <c r="C5393" s="0" t="n">
        <v>2.2</v>
      </c>
      <c r="D5393" s="0" t="n">
        <v>0.117061757</v>
      </c>
    </row>
    <row r="5394" customFormat="false" ht="13.8" hidden="true" customHeight="false" outlineLevel="0" collapsed="false">
      <c r="A5394" s="0" t="s">
        <v>129</v>
      </c>
      <c r="B5394" s="0" t="n">
        <v>32</v>
      </c>
      <c r="C5394" s="0" t="n">
        <v>2.25</v>
      </c>
      <c r="D5394" s="0" t="n">
        <v>0.119722251</v>
      </c>
    </row>
    <row r="5395" customFormat="false" ht="13.8" hidden="true" customHeight="false" outlineLevel="0" collapsed="false">
      <c r="A5395" s="0" t="s">
        <v>129</v>
      </c>
      <c r="B5395" s="0" t="n">
        <v>32</v>
      </c>
      <c r="C5395" s="0" t="n">
        <v>2.3</v>
      </c>
      <c r="D5395" s="0" t="n">
        <v>0.122382746</v>
      </c>
    </row>
    <row r="5396" customFormat="false" ht="13.8" hidden="true" customHeight="false" outlineLevel="0" collapsed="false">
      <c r="A5396" s="0" t="s">
        <v>129</v>
      </c>
      <c r="B5396" s="0" t="n">
        <v>32</v>
      </c>
      <c r="C5396" s="0" t="n">
        <v>2.35</v>
      </c>
      <c r="D5396" s="0" t="n">
        <v>0.12504324</v>
      </c>
    </row>
    <row r="5397" customFormat="false" ht="13.8" hidden="true" customHeight="false" outlineLevel="0" collapsed="false">
      <c r="A5397" s="0" t="s">
        <v>129</v>
      </c>
      <c r="B5397" s="0" t="n">
        <v>32</v>
      </c>
      <c r="C5397" s="0" t="n">
        <v>2.4</v>
      </c>
      <c r="D5397" s="0" t="n">
        <v>0.127703735</v>
      </c>
    </row>
    <row r="5398" customFormat="false" ht="13.8" hidden="true" customHeight="false" outlineLevel="0" collapsed="false">
      <c r="A5398" s="0" t="s">
        <v>129</v>
      </c>
      <c r="B5398" s="0" t="n">
        <v>32</v>
      </c>
      <c r="C5398" s="0" t="n">
        <v>2.45</v>
      </c>
      <c r="D5398" s="0" t="n">
        <v>0.130364229</v>
      </c>
    </row>
    <row r="5399" customFormat="false" ht="13.8" hidden="true" customHeight="false" outlineLevel="0" collapsed="false">
      <c r="A5399" s="0" t="s">
        <v>129</v>
      </c>
      <c r="B5399" s="0" t="n">
        <v>32</v>
      </c>
      <c r="C5399" s="0" t="n">
        <v>2.5</v>
      </c>
      <c r="D5399" s="0" t="n">
        <v>0.133024723</v>
      </c>
    </row>
    <row r="5400" customFormat="false" ht="13.8" hidden="true" customHeight="false" outlineLevel="0" collapsed="false">
      <c r="A5400" s="0" t="s">
        <v>129</v>
      </c>
      <c r="B5400" s="0" t="n">
        <v>32</v>
      </c>
      <c r="C5400" s="0" t="n">
        <v>2.55</v>
      </c>
      <c r="D5400" s="0" t="n">
        <v>0.135685218</v>
      </c>
    </row>
    <row r="5401" customFormat="false" ht="13.8" hidden="true" customHeight="false" outlineLevel="0" collapsed="false">
      <c r="A5401" s="0" t="s">
        <v>129</v>
      </c>
      <c r="B5401" s="0" t="n">
        <v>32</v>
      </c>
      <c r="C5401" s="0" t="n">
        <v>2.6</v>
      </c>
      <c r="D5401" s="0" t="n">
        <v>0.138345712</v>
      </c>
    </row>
    <row r="5402" customFormat="false" ht="13.8" hidden="true" customHeight="false" outlineLevel="0" collapsed="false">
      <c r="A5402" s="0" t="s">
        <v>841</v>
      </c>
      <c r="B5402" s="0" t="n">
        <v>4</v>
      </c>
      <c r="C5402" s="0" t="n">
        <v>1.3</v>
      </c>
      <c r="D5402" s="0" t="n">
        <v>0</v>
      </c>
    </row>
    <row r="5403" customFormat="false" ht="13.8" hidden="true" customHeight="false" outlineLevel="0" collapsed="false">
      <c r="A5403" s="0" t="s">
        <v>841</v>
      </c>
      <c r="B5403" s="0" t="n">
        <v>4</v>
      </c>
      <c r="C5403" s="0" t="n">
        <v>1.35</v>
      </c>
      <c r="D5403" s="0" t="n">
        <v>0</v>
      </c>
    </row>
    <row r="5404" customFormat="false" ht="13.8" hidden="true" customHeight="false" outlineLevel="0" collapsed="false">
      <c r="A5404" s="0" t="s">
        <v>841</v>
      </c>
      <c r="B5404" s="0" t="n">
        <v>4</v>
      </c>
      <c r="C5404" s="0" t="n">
        <v>1.4</v>
      </c>
      <c r="D5404" s="0" t="n">
        <v>0</v>
      </c>
    </row>
    <row r="5405" customFormat="false" ht="13.8" hidden="true" customHeight="false" outlineLevel="0" collapsed="false">
      <c r="A5405" s="0" t="s">
        <v>841</v>
      </c>
      <c r="B5405" s="0" t="n">
        <v>4</v>
      </c>
      <c r="C5405" s="0" t="n">
        <v>1.45</v>
      </c>
      <c r="D5405" s="0" t="n">
        <v>0</v>
      </c>
    </row>
    <row r="5406" customFormat="false" ht="13.8" hidden="true" customHeight="false" outlineLevel="0" collapsed="false">
      <c r="A5406" s="0" t="s">
        <v>841</v>
      </c>
      <c r="B5406" s="0" t="n">
        <v>4</v>
      </c>
      <c r="C5406" s="0" t="n">
        <v>1.5</v>
      </c>
      <c r="D5406" s="0" t="n">
        <v>0</v>
      </c>
    </row>
    <row r="5407" customFormat="false" ht="13.8" hidden="true" customHeight="false" outlineLevel="0" collapsed="false">
      <c r="A5407" s="0" t="s">
        <v>841</v>
      </c>
      <c r="B5407" s="0" t="n">
        <v>4</v>
      </c>
      <c r="C5407" s="0" t="n">
        <v>1.55</v>
      </c>
      <c r="D5407" s="0" t="n">
        <v>0</v>
      </c>
    </row>
    <row r="5408" customFormat="false" ht="13.8" hidden="true" customHeight="false" outlineLevel="0" collapsed="false">
      <c r="A5408" s="0" t="s">
        <v>841</v>
      </c>
      <c r="B5408" s="0" t="n">
        <v>4</v>
      </c>
      <c r="C5408" s="0" t="n">
        <v>1.6</v>
      </c>
      <c r="D5408" s="0" t="n">
        <v>0</v>
      </c>
    </row>
    <row r="5409" customFormat="false" ht="13.8" hidden="true" customHeight="false" outlineLevel="0" collapsed="false">
      <c r="A5409" s="0" t="s">
        <v>841</v>
      </c>
      <c r="B5409" s="0" t="n">
        <v>4</v>
      </c>
      <c r="C5409" s="0" t="n">
        <v>1.65</v>
      </c>
      <c r="D5409" s="0" t="n">
        <v>0</v>
      </c>
    </row>
    <row r="5410" customFormat="false" ht="13.8" hidden="true" customHeight="false" outlineLevel="0" collapsed="false">
      <c r="A5410" s="0" t="s">
        <v>841</v>
      </c>
      <c r="B5410" s="0" t="n">
        <v>4</v>
      </c>
      <c r="C5410" s="0" t="n">
        <v>1.7</v>
      </c>
      <c r="D5410" s="0" t="n">
        <v>0</v>
      </c>
    </row>
    <row r="5411" customFormat="false" ht="13.8" hidden="true" customHeight="false" outlineLevel="0" collapsed="false">
      <c r="A5411" s="0" t="s">
        <v>841</v>
      </c>
      <c r="B5411" s="0" t="n">
        <v>4</v>
      </c>
      <c r="C5411" s="0" t="n">
        <v>1.75</v>
      </c>
      <c r="D5411" s="0" t="n">
        <v>0</v>
      </c>
    </row>
    <row r="5412" customFormat="false" ht="13.8" hidden="true" customHeight="false" outlineLevel="0" collapsed="false">
      <c r="A5412" s="0" t="s">
        <v>841</v>
      </c>
      <c r="B5412" s="0" t="n">
        <v>4</v>
      </c>
      <c r="C5412" s="0" t="n">
        <v>1.8</v>
      </c>
      <c r="D5412" s="0" t="n">
        <v>0</v>
      </c>
    </row>
    <row r="5413" customFormat="false" ht="13.8" hidden="true" customHeight="false" outlineLevel="0" collapsed="false">
      <c r="A5413" s="0" t="s">
        <v>841</v>
      </c>
      <c r="B5413" s="0" t="n">
        <v>4</v>
      </c>
      <c r="C5413" s="0" t="n">
        <v>1.85</v>
      </c>
      <c r="D5413" s="0" t="n">
        <v>1.249</v>
      </c>
    </row>
    <row r="5414" customFormat="false" ht="13.8" hidden="true" customHeight="false" outlineLevel="0" collapsed="false">
      <c r="A5414" s="0" t="s">
        <v>841</v>
      </c>
      <c r="B5414" s="0" t="n">
        <v>4</v>
      </c>
      <c r="C5414" s="0" t="n">
        <v>1.9</v>
      </c>
      <c r="D5414" s="0" t="n">
        <v>1.283</v>
      </c>
    </row>
    <row r="5415" customFormat="false" ht="13.8" hidden="true" customHeight="false" outlineLevel="0" collapsed="false">
      <c r="A5415" s="0" t="s">
        <v>841</v>
      </c>
      <c r="B5415" s="0" t="n">
        <v>4</v>
      </c>
      <c r="C5415" s="0" t="n">
        <v>1.95</v>
      </c>
      <c r="D5415" s="0" t="n">
        <v>1.316</v>
      </c>
    </row>
    <row r="5416" customFormat="false" ht="13.8" hidden="true" customHeight="false" outlineLevel="0" collapsed="false">
      <c r="A5416" s="0" t="s">
        <v>841</v>
      </c>
      <c r="B5416" s="0" t="n">
        <v>4</v>
      </c>
      <c r="C5416" s="0" t="n">
        <v>2</v>
      </c>
      <c r="D5416" s="0" t="n">
        <v>1.35</v>
      </c>
    </row>
    <row r="5417" customFormat="false" ht="13.8" hidden="true" customHeight="false" outlineLevel="0" collapsed="false">
      <c r="A5417" s="0" t="s">
        <v>841</v>
      </c>
      <c r="B5417" s="0" t="n">
        <v>4</v>
      </c>
      <c r="C5417" s="0" t="n">
        <v>2.05</v>
      </c>
      <c r="D5417" s="0" t="n">
        <v>0</v>
      </c>
    </row>
    <row r="5418" customFormat="false" ht="13.8" hidden="true" customHeight="false" outlineLevel="0" collapsed="false">
      <c r="A5418" s="0" t="s">
        <v>841</v>
      </c>
      <c r="B5418" s="0" t="n">
        <v>4</v>
      </c>
      <c r="C5418" s="0" t="n">
        <v>2.1</v>
      </c>
      <c r="D5418" s="0" t="n">
        <v>0</v>
      </c>
    </row>
    <row r="5419" customFormat="false" ht="13.8" hidden="true" customHeight="false" outlineLevel="0" collapsed="false">
      <c r="A5419" s="0" t="s">
        <v>841</v>
      </c>
      <c r="B5419" s="0" t="n">
        <v>4</v>
      </c>
      <c r="C5419" s="0" t="n">
        <v>2.15</v>
      </c>
      <c r="D5419" s="0" t="n">
        <v>0</v>
      </c>
    </row>
    <row r="5420" customFormat="false" ht="13.8" hidden="true" customHeight="false" outlineLevel="0" collapsed="false">
      <c r="A5420" s="0" t="s">
        <v>841</v>
      </c>
      <c r="B5420" s="0" t="n">
        <v>4</v>
      </c>
      <c r="C5420" s="0" t="n">
        <v>2.2</v>
      </c>
      <c r="D5420" s="0" t="n">
        <v>0</v>
      </c>
    </row>
    <row r="5421" customFormat="false" ht="13.8" hidden="true" customHeight="false" outlineLevel="0" collapsed="false">
      <c r="A5421" s="0" t="s">
        <v>841</v>
      </c>
      <c r="B5421" s="0" t="n">
        <v>4</v>
      </c>
      <c r="C5421" s="0" t="n">
        <v>2.25</v>
      </c>
      <c r="D5421" s="0" t="n">
        <v>0</v>
      </c>
    </row>
    <row r="5422" customFormat="false" ht="13.8" hidden="true" customHeight="false" outlineLevel="0" collapsed="false">
      <c r="A5422" s="0" t="s">
        <v>841</v>
      </c>
      <c r="B5422" s="0" t="n">
        <v>4</v>
      </c>
      <c r="C5422" s="0" t="n">
        <v>2.3</v>
      </c>
      <c r="D5422" s="0" t="n">
        <v>0</v>
      </c>
    </row>
    <row r="5423" customFormat="false" ht="13.8" hidden="true" customHeight="false" outlineLevel="0" collapsed="false">
      <c r="A5423" s="0" t="s">
        <v>841</v>
      </c>
      <c r="B5423" s="0" t="n">
        <v>4</v>
      </c>
      <c r="C5423" s="0" t="n">
        <v>2.35</v>
      </c>
      <c r="D5423" s="0" t="n">
        <v>0</v>
      </c>
    </row>
    <row r="5424" customFormat="false" ht="13.8" hidden="true" customHeight="false" outlineLevel="0" collapsed="false">
      <c r="A5424" s="0" t="s">
        <v>841</v>
      </c>
      <c r="B5424" s="0" t="n">
        <v>4</v>
      </c>
      <c r="C5424" s="0" t="n">
        <v>2.4</v>
      </c>
      <c r="D5424" s="0" t="n">
        <v>0</v>
      </c>
    </row>
    <row r="5425" customFormat="false" ht="13.8" hidden="true" customHeight="false" outlineLevel="0" collapsed="false">
      <c r="A5425" s="0" t="s">
        <v>841</v>
      </c>
      <c r="B5425" s="0" t="n">
        <v>4</v>
      </c>
      <c r="C5425" s="0" t="n">
        <v>2.45</v>
      </c>
      <c r="D5425" s="0" t="n">
        <v>0</v>
      </c>
    </row>
    <row r="5426" customFormat="false" ht="13.8" hidden="true" customHeight="false" outlineLevel="0" collapsed="false">
      <c r="A5426" s="0" t="s">
        <v>841</v>
      </c>
      <c r="B5426" s="0" t="n">
        <v>4</v>
      </c>
      <c r="C5426" s="0" t="n">
        <v>2.5</v>
      </c>
      <c r="D5426" s="0" t="n">
        <v>0</v>
      </c>
    </row>
    <row r="5427" customFormat="false" ht="13.8" hidden="true" customHeight="false" outlineLevel="0" collapsed="false">
      <c r="A5427" s="0" t="s">
        <v>841</v>
      </c>
      <c r="B5427" s="0" t="n">
        <v>4</v>
      </c>
      <c r="C5427" s="0" t="n">
        <v>2.55</v>
      </c>
      <c r="D5427" s="0" t="n">
        <v>0</v>
      </c>
    </row>
    <row r="5428" customFormat="false" ht="13.8" hidden="true" customHeight="false" outlineLevel="0" collapsed="false">
      <c r="A5428" s="0" t="s">
        <v>841</v>
      </c>
      <c r="B5428" s="0" t="n">
        <v>4</v>
      </c>
      <c r="C5428" s="0" t="n">
        <v>2.6</v>
      </c>
      <c r="D5428" s="0" t="n">
        <v>0</v>
      </c>
    </row>
    <row r="5429" customFormat="false" ht="13.8" hidden="true" customHeight="false" outlineLevel="0" collapsed="false">
      <c r="A5429" s="0" t="s">
        <v>240</v>
      </c>
      <c r="B5429" s="0" t="n">
        <v>1</v>
      </c>
      <c r="C5429" s="0" t="n">
        <v>1.3</v>
      </c>
      <c r="D5429" s="0" t="n">
        <v>0</v>
      </c>
    </row>
    <row r="5430" customFormat="false" ht="13.8" hidden="true" customHeight="false" outlineLevel="0" collapsed="false">
      <c r="A5430" s="0" t="s">
        <v>240</v>
      </c>
      <c r="B5430" s="0" t="n">
        <v>1</v>
      </c>
      <c r="C5430" s="0" t="n">
        <v>1.35</v>
      </c>
      <c r="D5430" s="0" t="n">
        <v>0</v>
      </c>
    </row>
    <row r="5431" customFormat="false" ht="13.8" hidden="true" customHeight="false" outlineLevel="0" collapsed="false">
      <c r="A5431" s="0" t="s">
        <v>240</v>
      </c>
      <c r="B5431" s="0" t="n">
        <v>1</v>
      </c>
      <c r="C5431" s="0" t="n">
        <v>1.4</v>
      </c>
      <c r="D5431" s="0" t="n">
        <v>0</v>
      </c>
    </row>
    <row r="5432" customFormat="false" ht="13.8" hidden="true" customHeight="false" outlineLevel="0" collapsed="false">
      <c r="A5432" s="0" t="s">
        <v>240</v>
      </c>
      <c r="B5432" s="0" t="n">
        <v>1</v>
      </c>
      <c r="C5432" s="0" t="n">
        <v>1.45</v>
      </c>
      <c r="D5432" s="0" t="n">
        <v>0</v>
      </c>
    </row>
    <row r="5433" customFormat="false" ht="13.8" hidden="true" customHeight="false" outlineLevel="0" collapsed="false">
      <c r="A5433" s="0" t="s">
        <v>240</v>
      </c>
      <c r="B5433" s="0" t="n">
        <v>1</v>
      </c>
      <c r="C5433" s="0" t="n">
        <v>1.5</v>
      </c>
      <c r="D5433" s="0" t="n">
        <v>0</v>
      </c>
    </row>
    <row r="5434" customFormat="false" ht="13.8" hidden="true" customHeight="false" outlineLevel="0" collapsed="false">
      <c r="A5434" s="0" t="s">
        <v>240</v>
      </c>
      <c r="B5434" s="0" t="n">
        <v>1</v>
      </c>
      <c r="C5434" s="0" t="n">
        <v>1.55</v>
      </c>
      <c r="D5434" s="0" t="n">
        <v>0</v>
      </c>
    </row>
    <row r="5435" customFormat="false" ht="13.8" hidden="true" customHeight="false" outlineLevel="0" collapsed="false">
      <c r="A5435" s="0" t="s">
        <v>240</v>
      </c>
      <c r="B5435" s="0" t="n">
        <v>1</v>
      </c>
      <c r="C5435" s="0" t="n">
        <v>1.6</v>
      </c>
      <c r="D5435" s="0" t="n">
        <v>0.184</v>
      </c>
    </row>
    <row r="5436" customFormat="false" ht="13.8" hidden="true" customHeight="false" outlineLevel="0" collapsed="false">
      <c r="A5436" s="0" t="s">
        <v>240</v>
      </c>
      <c r="B5436" s="0" t="n">
        <v>1</v>
      </c>
      <c r="C5436" s="0" t="n">
        <v>1.65</v>
      </c>
      <c r="D5436" s="0" t="n">
        <v>0.189</v>
      </c>
    </row>
    <row r="5437" customFormat="false" ht="13.8" hidden="true" customHeight="false" outlineLevel="0" collapsed="false">
      <c r="A5437" s="0" t="s">
        <v>240</v>
      </c>
      <c r="B5437" s="0" t="n">
        <v>1</v>
      </c>
      <c r="C5437" s="0" t="n">
        <v>1.7</v>
      </c>
      <c r="D5437" s="0" t="n">
        <v>0.195</v>
      </c>
    </row>
    <row r="5438" customFormat="false" ht="13.8" hidden="true" customHeight="false" outlineLevel="0" collapsed="false">
      <c r="A5438" s="0" t="s">
        <v>240</v>
      </c>
      <c r="B5438" s="0" t="n">
        <v>1</v>
      </c>
      <c r="C5438" s="0" t="n">
        <v>1.75</v>
      </c>
      <c r="D5438" s="0" t="n">
        <v>0.201</v>
      </c>
    </row>
    <row r="5439" customFormat="false" ht="13.8" hidden="true" customHeight="false" outlineLevel="0" collapsed="false">
      <c r="A5439" s="0" t="s">
        <v>240</v>
      </c>
      <c r="B5439" s="0" t="n">
        <v>1</v>
      </c>
      <c r="C5439" s="0" t="n">
        <v>1.8</v>
      </c>
      <c r="D5439" s="0" t="n">
        <v>0.206</v>
      </c>
    </row>
    <row r="5440" customFormat="false" ht="13.8" hidden="true" customHeight="false" outlineLevel="0" collapsed="false">
      <c r="A5440" s="0" t="s">
        <v>240</v>
      </c>
      <c r="B5440" s="0" t="n">
        <v>1</v>
      </c>
      <c r="C5440" s="0" t="n">
        <v>1.85</v>
      </c>
      <c r="D5440" s="0" t="n">
        <v>0.212</v>
      </c>
    </row>
    <row r="5441" customFormat="false" ht="13.8" hidden="true" customHeight="false" outlineLevel="0" collapsed="false">
      <c r="A5441" s="0" t="s">
        <v>240</v>
      </c>
      <c r="B5441" s="0" t="n">
        <v>1</v>
      </c>
      <c r="C5441" s="0" t="n">
        <v>1.9</v>
      </c>
      <c r="D5441" s="0" t="n">
        <v>0.218</v>
      </c>
    </row>
    <row r="5442" customFormat="false" ht="13.8" hidden="true" customHeight="false" outlineLevel="0" collapsed="false">
      <c r="A5442" s="0" t="s">
        <v>240</v>
      </c>
      <c r="B5442" s="0" t="n">
        <v>1</v>
      </c>
      <c r="C5442" s="0" t="n">
        <v>1.95</v>
      </c>
      <c r="D5442" s="0" t="n">
        <v>0.224</v>
      </c>
    </row>
    <row r="5443" customFormat="false" ht="13.8" hidden="true" customHeight="false" outlineLevel="0" collapsed="false">
      <c r="A5443" s="0" t="s">
        <v>240</v>
      </c>
      <c r="B5443" s="0" t="n">
        <v>1</v>
      </c>
      <c r="C5443" s="0" t="n">
        <v>2</v>
      </c>
      <c r="D5443" s="0" t="n">
        <v>0.235</v>
      </c>
    </row>
    <row r="5444" customFormat="false" ht="13.8" hidden="true" customHeight="false" outlineLevel="0" collapsed="false">
      <c r="A5444" s="0" t="s">
        <v>240</v>
      </c>
      <c r="B5444" s="0" t="n">
        <v>1</v>
      </c>
      <c r="C5444" s="0" t="n">
        <v>2.05</v>
      </c>
      <c r="D5444" s="0" t="n">
        <v>0.241</v>
      </c>
    </row>
    <row r="5445" customFormat="false" ht="13.8" hidden="true" customHeight="false" outlineLevel="0" collapsed="false">
      <c r="A5445" s="0" t="s">
        <v>240</v>
      </c>
      <c r="B5445" s="0" t="n">
        <v>1</v>
      </c>
      <c r="C5445" s="0" t="n">
        <v>2.1</v>
      </c>
      <c r="D5445" s="0" t="n">
        <v>0.246</v>
      </c>
    </row>
    <row r="5446" customFormat="false" ht="13.8" hidden="true" customHeight="false" outlineLevel="0" collapsed="false">
      <c r="A5446" s="0" t="s">
        <v>240</v>
      </c>
      <c r="B5446" s="0" t="n">
        <v>1</v>
      </c>
      <c r="C5446" s="0" t="n">
        <v>2.15</v>
      </c>
      <c r="D5446" s="0" t="n">
        <v>0.252292931</v>
      </c>
    </row>
    <row r="5447" customFormat="false" ht="13.8" hidden="true" customHeight="false" outlineLevel="0" collapsed="false">
      <c r="A5447" s="0" t="s">
        <v>240</v>
      </c>
      <c r="B5447" s="0" t="n">
        <v>1</v>
      </c>
      <c r="C5447" s="0" t="n">
        <v>2.2</v>
      </c>
      <c r="D5447" s="0" t="n">
        <v>0.258160209</v>
      </c>
    </row>
    <row r="5448" customFormat="false" ht="13.8" hidden="true" customHeight="false" outlineLevel="0" collapsed="false">
      <c r="A5448" s="0" t="s">
        <v>240</v>
      </c>
      <c r="B5448" s="0" t="n">
        <v>1</v>
      </c>
      <c r="C5448" s="0" t="n">
        <v>2.25</v>
      </c>
      <c r="D5448" s="0" t="n">
        <v>0</v>
      </c>
    </row>
    <row r="5449" customFormat="false" ht="13.8" hidden="true" customHeight="false" outlineLevel="0" collapsed="false">
      <c r="A5449" s="0" t="s">
        <v>240</v>
      </c>
      <c r="B5449" s="0" t="n">
        <v>1</v>
      </c>
      <c r="C5449" s="0" t="n">
        <v>2.3</v>
      </c>
      <c r="D5449" s="0" t="n">
        <v>0</v>
      </c>
    </row>
    <row r="5450" customFormat="false" ht="13.8" hidden="true" customHeight="false" outlineLevel="0" collapsed="false">
      <c r="A5450" s="0" t="s">
        <v>240</v>
      </c>
      <c r="B5450" s="0" t="n">
        <v>1</v>
      </c>
      <c r="C5450" s="0" t="n">
        <v>2.35</v>
      </c>
      <c r="D5450" s="0" t="n">
        <v>0</v>
      </c>
    </row>
    <row r="5451" customFormat="false" ht="13.8" hidden="true" customHeight="false" outlineLevel="0" collapsed="false">
      <c r="A5451" s="0" t="s">
        <v>240</v>
      </c>
      <c r="B5451" s="0" t="n">
        <v>1</v>
      </c>
      <c r="C5451" s="0" t="n">
        <v>2.4</v>
      </c>
      <c r="D5451" s="0" t="n">
        <v>0</v>
      </c>
    </row>
    <row r="5452" customFormat="false" ht="13.8" hidden="true" customHeight="false" outlineLevel="0" collapsed="false">
      <c r="A5452" s="0" t="s">
        <v>240</v>
      </c>
      <c r="B5452" s="0" t="n">
        <v>1</v>
      </c>
      <c r="C5452" s="0" t="n">
        <v>2.45</v>
      </c>
      <c r="D5452" s="0" t="n">
        <v>0</v>
      </c>
    </row>
    <row r="5453" customFormat="false" ht="13.8" hidden="true" customHeight="false" outlineLevel="0" collapsed="false">
      <c r="A5453" s="0" t="s">
        <v>240</v>
      </c>
      <c r="B5453" s="0" t="n">
        <v>1</v>
      </c>
      <c r="C5453" s="0" t="n">
        <v>2.5</v>
      </c>
      <c r="D5453" s="0" t="n">
        <v>0</v>
      </c>
    </row>
    <row r="5454" customFormat="false" ht="13.8" hidden="true" customHeight="false" outlineLevel="0" collapsed="false">
      <c r="A5454" s="0" t="s">
        <v>240</v>
      </c>
      <c r="B5454" s="0" t="n">
        <v>1</v>
      </c>
      <c r="C5454" s="0" t="n">
        <v>2.55</v>
      </c>
      <c r="D5454" s="0" t="n">
        <v>0</v>
      </c>
    </row>
    <row r="5455" customFormat="false" ht="13.8" hidden="true" customHeight="false" outlineLevel="0" collapsed="false">
      <c r="A5455" s="0" t="s">
        <v>240</v>
      </c>
      <c r="B5455" s="0" t="n">
        <v>1</v>
      </c>
      <c r="C5455" s="0" t="n">
        <v>2.6</v>
      </c>
      <c r="D5455" s="0" t="n">
        <v>0</v>
      </c>
    </row>
    <row r="5456" customFormat="false" ht="13.8" hidden="true" customHeight="false" outlineLevel="0" collapsed="false">
      <c r="A5456" s="0" t="s">
        <v>240</v>
      </c>
      <c r="B5456" s="0" t="n">
        <v>2</v>
      </c>
      <c r="C5456" s="0" t="n">
        <v>1.3</v>
      </c>
      <c r="D5456" s="0" t="n">
        <v>0</v>
      </c>
    </row>
    <row r="5457" customFormat="false" ht="13.8" hidden="true" customHeight="false" outlineLevel="0" collapsed="false">
      <c r="A5457" s="0" t="s">
        <v>240</v>
      </c>
      <c r="B5457" s="0" t="n">
        <v>2</v>
      </c>
      <c r="C5457" s="0" t="n">
        <v>1.35</v>
      </c>
      <c r="D5457" s="0" t="n">
        <v>0</v>
      </c>
    </row>
    <row r="5458" customFormat="false" ht="13.8" hidden="true" customHeight="false" outlineLevel="0" collapsed="false">
      <c r="A5458" s="0" t="s">
        <v>240</v>
      </c>
      <c r="B5458" s="0" t="n">
        <v>2</v>
      </c>
      <c r="C5458" s="0" t="n">
        <v>1.4</v>
      </c>
      <c r="D5458" s="0" t="n">
        <v>0</v>
      </c>
    </row>
    <row r="5459" customFormat="false" ht="13.8" hidden="true" customHeight="false" outlineLevel="0" collapsed="false">
      <c r="A5459" s="0" t="s">
        <v>240</v>
      </c>
      <c r="B5459" s="0" t="n">
        <v>2</v>
      </c>
      <c r="C5459" s="0" t="n">
        <v>1.45</v>
      </c>
      <c r="D5459" s="0" t="n">
        <v>0</v>
      </c>
    </row>
    <row r="5460" customFormat="false" ht="13.8" hidden="true" customHeight="false" outlineLevel="0" collapsed="false">
      <c r="A5460" s="0" t="s">
        <v>240</v>
      </c>
      <c r="B5460" s="0" t="n">
        <v>2</v>
      </c>
      <c r="C5460" s="0" t="n">
        <v>1.5</v>
      </c>
      <c r="D5460" s="0" t="n">
        <v>0</v>
      </c>
    </row>
    <row r="5461" customFormat="false" ht="13.8" hidden="true" customHeight="false" outlineLevel="0" collapsed="false">
      <c r="A5461" s="0" t="s">
        <v>240</v>
      </c>
      <c r="B5461" s="0" t="n">
        <v>2</v>
      </c>
      <c r="C5461" s="0" t="n">
        <v>1.55</v>
      </c>
      <c r="D5461" s="0" t="n">
        <v>0</v>
      </c>
    </row>
    <row r="5462" customFormat="false" ht="13.8" hidden="true" customHeight="false" outlineLevel="0" collapsed="false">
      <c r="A5462" s="0" t="s">
        <v>240</v>
      </c>
      <c r="B5462" s="0" t="n">
        <v>2</v>
      </c>
      <c r="C5462" s="0" t="n">
        <v>1.6</v>
      </c>
      <c r="D5462" s="0" t="n">
        <v>0.184</v>
      </c>
    </row>
    <row r="5463" customFormat="false" ht="13.8" hidden="true" customHeight="false" outlineLevel="0" collapsed="false">
      <c r="A5463" s="0" t="s">
        <v>240</v>
      </c>
      <c r="B5463" s="0" t="n">
        <v>2</v>
      </c>
      <c r="C5463" s="0" t="n">
        <v>1.65</v>
      </c>
      <c r="D5463" s="0" t="n">
        <v>0.189</v>
      </c>
    </row>
    <row r="5464" customFormat="false" ht="13.8" hidden="true" customHeight="false" outlineLevel="0" collapsed="false">
      <c r="A5464" s="0" t="s">
        <v>240</v>
      </c>
      <c r="B5464" s="0" t="n">
        <v>2</v>
      </c>
      <c r="C5464" s="0" t="n">
        <v>1.7</v>
      </c>
      <c r="D5464" s="0" t="n">
        <v>0.195</v>
      </c>
    </row>
    <row r="5465" customFormat="false" ht="13.8" hidden="true" customHeight="false" outlineLevel="0" collapsed="false">
      <c r="A5465" s="0" t="s">
        <v>240</v>
      </c>
      <c r="B5465" s="0" t="n">
        <v>2</v>
      </c>
      <c r="C5465" s="0" t="n">
        <v>1.75</v>
      </c>
      <c r="D5465" s="0" t="n">
        <v>0.201</v>
      </c>
    </row>
    <row r="5466" customFormat="false" ht="13.8" hidden="true" customHeight="false" outlineLevel="0" collapsed="false">
      <c r="A5466" s="0" t="s">
        <v>240</v>
      </c>
      <c r="B5466" s="0" t="n">
        <v>2</v>
      </c>
      <c r="C5466" s="0" t="n">
        <v>1.8</v>
      </c>
      <c r="D5466" s="0" t="n">
        <v>0.206</v>
      </c>
    </row>
    <row r="5467" customFormat="false" ht="13.8" hidden="true" customHeight="false" outlineLevel="0" collapsed="false">
      <c r="A5467" s="0" t="s">
        <v>240</v>
      </c>
      <c r="B5467" s="0" t="n">
        <v>2</v>
      </c>
      <c r="C5467" s="0" t="n">
        <v>1.85</v>
      </c>
      <c r="D5467" s="0" t="n">
        <v>0.212</v>
      </c>
    </row>
    <row r="5468" customFormat="false" ht="13.8" hidden="true" customHeight="false" outlineLevel="0" collapsed="false">
      <c r="A5468" s="0" t="s">
        <v>240</v>
      </c>
      <c r="B5468" s="0" t="n">
        <v>2</v>
      </c>
      <c r="C5468" s="0" t="n">
        <v>1.9</v>
      </c>
      <c r="D5468" s="0" t="n">
        <v>0.218</v>
      </c>
    </row>
    <row r="5469" customFormat="false" ht="13.8" hidden="true" customHeight="false" outlineLevel="0" collapsed="false">
      <c r="A5469" s="0" t="s">
        <v>240</v>
      </c>
      <c r="B5469" s="0" t="n">
        <v>2</v>
      </c>
      <c r="C5469" s="0" t="n">
        <v>1.95</v>
      </c>
      <c r="D5469" s="0" t="n">
        <v>0.224</v>
      </c>
    </row>
    <row r="5470" customFormat="false" ht="13.8" hidden="true" customHeight="false" outlineLevel="0" collapsed="false">
      <c r="A5470" s="0" t="s">
        <v>240</v>
      </c>
      <c r="B5470" s="0" t="n">
        <v>2</v>
      </c>
      <c r="C5470" s="0" t="n">
        <v>2</v>
      </c>
      <c r="D5470" s="0" t="n">
        <v>0.235</v>
      </c>
    </row>
    <row r="5471" customFormat="false" ht="13.8" hidden="true" customHeight="false" outlineLevel="0" collapsed="false">
      <c r="A5471" s="0" t="s">
        <v>240</v>
      </c>
      <c r="B5471" s="0" t="n">
        <v>2</v>
      </c>
      <c r="C5471" s="0" t="n">
        <v>2.05</v>
      </c>
      <c r="D5471" s="0" t="n">
        <v>0.241</v>
      </c>
    </row>
    <row r="5472" customFormat="false" ht="13.8" hidden="true" customHeight="false" outlineLevel="0" collapsed="false">
      <c r="A5472" s="0" t="s">
        <v>240</v>
      </c>
      <c r="B5472" s="0" t="n">
        <v>2</v>
      </c>
      <c r="C5472" s="0" t="n">
        <v>2.1</v>
      </c>
      <c r="D5472" s="0" t="n">
        <v>0.246</v>
      </c>
    </row>
    <row r="5473" customFormat="false" ht="13.8" hidden="true" customHeight="false" outlineLevel="0" collapsed="false">
      <c r="A5473" s="0" t="s">
        <v>240</v>
      </c>
      <c r="B5473" s="0" t="n">
        <v>2</v>
      </c>
      <c r="C5473" s="0" t="n">
        <v>2.15</v>
      </c>
      <c r="D5473" s="0" t="n">
        <v>0.252292931</v>
      </c>
    </row>
    <row r="5474" customFormat="false" ht="13.8" hidden="true" customHeight="false" outlineLevel="0" collapsed="false">
      <c r="A5474" s="0" t="s">
        <v>240</v>
      </c>
      <c r="B5474" s="0" t="n">
        <v>2</v>
      </c>
      <c r="C5474" s="0" t="n">
        <v>2.2</v>
      </c>
      <c r="D5474" s="0" t="n">
        <v>0.258160209</v>
      </c>
    </row>
    <row r="5475" customFormat="false" ht="13.8" hidden="true" customHeight="false" outlineLevel="0" collapsed="false">
      <c r="A5475" s="0" t="s">
        <v>240</v>
      </c>
      <c r="B5475" s="0" t="n">
        <v>2</v>
      </c>
      <c r="C5475" s="0" t="n">
        <v>2.25</v>
      </c>
      <c r="D5475" s="0" t="n">
        <v>0</v>
      </c>
    </row>
    <row r="5476" customFormat="false" ht="13.8" hidden="true" customHeight="false" outlineLevel="0" collapsed="false">
      <c r="A5476" s="0" t="s">
        <v>240</v>
      </c>
      <c r="B5476" s="0" t="n">
        <v>2</v>
      </c>
      <c r="C5476" s="0" t="n">
        <v>2.3</v>
      </c>
      <c r="D5476" s="0" t="n">
        <v>0</v>
      </c>
    </row>
    <row r="5477" customFormat="false" ht="13.8" hidden="true" customHeight="false" outlineLevel="0" collapsed="false">
      <c r="A5477" s="0" t="s">
        <v>240</v>
      </c>
      <c r="B5477" s="0" t="n">
        <v>2</v>
      </c>
      <c r="C5477" s="0" t="n">
        <v>2.35</v>
      </c>
      <c r="D5477" s="0" t="n">
        <v>0</v>
      </c>
    </row>
    <row r="5478" customFormat="false" ht="13.8" hidden="true" customHeight="false" outlineLevel="0" collapsed="false">
      <c r="A5478" s="0" t="s">
        <v>240</v>
      </c>
      <c r="B5478" s="0" t="n">
        <v>2</v>
      </c>
      <c r="C5478" s="0" t="n">
        <v>2.4</v>
      </c>
      <c r="D5478" s="0" t="n">
        <v>0</v>
      </c>
    </row>
    <row r="5479" customFormat="false" ht="13.8" hidden="true" customHeight="false" outlineLevel="0" collapsed="false">
      <c r="A5479" s="0" t="s">
        <v>240</v>
      </c>
      <c r="B5479" s="0" t="n">
        <v>2</v>
      </c>
      <c r="C5479" s="0" t="n">
        <v>2.45</v>
      </c>
      <c r="D5479" s="0" t="n">
        <v>0</v>
      </c>
    </row>
    <row r="5480" customFormat="false" ht="13.8" hidden="true" customHeight="false" outlineLevel="0" collapsed="false">
      <c r="A5480" s="0" t="s">
        <v>240</v>
      </c>
      <c r="B5480" s="0" t="n">
        <v>2</v>
      </c>
      <c r="C5480" s="0" t="n">
        <v>2.5</v>
      </c>
      <c r="D5480" s="0" t="n">
        <v>0</v>
      </c>
    </row>
    <row r="5481" customFormat="false" ht="13.8" hidden="true" customHeight="false" outlineLevel="0" collapsed="false">
      <c r="A5481" s="0" t="s">
        <v>240</v>
      </c>
      <c r="B5481" s="0" t="n">
        <v>2</v>
      </c>
      <c r="C5481" s="0" t="n">
        <v>2.55</v>
      </c>
      <c r="D5481" s="0" t="n">
        <v>0</v>
      </c>
    </row>
    <row r="5482" customFormat="false" ht="13.8" hidden="true" customHeight="false" outlineLevel="0" collapsed="false">
      <c r="A5482" s="0" t="s">
        <v>240</v>
      </c>
      <c r="B5482" s="0" t="n">
        <v>2</v>
      </c>
      <c r="C5482" s="0" t="n">
        <v>2.6</v>
      </c>
      <c r="D5482" s="0" t="n">
        <v>0</v>
      </c>
    </row>
    <row r="5483" customFormat="false" ht="13.8" hidden="true" customHeight="false" outlineLevel="0" collapsed="false">
      <c r="A5483" s="0" t="s">
        <v>240</v>
      </c>
      <c r="B5483" s="0" t="n">
        <v>4</v>
      </c>
      <c r="C5483" s="0" t="n">
        <v>1.3</v>
      </c>
      <c r="D5483" s="0" t="n">
        <v>0</v>
      </c>
    </row>
    <row r="5484" customFormat="false" ht="13.8" hidden="true" customHeight="false" outlineLevel="0" collapsed="false">
      <c r="A5484" s="0" t="s">
        <v>240</v>
      </c>
      <c r="B5484" s="0" t="n">
        <v>4</v>
      </c>
      <c r="C5484" s="0" t="n">
        <v>1.35</v>
      </c>
      <c r="D5484" s="0" t="n">
        <v>0</v>
      </c>
    </row>
    <row r="5485" customFormat="false" ht="13.8" hidden="true" customHeight="false" outlineLevel="0" collapsed="false">
      <c r="A5485" s="0" t="s">
        <v>240</v>
      </c>
      <c r="B5485" s="0" t="n">
        <v>4</v>
      </c>
      <c r="C5485" s="0" t="n">
        <v>1.4</v>
      </c>
      <c r="D5485" s="0" t="n">
        <v>0</v>
      </c>
    </row>
    <row r="5486" customFormat="false" ht="13.8" hidden="true" customHeight="false" outlineLevel="0" collapsed="false">
      <c r="A5486" s="0" t="s">
        <v>240</v>
      </c>
      <c r="B5486" s="0" t="n">
        <v>4</v>
      </c>
      <c r="C5486" s="0" t="n">
        <v>1.45</v>
      </c>
      <c r="D5486" s="0" t="n">
        <v>0</v>
      </c>
    </row>
    <row r="5487" customFormat="false" ht="13.8" hidden="true" customHeight="false" outlineLevel="0" collapsed="false">
      <c r="A5487" s="0" t="s">
        <v>240</v>
      </c>
      <c r="B5487" s="0" t="n">
        <v>4</v>
      </c>
      <c r="C5487" s="0" t="n">
        <v>1.5</v>
      </c>
      <c r="D5487" s="0" t="n">
        <v>0</v>
      </c>
    </row>
    <row r="5488" customFormat="false" ht="13.8" hidden="true" customHeight="false" outlineLevel="0" collapsed="false">
      <c r="A5488" s="0" t="s">
        <v>240</v>
      </c>
      <c r="B5488" s="0" t="n">
        <v>4</v>
      </c>
      <c r="C5488" s="0" t="n">
        <v>1.55</v>
      </c>
      <c r="D5488" s="0" t="n">
        <v>0</v>
      </c>
    </row>
    <row r="5489" customFormat="false" ht="13.8" hidden="true" customHeight="false" outlineLevel="0" collapsed="false">
      <c r="A5489" s="0" t="s">
        <v>240</v>
      </c>
      <c r="B5489" s="0" t="n">
        <v>4</v>
      </c>
      <c r="C5489" s="0" t="n">
        <v>1.6</v>
      </c>
      <c r="D5489" s="0" t="n">
        <v>0.184</v>
      </c>
    </row>
    <row r="5490" customFormat="false" ht="13.8" hidden="true" customHeight="false" outlineLevel="0" collapsed="false">
      <c r="A5490" s="0" t="s">
        <v>240</v>
      </c>
      <c r="B5490" s="0" t="n">
        <v>4</v>
      </c>
      <c r="C5490" s="0" t="n">
        <v>1.65</v>
      </c>
      <c r="D5490" s="0" t="n">
        <v>0.189</v>
      </c>
    </row>
    <row r="5491" customFormat="false" ht="13.8" hidden="true" customHeight="false" outlineLevel="0" collapsed="false">
      <c r="A5491" s="0" t="s">
        <v>240</v>
      </c>
      <c r="B5491" s="0" t="n">
        <v>4</v>
      </c>
      <c r="C5491" s="0" t="n">
        <v>1.7</v>
      </c>
      <c r="D5491" s="0" t="n">
        <v>0.195</v>
      </c>
    </row>
    <row r="5492" customFormat="false" ht="13.8" hidden="true" customHeight="false" outlineLevel="0" collapsed="false">
      <c r="A5492" s="0" t="s">
        <v>240</v>
      </c>
      <c r="B5492" s="0" t="n">
        <v>4</v>
      </c>
      <c r="C5492" s="0" t="n">
        <v>1.75</v>
      </c>
      <c r="D5492" s="0" t="n">
        <v>0.201</v>
      </c>
    </row>
    <row r="5493" customFormat="false" ht="13.8" hidden="true" customHeight="false" outlineLevel="0" collapsed="false">
      <c r="A5493" s="0" t="s">
        <v>240</v>
      </c>
      <c r="B5493" s="0" t="n">
        <v>4</v>
      </c>
      <c r="C5493" s="0" t="n">
        <v>1.8</v>
      </c>
      <c r="D5493" s="0" t="n">
        <v>0.206</v>
      </c>
    </row>
    <row r="5494" customFormat="false" ht="13.8" hidden="true" customHeight="false" outlineLevel="0" collapsed="false">
      <c r="A5494" s="0" t="s">
        <v>240</v>
      </c>
      <c r="B5494" s="0" t="n">
        <v>4</v>
      </c>
      <c r="C5494" s="0" t="n">
        <v>1.85</v>
      </c>
      <c r="D5494" s="0" t="n">
        <v>0.212</v>
      </c>
    </row>
    <row r="5495" customFormat="false" ht="13.8" hidden="true" customHeight="false" outlineLevel="0" collapsed="false">
      <c r="A5495" s="0" t="s">
        <v>240</v>
      </c>
      <c r="B5495" s="0" t="n">
        <v>4</v>
      </c>
      <c r="C5495" s="0" t="n">
        <v>1.9</v>
      </c>
      <c r="D5495" s="0" t="n">
        <v>0.218</v>
      </c>
    </row>
    <row r="5496" customFormat="false" ht="13.8" hidden="true" customHeight="false" outlineLevel="0" collapsed="false">
      <c r="A5496" s="0" t="s">
        <v>240</v>
      </c>
      <c r="B5496" s="0" t="n">
        <v>4</v>
      </c>
      <c r="C5496" s="0" t="n">
        <v>1.95</v>
      </c>
      <c r="D5496" s="0" t="n">
        <v>0.224</v>
      </c>
    </row>
    <row r="5497" customFormat="false" ht="13.8" hidden="true" customHeight="false" outlineLevel="0" collapsed="false">
      <c r="A5497" s="0" t="s">
        <v>240</v>
      </c>
      <c r="B5497" s="0" t="n">
        <v>4</v>
      </c>
      <c r="C5497" s="0" t="n">
        <v>2</v>
      </c>
      <c r="D5497" s="0" t="n">
        <v>0.235</v>
      </c>
    </row>
    <row r="5498" customFormat="false" ht="13.8" hidden="true" customHeight="false" outlineLevel="0" collapsed="false">
      <c r="A5498" s="0" t="s">
        <v>240</v>
      </c>
      <c r="B5498" s="0" t="n">
        <v>4</v>
      </c>
      <c r="C5498" s="0" t="n">
        <v>2.05</v>
      </c>
      <c r="D5498" s="0" t="n">
        <v>0.241</v>
      </c>
    </row>
    <row r="5499" customFormat="false" ht="13.8" hidden="true" customHeight="false" outlineLevel="0" collapsed="false">
      <c r="A5499" s="0" t="s">
        <v>240</v>
      </c>
      <c r="B5499" s="0" t="n">
        <v>4</v>
      </c>
      <c r="C5499" s="0" t="n">
        <v>2.1</v>
      </c>
      <c r="D5499" s="0" t="n">
        <v>0.246</v>
      </c>
    </row>
    <row r="5500" customFormat="false" ht="13.8" hidden="true" customHeight="false" outlineLevel="0" collapsed="false">
      <c r="A5500" s="0" t="s">
        <v>240</v>
      </c>
      <c r="B5500" s="0" t="n">
        <v>4</v>
      </c>
      <c r="C5500" s="0" t="n">
        <v>2.15</v>
      </c>
      <c r="D5500" s="0" t="n">
        <v>0.252292931</v>
      </c>
    </row>
    <row r="5501" customFormat="false" ht="13.8" hidden="true" customHeight="false" outlineLevel="0" collapsed="false">
      <c r="A5501" s="0" t="s">
        <v>240</v>
      </c>
      <c r="B5501" s="0" t="n">
        <v>4</v>
      </c>
      <c r="C5501" s="0" t="n">
        <v>2.2</v>
      </c>
      <c r="D5501" s="0" t="n">
        <v>0.258160209</v>
      </c>
    </row>
    <row r="5502" customFormat="false" ht="13.8" hidden="true" customHeight="false" outlineLevel="0" collapsed="false">
      <c r="A5502" s="0" t="s">
        <v>240</v>
      </c>
      <c r="B5502" s="0" t="n">
        <v>4</v>
      </c>
      <c r="C5502" s="0" t="n">
        <v>2.25</v>
      </c>
      <c r="D5502" s="0" t="n">
        <v>0</v>
      </c>
    </row>
    <row r="5503" customFormat="false" ht="13.8" hidden="true" customHeight="false" outlineLevel="0" collapsed="false">
      <c r="A5503" s="0" t="s">
        <v>240</v>
      </c>
      <c r="B5503" s="0" t="n">
        <v>4</v>
      </c>
      <c r="C5503" s="0" t="n">
        <v>2.3</v>
      </c>
      <c r="D5503" s="0" t="n">
        <v>0</v>
      </c>
    </row>
    <row r="5504" customFormat="false" ht="13.8" hidden="true" customHeight="false" outlineLevel="0" collapsed="false">
      <c r="A5504" s="0" t="s">
        <v>240</v>
      </c>
      <c r="B5504" s="0" t="n">
        <v>4</v>
      </c>
      <c r="C5504" s="0" t="n">
        <v>2.35</v>
      </c>
      <c r="D5504" s="0" t="n">
        <v>0</v>
      </c>
    </row>
    <row r="5505" customFormat="false" ht="13.8" hidden="true" customHeight="false" outlineLevel="0" collapsed="false">
      <c r="A5505" s="0" t="s">
        <v>240</v>
      </c>
      <c r="B5505" s="0" t="n">
        <v>4</v>
      </c>
      <c r="C5505" s="0" t="n">
        <v>2.4</v>
      </c>
      <c r="D5505" s="0" t="n">
        <v>0</v>
      </c>
    </row>
    <row r="5506" customFormat="false" ht="13.8" hidden="true" customHeight="false" outlineLevel="0" collapsed="false">
      <c r="A5506" s="0" t="s">
        <v>240</v>
      </c>
      <c r="B5506" s="0" t="n">
        <v>4</v>
      </c>
      <c r="C5506" s="0" t="n">
        <v>2.45</v>
      </c>
      <c r="D5506" s="0" t="n">
        <v>0</v>
      </c>
    </row>
    <row r="5507" customFormat="false" ht="13.8" hidden="true" customHeight="false" outlineLevel="0" collapsed="false">
      <c r="A5507" s="0" t="s">
        <v>240</v>
      </c>
      <c r="B5507" s="0" t="n">
        <v>4</v>
      </c>
      <c r="C5507" s="0" t="n">
        <v>2.5</v>
      </c>
      <c r="D5507" s="0" t="n">
        <v>0</v>
      </c>
    </row>
    <row r="5508" customFormat="false" ht="13.8" hidden="true" customHeight="false" outlineLevel="0" collapsed="false">
      <c r="A5508" s="0" t="s">
        <v>240</v>
      </c>
      <c r="B5508" s="0" t="n">
        <v>4</v>
      </c>
      <c r="C5508" s="0" t="n">
        <v>2.55</v>
      </c>
      <c r="D5508" s="0" t="n">
        <v>0</v>
      </c>
    </row>
    <row r="5509" customFormat="false" ht="13.8" hidden="true" customHeight="false" outlineLevel="0" collapsed="false">
      <c r="A5509" s="0" t="s">
        <v>240</v>
      </c>
      <c r="B5509" s="0" t="n">
        <v>4</v>
      </c>
      <c r="C5509" s="0" t="n">
        <v>2.6</v>
      </c>
      <c r="D5509" s="0" t="n">
        <v>0</v>
      </c>
    </row>
    <row r="5510" customFormat="false" ht="13.8" hidden="true" customHeight="false" outlineLevel="0" collapsed="false">
      <c r="A5510" s="0" t="s">
        <v>130</v>
      </c>
      <c r="B5510" s="0" t="n">
        <v>1</v>
      </c>
      <c r="C5510" s="0" t="n">
        <v>1.3</v>
      </c>
      <c r="D5510" s="0" t="n">
        <v>0</v>
      </c>
    </row>
    <row r="5511" customFormat="false" ht="13.8" hidden="true" customHeight="false" outlineLevel="0" collapsed="false">
      <c r="A5511" s="0" t="s">
        <v>130</v>
      </c>
      <c r="B5511" s="0" t="n">
        <v>1</v>
      </c>
      <c r="C5511" s="0" t="n">
        <v>1.35</v>
      </c>
      <c r="D5511" s="0" t="n">
        <v>0</v>
      </c>
    </row>
    <row r="5512" customFormat="false" ht="13.8" hidden="true" customHeight="false" outlineLevel="0" collapsed="false">
      <c r="A5512" s="0" t="s">
        <v>130</v>
      </c>
      <c r="B5512" s="0" t="n">
        <v>1</v>
      </c>
      <c r="C5512" s="0" t="n">
        <v>1.4</v>
      </c>
      <c r="D5512" s="0" t="n">
        <v>0.161</v>
      </c>
    </row>
    <row r="5513" customFormat="false" ht="13.8" hidden="true" customHeight="false" outlineLevel="0" collapsed="false">
      <c r="A5513" s="0" t="s">
        <v>130</v>
      </c>
      <c r="B5513" s="0" t="n">
        <v>1</v>
      </c>
      <c r="C5513" s="0" t="n">
        <v>1.45</v>
      </c>
      <c r="D5513" s="0" t="n">
        <v>0.166</v>
      </c>
    </row>
    <row r="5514" customFormat="false" ht="13.8" hidden="true" customHeight="false" outlineLevel="0" collapsed="false">
      <c r="A5514" s="0" t="s">
        <v>130</v>
      </c>
      <c r="B5514" s="0" t="n">
        <v>1</v>
      </c>
      <c r="C5514" s="0" t="n">
        <v>1.5</v>
      </c>
      <c r="D5514" s="0" t="n">
        <v>0.172</v>
      </c>
    </row>
    <row r="5515" customFormat="false" ht="13.8" hidden="true" customHeight="false" outlineLevel="0" collapsed="false">
      <c r="A5515" s="0" t="s">
        <v>130</v>
      </c>
      <c r="B5515" s="0" t="n">
        <v>1</v>
      </c>
      <c r="C5515" s="0" t="n">
        <v>1.55</v>
      </c>
      <c r="D5515" s="0" t="n">
        <v>0.178</v>
      </c>
    </row>
    <row r="5516" customFormat="false" ht="13.8" hidden="true" customHeight="false" outlineLevel="0" collapsed="false">
      <c r="A5516" s="0" t="s">
        <v>130</v>
      </c>
      <c r="B5516" s="0" t="n">
        <v>1</v>
      </c>
      <c r="C5516" s="0" t="n">
        <v>1.6</v>
      </c>
      <c r="D5516" s="0" t="n">
        <v>0.184</v>
      </c>
    </row>
    <row r="5517" customFormat="false" ht="13.8" hidden="true" customHeight="false" outlineLevel="0" collapsed="false">
      <c r="A5517" s="0" t="s">
        <v>130</v>
      </c>
      <c r="B5517" s="0" t="n">
        <v>1</v>
      </c>
      <c r="C5517" s="0" t="n">
        <v>1.65</v>
      </c>
      <c r="D5517" s="0" t="n">
        <v>0.189</v>
      </c>
    </row>
    <row r="5518" customFormat="false" ht="13.8" hidden="true" customHeight="false" outlineLevel="0" collapsed="false">
      <c r="A5518" s="0" t="s">
        <v>130</v>
      </c>
      <c r="B5518" s="0" t="n">
        <v>1</v>
      </c>
      <c r="C5518" s="0" t="n">
        <v>1.7</v>
      </c>
      <c r="D5518" s="0" t="n">
        <v>0.195</v>
      </c>
    </row>
    <row r="5519" customFormat="false" ht="13.8" hidden="true" customHeight="false" outlineLevel="0" collapsed="false">
      <c r="A5519" s="0" t="s">
        <v>130</v>
      </c>
      <c r="B5519" s="0" t="n">
        <v>1</v>
      </c>
      <c r="C5519" s="0" t="n">
        <v>1.75</v>
      </c>
      <c r="D5519" s="0" t="n">
        <v>0.201</v>
      </c>
    </row>
    <row r="5520" customFormat="false" ht="13.8" hidden="true" customHeight="false" outlineLevel="0" collapsed="false">
      <c r="A5520" s="0" t="s">
        <v>130</v>
      </c>
      <c r="B5520" s="0" t="n">
        <v>1</v>
      </c>
      <c r="C5520" s="0" t="n">
        <v>1.8</v>
      </c>
      <c r="D5520" s="0" t="n">
        <v>0</v>
      </c>
    </row>
    <row r="5521" customFormat="false" ht="13.8" hidden="true" customHeight="false" outlineLevel="0" collapsed="false">
      <c r="A5521" s="0" t="s">
        <v>130</v>
      </c>
      <c r="B5521" s="0" t="n">
        <v>1</v>
      </c>
      <c r="C5521" s="0" t="n">
        <v>1.85</v>
      </c>
      <c r="D5521" s="0" t="n">
        <v>0</v>
      </c>
    </row>
    <row r="5522" customFormat="false" ht="13.8" hidden="true" customHeight="false" outlineLevel="0" collapsed="false">
      <c r="A5522" s="0" t="s">
        <v>130</v>
      </c>
      <c r="B5522" s="0" t="n">
        <v>1</v>
      </c>
      <c r="C5522" s="0" t="n">
        <v>1.9</v>
      </c>
      <c r="D5522" s="0" t="n">
        <v>0</v>
      </c>
    </row>
    <row r="5523" customFormat="false" ht="13.8" hidden="true" customHeight="false" outlineLevel="0" collapsed="false">
      <c r="A5523" s="0" t="s">
        <v>130</v>
      </c>
      <c r="B5523" s="0" t="n">
        <v>1</v>
      </c>
      <c r="C5523" s="0" t="n">
        <v>1.95</v>
      </c>
      <c r="D5523" s="0" t="n">
        <v>0</v>
      </c>
    </row>
    <row r="5524" customFormat="false" ht="13.8" hidden="true" customHeight="false" outlineLevel="0" collapsed="false">
      <c r="A5524" s="0" t="s">
        <v>130</v>
      </c>
      <c r="B5524" s="0" t="n">
        <v>1</v>
      </c>
      <c r="C5524" s="0" t="n">
        <v>2</v>
      </c>
      <c r="D5524" s="0" t="n">
        <v>0</v>
      </c>
    </row>
    <row r="5525" customFormat="false" ht="13.8" hidden="true" customHeight="false" outlineLevel="0" collapsed="false">
      <c r="A5525" s="0" t="s">
        <v>130</v>
      </c>
      <c r="B5525" s="0" t="n">
        <v>1</v>
      </c>
      <c r="C5525" s="0" t="n">
        <v>2.05</v>
      </c>
      <c r="D5525" s="0" t="n">
        <v>0</v>
      </c>
    </row>
    <row r="5526" customFormat="false" ht="13.8" hidden="true" customHeight="false" outlineLevel="0" collapsed="false">
      <c r="A5526" s="0" t="s">
        <v>130</v>
      </c>
      <c r="B5526" s="0" t="n">
        <v>1</v>
      </c>
      <c r="C5526" s="0" t="n">
        <v>2.1</v>
      </c>
      <c r="D5526" s="0" t="n">
        <v>0</v>
      </c>
    </row>
    <row r="5527" customFormat="false" ht="13.8" hidden="true" customHeight="false" outlineLevel="0" collapsed="false">
      <c r="A5527" s="0" t="s">
        <v>130</v>
      </c>
      <c r="B5527" s="0" t="n">
        <v>1</v>
      </c>
      <c r="C5527" s="0" t="n">
        <v>2.15</v>
      </c>
      <c r="D5527" s="0" t="n">
        <v>0</v>
      </c>
    </row>
    <row r="5528" customFormat="false" ht="13.8" hidden="true" customHeight="false" outlineLevel="0" collapsed="false">
      <c r="A5528" s="0" t="s">
        <v>130</v>
      </c>
      <c r="B5528" s="0" t="n">
        <v>1</v>
      </c>
      <c r="C5528" s="0" t="n">
        <v>2.2</v>
      </c>
      <c r="D5528" s="0" t="n">
        <v>0</v>
      </c>
    </row>
    <row r="5529" customFormat="false" ht="13.8" hidden="true" customHeight="false" outlineLevel="0" collapsed="false">
      <c r="A5529" s="0" t="s">
        <v>130</v>
      </c>
      <c r="B5529" s="0" t="n">
        <v>1</v>
      </c>
      <c r="C5529" s="0" t="n">
        <v>2.25</v>
      </c>
      <c r="D5529" s="0" t="n">
        <v>0</v>
      </c>
    </row>
    <row r="5530" customFormat="false" ht="13.8" hidden="true" customHeight="false" outlineLevel="0" collapsed="false">
      <c r="A5530" s="0" t="s">
        <v>130</v>
      </c>
      <c r="B5530" s="0" t="n">
        <v>1</v>
      </c>
      <c r="C5530" s="0" t="n">
        <v>2.3</v>
      </c>
      <c r="D5530" s="0" t="n">
        <v>0</v>
      </c>
    </row>
    <row r="5531" customFormat="false" ht="13.8" hidden="true" customHeight="false" outlineLevel="0" collapsed="false">
      <c r="A5531" s="0" t="s">
        <v>130</v>
      </c>
      <c r="B5531" s="0" t="n">
        <v>1</v>
      </c>
      <c r="C5531" s="0" t="n">
        <v>2.35</v>
      </c>
      <c r="D5531" s="0" t="n">
        <v>0</v>
      </c>
    </row>
    <row r="5532" customFormat="false" ht="13.8" hidden="true" customHeight="false" outlineLevel="0" collapsed="false">
      <c r="A5532" s="0" t="s">
        <v>130</v>
      </c>
      <c r="B5532" s="0" t="n">
        <v>1</v>
      </c>
      <c r="C5532" s="0" t="n">
        <v>2.4</v>
      </c>
      <c r="D5532" s="0" t="n">
        <v>0</v>
      </c>
    </row>
    <row r="5533" customFormat="false" ht="13.8" hidden="true" customHeight="false" outlineLevel="0" collapsed="false">
      <c r="A5533" s="0" t="s">
        <v>130</v>
      </c>
      <c r="B5533" s="0" t="n">
        <v>1</v>
      </c>
      <c r="C5533" s="0" t="n">
        <v>2.45</v>
      </c>
      <c r="D5533" s="0" t="n">
        <v>0</v>
      </c>
    </row>
    <row r="5534" customFormat="false" ht="13.8" hidden="true" customHeight="false" outlineLevel="0" collapsed="false">
      <c r="A5534" s="0" t="s">
        <v>130</v>
      </c>
      <c r="B5534" s="0" t="n">
        <v>1</v>
      </c>
      <c r="C5534" s="0" t="n">
        <v>2.5</v>
      </c>
      <c r="D5534" s="0" t="n">
        <v>0</v>
      </c>
    </row>
    <row r="5535" customFormat="false" ht="13.8" hidden="true" customHeight="false" outlineLevel="0" collapsed="false">
      <c r="A5535" s="0" t="s">
        <v>130</v>
      </c>
      <c r="B5535" s="0" t="n">
        <v>1</v>
      </c>
      <c r="C5535" s="0" t="n">
        <v>2.55</v>
      </c>
      <c r="D5535" s="0" t="n">
        <v>0</v>
      </c>
    </row>
    <row r="5536" customFormat="false" ht="13.8" hidden="true" customHeight="false" outlineLevel="0" collapsed="false">
      <c r="A5536" s="0" t="s">
        <v>130</v>
      </c>
      <c r="B5536" s="0" t="n">
        <v>1</v>
      </c>
      <c r="C5536" s="0" t="n">
        <v>2.6</v>
      </c>
      <c r="D5536" s="0" t="n">
        <v>0</v>
      </c>
    </row>
    <row r="5537" customFormat="false" ht="13.8" hidden="true" customHeight="false" outlineLevel="0" collapsed="false">
      <c r="A5537" s="0" t="s">
        <v>130</v>
      </c>
      <c r="B5537" s="0" t="n">
        <v>2</v>
      </c>
      <c r="C5537" s="0" t="n">
        <v>1.3</v>
      </c>
      <c r="D5537" s="0" t="n">
        <v>0</v>
      </c>
    </row>
    <row r="5538" customFormat="false" ht="13.8" hidden="true" customHeight="false" outlineLevel="0" collapsed="false">
      <c r="A5538" s="0" t="s">
        <v>130</v>
      </c>
      <c r="B5538" s="0" t="n">
        <v>2</v>
      </c>
      <c r="C5538" s="0" t="n">
        <v>1.35</v>
      </c>
      <c r="D5538" s="0" t="n">
        <v>0</v>
      </c>
    </row>
    <row r="5539" customFormat="false" ht="13.8" hidden="true" customHeight="false" outlineLevel="0" collapsed="false">
      <c r="A5539" s="0" t="s">
        <v>130</v>
      </c>
      <c r="B5539" s="0" t="n">
        <v>2</v>
      </c>
      <c r="C5539" s="0" t="n">
        <v>1.4</v>
      </c>
      <c r="D5539" s="0" t="n">
        <v>0.161</v>
      </c>
    </row>
    <row r="5540" customFormat="false" ht="13.8" hidden="true" customHeight="false" outlineLevel="0" collapsed="false">
      <c r="A5540" s="0" t="s">
        <v>130</v>
      </c>
      <c r="B5540" s="0" t="n">
        <v>2</v>
      </c>
      <c r="C5540" s="0" t="n">
        <v>1.45</v>
      </c>
      <c r="D5540" s="0" t="n">
        <v>0.166</v>
      </c>
    </row>
    <row r="5541" customFormat="false" ht="13.8" hidden="true" customHeight="false" outlineLevel="0" collapsed="false">
      <c r="A5541" s="0" t="s">
        <v>130</v>
      </c>
      <c r="B5541" s="0" t="n">
        <v>2</v>
      </c>
      <c r="C5541" s="0" t="n">
        <v>1.5</v>
      </c>
      <c r="D5541" s="0" t="n">
        <v>0.172</v>
      </c>
    </row>
    <row r="5542" customFormat="false" ht="13.8" hidden="true" customHeight="false" outlineLevel="0" collapsed="false">
      <c r="A5542" s="0" t="s">
        <v>130</v>
      </c>
      <c r="B5542" s="0" t="n">
        <v>2</v>
      </c>
      <c r="C5542" s="0" t="n">
        <v>1.55</v>
      </c>
      <c r="D5542" s="0" t="n">
        <v>0.178</v>
      </c>
    </row>
    <row r="5543" customFormat="false" ht="13.8" hidden="true" customHeight="false" outlineLevel="0" collapsed="false">
      <c r="A5543" s="0" t="s">
        <v>130</v>
      </c>
      <c r="B5543" s="0" t="n">
        <v>2</v>
      </c>
      <c r="C5543" s="0" t="n">
        <v>1.6</v>
      </c>
      <c r="D5543" s="0" t="n">
        <v>0.184</v>
      </c>
    </row>
    <row r="5544" customFormat="false" ht="13.8" hidden="true" customHeight="false" outlineLevel="0" collapsed="false">
      <c r="A5544" s="0" t="s">
        <v>130</v>
      </c>
      <c r="B5544" s="0" t="n">
        <v>2</v>
      </c>
      <c r="C5544" s="0" t="n">
        <v>1.65</v>
      </c>
      <c r="D5544" s="0" t="n">
        <v>0.189</v>
      </c>
    </row>
    <row r="5545" customFormat="false" ht="13.8" hidden="true" customHeight="false" outlineLevel="0" collapsed="false">
      <c r="A5545" s="0" t="s">
        <v>130</v>
      </c>
      <c r="B5545" s="0" t="n">
        <v>2</v>
      </c>
      <c r="C5545" s="0" t="n">
        <v>1.7</v>
      </c>
      <c r="D5545" s="0" t="n">
        <v>0.195</v>
      </c>
    </row>
    <row r="5546" customFormat="false" ht="13.8" hidden="true" customHeight="false" outlineLevel="0" collapsed="false">
      <c r="A5546" s="0" t="s">
        <v>130</v>
      </c>
      <c r="B5546" s="0" t="n">
        <v>2</v>
      </c>
      <c r="C5546" s="0" t="n">
        <v>1.75</v>
      </c>
      <c r="D5546" s="0" t="n">
        <v>0.201</v>
      </c>
    </row>
    <row r="5547" customFormat="false" ht="13.8" hidden="true" customHeight="false" outlineLevel="0" collapsed="false">
      <c r="A5547" s="0" t="s">
        <v>130</v>
      </c>
      <c r="B5547" s="0" t="n">
        <v>2</v>
      </c>
      <c r="C5547" s="0" t="n">
        <v>1.8</v>
      </c>
      <c r="D5547" s="0" t="n">
        <v>0.206</v>
      </c>
    </row>
    <row r="5548" customFormat="false" ht="13.8" hidden="true" customHeight="false" outlineLevel="0" collapsed="false">
      <c r="A5548" s="0" t="s">
        <v>130</v>
      </c>
      <c r="B5548" s="0" t="n">
        <v>2</v>
      </c>
      <c r="C5548" s="0" t="n">
        <v>1.85</v>
      </c>
      <c r="D5548" s="0" t="n">
        <v>0.212</v>
      </c>
    </row>
    <row r="5549" customFormat="false" ht="13.8" hidden="true" customHeight="false" outlineLevel="0" collapsed="false">
      <c r="A5549" s="0" t="s">
        <v>130</v>
      </c>
      <c r="B5549" s="0" t="n">
        <v>2</v>
      </c>
      <c r="C5549" s="0" t="n">
        <v>1.9</v>
      </c>
      <c r="D5549" s="0" t="n">
        <v>0.218</v>
      </c>
    </row>
    <row r="5550" customFormat="false" ht="13.8" hidden="true" customHeight="false" outlineLevel="0" collapsed="false">
      <c r="A5550" s="0" t="s">
        <v>130</v>
      </c>
      <c r="B5550" s="0" t="n">
        <v>2</v>
      </c>
      <c r="C5550" s="0" t="n">
        <v>1.95</v>
      </c>
      <c r="D5550" s="0" t="n">
        <v>0.224</v>
      </c>
    </row>
    <row r="5551" customFormat="false" ht="13.8" hidden="true" customHeight="false" outlineLevel="0" collapsed="false">
      <c r="A5551" s="0" t="s">
        <v>130</v>
      </c>
      <c r="B5551" s="0" t="n">
        <v>2</v>
      </c>
      <c r="C5551" s="0" t="n">
        <v>2</v>
      </c>
      <c r="D5551" s="0" t="n">
        <v>0</v>
      </c>
    </row>
    <row r="5552" customFormat="false" ht="13.8" hidden="true" customHeight="false" outlineLevel="0" collapsed="false">
      <c r="A5552" s="0" t="s">
        <v>130</v>
      </c>
      <c r="B5552" s="0" t="n">
        <v>2</v>
      </c>
      <c r="C5552" s="0" t="n">
        <v>2.05</v>
      </c>
      <c r="D5552" s="0" t="n">
        <v>0</v>
      </c>
    </row>
    <row r="5553" customFormat="false" ht="13.8" hidden="true" customHeight="false" outlineLevel="0" collapsed="false">
      <c r="A5553" s="0" t="s">
        <v>130</v>
      </c>
      <c r="B5553" s="0" t="n">
        <v>2</v>
      </c>
      <c r="C5553" s="0" t="n">
        <v>2.1</v>
      </c>
      <c r="D5553" s="0" t="n">
        <v>0</v>
      </c>
    </row>
    <row r="5554" customFormat="false" ht="13.8" hidden="true" customHeight="false" outlineLevel="0" collapsed="false">
      <c r="A5554" s="0" t="s">
        <v>130</v>
      </c>
      <c r="B5554" s="0" t="n">
        <v>2</v>
      </c>
      <c r="C5554" s="0" t="n">
        <v>2.15</v>
      </c>
      <c r="D5554" s="0" t="n">
        <v>0</v>
      </c>
    </row>
    <row r="5555" customFormat="false" ht="13.8" hidden="true" customHeight="false" outlineLevel="0" collapsed="false">
      <c r="A5555" s="0" t="s">
        <v>130</v>
      </c>
      <c r="B5555" s="0" t="n">
        <v>2</v>
      </c>
      <c r="C5555" s="0" t="n">
        <v>2.2</v>
      </c>
      <c r="D5555" s="0" t="n">
        <v>0</v>
      </c>
    </row>
    <row r="5556" customFormat="false" ht="13.8" hidden="true" customHeight="false" outlineLevel="0" collapsed="false">
      <c r="A5556" s="0" t="s">
        <v>130</v>
      </c>
      <c r="B5556" s="0" t="n">
        <v>2</v>
      </c>
      <c r="C5556" s="0" t="n">
        <v>2.25</v>
      </c>
      <c r="D5556" s="0" t="n">
        <v>0</v>
      </c>
    </row>
    <row r="5557" customFormat="false" ht="13.8" hidden="true" customHeight="false" outlineLevel="0" collapsed="false">
      <c r="A5557" s="0" t="s">
        <v>130</v>
      </c>
      <c r="B5557" s="0" t="n">
        <v>2</v>
      </c>
      <c r="C5557" s="0" t="n">
        <v>2.3</v>
      </c>
      <c r="D5557" s="0" t="n">
        <v>0</v>
      </c>
    </row>
    <row r="5558" customFormat="false" ht="13.8" hidden="true" customHeight="false" outlineLevel="0" collapsed="false">
      <c r="A5558" s="0" t="s">
        <v>130</v>
      </c>
      <c r="B5558" s="0" t="n">
        <v>2</v>
      </c>
      <c r="C5558" s="0" t="n">
        <v>2.35</v>
      </c>
      <c r="D5558" s="0" t="n">
        <v>0</v>
      </c>
    </row>
    <row r="5559" customFormat="false" ht="13.8" hidden="true" customHeight="false" outlineLevel="0" collapsed="false">
      <c r="A5559" s="0" t="s">
        <v>130</v>
      </c>
      <c r="B5559" s="0" t="n">
        <v>2</v>
      </c>
      <c r="C5559" s="0" t="n">
        <v>2.4</v>
      </c>
      <c r="D5559" s="0" t="n">
        <v>0</v>
      </c>
    </row>
    <row r="5560" customFormat="false" ht="13.8" hidden="true" customHeight="false" outlineLevel="0" collapsed="false">
      <c r="A5560" s="0" t="s">
        <v>130</v>
      </c>
      <c r="B5560" s="0" t="n">
        <v>2</v>
      </c>
      <c r="C5560" s="0" t="n">
        <v>2.45</v>
      </c>
      <c r="D5560" s="0" t="n">
        <v>0</v>
      </c>
    </row>
    <row r="5561" customFormat="false" ht="13.8" hidden="true" customHeight="false" outlineLevel="0" collapsed="false">
      <c r="A5561" s="0" t="s">
        <v>130</v>
      </c>
      <c r="B5561" s="0" t="n">
        <v>2</v>
      </c>
      <c r="C5561" s="0" t="n">
        <v>2.5</v>
      </c>
      <c r="D5561" s="0" t="n">
        <v>0</v>
      </c>
    </row>
    <row r="5562" customFormat="false" ht="13.8" hidden="true" customHeight="false" outlineLevel="0" collapsed="false">
      <c r="A5562" s="0" t="s">
        <v>130</v>
      </c>
      <c r="B5562" s="0" t="n">
        <v>2</v>
      </c>
      <c r="C5562" s="0" t="n">
        <v>2.55</v>
      </c>
      <c r="D5562" s="0" t="n">
        <v>0</v>
      </c>
    </row>
    <row r="5563" customFormat="false" ht="13.8" hidden="true" customHeight="false" outlineLevel="0" collapsed="false">
      <c r="A5563" s="0" t="s">
        <v>130</v>
      </c>
      <c r="B5563" s="0" t="n">
        <v>2</v>
      </c>
      <c r="C5563" s="0" t="n">
        <v>2.6</v>
      </c>
      <c r="D5563" s="0" t="n">
        <v>0</v>
      </c>
    </row>
    <row r="5564" customFormat="false" ht="13.8" hidden="true" customHeight="false" outlineLevel="0" collapsed="false">
      <c r="A5564" s="0" t="s">
        <v>130</v>
      </c>
      <c r="B5564" s="0" t="n">
        <v>4</v>
      </c>
      <c r="C5564" s="0" t="n">
        <v>1.3</v>
      </c>
      <c r="D5564" s="0" t="n">
        <v>0</v>
      </c>
    </row>
    <row r="5565" customFormat="false" ht="13.8" hidden="true" customHeight="false" outlineLevel="0" collapsed="false">
      <c r="A5565" s="0" t="s">
        <v>130</v>
      </c>
      <c r="B5565" s="0" t="n">
        <v>4</v>
      </c>
      <c r="C5565" s="0" t="n">
        <v>1.35</v>
      </c>
      <c r="D5565" s="0" t="n">
        <v>0</v>
      </c>
    </row>
    <row r="5566" customFormat="false" ht="13.8" hidden="true" customHeight="false" outlineLevel="0" collapsed="false">
      <c r="A5566" s="0" t="s">
        <v>130</v>
      </c>
      <c r="B5566" s="0" t="n">
        <v>4</v>
      </c>
      <c r="C5566" s="0" t="n">
        <v>1.4</v>
      </c>
      <c r="D5566" s="0" t="n">
        <v>0.161</v>
      </c>
    </row>
    <row r="5567" customFormat="false" ht="13.8" hidden="true" customHeight="false" outlineLevel="0" collapsed="false">
      <c r="A5567" s="0" t="s">
        <v>130</v>
      </c>
      <c r="B5567" s="0" t="n">
        <v>4</v>
      </c>
      <c r="C5567" s="0" t="n">
        <v>1.45</v>
      </c>
      <c r="D5567" s="0" t="n">
        <v>0.166</v>
      </c>
    </row>
    <row r="5568" customFormat="false" ht="13.8" hidden="true" customHeight="false" outlineLevel="0" collapsed="false">
      <c r="A5568" s="0" t="s">
        <v>130</v>
      </c>
      <c r="B5568" s="0" t="n">
        <v>4</v>
      </c>
      <c r="C5568" s="0" t="n">
        <v>1.5</v>
      </c>
      <c r="D5568" s="0" t="n">
        <v>0.172</v>
      </c>
    </row>
    <row r="5569" customFormat="false" ht="13.8" hidden="true" customHeight="false" outlineLevel="0" collapsed="false">
      <c r="A5569" s="0" t="s">
        <v>130</v>
      </c>
      <c r="B5569" s="0" t="n">
        <v>4</v>
      </c>
      <c r="C5569" s="0" t="n">
        <v>1.55</v>
      </c>
      <c r="D5569" s="0" t="n">
        <v>0.178</v>
      </c>
    </row>
    <row r="5570" customFormat="false" ht="13.8" hidden="true" customHeight="false" outlineLevel="0" collapsed="false">
      <c r="A5570" s="0" t="s">
        <v>130</v>
      </c>
      <c r="B5570" s="0" t="n">
        <v>4</v>
      </c>
      <c r="C5570" s="0" t="n">
        <v>1.6</v>
      </c>
      <c r="D5570" s="0" t="n">
        <v>0.184</v>
      </c>
    </row>
    <row r="5571" customFormat="false" ht="13.8" hidden="true" customHeight="false" outlineLevel="0" collapsed="false">
      <c r="A5571" s="0" t="s">
        <v>130</v>
      </c>
      <c r="B5571" s="0" t="n">
        <v>4</v>
      </c>
      <c r="C5571" s="0" t="n">
        <v>1.65</v>
      </c>
      <c r="D5571" s="0" t="n">
        <v>0.189</v>
      </c>
    </row>
    <row r="5572" customFormat="false" ht="13.8" hidden="true" customHeight="false" outlineLevel="0" collapsed="false">
      <c r="A5572" s="0" t="s">
        <v>130</v>
      </c>
      <c r="B5572" s="0" t="n">
        <v>4</v>
      </c>
      <c r="C5572" s="0" t="n">
        <v>1.7</v>
      </c>
      <c r="D5572" s="0" t="n">
        <v>0.195</v>
      </c>
    </row>
    <row r="5573" customFormat="false" ht="13.8" hidden="true" customHeight="false" outlineLevel="0" collapsed="false">
      <c r="A5573" s="0" t="s">
        <v>130</v>
      </c>
      <c r="B5573" s="0" t="n">
        <v>4</v>
      </c>
      <c r="C5573" s="0" t="n">
        <v>1.75</v>
      </c>
      <c r="D5573" s="0" t="n">
        <v>0.201</v>
      </c>
    </row>
    <row r="5574" customFormat="false" ht="13.8" hidden="true" customHeight="false" outlineLevel="0" collapsed="false">
      <c r="A5574" s="0" t="s">
        <v>130</v>
      </c>
      <c r="B5574" s="0" t="n">
        <v>4</v>
      </c>
      <c r="C5574" s="0" t="n">
        <v>1.8</v>
      </c>
      <c r="D5574" s="0" t="n">
        <v>0.206</v>
      </c>
    </row>
    <row r="5575" customFormat="false" ht="13.8" hidden="true" customHeight="false" outlineLevel="0" collapsed="false">
      <c r="A5575" s="0" t="s">
        <v>130</v>
      </c>
      <c r="B5575" s="0" t="n">
        <v>4</v>
      </c>
      <c r="C5575" s="0" t="n">
        <v>1.85</v>
      </c>
      <c r="D5575" s="0" t="n">
        <v>0.212</v>
      </c>
    </row>
    <row r="5576" customFormat="false" ht="13.8" hidden="true" customHeight="false" outlineLevel="0" collapsed="false">
      <c r="A5576" s="0" t="s">
        <v>130</v>
      </c>
      <c r="B5576" s="0" t="n">
        <v>4</v>
      </c>
      <c r="C5576" s="0" t="n">
        <v>1.9</v>
      </c>
      <c r="D5576" s="0" t="n">
        <v>0.218</v>
      </c>
    </row>
    <row r="5577" customFormat="false" ht="13.8" hidden="true" customHeight="false" outlineLevel="0" collapsed="false">
      <c r="A5577" s="0" t="s">
        <v>130</v>
      </c>
      <c r="B5577" s="0" t="n">
        <v>4</v>
      </c>
      <c r="C5577" s="0" t="n">
        <v>1.95</v>
      </c>
      <c r="D5577" s="0" t="n">
        <v>0.224</v>
      </c>
    </row>
    <row r="5578" customFormat="false" ht="13.8" hidden="true" customHeight="false" outlineLevel="0" collapsed="false">
      <c r="A5578" s="0" t="s">
        <v>130</v>
      </c>
      <c r="B5578" s="0" t="n">
        <v>4</v>
      </c>
      <c r="C5578" s="0" t="n">
        <v>2</v>
      </c>
      <c r="D5578" s="0" t="n">
        <v>0</v>
      </c>
    </row>
    <row r="5579" customFormat="false" ht="13.8" hidden="true" customHeight="false" outlineLevel="0" collapsed="false">
      <c r="A5579" s="0" t="s">
        <v>130</v>
      </c>
      <c r="B5579" s="0" t="n">
        <v>4</v>
      </c>
      <c r="C5579" s="0" t="n">
        <v>2.05</v>
      </c>
      <c r="D5579" s="0" t="n">
        <v>0</v>
      </c>
    </row>
    <row r="5580" customFormat="false" ht="13.8" hidden="true" customHeight="false" outlineLevel="0" collapsed="false">
      <c r="A5580" s="0" t="s">
        <v>130</v>
      </c>
      <c r="B5580" s="0" t="n">
        <v>4</v>
      </c>
      <c r="C5580" s="0" t="n">
        <v>2.1</v>
      </c>
      <c r="D5580" s="0" t="n">
        <v>0</v>
      </c>
    </row>
    <row r="5581" customFormat="false" ht="13.8" hidden="true" customHeight="false" outlineLevel="0" collapsed="false">
      <c r="A5581" s="0" t="s">
        <v>130</v>
      </c>
      <c r="B5581" s="0" t="n">
        <v>4</v>
      </c>
      <c r="C5581" s="0" t="n">
        <v>2.15</v>
      </c>
      <c r="D5581" s="0" t="n">
        <v>0</v>
      </c>
    </row>
    <row r="5582" customFormat="false" ht="13.8" hidden="true" customHeight="false" outlineLevel="0" collapsed="false">
      <c r="A5582" s="0" t="s">
        <v>130</v>
      </c>
      <c r="B5582" s="0" t="n">
        <v>4</v>
      </c>
      <c r="C5582" s="0" t="n">
        <v>2.2</v>
      </c>
      <c r="D5582" s="0" t="n">
        <v>0</v>
      </c>
    </row>
    <row r="5583" customFormat="false" ht="13.8" hidden="true" customHeight="false" outlineLevel="0" collapsed="false">
      <c r="A5583" s="0" t="s">
        <v>130</v>
      </c>
      <c r="B5583" s="0" t="n">
        <v>4</v>
      </c>
      <c r="C5583" s="0" t="n">
        <v>2.25</v>
      </c>
      <c r="D5583" s="0" t="n">
        <v>0</v>
      </c>
    </row>
    <row r="5584" customFormat="false" ht="13.8" hidden="true" customHeight="false" outlineLevel="0" collapsed="false">
      <c r="A5584" s="0" t="s">
        <v>130</v>
      </c>
      <c r="B5584" s="0" t="n">
        <v>4</v>
      </c>
      <c r="C5584" s="0" t="n">
        <v>2.3</v>
      </c>
      <c r="D5584" s="0" t="n">
        <v>0</v>
      </c>
    </row>
    <row r="5585" customFormat="false" ht="13.8" hidden="true" customHeight="false" outlineLevel="0" collapsed="false">
      <c r="A5585" s="0" t="s">
        <v>130</v>
      </c>
      <c r="B5585" s="0" t="n">
        <v>4</v>
      </c>
      <c r="C5585" s="0" t="n">
        <v>2.35</v>
      </c>
      <c r="D5585" s="0" t="n">
        <v>0</v>
      </c>
    </row>
    <row r="5586" customFormat="false" ht="13.8" hidden="true" customHeight="false" outlineLevel="0" collapsed="false">
      <c r="A5586" s="0" t="s">
        <v>130</v>
      </c>
      <c r="B5586" s="0" t="n">
        <v>4</v>
      </c>
      <c r="C5586" s="0" t="n">
        <v>2.4</v>
      </c>
      <c r="D5586" s="0" t="n">
        <v>0</v>
      </c>
    </row>
    <row r="5587" customFormat="false" ht="13.8" hidden="true" customHeight="false" outlineLevel="0" collapsed="false">
      <c r="A5587" s="0" t="s">
        <v>130</v>
      </c>
      <c r="B5587" s="0" t="n">
        <v>4</v>
      </c>
      <c r="C5587" s="0" t="n">
        <v>2.45</v>
      </c>
      <c r="D5587" s="0" t="n">
        <v>0</v>
      </c>
    </row>
    <row r="5588" customFormat="false" ht="13.8" hidden="true" customHeight="false" outlineLevel="0" collapsed="false">
      <c r="A5588" s="0" t="s">
        <v>130</v>
      </c>
      <c r="B5588" s="0" t="n">
        <v>4</v>
      </c>
      <c r="C5588" s="0" t="n">
        <v>2.5</v>
      </c>
      <c r="D5588" s="0" t="n">
        <v>0</v>
      </c>
    </row>
    <row r="5589" customFormat="false" ht="13.8" hidden="true" customHeight="false" outlineLevel="0" collapsed="false">
      <c r="A5589" s="0" t="s">
        <v>130</v>
      </c>
      <c r="B5589" s="0" t="n">
        <v>4</v>
      </c>
      <c r="C5589" s="0" t="n">
        <v>2.55</v>
      </c>
      <c r="D5589" s="0" t="n">
        <v>0</v>
      </c>
    </row>
    <row r="5590" customFormat="false" ht="13.8" hidden="true" customHeight="false" outlineLevel="0" collapsed="false">
      <c r="A5590" s="0" t="s">
        <v>130</v>
      </c>
      <c r="B5590" s="0" t="n">
        <v>4</v>
      </c>
      <c r="C5590" s="0" t="n">
        <v>2.6</v>
      </c>
      <c r="D5590" s="0" t="n">
        <v>0</v>
      </c>
    </row>
    <row r="5591" customFormat="false" ht="13.8" hidden="true" customHeight="false" outlineLevel="0" collapsed="false">
      <c r="A5591" s="0" t="s">
        <v>241</v>
      </c>
      <c r="B5591" s="0" t="n">
        <v>1</v>
      </c>
      <c r="C5591" s="0" t="n">
        <v>1.3</v>
      </c>
      <c r="D5591" s="0" t="n">
        <v>0</v>
      </c>
    </row>
    <row r="5592" customFormat="false" ht="13.8" hidden="true" customHeight="false" outlineLevel="0" collapsed="false">
      <c r="A5592" s="0" t="s">
        <v>241</v>
      </c>
      <c r="B5592" s="0" t="n">
        <v>1</v>
      </c>
      <c r="C5592" s="0" t="n">
        <v>1.35</v>
      </c>
      <c r="D5592" s="0" t="n">
        <v>0</v>
      </c>
    </row>
    <row r="5593" customFormat="false" ht="13.8" hidden="true" customHeight="false" outlineLevel="0" collapsed="false">
      <c r="A5593" s="0" t="s">
        <v>241</v>
      </c>
      <c r="B5593" s="0" t="n">
        <v>1</v>
      </c>
      <c r="C5593" s="0" t="n">
        <v>1.4</v>
      </c>
      <c r="D5593" s="0" t="n">
        <v>0.161</v>
      </c>
    </row>
    <row r="5594" customFormat="false" ht="13.8" hidden="true" customHeight="false" outlineLevel="0" collapsed="false">
      <c r="A5594" s="0" t="s">
        <v>241</v>
      </c>
      <c r="B5594" s="0" t="n">
        <v>1</v>
      </c>
      <c r="C5594" s="0" t="n">
        <v>1.45</v>
      </c>
      <c r="D5594" s="0" t="n">
        <v>0.166</v>
      </c>
    </row>
    <row r="5595" customFormat="false" ht="13.8" hidden="true" customHeight="false" outlineLevel="0" collapsed="false">
      <c r="A5595" s="0" t="s">
        <v>241</v>
      </c>
      <c r="B5595" s="0" t="n">
        <v>1</v>
      </c>
      <c r="C5595" s="0" t="n">
        <v>1.5</v>
      </c>
      <c r="D5595" s="0" t="n">
        <v>0.172</v>
      </c>
    </row>
    <row r="5596" customFormat="false" ht="13.8" hidden="true" customHeight="false" outlineLevel="0" collapsed="false">
      <c r="A5596" s="0" t="s">
        <v>241</v>
      </c>
      <c r="B5596" s="0" t="n">
        <v>1</v>
      </c>
      <c r="C5596" s="0" t="n">
        <v>1.55</v>
      </c>
      <c r="D5596" s="0" t="n">
        <v>0.178</v>
      </c>
    </row>
    <row r="5597" customFormat="false" ht="13.8" hidden="true" customHeight="false" outlineLevel="0" collapsed="false">
      <c r="A5597" s="0" t="s">
        <v>241</v>
      </c>
      <c r="B5597" s="0" t="n">
        <v>1</v>
      </c>
      <c r="C5597" s="0" t="n">
        <v>1.6</v>
      </c>
      <c r="D5597" s="0" t="n">
        <v>0.184</v>
      </c>
    </row>
    <row r="5598" customFormat="false" ht="13.8" hidden="true" customHeight="false" outlineLevel="0" collapsed="false">
      <c r="A5598" s="0" t="s">
        <v>241</v>
      </c>
      <c r="B5598" s="0" t="n">
        <v>1</v>
      </c>
      <c r="C5598" s="0" t="n">
        <v>1.65</v>
      </c>
      <c r="D5598" s="0" t="n">
        <v>0.189</v>
      </c>
    </row>
    <row r="5599" customFormat="false" ht="13.8" hidden="true" customHeight="false" outlineLevel="0" collapsed="false">
      <c r="A5599" s="0" t="s">
        <v>241</v>
      </c>
      <c r="B5599" s="0" t="n">
        <v>1</v>
      </c>
      <c r="C5599" s="0" t="n">
        <v>1.7</v>
      </c>
      <c r="D5599" s="0" t="n">
        <v>0.195</v>
      </c>
    </row>
    <row r="5600" customFormat="false" ht="13.8" hidden="true" customHeight="false" outlineLevel="0" collapsed="false">
      <c r="A5600" s="0" t="s">
        <v>241</v>
      </c>
      <c r="B5600" s="0" t="n">
        <v>1</v>
      </c>
      <c r="C5600" s="0" t="n">
        <v>1.75</v>
      </c>
      <c r="D5600" s="0" t="n">
        <v>0.201</v>
      </c>
    </row>
    <row r="5601" customFormat="false" ht="13.8" hidden="true" customHeight="false" outlineLevel="0" collapsed="false">
      <c r="A5601" s="0" t="s">
        <v>241</v>
      </c>
      <c r="B5601" s="0" t="n">
        <v>1</v>
      </c>
      <c r="C5601" s="0" t="n">
        <v>1.8</v>
      </c>
      <c r="D5601" s="0" t="n">
        <v>0</v>
      </c>
    </row>
    <row r="5602" customFormat="false" ht="13.8" hidden="true" customHeight="false" outlineLevel="0" collapsed="false">
      <c r="A5602" s="0" t="s">
        <v>241</v>
      </c>
      <c r="B5602" s="0" t="n">
        <v>1</v>
      </c>
      <c r="C5602" s="0" t="n">
        <v>1.85</v>
      </c>
      <c r="D5602" s="0" t="n">
        <v>0</v>
      </c>
    </row>
    <row r="5603" customFormat="false" ht="13.8" hidden="true" customHeight="false" outlineLevel="0" collapsed="false">
      <c r="A5603" s="0" t="s">
        <v>241</v>
      </c>
      <c r="B5603" s="0" t="n">
        <v>1</v>
      </c>
      <c r="C5603" s="0" t="n">
        <v>1.9</v>
      </c>
      <c r="D5603" s="0" t="n">
        <v>0</v>
      </c>
    </row>
    <row r="5604" customFormat="false" ht="13.8" hidden="true" customHeight="false" outlineLevel="0" collapsed="false">
      <c r="A5604" s="0" t="s">
        <v>241</v>
      </c>
      <c r="B5604" s="0" t="n">
        <v>1</v>
      </c>
      <c r="C5604" s="0" t="n">
        <v>1.95</v>
      </c>
      <c r="D5604" s="0" t="n">
        <v>0</v>
      </c>
    </row>
    <row r="5605" customFormat="false" ht="13.8" hidden="true" customHeight="false" outlineLevel="0" collapsed="false">
      <c r="A5605" s="0" t="s">
        <v>241</v>
      </c>
      <c r="B5605" s="0" t="n">
        <v>1</v>
      </c>
      <c r="C5605" s="0" t="n">
        <v>2</v>
      </c>
      <c r="D5605" s="0" t="n">
        <v>0</v>
      </c>
    </row>
    <row r="5606" customFormat="false" ht="13.8" hidden="true" customHeight="false" outlineLevel="0" collapsed="false">
      <c r="A5606" s="0" t="s">
        <v>241</v>
      </c>
      <c r="B5606" s="0" t="n">
        <v>1</v>
      </c>
      <c r="C5606" s="0" t="n">
        <v>2.05</v>
      </c>
      <c r="D5606" s="0" t="n">
        <v>0</v>
      </c>
    </row>
    <row r="5607" customFormat="false" ht="13.8" hidden="true" customHeight="false" outlineLevel="0" collapsed="false">
      <c r="A5607" s="0" t="s">
        <v>241</v>
      </c>
      <c r="B5607" s="0" t="n">
        <v>1</v>
      </c>
      <c r="C5607" s="0" t="n">
        <v>2.1</v>
      </c>
      <c r="D5607" s="0" t="n">
        <v>0</v>
      </c>
    </row>
    <row r="5608" customFormat="false" ht="13.8" hidden="true" customHeight="false" outlineLevel="0" collapsed="false">
      <c r="A5608" s="0" t="s">
        <v>241</v>
      </c>
      <c r="B5608" s="0" t="n">
        <v>1</v>
      </c>
      <c r="C5608" s="0" t="n">
        <v>2.15</v>
      </c>
      <c r="D5608" s="0" t="n">
        <v>0</v>
      </c>
    </row>
    <row r="5609" customFormat="false" ht="13.8" hidden="true" customHeight="false" outlineLevel="0" collapsed="false">
      <c r="A5609" s="0" t="s">
        <v>241</v>
      </c>
      <c r="B5609" s="0" t="n">
        <v>1</v>
      </c>
      <c r="C5609" s="0" t="n">
        <v>2.2</v>
      </c>
      <c r="D5609" s="0" t="n">
        <v>0</v>
      </c>
    </row>
    <row r="5610" customFormat="false" ht="13.8" hidden="true" customHeight="false" outlineLevel="0" collapsed="false">
      <c r="A5610" s="0" t="s">
        <v>241</v>
      </c>
      <c r="B5610" s="0" t="n">
        <v>1</v>
      </c>
      <c r="C5610" s="0" t="n">
        <v>2.25</v>
      </c>
      <c r="D5610" s="0" t="n">
        <v>0</v>
      </c>
    </row>
    <row r="5611" customFormat="false" ht="13.8" hidden="true" customHeight="false" outlineLevel="0" collapsed="false">
      <c r="A5611" s="0" t="s">
        <v>241</v>
      </c>
      <c r="B5611" s="0" t="n">
        <v>1</v>
      </c>
      <c r="C5611" s="0" t="n">
        <v>2.3</v>
      </c>
      <c r="D5611" s="0" t="n">
        <v>0</v>
      </c>
    </row>
    <row r="5612" customFormat="false" ht="13.8" hidden="true" customHeight="false" outlineLevel="0" collapsed="false">
      <c r="A5612" s="0" t="s">
        <v>241</v>
      </c>
      <c r="B5612" s="0" t="n">
        <v>1</v>
      </c>
      <c r="C5612" s="0" t="n">
        <v>2.35</v>
      </c>
      <c r="D5612" s="0" t="n">
        <v>0</v>
      </c>
    </row>
    <row r="5613" customFormat="false" ht="13.8" hidden="true" customHeight="false" outlineLevel="0" collapsed="false">
      <c r="A5613" s="0" t="s">
        <v>241</v>
      </c>
      <c r="B5613" s="0" t="n">
        <v>1</v>
      </c>
      <c r="C5613" s="0" t="n">
        <v>2.4</v>
      </c>
      <c r="D5613" s="0" t="n">
        <v>0</v>
      </c>
    </row>
    <row r="5614" customFormat="false" ht="13.8" hidden="true" customHeight="false" outlineLevel="0" collapsed="false">
      <c r="A5614" s="0" t="s">
        <v>241</v>
      </c>
      <c r="B5614" s="0" t="n">
        <v>1</v>
      </c>
      <c r="C5614" s="0" t="n">
        <v>2.45</v>
      </c>
      <c r="D5614" s="0" t="n">
        <v>0</v>
      </c>
    </row>
    <row r="5615" customFormat="false" ht="13.8" hidden="true" customHeight="false" outlineLevel="0" collapsed="false">
      <c r="A5615" s="0" t="s">
        <v>241</v>
      </c>
      <c r="B5615" s="0" t="n">
        <v>1</v>
      </c>
      <c r="C5615" s="0" t="n">
        <v>2.5</v>
      </c>
      <c r="D5615" s="0" t="n">
        <v>0</v>
      </c>
    </row>
    <row r="5616" customFormat="false" ht="13.8" hidden="true" customHeight="false" outlineLevel="0" collapsed="false">
      <c r="A5616" s="0" t="s">
        <v>241</v>
      </c>
      <c r="B5616" s="0" t="n">
        <v>1</v>
      </c>
      <c r="C5616" s="0" t="n">
        <v>2.55</v>
      </c>
      <c r="D5616" s="0" t="n">
        <v>0</v>
      </c>
    </row>
    <row r="5617" customFormat="false" ht="13.8" hidden="true" customHeight="false" outlineLevel="0" collapsed="false">
      <c r="A5617" s="0" t="s">
        <v>241</v>
      </c>
      <c r="B5617" s="0" t="n">
        <v>1</v>
      </c>
      <c r="C5617" s="0" t="n">
        <v>2.6</v>
      </c>
      <c r="D5617" s="0" t="n">
        <v>0</v>
      </c>
    </row>
    <row r="5618" customFormat="false" ht="13.8" hidden="true" customHeight="false" outlineLevel="0" collapsed="false">
      <c r="A5618" s="0" t="s">
        <v>241</v>
      </c>
      <c r="B5618" s="0" t="n">
        <v>2</v>
      </c>
      <c r="C5618" s="0" t="n">
        <v>1.3</v>
      </c>
      <c r="D5618" s="0" t="n">
        <v>0</v>
      </c>
    </row>
    <row r="5619" customFormat="false" ht="13.8" hidden="true" customHeight="false" outlineLevel="0" collapsed="false">
      <c r="A5619" s="0" t="s">
        <v>241</v>
      </c>
      <c r="B5619" s="0" t="n">
        <v>2</v>
      </c>
      <c r="C5619" s="0" t="n">
        <v>1.35</v>
      </c>
      <c r="D5619" s="0" t="n">
        <v>0</v>
      </c>
    </row>
    <row r="5620" customFormat="false" ht="13.8" hidden="true" customHeight="false" outlineLevel="0" collapsed="false">
      <c r="A5620" s="0" t="s">
        <v>241</v>
      </c>
      <c r="B5620" s="0" t="n">
        <v>2</v>
      </c>
      <c r="C5620" s="0" t="n">
        <v>1.4</v>
      </c>
      <c r="D5620" s="0" t="n">
        <v>0.161</v>
      </c>
    </row>
    <row r="5621" customFormat="false" ht="13.8" hidden="true" customHeight="false" outlineLevel="0" collapsed="false">
      <c r="A5621" s="0" t="s">
        <v>241</v>
      </c>
      <c r="B5621" s="0" t="n">
        <v>2</v>
      </c>
      <c r="C5621" s="0" t="n">
        <v>1.45</v>
      </c>
      <c r="D5621" s="0" t="n">
        <v>0.166</v>
      </c>
    </row>
    <row r="5622" customFormat="false" ht="13.8" hidden="true" customHeight="false" outlineLevel="0" collapsed="false">
      <c r="A5622" s="0" t="s">
        <v>241</v>
      </c>
      <c r="B5622" s="0" t="n">
        <v>2</v>
      </c>
      <c r="C5622" s="0" t="n">
        <v>1.5</v>
      </c>
      <c r="D5622" s="0" t="n">
        <v>0.172</v>
      </c>
    </row>
    <row r="5623" customFormat="false" ht="13.8" hidden="true" customHeight="false" outlineLevel="0" collapsed="false">
      <c r="A5623" s="0" t="s">
        <v>241</v>
      </c>
      <c r="B5623" s="0" t="n">
        <v>2</v>
      </c>
      <c r="C5623" s="0" t="n">
        <v>1.55</v>
      </c>
      <c r="D5623" s="0" t="n">
        <v>0.178</v>
      </c>
    </row>
    <row r="5624" customFormat="false" ht="13.8" hidden="true" customHeight="false" outlineLevel="0" collapsed="false">
      <c r="A5624" s="0" t="s">
        <v>241</v>
      </c>
      <c r="B5624" s="0" t="n">
        <v>2</v>
      </c>
      <c r="C5624" s="0" t="n">
        <v>1.6</v>
      </c>
      <c r="D5624" s="0" t="n">
        <v>0.184</v>
      </c>
    </row>
    <row r="5625" customFormat="false" ht="13.8" hidden="true" customHeight="false" outlineLevel="0" collapsed="false">
      <c r="A5625" s="0" t="s">
        <v>241</v>
      </c>
      <c r="B5625" s="0" t="n">
        <v>2</v>
      </c>
      <c r="C5625" s="0" t="n">
        <v>1.65</v>
      </c>
      <c r="D5625" s="0" t="n">
        <v>0.189</v>
      </c>
    </row>
    <row r="5626" customFormat="false" ht="13.8" hidden="true" customHeight="false" outlineLevel="0" collapsed="false">
      <c r="A5626" s="0" t="s">
        <v>241</v>
      </c>
      <c r="B5626" s="0" t="n">
        <v>2</v>
      </c>
      <c r="C5626" s="0" t="n">
        <v>1.7</v>
      </c>
      <c r="D5626" s="0" t="n">
        <v>0.195</v>
      </c>
    </row>
    <row r="5627" customFormat="false" ht="13.8" hidden="true" customHeight="false" outlineLevel="0" collapsed="false">
      <c r="A5627" s="0" t="s">
        <v>241</v>
      </c>
      <c r="B5627" s="0" t="n">
        <v>2</v>
      </c>
      <c r="C5627" s="0" t="n">
        <v>1.75</v>
      </c>
      <c r="D5627" s="0" t="n">
        <v>0.201</v>
      </c>
    </row>
    <row r="5628" customFormat="false" ht="13.8" hidden="true" customHeight="false" outlineLevel="0" collapsed="false">
      <c r="A5628" s="0" t="s">
        <v>241</v>
      </c>
      <c r="B5628" s="0" t="n">
        <v>2</v>
      </c>
      <c r="C5628" s="0" t="n">
        <v>1.8</v>
      </c>
      <c r="D5628" s="0" t="n">
        <v>0.206</v>
      </c>
    </row>
    <row r="5629" customFormat="false" ht="13.8" hidden="true" customHeight="false" outlineLevel="0" collapsed="false">
      <c r="A5629" s="0" t="s">
        <v>241</v>
      </c>
      <c r="B5629" s="0" t="n">
        <v>2</v>
      </c>
      <c r="C5629" s="0" t="n">
        <v>1.85</v>
      </c>
      <c r="D5629" s="0" t="n">
        <v>0.212</v>
      </c>
    </row>
    <row r="5630" customFormat="false" ht="13.8" hidden="true" customHeight="false" outlineLevel="0" collapsed="false">
      <c r="A5630" s="0" t="s">
        <v>241</v>
      </c>
      <c r="B5630" s="0" t="n">
        <v>2</v>
      </c>
      <c r="C5630" s="0" t="n">
        <v>1.9</v>
      </c>
      <c r="D5630" s="0" t="n">
        <v>0.218</v>
      </c>
    </row>
    <row r="5631" customFormat="false" ht="13.8" hidden="true" customHeight="false" outlineLevel="0" collapsed="false">
      <c r="A5631" s="0" t="s">
        <v>241</v>
      </c>
      <c r="B5631" s="0" t="n">
        <v>2</v>
      </c>
      <c r="C5631" s="0" t="n">
        <v>1.95</v>
      </c>
      <c r="D5631" s="0" t="n">
        <v>0.224</v>
      </c>
    </row>
    <row r="5632" customFormat="false" ht="13.8" hidden="true" customHeight="false" outlineLevel="0" collapsed="false">
      <c r="A5632" s="0" t="s">
        <v>241</v>
      </c>
      <c r="B5632" s="0" t="n">
        <v>2</v>
      </c>
      <c r="C5632" s="0" t="n">
        <v>2</v>
      </c>
      <c r="D5632" s="0" t="n">
        <v>0</v>
      </c>
    </row>
    <row r="5633" customFormat="false" ht="13.8" hidden="true" customHeight="false" outlineLevel="0" collapsed="false">
      <c r="A5633" s="0" t="s">
        <v>241</v>
      </c>
      <c r="B5633" s="0" t="n">
        <v>2</v>
      </c>
      <c r="C5633" s="0" t="n">
        <v>2.05</v>
      </c>
      <c r="D5633" s="0" t="n">
        <v>0</v>
      </c>
    </row>
    <row r="5634" customFormat="false" ht="13.8" hidden="true" customHeight="false" outlineLevel="0" collapsed="false">
      <c r="A5634" s="0" t="s">
        <v>241</v>
      </c>
      <c r="B5634" s="0" t="n">
        <v>2</v>
      </c>
      <c r="C5634" s="0" t="n">
        <v>2.1</v>
      </c>
      <c r="D5634" s="0" t="n">
        <v>0</v>
      </c>
    </row>
    <row r="5635" customFormat="false" ht="13.8" hidden="true" customHeight="false" outlineLevel="0" collapsed="false">
      <c r="A5635" s="0" t="s">
        <v>241</v>
      </c>
      <c r="B5635" s="0" t="n">
        <v>2</v>
      </c>
      <c r="C5635" s="0" t="n">
        <v>2.15</v>
      </c>
      <c r="D5635" s="0" t="n">
        <v>0</v>
      </c>
    </row>
    <row r="5636" customFormat="false" ht="13.8" hidden="true" customHeight="false" outlineLevel="0" collapsed="false">
      <c r="A5636" s="0" t="s">
        <v>241</v>
      </c>
      <c r="B5636" s="0" t="n">
        <v>2</v>
      </c>
      <c r="C5636" s="0" t="n">
        <v>2.2</v>
      </c>
      <c r="D5636" s="0" t="n">
        <v>0</v>
      </c>
    </row>
    <row r="5637" customFormat="false" ht="13.8" hidden="true" customHeight="false" outlineLevel="0" collapsed="false">
      <c r="A5637" s="0" t="s">
        <v>241</v>
      </c>
      <c r="B5637" s="0" t="n">
        <v>2</v>
      </c>
      <c r="C5637" s="0" t="n">
        <v>2.25</v>
      </c>
      <c r="D5637" s="0" t="n">
        <v>0</v>
      </c>
    </row>
    <row r="5638" customFormat="false" ht="13.8" hidden="true" customHeight="false" outlineLevel="0" collapsed="false">
      <c r="A5638" s="0" t="s">
        <v>241</v>
      </c>
      <c r="B5638" s="0" t="n">
        <v>2</v>
      </c>
      <c r="C5638" s="0" t="n">
        <v>2.3</v>
      </c>
      <c r="D5638" s="0" t="n">
        <v>0</v>
      </c>
    </row>
    <row r="5639" customFormat="false" ht="13.8" hidden="true" customHeight="false" outlineLevel="0" collapsed="false">
      <c r="A5639" s="0" t="s">
        <v>241</v>
      </c>
      <c r="B5639" s="0" t="n">
        <v>2</v>
      </c>
      <c r="C5639" s="0" t="n">
        <v>2.35</v>
      </c>
      <c r="D5639" s="0" t="n">
        <v>0</v>
      </c>
    </row>
    <row r="5640" customFormat="false" ht="13.8" hidden="true" customHeight="false" outlineLevel="0" collapsed="false">
      <c r="A5640" s="0" t="s">
        <v>241</v>
      </c>
      <c r="B5640" s="0" t="n">
        <v>2</v>
      </c>
      <c r="C5640" s="0" t="n">
        <v>2.4</v>
      </c>
      <c r="D5640" s="0" t="n">
        <v>0</v>
      </c>
    </row>
    <row r="5641" customFormat="false" ht="13.8" hidden="true" customHeight="false" outlineLevel="0" collapsed="false">
      <c r="A5641" s="0" t="s">
        <v>241</v>
      </c>
      <c r="B5641" s="0" t="n">
        <v>2</v>
      </c>
      <c r="C5641" s="0" t="n">
        <v>2.45</v>
      </c>
      <c r="D5641" s="0" t="n">
        <v>0</v>
      </c>
    </row>
    <row r="5642" customFormat="false" ht="13.8" hidden="true" customHeight="false" outlineLevel="0" collapsed="false">
      <c r="A5642" s="0" t="s">
        <v>241</v>
      </c>
      <c r="B5642" s="0" t="n">
        <v>2</v>
      </c>
      <c r="C5642" s="0" t="n">
        <v>2.5</v>
      </c>
      <c r="D5642" s="0" t="n">
        <v>0</v>
      </c>
    </row>
    <row r="5643" customFormat="false" ht="13.8" hidden="true" customHeight="false" outlineLevel="0" collapsed="false">
      <c r="A5643" s="0" t="s">
        <v>241</v>
      </c>
      <c r="B5643" s="0" t="n">
        <v>2</v>
      </c>
      <c r="C5643" s="0" t="n">
        <v>2.55</v>
      </c>
      <c r="D5643" s="0" t="n">
        <v>0</v>
      </c>
    </row>
    <row r="5644" customFormat="false" ht="13.8" hidden="true" customHeight="false" outlineLevel="0" collapsed="false">
      <c r="A5644" s="0" t="s">
        <v>241</v>
      </c>
      <c r="B5644" s="0" t="n">
        <v>2</v>
      </c>
      <c r="C5644" s="0" t="n">
        <v>2.6</v>
      </c>
      <c r="D5644" s="0" t="n">
        <v>0</v>
      </c>
    </row>
    <row r="5645" customFormat="false" ht="13.8" hidden="true" customHeight="false" outlineLevel="0" collapsed="false">
      <c r="A5645" s="0" t="s">
        <v>241</v>
      </c>
      <c r="B5645" s="0" t="n">
        <v>4</v>
      </c>
      <c r="C5645" s="0" t="n">
        <v>1.3</v>
      </c>
      <c r="D5645" s="0" t="n">
        <v>0</v>
      </c>
    </row>
    <row r="5646" customFormat="false" ht="13.8" hidden="true" customHeight="false" outlineLevel="0" collapsed="false">
      <c r="A5646" s="0" t="s">
        <v>241</v>
      </c>
      <c r="B5646" s="0" t="n">
        <v>4</v>
      </c>
      <c r="C5646" s="0" t="n">
        <v>1.35</v>
      </c>
      <c r="D5646" s="0" t="n">
        <v>0</v>
      </c>
    </row>
    <row r="5647" customFormat="false" ht="13.8" hidden="true" customHeight="false" outlineLevel="0" collapsed="false">
      <c r="A5647" s="0" t="s">
        <v>241</v>
      </c>
      <c r="B5647" s="0" t="n">
        <v>4</v>
      </c>
      <c r="C5647" s="0" t="n">
        <v>1.4</v>
      </c>
      <c r="D5647" s="0" t="n">
        <v>0.161</v>
      </c>
    </row>
    <row r="5648" customFormat="false" ht="13.8" hidden="true" customHeight="false" outlineLevel="0" collapsed="false">
      <c r="A5648" s="0" t="s">
        <v>241</v>
      </c>
      <c r="B5648" s="0" t="n">
        <v>4</v>
      </c>
      <c r="C5648" s="0" t="n">
        <v>1.45</v>
      </c>
      <c r="D5648" s="0" t="n">
        <v>0.166</v>
      </c>
    </row>
    <row r="5649" customFormat="false" ht="13.8" hidden="true" customHeight="false" outlineLevel="0" collapsed="false">
      <c r="A5649" s="0" t="s">
        <v>241</v>
      </c>
      <c r="B5649" s="0" t="n">
        <v>4</v>
      </c>
      <c r="C5649" s="0" t="n">
        <v>1.5</v>
      </c>
      <c r="D5649" s="0" t="n">
        <v>0.172</v>
      </c>
    </row>
    <row r="5650" customFormat="false" ht="13.8" hidden="true" customHeight="false" outlineLevel="0" collapsed="false">
      <c r="A5650" s="0" t="s">
        <v>241</v>
      </c>
      <c r="B5650" s="0" t="n">
        <v>4</v>
      </c>
      <c r="C5650" s="0" t="n">
        <v>1.55</v>
      </c>
      <c r="D5650" s="0" t="n">
        <v>0.178</v>
      </c>
    </row>
    <row r="5651" customFormat="false" ht="13.8" hidden="true" customHeight="false" outlineLevel="0" collapsed="false">
      <c r="A5651" s="0" t="s">
        <v>241</v>
      </c>
      <c r="B5651" s="0" t="n">
        <v>4</v>
      </c>
      <c r="C5651" s="0" t="n">
        <v>1.6</v>
      </c>
      <c r="D5651" s="0" t="n">
        <v>0.184</v>
      </c>
    </row>
    <row r="5652" customFormat="false" ht="13.8" hidden="true" customHeight="false" outlineLevel="0" collapsed="false">
      <c r="A5652" s="0" t="s">
        <v>241</v>
      </c>
      <c r="B5652" s="0" t="n">
        <v>4</v>
      </c>
      <c r="C5652" s="0" t="n">
        <v>1.65</v>
      </c>
      <c r="D5652" s="0" t="n">
        <v>0.189</v>
      </c>
    </row>
    <row r="5653" customFormat="false" ht="13.8" hidden="true" customHeight="false" outlineLevel="0" collapsed="false">
      <c r="A5653" s="0" t="s">
        <v>241</v>
      </c>
      <c r="B5653" s="0" t="n">
        <v>4</v>
      </c>
      <c r="C5653" s="0" t="n">
        <v>1.7</v>
      </c>
      <c r="D5653" s="0" t="n">
        <v>0.195</v>
      </c>
    </row>
    <row r="5654" customFormat="false" ht="13.8" hidden="true" customHeight="false" outlineLevel="0" collapsed="false">
      <c r="A5654" s="0" t="s">
        <v>241</v>
      </c>
      <c r="B5654" s="0" t="n">
        <v>4</v>
      </c>
      <c r="C5654" s="0" t="n">
        <v>1.75</v>
      </c>
      <c r="D5654" s="0" t="n">
        <v>0.201</v>
      </c>
    </row>
    <row r="5655" customFormat="false" ht="13.8" hidden="true" customHeight="false" outlineLevel="0" collapsed="false">
      <c r="A5655" s="0" t="s">
        <v>241</v>
      </c>
      <c r="B5655" s="0" t="n">
        <v>4</v>
      </c>
      <c r="C5655" s="0" t="n">
        <v>1.8</v>
      </c>
      <c r="D5655" s="0" t="n">
        <v>0.206</v>
      </c>
    </row>
    <row r="5656" customFormat="false" ht="13.8" hidden="true" customHeight="false" outlineLevel="0" collapsed="false">
      <c r="A5656" s="0" t="s">
        <v>241</v>
      </c>
      <c r="B5656" s="0" t="n">
        <v>4</v>
      </c>
      <c r="C5656" s="0" t="n">
        <v>1.85</v>
      </c>
      <c r="D5656" s="0" t="n">
        <v>0.212</v>
      </c>
    </row>
    <row r="5657" customFormat="false" ht="13.8" hidden="true" customHeight="false" outlineLevel="0" collapsed="false">
      <c r="A5657" s="0" t="s">
        <v>241</v>
      </c>
      <c r="B5657" s="0" t="n">
        <v>4</v>
      </c>
      <c r="C5657" s="0" t="n">
        <v>1.9</v>
      </c>
      <c r="D5657" s="0" t="n">
        <v>0.218</v>
      </c>
    </row>
    <row r="5658" customFormat="false" ht="13.8" hidden="true" customHeight="false" outlineLevel="0" collapsed="false">
      <c r="A5658" s="0" t="s">
        <v>241</v>
      </c>
      <c r="B5658" s="0" t="n">
        <v>4</v>
      </c>
      <c r="C5658" s="0" t="n">
        <v>1.95</v>
      </c>
      <c r="D5658" s="0" t="n">
        <v>0.224</v>
      </c>
    </row>
    <row r="5659" customFormat="false" ht="13.8" hidden="true" customHeight="false" outlineLevel="0" collapsed="false">
      <c r="A5659" s="0" t="s">
        <v>241</v>
      </c>
      <c r="B5659" s="0" t="n">
        <v>4</v>
      </c>
      <c r="C5659" s="0" t="n">
        <v>2</v>
      </c>
      <c r="D5659" s="0" t="n">
        <v>0</v>
      </c>
    </row>
    <row r="5660" customFormat="false" ht="13.8" hidden="true" customHeight="false" outlineLevel="0" collapsed="false">
      <c r="A5660" s="0" t="s">
        <v>241</v>
      </c>
      <c r="B5660" s="0" t="n">
        <v>4</v>
      </c>
      <c r="C5660" s="0" t="n">
        <v>2.05</v>
      </c>
      <c r="D5660" s="0" t="n">
        <v>0</v>
      </c>
    </row>
    <row r="5661" customFormat="false" ht="13.8" hidden="true" customHeight="false" outlineLevel="0" collapsed="false">
      <c r="A5661" s="0" t="s">
        <v>241</v>
      </c>
      <c r="B5661" s="0" t="n">
        <v>4</v>
      </c>
      <c r="C5661" s="0" t="n">
        <v>2.1</v>
      </c>
      <c r="D5661" s="0" t="n">
        <v>0</v>
      </c>
    </row>
    <row r="5662" customFormat="false" ht="13.8" hidden="true" customHeight="false" outlineLevel="0" collapsed="false">
      <c r="A5662" s="0" t="s">
        <v>241</v>
      </c>
      <c r="B5662" s="0" t="n">
        <v>4</v>
      </c>
      <c r="C5662" s="0" t="n">
        <v>2.15</v>
      </c>
      <c r="D5662" s="0" t="n">
        <v>0</v>
      </c>
    </row>
    <row r="5663" customFormat="false" ht="13.8" hidden="true" customHeight="false" outlineLevel="0" collapsed="false">
      <c r="A5663" s="0" t="s">
        <v>241</v>
      </c>
      <c r="B5663" s="0" t="n">
        <v>4</v>
      </c>
      <c r="C5663" s="0" t="n">
        <v>2.2</v>
      </c>
      <c r="D5663" s="0" t="n">
        <v>0</v>
      </c>
    </row>
    <row r="5664" customFormat="false" ht="13.8" hidden="true" customHeight="false" outlineLevel="0" collapsed="false">
      <c r="A5664" s="0" t="s">
        <v>241</v>
      </c>
      <c r="B5664" s="0" t="n">
        <v>4</v>
      </c>
      <c r="C5664" s="0" t="n">
        <v>2.25</v>
      </c>
      <c r="D5664" s="0" t="n">
        <v>0</v>
      </c>
    </row>
    <row r="5665" customFormat="false" ht="13.8" hidden="true" customHeight="false" outlineLevel="0" collapsed="false">
      <c r="A5665" s="0" t="s">
        <v>241</v>
      </c>
      <c r="B5665" s="0" t="n">
        <v>4</v>
      </c>
      <c r="C5665" s="0" t="n">
        <v>2.3</v>
      </c>
      <c r="D5665" s="0" t="n">
        <v>0</v>
      </c>
    </row>
    <row r="5666" customFormat="false" ht="13.8" hidden="true" customHeight="false" outlineLevel="0" collapsed="false">
      <c r="A5666" s="0" t="s">
        <v>241</v>
      </c>
      <c r="B5666" s="0" t="n">
        <v>4</v>
      </c>
      <c r="C5666" s="0" t="n">
        <v>2.35</v>
      </c>
      <c r="D5666" s="0" t="n">
        <v>0</v>
      </c>
    </row>
    <row r="5667" customFormat="false" ht="13.8" hidden="true" customHeight="false" outlineLevel="0" collapsed="false">
      <c r="A5667" s="0" t="s">
        <v>241</v>
      </c>
      <c r="B5667" s="0" t="n">
        <v>4</v>
      </c>
      <c r="C5667" s="0" t="n">
        <v>2.4</v>
      </c>
      <c r="D5667" s="0" t="n">
        <v>0</v>
      </c>
    </row>
    <row r="5668" customFormat="false" ht="13.8" hidden="true" customHeight="false" outlineLevel="0" collapsed="false">
      <c r="A5668" s="0" t="s">
        <v>241</v>
      </c>
      <c r="B5668" s="0" t="n">
        <v>4</v>
      </c>
      <c r="C5668" s="0" t="n">
        <v>2.45</v>
      </c>
      <c r="D5668" s="0" t="n">
        <v>0</v>
      </c>
    </row>
    <row r="5669" customFormat="false" ht="13.8" hidden="true" customHeight="false" outlineLevel="0" collapsed="false">
      <c r="A5669" s="0" t="s">
        <v>241</v>
      </c>
      <c r="B5669" s="0" t="n">
        <v>4</v>
      </c>
      <c r="C5669" s="0" t="n">
        <v>2.5</v>
      </c>
      <c r="D5669" s="0" t="n">
        <v>0</v>
      </c>
    </row>
    <row r="5670" customFormat="false" ht="13.8" hidden="true" customHeight="false" outlineLevel="0" collapsed="false">
      <c r="A5670" s="0" t="s">
        <v>241</v>
      </c>
      <c r="B5670" s="0" t="n">
        <v>4</v>
      </c>
      <c r="C5670" s="0" t="n">
        <v>2.55</v>
      </c>
      <c r="D5670" s="0" t="n">
        <v>0</v>
      </c>
    </row>
    <row r="5671" customFormat="false" ht="13.8" hidden="true" customHeight="false" outlineLevel="0" collapsed="false">
      <c r="A5671" s="0" t="s">
        <v>241</v>
      </c>
      <c r="B5671" s="0" t="n">
        <v>4</v>
      </c>
      <c r="C5671" s="0" t="n">
        <v>2.6</v>
      </c>
      <c r="D5671" s="0" t="n">
        <v>0</v>
      </c>
    </row>
    <row r="5672" customFormat="false" ht="13.8" hidden="true" customHeight="false" outlineLevel="0" collapsed="false">
      <c r="A5672" s="0" t="s">
        <v>851</v>
      </c>
      <c r="B5672" s="0" t="n">
        <v>1</v>
      </c>
      <c r="C5672" s="0" t="n">
        <v>1.3</v>
      </c>
      <c r="D5672" s="0" t="n">
        <v>0</v>
      </c>
    </row>
    <row r="5673" customFormat="false" ht="13.8" hidden="true" customHeight="false" outlineLevel="0" collapsed="false">
      <c r="A5673" s="0" t="s">
        <v>851</v>
      </c>
      <c r="B5673" s="0" t="n">
        <v>1</v>
      </c>
      <c r="C5673" s="0" t="n">
        <v>1.35</v>
      </c>
      <c r="D5673" s="0" t="n">
        <v>0</v>
      </c>
    </row>
    <row r="5674" customFormat="false" ht="13.8" hidden="true" customHeight="false" outlineLevel="0" collapsed="false">
      <c r="A5674" s="0" t="s">
        <v>851</v>
      </c>
      <c r="B5674" s="0" t="n">
        <v>1</v>
      </c>
      <c r="C5674" s="0" t="n">
        <v>1.4</v>
      </c>
      <c r="D5674" s="0" t="n">
        <v>0.161</v>
      </c>
    </row>
    <row r="5675" customFormat="false" ht="13.8" hidden="true" customHeight="false" outlineLevel="0" collapsed="false">
      <c r="A5675" s="0" t="s">
        <v>851</v>
      </c>
      <c r="B5675" s="0" t="n">
        <v>1</v>
      </c>
      <c r="C5675" s="0" t="n">
        <v>1.45</v>
      </c>
      <c r="D5675" s="0" t="n">
        <v>0.166</v>
      </c>
    </row>
    <row r="5676" customFormat="false" ht="13.8" hidden="true" customHeight="false" outlineLevel="0" collapsed="false">
      <c r="A5676" s="0" t="s">
        <v>851</v>
      </c>
      <c r="B5676" s="0" t="n">
        <v>1</v>
      </c>
      <c r="C5676" s="0" t="n">
        <v>1.5</v>
      </c>
      <c r="D5676" s="0" t="n">
        <v>0.172</v>
      </c>
    </row>
    <row r="5677" customFormat="false" ht="13.8" hidden="true" customHeight="false" outlineLevel="0" collapsed="false">
      <c r="A5677" s="0" t="s">
        <v>851</v>
      </c>
      <c r="B5677" s="0" t="n">
        <v>1</v>
      </c>
      <c r="C5677" s="0" t="n">
        <v>1.55</v>
      </c>
      <c r="D5677" s="0" t="n">
        <v>0.178</v>
      </c>
    </row>
    <row r="5678" customFormat="false" ht="13.8" hidden="true" customHeight="false" outlineLevel="0" collapsed="false">
      <c r="A5678" s="0" t="s">
        <v>851</v>
      </c>
      <c r="B5678" s="0" t="n">
        <v>1</v>
      </c>
      <c r="C5678" s="0" t="n">
        <v>1.6</v>
      </c>
      <c r="D5678" s="0" t="n">
        <v>0.184</v>
      </c>
    </row>
    <row r="5679" customFormat="false" ht="13.8" hidden="true" customHeight="false" outlineLevel="0" collapsed="false">
      <c r="A5679" s="0" t="s">
        <v>851</v>
      </c>
      <c r="B5679" s="0" t="n">
        <v>1</v>
      </c>
      <c r="C5679" s="0" t="n">
        <v>1.65</v>
      </c>
      <c r="D5679" s="0" t="n">
        <v>0.189</v>
      </c>
    </row>
    <row r="5680" customFormat="false" ht="13.8" hidden="true" customHeight="false" outlineLevel="0" collapsed="false">
      <c r="A5680" s="0" t="s">
        <v>851</v>
      </c>
      <c r="B5680" s="0" t="n">
        <v>1</v>
      </c>
      <c r="C5680" s="0" t="n">
        <v>1.7</v>
      </c>
      <c r="D5680" s="0" t="n">
        <v>0.195</v>
      </c>
    </row>
    <row r="5681" customFormat="false" ht="13.8" hidden="true" customHeight="false" outlineLevel="0" collapsed="false">
      <c r="A5681" s="0" t="s">
        <v>851</v>
      </c>
      <c r="B5681" s="0" t="n">
        <v>1</v>
      </c>
      <c r="C5681" s="0" t="n">
        <v>1.75</v>
      </c>
      <c r="D5681" s="0" t="n">
        <v>0.201</v>
      </c>
    </row>
    <row r="5682" customFormat="false" ht="13.8" hidden="true" customHeight="false" outlineLevel="0" collapsed="false">
      <c r="A5682" s="0" t="s">
        <v>851</v>
      </c>
      <c r="B5682" s="0" t="n">
        <v>1</v>
      </c>
      <c r="C5682" s="0" t="n">
        <v>1.8</v>
      </c>
      <c r="D5682" s="0" t="n">
        <v>0.206</v>
      </c>
    </row>
    <row r="5683" customFormat="false" ht="13.8" hidden="true" customHeight="false" outlineLevel="0" collapsed="false">
      <c r="A5683" s="0" t="s">
        <v>851</v>
      </c>
      <c r="B5683" s="0" t="n">
        <v>1</v>
      </c>
      <c r="C5683" s="0" t="n">
        <v>1.85</v>
      </c>
      <c r="D5683" s="0" t="n">
        <v>0.212</v>
      </c>
    </row>
    <row r="5684" customFormat="false" ht="13.8" hidden="true" customHeight="false" outlineLevel="0" collapsed="false">
      <c r="A5684" s="0" t="s">
        <v>851</v>
      </c>
      <c r="B5684" s="0" t="n">
        <v>1</v>
      </c>
      <c r="C5684" s="0" t="n">
        <v>1.9</v>
      </c>
      <c r="D5684" s="0" t="n">
        <v>0.218</v>
      </c>
    </row>
    <row r="5685" customFormat="false" ht="13.8" hidden="true" customHeight="false" outlineLevel="0" collapsed="false">
      <c r="A5685" s="0" t="s">
        <v>851</v>
      </c>
      <c r="B5685" s="0" t="n">
        <v>1</v>
      </c>
      <c r="C5685" s="0" t="n">
        <v>1.95</v>
      </c>
      <c r="D5685" s="0" t="n">
        <v>0.224</v>
      </c>
    </row>
    <row r="5686" customFormat="false" ht="13.8" hidden="true" customHeight="false" outlineLevel="0" collapsed="false">
      <c r="A5686" s="0" t="s">
        <v>851</v>
      </c>
      <c r="B5686" s="0" t="n">
        <v>1</v>
      </c>
      <c r="C5686" s="0" t="n">
        <v>2</v>
      </c>
      <c r="D5686" s="0" t="n">
        <v>0</v>
      </c>
    </row>
    <row r="5687" customFormat="false" ht="13.8" hidden="true" customHeight="false" outlineLevel="0" collapsed="false">
      <c r="A5687" s="0" t="s">
        <v>851</v>
      </c>
      <c r="B5687" s="0" t="n">
        <v>1</v>
      </c>
      <c r="C5687" s="0" t="n">
        <v>2.05</v>
      </c>
      <c r="D5687" s="0" t="n">
        <v>0</v>
      </c>
    </row>
    <row r="5688" customFormat="false" ht="13.8" hidden="true" customHeight="false" outlineLevel="0" collapsed="false">
      <c r="A5688" s="0" t="s">
        <v>851</v>
      </c>
      <c r="B5688" s="0" t="n">
        <v>1</v>
      </c>
      <c r="C5688" s="0" t="n">
        <v>2.1</v>
      </c>
      <c r="D5688" s="0" t="n">
        <v>0</v>
      </c>
    </row>
    <row r="5689" customFormat="false" ht="13.8" hidden="true" customHeight="false" outlineLevel="0" collapsed="false">
      <c r="A5689" s="0" t="s">
        <v>851</v>
      </c>
      <c r="B5689" s="0" t="n">
        <v>1</v>
      </c>
      <c r="C5689" s="0" t="n">
        <v>2.15</v>
      </c>
      <c r="D5689" s="0" t="n">
        <v>0</v>
      </c>
    </row>
    <row r="5690" customFormat="false" ht="13.8" hidden="true" customHeight="false" outlineLevel="0" collapsed="false">
      <c r="A5690" s="0" t="s">
        <v>851</v>
      </c>
      <c r="B5690" s="0" t="n">
        <v>1</v>
      </c>
      <c r="C5690" s="0" t="n">
        <v>2.2</v>
      </c>
      <c r="D5690" s="0" t="n">
        <v>0</v>
      </c>
    </row>
    <row r="5691" customFormat="false" ht="13.8" hidden="true" customHeight="false" outlineLevel="0" collapsed="false">
      <c r="A5691" s="0" t="s">
        <v>851</v>
      </c>
      <c r="B5691" s="0" t="n">
        <v>1</v>
      </c>
      <c r="C5691" s="0" t="n">
        <v>2.25</v>
      </c>
      <c r="D5691" s="0" t="n">
        <v>0</v>
      </c>
    </row>
    <row r="5692" customFormat="false" ht="13.8" hidden="true" customHeight="false" outlineLevel="0" collapsed="false">
      <c r="A5692" s="0" t="s">
        <v>851</v>
      </c>
      <c r="B5692" s="0" t="n">
        <v>1</v>
      </c>
      <c r="C5692" s="0" t="n">
        <v>2.3</v>
      </c>
      <c r="D5692" s="0" t="n">
        <v>0</v>
      </c>
    </row>
    <row r="5693" customFormat="false" ht="13.8" hidden="true" customHeight="false" outlineLevel="0" collapsed="false">
      <c r="A5693" s="0" t="s">
        <v>851</v>
      </c>
      <c r="B5693" s="0" t="n">
        <v>1</v>
      </c>
      <c r="C5693" s="0" t="n">
        <v>2.35</v>
      </c>
      <c r="D5693" s="0" t="n">
        <v>0</v>
      </c>
    </row>
    <row r="5694" customFormat="false" ht="13.8" hidden="true" customHeight="false" outlineLevel="0" collapsed="false">
      <c r="A5694" s="0" t="s">
        <v>851</v>
      </c>
      <c r="B5694" s="0" t="n">
        <v>1</v>
      </c>
      <c r="C5694" s="0" t="n">
        <v>2.4</v>
      </c>
      <c r="D5694" s="0" t="n">
        <v>0</v>
      </c>
    </row>
    <row r="5695" customFormat="false" ht="13.8" hidden="true" customHeight="false" outlineLevel="0" collapsed="false">
      <c r="A5695" s="0" t="s">
        <v>851</v>
      </c>
      <c r="B5695" s="0" t="n">
        <v>1</v>
      </c>
      <c r="C5695" s="0" t="n">
        <v>2.45</v>
      </c>
      <c r="D5695" s="0" t="n">
        <v>0</v>
      </c>
    </row>
    <row r="5696" customFormat="false" ht="13.8" hidden="true" customHeight="false" outlineLevel="0" collapsed="false">
      <c r="A5696" s="0" t="s">
        <v>851</v>
      </c>
      <c r="B5696" s="0" t="n">
        <v>1</v>
      </c>
      <c r="C5696" s="0" t="n">
        <v>2.5</v>
      </c>
      <c r="D5696" s="0" t="n">
        <v>0</v>
      </c>
    </row>
    <row r="5697" customFormat="false" ht="13.8" hidden="true" customHeight="false" outlineLevel="0" collapsed="false">
      <c r="A5697" s="0" t="s">
        <v>851</v>
      </c>
      <c r="B5697" s="0" t="n">
        <v>1</v>
      </c>
      <c r="C5697" s="0" t="n">
        <v>2.55</v>
      </c>
      <c r="D5697" s="0" t="n">
        <v>0</v>
      </c>
    </row>
    <row r="5698" customFormat="false" ht="13.8" hidden="true" customHeight="false" outlineLevel="0" collapsed="false">
      <c r="A5698" s="0" t="s">
        <v>851</v>
      </c>
      <c r="B5698" s="0" t="n">
        <v>1</v>
      </c>
      <c r="C5698" s="0" t="n">
        <v>2.6</v>
      </c>
      <c r="D5698" s="0" t="n">
        <v>0</v>
      </c>
    </row>
    <row r="5699" customFormat="false" ht="13.8" hidden="true" customHeight="false" outlineLevel="0" collapsed="false">
      <c r="A5699" s="0" t="s">
        <v>851</v>
      </c>
      <c r="B5699" s="0" t="n">
        <v>2</v>
      </c>
      <c r="C5699" s="0" t="n">
        <v>1.3</v>
      </c>
      <c r="D5699" s="0" t="n">
        <v>0</v>
      </c>
    </row>
    <row r="5700" customFormat="false" ht="13.8" hidden="true" customHeight="false" outlineLevel="0" collapsed="false">
      <c r="A5700" s="0" t="s">
        <v>851</v>
      </c>
      <c r="B5700" s="0" t="n">
        <v>2</v>
      </c>
      <c r="C5700" s="0" t="n">
        <v>1.35</v>
      </c>
      <c r="D5700" s="0" t="n">
        <v>0</v>
      </c>
    </row>
    <row r="5701" customFormat="false" ht="13.8" hidden="true" customHeight="false" outlineLevel="0" collapsed="false">
      <c r="A5701" s="0" t="s">
        <v>851</v>
      </c>
      <c r="B5701" s="0" t="n">
        <v>2</v>
      </c>
      <c r="C5701" s="0" t="n">
        <v>1.4</v>
      </c>
      <c r="D5701" s="0" t="n">
        <v>0.161</v>
      </c>
    </row>
    <row r="5702" customFormat="false" ht="13.8" hidden="true" customHeight="false" outlineLevel="0" collapsed="false">
      <c r="A5702" s="0" t="s">
        <v>851</v>
      </c>
      <c r="B5702" s="0" t="n">
        <v>2</v>
      </c>
      <c r="C5702" s="0" t="n">
        <v>1.45</v>
      </c>
      <c r="D5702" s="0" t="n">
        <v>0.166</v>
      </c>
    </row>
    <row r="5703" customFormat="false" ht="13.8" hidden="true" customHeight="false" outlineLevel="0" collapsed="false">
      <c r="A5703" s="0" t="s">
        <v>851</v>
      </c>
      <c r="B5703" s="0" t="n">
        <v>2</v>
      </c>
      <c r="C5703" s="0" t="n">
        <v>1.5</v>
      </c>
      <c r="D5703" s="0" t="n">
        <v>0.172</v>
      </c>
    </row>
    <row r="5704" customFormat="false" ht="13.8" hidden="true" customHeight="false" outlineLevel="0" collapsed="false">
      <c r="A5704" s="0" t="s">
        <v>851</v>
      </c>
      <c r="B5704" s="0" t="n">
        <v>2</v>
      </c>
      <c r="C5704" s="0" t="n">
        <v>1.55</v>
      </c>
      <c r="D5704" s="0" t="n">
        <v>0.178</v>
      </c>
    </row>
    <row r="5705" customFormat="false" ht="13.8" hidden="true" customHeight="false" outlineLevel="0" collapsed="false">
      <c r="A5705" s="0" t="s">
        <v>851</v>
      </c>
      <c r="B5705" s="0" t="n">
        <v>2</v>
      </c>
      <c r="C5705" s="0" t="n">
        <v>1.6</v>
      </c>
      <c r="D5705" s="0" t="n">
        <v>0.184</v>
      </c>
    </row>
    <row r="5706" customFormat="false" ht="13.8" hidden="true" customHeight="false" outlineLevel="0" collapsed="false">
      <c r="A5706" s="0" t="s">
        <v>851</v>
      </c>
      <c r="B5706" s="0" t="n">
        <v>2</v>
      </c>
      <c r="C5706" s="0" t="n">
        <v>1.65</v>
      </c>
      <c r="D5706" s="0" t="n">
        <v>0.189</v>
      </c>
    </row>
    <row r="5707" customFormat="false" ht="13.8" hidden="true" customHeight="false" outlineLevel="0" collapsed="false">
      <c r="A5707" s="0" t="s">
        <v>851</v>
      </c>
      <c r="B5707" s="0" t="n">
        <v>2</v>
      </c>
      <c r="C5707" s="0" t="n">
        <v>1.7</v>
      </c>
      <c r="D5707" s="0" t="n">
        <v>0.195</v>
      </c>
    </row>
    <row r="5708" customFormat="false" ht="13.8" hidden="true" customHeight="false" outlineLevel="0" collapsed="false">
      <c r="A5708" s="0" t="s">
        <v>851</v>
      </c>
      <c r="B5708" s="0" t="n">
        <v>2</v>
      </c>
      <c r="C5708" s="0" t="n">
        <v>1.75</v>
      </c>
      <c r="D5708" s="0" t="n">
        <v>0.201</v>
      </c>
    </row>
    <row r="5709" customFormat="false" ht="13.8" hidden="true" customHeight="false" outlineLevel="0" collapsed="false">
      <c r="A5709" s="0" t="s">
        <v>851</v>
      </c>
      <c r="B5709" s="0" t="n">
        <v>2</v>
      </c>
      <c r="C5709" s="0" t="n">
        <v>1.8</v>
      </c>
      <c r="D5709" s="0" t="n">
        <v>0.206</v>
      </c>
    </row>
    <row r="5710" customFormat="false" ht="13.8" hidden="true" customHeight="false" outlineLevel="0" collapsed="false">
      <c r="A5710" s="0" t="s">
        <v>851</v>
      </c>
      <c r="B5710" s="0" t="n">
        <v>2</v>
      </c>
      <c r="C5710" s="0" t="n">
        <v>1.85</v>
      </c>
      <c r="D5710" s="0" t="n">
        <v>0.212</v>
      </c>
    </row>
    <row r="5711" customFormat="false" ht="13.8" hidden="true" customHeight="false" outlineLevel="0" collapsed="false">
      <c r="A5711" s="0" t="s">
        <v>851</v>
      </c>
      <c r="B5711" s="0" t="n">
        <v>2</v>
      </c>
      <c r="C5711" s="0" t="n">
        <v>1.9</v>
      </c>
      <c r="D5711" s="0" t="n">
        <v>0.218</v>
      </c>
    </row>
    <row r="5712" customFormat="false" ht="13.8" hidden="true" customHeight="false" outlineLevel="0" collapsed="false">
      <c r="A5712" s="0" t="s">
        <v>851</v>
      </c>
      <c r="B5712" s="0" t="n">
        <v>2</v>
      </c>
      <c r="C5712" s="0" t="n">
        <v>1.95</v>
      </c>
      <c r="D5712" s="0" t="n">
        <v>0.224</v>
      </c>
    </row>
    <row r="5713" customFormat="false" ht="13.8" hidden="true" customHeight="false" outlineLevel="0" collapsed="false">
      <c r="A5713" s="0" t="s">
        <v>851</v>
      </c>
      <c r="B5713" s="0" t="n">
        <v>2</v>
      </c>
      <c r="C5713" s="0" t="n">
        <v>2</v>
      </c>
      <c r="D5713" s="0" t="n">
        <v>0</v>
      </c>
    </row>
    <row r="5714" customFormat="false" ht="13.8" hidden="true" customHeight="false" outlineLevel="0" collapsed="false">
      <c r="A5714" s="0" t="s">
        <v>851</v>
      </c>
      <c r="B5714" s="0" t="n">
        <v>2</v>
      </c>
      <c r="C5714" s="0" t="n">
        <v>2.05</v>
      </c>
      <c r="D5714" s="0" t="n">
        <v>0</v>
      </c>
    </row>
    <row r="5715" customFormat="false" ht="13.8" hidden="true" customHeight="false" outlineLevel="0" collapsed="false">
      <c r="A5715" s="0" t="s">
        <v>851</v>
      </c>
      <c r="B5715" s="0" t="n">
        <v>2</v>
      </c>
      <c r="C5715" s="0" t="n">
        <v>2.1</v>
      </c>
      <c r="D5715" s="0" t="n">
        <v>0</v>
      </c>
    </row>
    <row r="5716" customFormat="false" ht="13.8" hidden="true" customHeight="false" outlineLevel="0" collapsed="false">
      <c r="A5716" s="0" t="s">
        <v>851</v>
      </c>
      <c r="B5716" s="0" t="n">
        <v>2</v>
      </c>
      <c r="C5716" s="0" t="n">
        <v>2.15</v>
      </c>
      <c r="D5716" s="0" t="n">
        <v>0</v>
      </c>
    </row>
    <row r="5717" customFormat="false" ht="13.8" hidden="true" customHeight="false" outlineLevel="0" collapsed="false">
      <c r="A5717" s="0" t="s">
        <v>851</v>
      </c>
      <c r="B5717" s="0" t="n">
        <v>2</v>
      </c>
      <c r="C5717" s="0" t="n">
        <v>2.2</v>
      </c>
      <c r="D5717" s="0" t="n">
        <v>0</v>
      </c>
    </row>
    <row r="5718" customFormat="false" ht="13.8" hidden="true" customHeight="false" outlineLevel="0" collapsed="false">
      <c r="A5718" s="0" t="s">
        <v>851</v>
      </c>
      <c r="B5718" s="0" t="n">
        <v>2</v>
      </c>
      <c r="C5718" s="0" t="n">
        <v>2.25</v>
      </c>
      <c r="D5718" s="0" t="n">
        <v>0</v>
      </c>
    </row>
    <row r="5719" customFormat="false" ht="13.8" hidden="true" customHeight="false" outlineLevel="0" collapsed="false">
      <c r="A5719" s="0" t="s">
        <v>851</v>
      </c>
      <c r="B5719" s="0" t="n">
        <v>2</v>
      </c>
      <c r="C5719" s="0" t="n">
        <v>2.3</v>
      </c>
      <c r="D5719" s="0" t="n">
        <v>0</v>
      </c>
    </row>
    <row r="5720" customFormat="false" ht="13.8" hidden="true" customHeight="false" outlineLevel="0" collapsed="false">
      <c r="A5720" s="0" t="s">
        <v>851</v>
      </c>
      <c r="B5720" s="0" t="n">
        <v>2</v>
      </c>
      <c r="C5720" s="0" t="n">
        <v>2.35</v>
      </c>
      <c r="D5720" s="0" t="n">
        <v>0</v>
      </c>
    </row>
    <row r="5721" customFormat="false" ht="13.8" hidden="true" customHeight="false" outlineLevel="0" collapsed="false">
      <c r="A5721" s="0" t="s">
        <v>851</v>
      </c>
      <c r="B5721" s="0" t="n">
        <v>2</v>
      </c>
      <c r="C5721" s="0" t="n">
        <v>2.4</v>
      </c>
      <c r="D5721" s="0" t="n">
        <v>0</v>
      </c>
    </row>
    <row r="5722" customFormat="false" ht="13.8" hidden="true" customHeight="false" outlineLevel="0" collapsed="false">
      <c r="A5722" s="0" t="s">
        <v>851</v>
      </c>
      <c r="B5722" s="0" t="n">
        <v>2</v>
      </c>
      <c r="C5722" s="0" t="n">
        <v>2.45</v>
      </c>
      <c r="D5722" s="0" t="n">
        <v>0</v>
      </c>
    </row>
    <row r="5723" customFormat="false" ht="13.8" hidden="true" customHeight="false" outlineLevel="0" collapsed="false">
      <c r="A5723" s="0" t="s">
        <v>851</v>
      </c>
      <c r="B5723" s="0" t="n">
        <v>2</v>
      </c>
      <c r="C5723" s="0" t="n">
        <v>2.5</v>
      </c>
      <c r="D5723" s="0" t="n">
        <v>0</v>
      </c>
    </row>
    <row r="5724" customFormat="false" ht="13.8" hidden="true" customHeight="false" outlineLevel="0" collapsed="false">
      <c r="A5724" s="0" t="s">
        <v>851</v>
      </c>
      <c r="B5724" s="0" t="n">
        <v>2</v>
      </c>
      <c r="C5724" s="0" t="n">
        <v>2.55</v>
      </c>
      <c r="D5724" s="0" t="n">
        <v>0</v>
      </c>
    </row>
    <row r="5725" customFormat="false" ht="13.8" hidden="true" customHeight="false" outlineLevel="0" collapsed="false">
      <c r="A5725" s="0" t="s">
        <v>851</v>
      </c>
      <c r="B5725" s="0" t="n">
        <v>2</v>
      </c>
      <c r="C5725" s="0" t="n">
        <v>2.6</v>
      </c>
      <c r="D5725" s="0" t="n">
        <v>0</v>
      </c>
    </row>
    <row r="5726" customFormat="false" ht="13.8" hidden="true" customHeight="false" outlineLevel="0" collapsed="false">
      <c r="A5726" s="0" t="s">
        <v>851</v>
      </c>
      <c r="B5726" s="0" t="n">
        <v>4</v>
      </c>
      <c r="C5726" s="0" t="n">
        <v>1.3</v>
      </c>
      <c r="D5726" s="0" t="n">
        <v>0</v>
      </c>
    </row>
    <row r="5727" customFormat="false" ht="13.8" hidden="true" customHeight="false" outlineLevel="0" collapsed="false">
      <c r="A5727" s="0" t="s">
        <v>851</v>
      </c>
      <c r="B5727" s="0" t="n">
        <v>4</v>
      </c>
      <c r="C5727" s="0" t="n">
        <v>1.35</v>
      </c>
      <c r="D5727" s="0" t="n">
        <v>0</v>
      </c>
    </row>
    <row r="5728" customFormat="false" ht="13.8" hidden="true" customHeight="false" outlineLevel="0" collapsed="false">
      <c r="A5728" s="0" t="s">
        <v>851</v>
      </c>
      <c r="B5728" s="0" t="n">
        <v>4</v>
      </c>
      <c r="C5728" s="0" t="n">
        <v>1.4</v>
      </c>
      <c r="D5728" s="0" t="n">
        <v>0.161</v>
      </c>
    </row>
    <row r="5729" customFormat="false" ht="13.8" hidden="true" customHeight="false" outlineLevel="0" collapsed="false">
      <c r="A5729" s="0" t="s">
        <v>851</v>
      </c>
      <c r="B5729" s="0" t="n">
        <v>4</v>
      </c>
      <c r="C5729" s="0" t="n">
        <v>1.45</v>
      </c>
      <c r="D5729" s="0" t="n">
        <v>0.166</v>
      </c>
    </row>
    <row r="5730" customFormat="false" ht="13.8" hidden="true" customHeight="false" outlineLevel="0" collapsed="false">
      <c r="A5730" s="0" t="s">
        <v>851</v>
      </c>
      <c r="B5730" s="0" t="n">
        <v>4</v>
      </c>
      <c r="C5730" s="0" t="n">
        <v>1.5</v>
      </c>
      <c r="D5730" s="0" t="n">
        <v>0.172</v>
      </c>
    </row>
    <row r="5731" customFormat="false" ht="13.8" hidden="true" customHeight="false" outlineLevel="0" collapsed="false">
      <c r="A5731" s="0" t="s">
        <v>851</v>
      </c>
      <c r="B5731" s="0" t="n">
        <v>4</v>
      </c>
      <c r="C5731" s="0" t="n">
        <v>1.55</v>
      </c>
      <c r="D5731" s="0" t="n">
        <v>0.178</v>
      </c>
    </row>
    <row r="5732" customFormat="false" ht="13.8" hidden="true" customHeight="false" outlineLevel="0" collapsed="false">
      <c r="A5732" s="0" t="s">
        <v>851</v>
      </c>
      <c r="B5732" s="0" t="n">
        <v>4</v>
      </c>
      <c r="C5732" s="0" t="n">
        <v>1.6</v>
      </c>
      <c r="D5732" s="0" t="n">
        <v>0.184</v>
      </c>
    </row>
    <row r="5733" customFormat="false" ht="13.8" hidden="true" customHeight="false" outlineLevel="0" collapsed="false">
      <c r="A5733" s="0" t="s">
        <v>851</v>
      </c>
      <c r="B5733" s="0" t="n">
        <v>4</v>
      </c>
      <c r="C5733" s="0" t="n">
        <v>1.65</v>
      </c>
      <c r="D5733" s="0" t="n">
        <v>0.189</v>
      </c>
    </row>
    <row r="5734" customFormat="false" ht="13.8" hidden="true" customHeight="false" outlineLevel="0" collapsed="false">
      <c r="A5734" s="0" t="s">
        <v>851</v>
      </c>
      <c r="B5734" s="0" t="n">
        <v>4</v>
      </c>
      <c r="C5734" s="0" t="n">
        <v>1.7</v>
      </c>
      <c r="D5734" s="0" t="n">
        <v>0.195</v>
      </c>
    </row>
    <row r="5735" customFormat="false" ht="13.8" hidden="true" customHeight="false" outlineLevel="0" collapsed="false">
      <c r="A5735" s="0" t="s">
        <v>851</v>
      </c>
      <c r="B5735" s="0" t="n">
        <v>4</v>
      </c>
      <c r="C5735" s="0" t="n">
        <v>1.75</v>
      </c>
      <c r="D5735" s="0" t="n">
        <v>0.201</v>
      </c>
    </row>
    <row r="5736" customFormat="false" ht="13.8" hidden="true" customHeight="false" outlineLevel="0" collapsed="false">
      <c r="A5736" s="0" t="s">
        <v>851</v>
      </c>
      <c r="B5736" s="0" t="n">
        <v>4</v>
      </c>
      <c r="C5736" s="0" t="n">
        <v>1.8</v>
      </c>
      <c r="D5736" s="0" t="n">
        <v>0.206</v>
      </c>
    </row>
    <row r="5737" customFormat="false" ht="13.8" hidden="true" customHeight="false" outlineLevel="0" collapsed="false">
      <c r="A5737" s="0" t="s">
        <v>851</v>
      </c>
      <c r="B5737" s="0" t="n">
        <v>4</v>
      </c>
      <c r="C5737" s="0" t="n">
        <v>1.85</v>
      </c>
      <c r="D5737" s="0" t="n">
        <v>0.212</v>
      </c>
    </row>
    <row r="5738" customFormat="false" ht="13.8" hidden="true" customHeight="false" outlineLevel="0" collapsed="false">
      <c r="A5738" s="0" t="s">
        <v>851</v>
      </c>
      <c r="B5738" s="0" t="n">
        <v>4</v>
      </c>
      <c r="C5738" s="0" t="n">
        <v>1.9</v>
      </c>
      <c r="D5738" s="0" t="n">
        <v>0.218</v>
      </c>
    </row>
    <row r="5739" customFormat="false" ht="13.8" hidden="true" customHeight="false" outlineLevel="0" collapsed="false">
      <c r="A5739" s="0" t="s">
        <v>851</v>
      </c>
      <c r="B5739" s="0" t="n">
        <v>4</v>
      </c>
      <c r="C5739" s="0" t="n">
        <v>1.95</v>
      </c>
      <c r="D5739" s="0" t="n">
        <v>0.224</v>
      </c>
    </row>
    <row r="5740" customFormat="false" ht="13.8" hidden="true" customHeight="false" outlineLevel="0" collapsed="false">
      <c r="A5740" s="0" t="s">
        <v>851</v>
      </c>
      <c r="B5740" s="0" t="n">
        <v>4</v>
      </c>
      <c r="C5740" s="0" t="n">
        <v>2</v>
      </c>
      <c r="D5740" s="0" t="n">
        <v>0</v>
      </c>
    </row>
    <row r="5741" customFormat="false" ht="13.8" hidden="true" customHeight="false" outlineLevel="0" collapsed="false">
      <c r="A5741" s="0" t="s">
        <v>851</v>
      </c>
      <c r="B5741" s="0" t="n">
        <v>4</v>
      </c>
      <c r="C5741" s="0" t="n">
        <v>2.05</v>
      </c>
      <c r="D5741" s="0" t="n">
        <v>0</v>
      </c>
    </row>
    <row r="5742" customFormat="false" ht="13.8" hidden="true" customHeight="false" outlineLevel="0" collapsed="false">
      <c r="A5742" s="0" t="s">
        <v>851</v>
      </c>
      <c r="B5742" s="0" t="n">
        <v>4</v>
      </c>
      <c r="C5742" s="0" t="n">
        <v>2.1</v>
      </c>
      <c r="D5742" s="0" t="n">
        <v>0</v>
      </c>
    </row>
    <row r="5743" customFormat="false" ht="13.8" hidden="true" customHeight="false" outlineLevel="0" collapsed="false">
      <c r="A5743" s="0" t="s">
        <v>851</v>
      </c>
      <c r="B5743" s="0" t="n">
        <v>4</v>
      </c>
      <c r="C5743" s="0" t="n">
        <v>2.15</v>
      </c>
      <c r="D5743" s="0" t="n">
        <v>0</v>
      </c>
    </row>
    <row r="5744" customFormat="false" ht="13.8" hidden="true" customHeight="false" outlineLevel="0" collapsed="false">
      <c r="A5744" s="0" t="s">
        <v>851</v>
      </c>
      <c r="B5744" s="0" t="n">
        <v>4</v>
      </c>
      <c r="C5744" s="0" t="n">
        <v>2.2</v>
      </c>
      <c r="D5744" s="0" t="n">
        <v>0</v>
      </c>
    </row>
    <row r="5745" customFormat="false" ht="13.8" hidden="true" customHeight="false" outlineLevel="0" collapsed="false">
      <c r="A5745" s="0" t="s">
        <v>851</v>
      </c>
      <c r="B5745" s="0" t="n">
        <v>4</v>
      </c>
      <c r="C5745" s="0" t="n">
        <v>2.25</v>
      </c>
      <c r="D5745" s="0" t="n">
        <v>0</v>
      </c>
    </row>
    <row r="5746" customFormat="false" ht="13.8" hidden="true" customHeight="false" outlineLevel="0" collapsed="false">
      <c r="A5746" s="0" t="s">
        <v>851</v>
      </c>
      <c r="B5746" s="0" t="n">
        <v>4</v>
      </c>
      <c r="C5746" s="0" t="n">
        <v>2.3</v>
      </c>
      <c r="D5746" s="0" t="n">
        <v>0</v>
      </c>
    </row>
    <row r="5747" customFormat="false" ht="13.8" hidden="true" customHeight="false" outlineLevel="0" collapsed="false">
      <c r="A5747" s="0" t="s">
        <v>851</v>
      </c>
      <c r="B5747" s="0" t="n">
        <v>4</v>
      </c>
      <c r="C5747" s="0" t="n">
        <v>2.35</v>
      </c>
      <c r="D5747" s="0" t="n">
        <v>0</v>
      </c>
    </row>
    <row r="5748" customFormat="false" ht="13.8" hidden="true" customHeight="false" outlineLevel="0" collapsed="false">
      <c r="A5748" s="0" t="s">
        <v>851</v>
      </c>
      <c r="B5748" s="0" t="n">
        <v>4</v>
      </c>
      <c r="C5748" s="0" t="n">
        <v>2.4</v>
      </c>
      <c r="D5748" s="0" t="n">
        <v>0</v>
      </c>
    </row>
    <row r="5749" customFormat="false" ht="13.8" hidden="true" customHeight="false" outlineLevel="0" collapsed="false">
      <c r="A5749" s="0" t="s">
        <v>851</v>
      </c>
      <c r="B5749" s="0" t="n">
        <v>4</v>
      </c>
      <c r="C5749" s="0" t="n">
        <v>2.45</v>
      </c>
      <c r="D5749" s="0" t="n">
        <v>0</v>
      </c>
    </row>
    <row r="5750" customFormat="false" ht="13.8" hidden="true" customHeight="false" outlineLevel="0" collapsed="false">
      <c r="A5750" s="0" t="s">
        <v>851</v>
      </c>
      <c r="B5750" s="0" t="n">
        <v>4</v>
      </c>
      <c r="C5750" s="0" t="n">
        <v>2.5</v>
      </c>
      <c r="D5750" s="0" t="n">
        <v>0</v>
      </c>
    </row>
    <row r="5751" customFormat="false" ht="13.8" hidden="true" customHeight="false" outlineLevel="0" collapsed="false">
      <c r="A5751" s="0" t="s">
        <v>851</v>
      </c>
      <c r="B5751" s="0" t="n">
        <v>4</v>
      </c>
      <c r="C5751" s="0" t="n">
        <v>2.55</v>
      </c>
      <c r="D5751" s="0" t="n">
        <v>0</v>
      </c>
    </row>
    <row r="5752" customFormat="false" ht="13.8" hidden="true" customHeight="false" outlineLevel="0" collapsed="false">
      <c r="A5752" s="0" t="s">
        <v>851</v>
      </c>
      <c r="B5752" s="0" t="n">
        <v>4</v>
      </c>
      <c r="C5752" s="0" t="n">
        <v>2.6</v>
      </c>
      <c r="D5752" s="0" t="n">
        <v>0</v>
      </c>
    </row>
    <row r="5753" customFormat="false" ht="13.8" hidden="true" customHeight="false" outlineLevel="0" collapsed="false">
      <c r="A5753" s="0" t="s">
        <v>242</v>
      </c>
      <c r="B5753" s="0" t="n">
        <v>1</v>
      </c>
      <c r="C5753" s="0" t="n">
        <v>1.3</v>
      </c>
      <c r="D5753" s="0" t="n">
        <v>0</v>
      </c>
    </row>
    <row r="5754" customFormat="false" ht="13.8" hidden="true" customHeight="false" outlineLevel="0" collapsed="false">
      <c r="A5754" s="0" t="s">
        <v>242</v>
      </c>
      <c r="B5754" s="0" t="n">
        <v>1</v>
      </c>
      <c r="C5754" s="0" t="n">
        <v>1.35</v>
      </c>
      <c r="D5754" s="0" t="n">
        <v>0</v>
      </c>
    </row>
    <row r="5755" customFormat="false" ht="13.8" hidden="true" customHeight="false" outlineLevel="0" collapsed="false">
      <c r="A5755" s="0" t="s">
        <v>242</v>
      </c>
      <c r="B5755" s="0" t="n">
        <v>1</v>
      </c>
      <c r="C5755" s="0" t="n">
        <v>1.4</v>
      </c>
      <c r="D5755" s="0" t="n">
        <v>0</v>
      </c>
    </row>
    <row r="5756" customFormat="false" ht="13.8" hidden="true" customHeight="false" outlineLevel="0" collapsed="false">
      <c r="A5756" s="0" t="s">
        <v>242</v>
      </c>
      <c r="B5756" s="0" t="n">
        <v>1</v>
      </c>
      <c r="C5756" s="0" t="n">
        <v>1.45</v>
      </c>
      <c r="D5756" s="0" t="n">
        <v>0</v>
      </c>
    </row>
    <row r="5757" customFormat="false" ht="13.8" hidden="true" customHeight="false" outlineLevel="0" collapsed="false">
      <c r="A5757" s="0" t="s">
        <v>242</v>
      </c>
      <c r="B5757" s="0" t="n">
        <v>1</v>
      </c>
      <c r="C5757" s="0" t="n">
        <v>1.5</v>
      </c>
      <c r="D5757" s="0" t="n">
        <v>0</v>
      </c>
    </row>
    <row r="5758" customFormat="false" ht="13.8" hidden="true" customHeight="false" outlineLevel="0" collapsed="false">
      <c r="A5758" s="0" t="s">
        <v>242</v>
      </c>
      <c r="B5758" s="0" t="n">
        <v>1</v>
      </c>
      <c r="C5758" s="0" t="n">
        <v>1.55</v>
      </c>
      <c r="D5758" s="0" t="n">
        <v>0</v>
      </c>
    </row>
    <row r="5759" customFormat="false" ht="13.8" hidden="true" customHeight="false" outlineLevel="0" collapsed="false">
      <c r="A5759" s="0" t="s">
        <v>242</v>
      </c>
      <c r="B5759" s="0" t="n">
        <v>1</v>
      </c>
      <c r="C5759" s="0" t="n">
        <v>1.6</v>
      </c>
      <c r="D5759" s="0" t="n">
        <v>0</v>
      </c>
    </row>
    <row r="5760" customFormat="false" ht="13.8" hidden="true" customHeight="false" outlineLevel="0" collapsed="false">
      <c r="A5760" s="0" t="s">
        <v>242</v>
      </c>
      <c r="B5760" s="0" t="n">
        <v>1</v>
      </c>
      <c r="C5760" s="0" t="n">
        <v>1.65</v>
      </c>
      <c r="D5760" s="0" t="n">
        <v>0</v>
      </c>
    </row>
    <row r="5761" customFormat="false" ht="13.8" hidden="true" customHeight="false" outlineLevel="0" collapsed="false">
      <c r="A5761" s="0" t="s">
        <v>242</v>
      </c>
      <c r="B5761" s="0" t="n">
        <v>1</v>
      </c>
      <c r="C5761" s="0" t="n">
        <v>1.7</v>
      </c>
      <c r="D5761" s="0" t="n">
        <v>0</v>
      </c>
    </row>
    <row r="5762" customFormat="false" ht="13.8" hidden="true" customHeight="false" outlineLevel="0" collapsed="false">
      <c r="A5762" s="0" t="s">
        <v>242</v>
      </c>
      <c r="B5762" s="0" t="n">
        <v>1</v>
      </c>
      <c r="C5762" s="0" t="n">
        <v>1.75</v>
      </c>
      <c r="D5762" s="0" t="n">
        <v>0</v>
      </c>
    </row>
    <row r="5763" customFormat="false" ht="13.8" hidden="true" customHeight="false" outlineLevel="0" collapsed="false">
      <c r="A5763" s="0" t="s">
        <v>242</v>
      </c>
      <c r="B5763" s="0" t="n">
        <v>1</v>
      </c>
      <c r="C5763" s="0" t="n">
        <v>1.8</v>
      </c>
      <c r="D5763" s="0" t="n">
        <v>0.206</v>
      </c>
    </row>
    <row r="5764" customFormat="false" ht="13.8" hidden="true" customHeight="false" outlineLevel="0" collapsed="false">
      <c r="A5764" s="0" t="s">
        <v>242</v>
      </c>
      <c r="B5764" s="0" t="n">
        <v>1</v>
      </c>
      <c r="C5764" s="0" t="n">
        <v>1.85</v>
      </c>
      <c r="D5764" s="0" t="n">
        <v>0.212</v>
      </c>
    </row>
    <row r="5765" customFormat="false" ht="13.8" hidden="true" customHeight="false" outlineLevel="0" collapsed="false">
      <c r="A5765" s="0" t="s">
        <v>242</v>
      </c>
      <c r="B5765" s="0" t="n">
        <v>1</v>
      </c>
      <c r="C5765" s="0" t="n">
        <v>1.9</v>
      </c>
      <c r="D5765" s="0" t="n">
        <v>0.218</v>
      </c>
    </row>
    <row r="5766" customFormat="false" ht="13.8" hidden="true" customHeight="false" outlineLevel="0" collapsed="false">
      <c r="A5766" s="0" t="s">
        <v>242</v>
      </c>
      <c r="B5766" s="0" t="n">
        <v>1</v>
      </c>
      <c r="C5766" s="0" t="n">
        <v>1.95</v>
      </c>
      <c r="D5766" s="0" t="n">
        <v>0.224</v>
      </c>
    </row>
    <row r="5767" customFormat="false" ht="13.8" hidden="true" customHeight="false" outlineLevel="0" collapsed="false">
      <c r="A5767" s="0" t="s">
        <v>242</v>
      </c>
      <c r="B5767" s="0" t="n">
        <v>1</v>
      </c>
      <c r="C5767" s="0" t="n">
        <v>2</v>
      </c>
      <c r="D5767" s="0" t="n">
        <v>0.235</v>
      </c>
    </row>
    <row r="5768" customFormat="false" ht="13.8" hidden="true" customHeight="false" outlineLevel="0" collapsed="false">
      <c r="A5768" s="0" t="s">
        <v>242</v>
      </c>
      <c r="B5768" s="0" t="n">
        <v>1</v>
      </c>
      <c r="C5768" s="0" t="n">
        <v>2.05</v>
      </c>
      <c r="D5768" s="0" t="n">
        <v>0.241</v>
      </c>
    </row>
    <row r="5769" customFormat="false" ht="13.8" hidden="true" customHeight="false" outlineLevel="0" collapsed="false">
      <c r="A5769" s="0" t="s">
        <v>242</v>
      </c>
      <c r="B5769" s="0" t="n">
        <v>1</v>
      </c>
      <c r="C5769" s="0" t="n">
        <v>2.1</v>
      </c>
      <c r="D5769" s="0" t="n">
        <v>0.246</v>
      </c>
    </row>
    <row r="5770" customFormat="false" ht="13.8" hidden="true" customHeight="false" outlineLevel="0" collapsed="false">
      <c r="A5770" s="0" t="s">
        <v>242</v>
      </c>
      <c r="B5770" s="0" t="n">
        <v>1</v>
      </c>
      <c r="C5770" s="0" t="n">
        <v>2.15</v>
      </c>
      <c r="D5770" s="0" t="n">
        <v>0</v>
      </c>
    </row>
    <row r="5771" customFormat="false" ht="13.8" hidden="true" customHeight="false" outlineLevel="0" collapsed="false">
      <c r="A5771" s="0" t="s">
        <v>242</v>
      </c>
      <c r="B5771" s="0" t="n">
        <v>1</v>
      </c>
      <c r="C5771" s="0" t="n">
        <v>2.2</v>
      </c>
      <c r="D5771" s="0" t="n">
        <v>0</v>
      </c>
    </row>
    <row r="5772" customFormat="false" ht="13.8" hidden="true" customHeight="false" outlineLevel="0" collapsed="false">
      <c r="A5772" s="0" t="s">
        <v>242</v>
      </c>
      <c r="B5772" s="0" t="n">
        <v>1</v>
      </c>
      <c r="C5772" s="0" t="n">
        <v>2.25</v>
      </c>
      <c r="D5772" s="0" t="n">
        <v>0</v>
      </c>
    </row>
    <row r="5773" customFormat="false" ht="13.8" hidden="true" customHeight="false" outlineLevel="0" collapsed="false">
      <c r="A5773" s="0" t="s">
        <v>242</v>
      </c>
      <c r="B5773" s="0" t="n">
        <v>1</v>
      </c>
      <c r="C5773" s="0" t="n">
        <v>2.3</v>
      </c>
      <c r="D5773" s="0" t="n">
        <v>0</v>
      </c>
    </row>
    <row r="5774" customFormat="false" ht="13.8" hidden="true" customHeight="false" outlineLevel="0" collapsed="false">
      <c r="A5774" s="0" t="s">
        <v>242</v>
      </c>
      <c r="B5774" s="0" t="n">
        <v>1</v>
      </c>
      <c r="C5774" s="0" t="n">
        <v>2.35</v>
      </c>
      <c r="D5774" s="0" t="n">
        <v>0</v>
      </c>
    </row>
    <row r="5775" customFormat="false" ht="13.8" hidden="true" customHeight="false" outlineLevel="0" collapsed="false">
      <c r="A5775" s="0" t="s">
        <v>242</v>
      </c>
      <c r="B5775" s="0" t="n">
        <v>1</v>
      </c>
      <c r="C5775" s="0" t="n">
        <v>2.4</v>
      </c>
      <c r="D5775" s="0" t="n">
        <v>0</v>
      </c>
    </row>
    <row r="5776" customFormat="false" ht="13.8" hidden="true" customHeight="false" outlineLevel="0" collapsed="false">
      <c r="A5776" s="0" t="s">
        <v>242</v>
      </c>
      <c r="B5776" s="0" t="n">
        <v>1</v>
      </c>
      <c r="C5776" s="0" t="n">
        <v>2.45</v>
      </c>
      <c r="D5776" s="0" t="n">
        <v>0</v>
      </c>
    </row>
    <row r="5777" customFormat="false" ht="13.8" hidden="true" customHeight="false" outlineLevel="0" collapsed="false">
      <c r="A5777" s="0" t="s">
        <v>242</v>
      </c>
      <c r="B5777" s="0" t="n">
        <v>1</v>
      </c>
      <c r="C5777" s="0" t="n">
        <v>2.5</v>
      </c>
      <c r="D5777" s="0" t="n">
        <v>0</v>
      </c>
    </row>
    <row r="5778" customFormat="false" ht="13.8" hidden="true" customHeight="false" outlineLevel="0" collapsed="false">
      <c r="A5778" s="0" t="s">
        <v>242</v>
      </c>
      <c r="B5778" s="0" t="n">
        <v>1</v>
      </c>
      <c r="C5778" s="0" t="n">
        <v>2.55</v>
      </c>
      <c r="D5778" s="0" t="n">
        <v>0</v>
      </c>
    </row>
    <row r="5779" customFormat="false" ht="13.8" hidden="true" customHeight="false" outlineLevel="0" collapsed="false">
      <c r="A5779" s="0" t="s">
        <v>242</v>
      </c>
      <c r="B5779" s="0" t="n">
        <v>1</v>
      </c>
      <c r="C5779" s="0" t="n">
        <v>2.6</v>
      </c>
      <c r="D5779" s="0" t="n">
        <v>0</v>
      </c>
    </row>
    <row r="5780" customFormat="false" ht="13.8" hidden="true" customHeight="false" outlineLevel="0" collapsed="false">
      <c r="A5780" s="0" t="s">
        <v>242</v>
      </c>
      <c r="B5780" s="0" t="n">
        <v>2</v>
      </c>
      <c r="C5780" s="0" t="n">
        <v>1.3</v>
      </c>
      <c r="D5780" s="0" t="n">
        <v>0</v>
      </c>
    </row>
    <row r="5781" customFormat="false" ht="13.8" hidden="true" customHeight="false" outlineLevel="0" collapsed="false">
      <c r="A5781" s="0" t="s">
        <v>242</v>
      </c>
      <c r="B5781" s="0" t="n">
        <v>2</v>
      </c>
      <c r="C5781" s="0" t="n">
        <v>1.35</v>
      </c>
      <c r="D5781" s="0" t="n">
        <v>0</v>
      </c>
    </row>
    <row r="5782" customFormat="false" ht="13.8" hidden="true" customHeight="false" outlineLevel="0" collapsed="false">
      <c r="A5782" s="0" t="s">
        <v>242</v>
      </c>
      <c r="B5782" s="0" t="n">
        <v>2</v>
      </c>
      <c r="C5782" s="0" t="n">
        <v>1.4</v>
      </c>
      <c r="D5782" s="0" t="n">
        <v>0</v>
      </c>
    </row>
    <row r="5783" customFormat="false" ht="13.8" hidden="true" customHeight="false" outlineLevel="0" collapsed="false">
      <c r="A5783" s="0" t="s">
        <v>242</v>
      </c>
      <c r="B5783" s="0" t="n">
        <v>2</v>
      </c>
      <c r="C5783" s="0" t="n">
        <v>1.45</v>
      </c>
      <c r="D5783" s="0" t="n">
        <v>0</v>
      </c>
    </row>
    <row r="5784" customFormat="false" ht="13.8" hidden="true" customHeight="false" outlineLevel="0" collapsed="false">
      <c r="A5784" s="0" t="s">
        <v>242</v>
      </c>
      <c r="B5784" s="0" t="n">
        <v>2</v>
      </c>
      <c r="C5784" s="0" t="n">
        <v>1.5</v>
      </c>
      <c r="D5784" s="0" t="n">
        <v>0</v>
      </c>
    </row>
    <row r="5785" customFormat="false" ht="13.8" hidden="true" customHeight="false" outlineLevel="0" collapsed="false">
      <c r="A5785" s="0" t="s">
        <v>242</v>
      </c>
      <c r="B5785" s="0" t="n">
        <v>2</v>
      </c>
      <c r="C5785" s="0" t="n">
        <v>1.55</v>
      </c>
      <c r="D5785" s="0" t="n">
        <v>0</v>
      </c>
    </row>
    <row r="5786" customFormat="false" ht="13.8" hidden="true" customHeight="false" outlineLevel="0" collapsed="false">
      <c r="A5786" s="0" t="s">
        <v>242</v>
      </c>
      <c r="B5786" s="0" t="n">
        <v>2</v>
      </c>
      <c r="C5786" s="0" t="n">
        <v>1.6</v>
      </c>
      <c r="D5786" s="0" t="n">
        <v>0</v>
      </c>
    </row>
    <row r="5787" customFormat="false" ht="13.8" hidden="true" customHeight="false" outlineLevel="0" collapsed="false">
      <c r="A5787" s="0" t="s">
        <v>242</v>
      </c>
      <c r="B5787" s="0" t="n">
        <v>2</v>
      </c>
      <c r="C5787" s="0" t="n">
        <v>1.65</v>
      </c>
      <c r="D5787" s="0" t="n">
        <v>0</v>
      </c>
    </row>
    <row r="5788" customFormat="false" ht="13.8" hidden="true" customHeight="false" outlineLevel="0" collapsed="false">
      <c r="A5788" s="0" t="s">
        <v>242</v>
      </c>
      <c r="B5788" s="0" t="n">
        <v>2</v>
      </c>
      <c r="C5788" s="0" t="n">
        <v>1.7</v>
      </c>
      <c r="D5788" s="0" t="n">
        <v>0</v>
      </c>
    </row>
    <row r="5789" customFormat="false" ht="13.8" hidden="true" customHeight="false" outlineLevel="0" collapsed="false">
      <c r="A5789" s="0" t="s">
        <v>242</v>
      </c>
      <c r="B5789" s="0" t="n">
        <v>2</v>
      </c>
      <c r="C5789" s="0" t="n">
        <v>1.75</v>
      </c>
      <c r="D5789" s="0" t="n">
        <v>0</v>
      </c>
    </row>
    <row r="5790" customFormat="false" ht="13.8" hidden="true" customHeight="false" outlineLevel="0" collapsed="false">
      <c r="A5790" s="0" t="s">
        <v>242</v>
      </c>
      <c r="B5790" s="0" t="n">
        <v>2</v>
      </c>
      <c r="C5790" s="0" t="n">
        <v>1.8</v>
      </c>
      <c r="D5790" s="0" t="n">
        <v>0.206</v>
      </c>
    </row>
    <row r="5791" customFormat="false" ht="13.8" hidden="true" customHeight="false" outlineLevel="0" collapsed="false">
      <c r="A5791" s="0" t="s">
        <v>242</v>
      </c>
      <c r="B5791" s="0" t="n">
        <v>2</v>
      </c>
      <c r="C5791" s="0" t="n">
        <v>1.85</v>
      </c>
      <c r="D5791" s="0" t="n">
        <v>0.212</v>
      </c>
    </row>
    <row r="5792" customFormat="false" ht="13.8" hidden="true" customHeight="false" outlineLevel="0" collapsed="false">
      <c r="A5792" s="0" t="s">
        <v>242</v>
      </c>
      <c r="B5792" s="0" t="n">
        <v>2</v>
      </c>
      <c r="C5792" s="0" t="n">
        <v>1.9</v>
      </c>
      <c r="D5792" s="0" t="n">
        <v>0.218</v>
      </c>
    </row>
    <row r="5793" customFormat="false" ht="13.8" hidden="true" customHeight="false" outlineLevel="0" collapsed="false">
      <c r="A5793" s="0" t="s">
        <v>242</v>
      </c>
      <c r="B5793" s="0" t="n">
        <v>2</v>
      </c>
      <c r="C5793" s="0" t="n">
        <v>1.95</v>
      </c>
      <c r="D5793" s="0" t="n">
        <v>0.224</v>
      </c>
    </row>
    <row r="5794" customFormat="false" ht="13.8" hidden="true" customHeight="false" outlineLevel="0" collapsed="false">
      <c r="A5794" s="0" t="s">
        <v>242</v>
      </c>
      <c r="B5794" s="0" t="n">
        <v>2</v>
      </c>
      <c r="C5794" s="0" t="n">
        <v>2</v>
      </c>
      <c r="D5794" s="0" t="n">
        <v>0.235</v>
      </c>
    </row>
    <row r="5795" customFormat="false" ht="13.8" hidden="true" customHeight="false" outlineLevel="0" collapsed="false">
      <c r="A5795" s="0" t="s">
        <v>242</v>
      </c>
      <c r="B5795" s="0" t="n">
        <v>2</v>
      </c>
      <c r="C5795" s="0" t="n">
        <v>2.05</v>
      </c>
      <c r="D5795" s="0" t="n">
        <v>0.241</v>
      </c>
    </row>
    <row r="5796" customFormat="false" ht="13.8" hidden="true" customHeight="false" outlineLevel="0" collapsed="false">
      <c r="A5796" s="0" t="s">
        <v>242</v>
      </c>
      <c r="B5796" s="0" t="n">
        <v>2</v>
      </c>
      <c r="C5796" s="0" t="n">
        <v>2.1</v>
      </c>
      <c r="D5796" s="0" t="n">
        <v>0.246</v>
      </c>
    </row>
    <row r="5797" customFormat="false" ht="13.8" hidden="true" customHeight="false" outlineLevel="0" collapsed="false">
      <c r="A5797" s="0" t="s">
        <v>242</v>
      </c>
      <c r="B5797" s="0" t="n">
        <v>2</v>
      </c>
      <c r="C5797" s="0" t="n">
        <v>2.15</v>
      </c>
      <c r="D5797" s="0" t="n">
        <v>0.252292931</v>
      </c>
    </row>
    <row r="5798" customFormat="false" ht="13.8" hidden="true" customHeight="false" outlineLevel="0" collapsed="false">
      <c r="A5798" s="0" t="s">
        <v>242</v>
      </c>
      <c r="B5798" s="0" t="n">
        <v>2</v>
      </c>
      <c r="C5798" s="0" t="n">
        <v>2.2</v>
      </c>
      <c r="D5798" s="0" t="n">
        <v>0.258160209</v>
      </c>
    </row>
    <row r="5799" customFormat="false" ht="13.8" hidden="true" customHeight="false" outlineLevel="0" collapsed="false">
      <c r="A5799" s="0" t="s">
        <v>242</v>
      </c>
      <c r="B5799" s="0" t="n">
        <v>2</v>
      </c>
      <c r="C5799" s="0" t="n">
        <v>2.25</v>
      </c>
      <c r="D5799" s="0" t="n">
        <v>0</v>
      </c>
    </row>
    <row r="5800" customFormat="false" ht="13.8" hidden="true" customHeight="false" outlineLevel="0" collapsed="false">
      <c r="A5800" s="0" t="s">
        <v>242</v>
      </c>
      <c r="B5800" s="0" t="n">
        <v>2</v>
      </c>
      <c r="C5800" s="0" t="n">
        <v>2.3</v>
      </c>
      <c r="D5800" s="0" t="n">
        <v>0</v>
      </c>
    </row>
    <row r="5801" customFormat="false" ht="13.8" hidden="true" customHeight="false" outlineLevel="0" collapsed="false">
      <c r="A5801" s="0" t="s">
        <v>242</v>
      </c>
      <c r="B5801" s="0" t="n">
        <v>2</v>
      </c>
      <c r="C5801" s="0" t="n">
        <v>2.35</v>
      </c>
      <c r="D5801" s="0" t="n">
        <v>0</v>
      </c>
    </row>
    <row r="5802" customFormat="false" ht="13.8" hidden="true" customHeight="false" outlineLevel="0" collapsed="false">
      <c r="A5802" s="0" t="s">
        <v>242</v>
      </c>
      <c r="B5802" s="0" t="n">
        <v>2</v>
      </c>
      <c r="C5802" s="0" t="n">
        <v>2.4</v>
      </c>
      <c r="D5802" s="0" t="n">
        <v>0</v>
      </c>
    </row>
    <row r="5803" customFormat="false" ht="13.8" hidden="true" customHeight="false" outlineLevel="0" collapsed="false">
      <c r="A5803" s="0" t="s">
        <v>242</v>
      </c>
      <c r="B5803" s="0" t="n">
        <v>2</v>
      </c>
      <c r="C5803" s="0" t="n">
        <v>2.45</v>
      </c>
      <c r="D5803" s="0" t="n">
        <v>0</v>
      </c>
    </row>
    <row r="5804" customFormat="false" ht="13.8" hidden="true" customHeight="false" outlineLevel="0" collapsed="false">
      <c r="A5804" s="0" t="s">
        <v>242</v>
      </c>
      <c r="B5804" s="0" t="n">
        <v>2</v>
      </c>
      <c r="C5804" s="0" t="n">
        <v>2.5</v>
      </c>
      <c r="D5804" s="0" t="n">
        <v>0</v>
      </c>
    </row>
    <row r="5805" customFormat="false" ht="13.8" hidden="true" customHeight="false" outlineLevel="0" collapsed="false">
      <c r="A5805" s="0" t="s">
        <v>242</v>
      </c>
      <c r="B5805" s="0" t="n">
        <v>2</v>
      </c>
      <c r="C5805" s="0" t="n">
        <v>2.55</v>
      </c>
      <c r="D5805" s="0" t="n">
        <v>0</v>
      </c>
    </row>
    <row r="5806" customFormat="false" ht="13.8" hidden="true" customHeight="false" outlineLevel="0" collapsed="false">
      <c r="A5806" s="0" t="s">
        <v>242</v>
      </c>
      <c r="B5806" s="0" t="n">
        <v>2</v>
      </c>
      <c r="C5806" s="0" t="n">
        <v>2.6</v>
      </c>
      <c r="D5806" s="0" t="n">
        <v>0</v>
      </c>
    </row>
    <row r="5807" customFormat="false" ht="13.8" hidden="true" customHeight="false" outlineLevel="0" collapsed="false">
      <c r="A5807" s="0" t="s">
        <v>242</v>
      </c>
      <c r="B5807" s="0" t="n">
        <v>4</v>
      </c>
      <c r="C5807" s="0" t="n">
        <v>1.3</v>
      </c>
      <c r="D5807" s="0" t="n">
        <v>0</v>
      </c>
    </row>
    <row r="5808" customFormat="false" ht="13.8" hidden="true" customHeight="false" outlineLevel="0" collapsed="false">
      <c r="A5808" s="0" t="s">
        <v>242</v>
      </c>
      <c r="B5808" s="0" t="n">
        <v>4</v>
      </c>
      <c r="C5808" s="0" t="n">
        <v>1.35</v>
      </c>
      <c r="D5808" s="0" t="n">
        <v>0</v>
      </c>
    </row>
    <row r="5809" customFormat="false" ht="13.8" hidden="true" customHeight="false" outlineLevel="0" collapsed="false">
      <c r="A5809" s="0" t="s">
        <v>242</v>
      </c>
      <c r="B5809" s="0" t="n">
        <v>4</v>
      </c>
      <c r="C5809" s="0" t="n">
        <v>1.4</v>
      </c>
      <c r="D5809" s="0" t="n">
        <v>0</v>
      </c>
    </row>
    <row r="5810" customFormat="false" ht="13.8" hidden="true" customHeight="false" outlineLevel="0" collapsed="false">
      <c r="A5810" s="0" t="s">
        <v>242</v>
      </c>
      <c r="B5810" s="0" t="n">
        <v>4</v>
      </c>
      <c r="C5810" s="0" t="n">
        <v>1.45</v>
      </c>
      <c r="D5810" s="0" t="n">
        <v>0</v>
      </c>
    </row>
    <row r="5811" customFormat="false" ht="13.8" hidden="true" customHeight="false" outlineLevel="0" collapsed="false">
      <c r="A5811" s="0" t="s">
        <v>242</v>
      </c>
      <c r="B5811" s="0" t="n">
        <v>4</v>
      </c>
      <c r="C5811" s="0" t="n">
        <v>1.5</v>
      </c>
      <c r="D5811" s="0" t="n">
        <v>0</v>
      </c>
    </row>
    <row r="5812" customFormat="false" ht="13.8" hidden="true" customHeight="false" outlineLevel="0" collapsed="false">
      <c r="A5812" s="0" t="s">
        <v>242</v>
      </c>
      <c r="B5812" s="0" t="n">
        <v>4</v>
      </c>
      <c r="C5812" s="0" t="n">
        <v>1.55</v>
      </c>
      <c r="D5812" s="0" t="n">
        <v>0</v>
      </c>
    </row>
    <row r="5813" customFormat="false" ht="13.8" hidden="true" customHeight="false" outlineLevel="0" collapsed="false">
      <c r="A5813" s="0" t="s">
        <v>242</v>
      </c>
      <c r="B5813" s="0" t="n">
        <v>4</v>
      </c>
      <c r="C5813" s="0" t="n">
        <v>1.6</v>
      </c>
      <c r="D5813" s="0" t="n">
        <v>0</v>
      </c>
    </row>
    <row r="5814" customFormat="false" ht="13.8" hidden="true" customHeight="false" outlineLevel="0" collapsed="false">
      <c r="A5814" s="0" t="s">
        <v>242</v>
      </c>
      <c r="B5814" s="0" t="n">
        <v>4</v>
      </c>
      <c r="C5814" s="0" t="n">
        <v>1.65</v>
      </c>
      <c r="D5814" s="0" t="n">
        <v>0.189</v>
      </c>
    </row>
    <row r="5815" customFormat="false" ht="13.8" hidden="true" customHeight="false" outlineLevel="0" collapsed="false">
      <c r="A5815" s="0" t="s">
        <v>242</v>
      </c>
      <c r="B5815" s="0" t="n">
        <v>4</v>
      </c>
      <c r="C5815" s="0" t="n">
        <v>1.7</v>
      </c>
      <c r="D5815" s="0" t="n">
        <v>0.195</v>
      </c>
    </row>
    <row r="5816" customFormat="false" ht="13.8" hidden="true" customHeight="false" outlineLevel="0" collapsed="false">
      <c r="A5816" s="0" t="s">
        <v>242</v>
      </c>
      <c r="B5816" s="0" t="n">
        <v>4</v>
      </c>
      <c r="C5816" s="0" t="n">
        <v>1.75</v>
      </c>
      <c r="D5816" s="0" t="n">
        <v>0.201</v>
      </c>
    </row>
    <row r="5817" customFormat="false" ht="13.8" hidden="true" customHeight="false" outlineLevel="0" collapsed="false">
      <c r="A5817" s="0" t="s">
        <v>242</v>
      </c>
      <c r="B5817" s="0" t="n">
        <v>4</v>
      </c>
      <c r="C5817" s="0" t="n">
        <v>1.8</v>
      </c>
      <c r="D5817" s="0" t="n">
        <v>0.206</v>
      </c>
    </row>
    <row r="5818" customFormat="false" ht="13.8" hidden="true" customHeight="false" outlineLevel="0" collapsed="false">
      <c r="A5818" s="0" t="s">
        <v>242</v>
      </c>
      <c r="B5818" s="0" t="n">
        <v>4</v>
      </c>
      <c r="C5818" s="0" t="n">
        <v>1.85</v>
      </c>
      <c r="D5818" s="0" t="n">
        <v>0.212</v>
      </c>
    </row>
    <row r="5819" customFormat="false" ht="13.8" hidden="true" customHeight="false" outlineLevel="0" collapsed="false">
      <c r="A5819" s="0" t="s">
        <v>242</v>
      </c>
      <c r="B5819" s="0" t="n">
        <v>4</v>
      </c>
      <c r="C5819" s="0" t="n">
        <v>1.9</v>
      </c>
      <c r="D5819" s="0" t="n">
        <v>0.218</v>
      </c>
    </row>
    <row r="5820" customFormat="false" ht="13.8" hidden="true" customHeight="false" outlineLevel="0" collapsed="false">
      <c r="A5820" s="0" t="s">
        <v>242</v>
      </c>
      <c r="B5820" s="0" t="n">
        <v>4</v>
      </c>
      <c r="C5820" s="0" t="n">
        <v>1.95</v>
      </c>
      <c r="D5820" s="0" t="n">
        <v>0.224</v>
      </c>
    </row>
    <row r="5821" customFormat="false" ht="13.8" hidden="true" customHeight="false" outlineLevel="0" collapsed="false">
      <c r="A5821" s="0" t="s">
        <v>242</v>
      </c>
      <c r="B5821" s="0" t="n">
        <v>4</v>
      </c>
      <c r="C5821" s="0" t="n">
        <v>2</v>
      </c>
      <c r="D5821" s="0" t="n">
        <v>0.235</v>
      </c>
    </row>
    <row r="5822" customFormat="false" ht="13.8" hidden="true" customHeight="false" outlineLevel="0" collapsed="false">
      <c r="A5822" s="0" t="s">
        <v>242</v>
      </c>
      <c r="B5822" s="0" t="n">
        <v>4</v>
      </c>
      <c r="C5822" s="0" t="n">
        <v>2.05</v>
      </c>
      <c r="D5822" s="0" t="n">
        <v>0.241</v>
      </c>
    </row>
    <row r="5823" customFormat="false" ht="13.8" hidden="true" customHeight="false" outlineLevel="0" collapsed="false">
      <c r="A5823" s="0" t="s">
        <v>242</v>
      </c>
      <c r="B5823" s="0" t="n">
        <v>4</v>
      </c>
      <c r="C5823" s="0" t="n">
        <v>2.1</v>
      </c>
      <c r="D5823" s="0" t="n">
        <v>0.246</v>
      </c>
    </row>
    <row r="5824" customFormat="false" ht="13.8" hidden="true" customHeight="false" outlineLevel="0" collapsed="false">
      <c r="A5824" s="0" t="s">
        <v>242</v>
      </c>
      <c r="B5824" s="0" t="n">
        <v>4</v>
      </c>
      <c r="C5824" s="0" t="n">
        <v>2.15</v>
      </c>
      <c r="D5824" s="0" t="n">
        <v>0.252292931</v>
      </c>
    </row>
    <row r="5825" customFormat="false" ht="13.8" hidden="true" customHeight="false" outlineLevel="0" collapsed="false">
      <c r="A5825" s="0" t="s">
        <v>242</v>
      </c>
      <c r="B5825" s="0" t="n">
        <v>4</v>
      </c>
      <c r="C5825" s="0" t="n">
        <v>2.2</v>
      </c>
      <c r="D5825" s="0" t="n">
        <v>0.258160209</v>
      </c>
    </row>
    <row r="5826" customFormat="false" ht="13.8" hidden="true" customHeight="false" outlineLevel="0" collapsed="false">
      <c r="A5826" s="0" t="s">
        <v>242</v>
      </c>
      <c r="B5826" s="0" t="n">
        <v>4</v>
      </c>
      <c r="C5826" s="0" t="n">
        <v>2.25</v>
      </c>
      <c r="D5826" s="0" t="n">
        <v>0</v>
      </c>
    </row>
    <row r="5827" customFormat="false" ht="13.8" hidden="true" customHeight="false" outlineLevel="0" collapsed="false">
      <c r="A5827" s="0" t="s">
        <v>242</v>
      </c>
      <c r="B5827" s="0" t="n">
        <v>4</v>
      </c>
      <c r="C5827" s="0" t="n">
        <v>2.3</v>
      </c>
      <c r="D5827" s="0" t="n">
        <v>0</v>
      </c>
    </row>
    <row r="5828" customFormat="false" ht="13.8" hidden="true" customHeight="false" outlineLevel="0" collapsed="false">
      <c r="A5828" s="0" t="s">
        <v>242</v>
      </c>
      <c r="B5828" s="0" t="n">
        <v>4</v>
      </c>
      <c r="C5828" s="0" t="n">
        <v>2.35</v>
      </c>
      <c r="D5828" s="0" t="n">
        <v>0</v>
      </c>
    </row>
    <row r="5829" customFormat="false" ht="13.8" hidden="true" customHeight="false" outlineLevel="0" collapsed="false">
      <c r="A5829" s="0" t="s">
        <v>242</v>
      </c>
      <c r="B5829" s="0" t="n">
        <v>4</v>
      </c>
      <c r="C5829" s="0" t="n">
        <v>2.4</v>
      </c>
      <c r="D5829" s="0" t="n">
        <v>0</v>
      </c>
    </row>
    <row r="5830" customFormat="false" ht="13.8" hidden="true" customHeight="false" outlineLevel="0" collapsed="false">
      <c r="A5830" s="0" t="s">
        <v>242</v>
      </c>
      <c r="B5830" s="0" t="n">
        <v>4</v>
      </c>
      <c r="C5830" s="0" t="n">
        <v>2.45</v>
      </c>
      <c r="D5830" s="0" t="n">
        <v>0</v>
      </c>
    </row>
    <row r="5831" customFormat="false" ht="13.8" hidden="true" customHeight="false" outlineLevel="0" collapsed="false">
      <c r="A5831" s="0" t="s">
        <v>242</v>
      </c>
      <c r="B5831" s="0" t="n">
        <v>4</v>
      </c>
      <c r="C5831" s="0" t="n">
        <v>2.5</v>
      </c>
      <c r="D5831" s="0" t="n">
        <v>0</v>
      </c>
    </row>
    <row r="5832" customFormat="false" ht="13.8" hidden="true" customHeight="false" outlineLevel="0" collapsed="false">
      <c r="A5832" s="0" t="s">
        <v>242</v>
      </c>
      <c r="B5832" s="0" t="n">
        <v>4</v>
      </c>
      <c r="C5832" s="0" t="n">
        <v>2.55</v>
      </c>
      <c r="D5832" s="0" t="n">
        <v>0</v>
      </c>
    </row>
    <row r="5833" customFormat="false" ht="13.8" hidden="true" customHeight="false" outlineLevel="0" collapsed="false">
      <c r="A5833" s="0" t="s">
        <v>242</v>
      </c>
      <c r="B5833" s="0" t="n">
        <v>4</v>
      </c>
      <c r="C5833" s="0" t="n">
        <v>2.6</v>
      </c>
      <c r="D5833" s="0" t="n">
        <v>0</v>
      </c>
    </row>
    <row r="5834" customFormat="false" ht="13.8" hidden="true" customHeight="false" outlineLevel="0" collapsed="false">
      <c r="A5834" s="0" t="s">
        <v>131</v>
      </c>
      <c r="B5834" s="0" t="n">
        <v>1</v>
      </c>
      <c r="C5834" s="0" t="n">
        <v>1.3</v>
      </c>
      <c r="D5834" s="0" t="n">
        <v>0</v>
      </c>
    </row>
    <row r="5835" customFormat="false" ht="13.8" hidden="true" customHeight="false" outlineLevel="0" collapsed="false">
      <c r="A5835" s="0" t="s">
        <v>131</v>
      </c>
      <c r="B5835" s="0" t="n">
        <v>1</v>
      </c>
      <c r="C5835" s="0" t="n">
        <v>1.35</v>
      </c>
      <c r="D5835" s="0" t="n">
        <v>0</v>
      </c>
    </row>
    <row r="5836" customFormat="false" ht="13.8" hidden="true" customHeight="false" outlineLevel="0" collapsed="false">
      <c r="A5836" s="0" t="s">
        <v>131</v>
      </c>
      <c r="B5836" s="0" t="n">
        <v>1</v>
      </c>
      <c r="C5836" s="0" t="n">
        <v>1.4</v>
      </c>
      <c r="D5836" s="0" t="n">
        <v>0</v>
      </c>
    </row>
    <row r="5837" customFormat="false" ht="13.8" hidden="true" customHeight="false" outlineLevel="0" collapsed="false">
      <c r="A5837" s="0" t="s">
        <v>131</v>
      </c>
      <c r="B5837" s="0" t="n">
        <v>1</v>
      </c>
      <c r="C5837" s="0" t="n">
        <v>1.45</v>
      </c>
      <c r="D5837" s="0" t="n">
        <v>0</v>
      </c>
    </row>
    <row r="5838" customFormat="false" ht="13.8" hidden="true" customHeight="false" outlineLevel="0" collapsed="false">
      <c r="A5838" s="0" t="s">
        <v>131</v>
      </c>
      <c r="B5838" s="0" t="n">
        <v>1</v>
      </c>
      <c r="C5838" s="0" t="n">
        <v>1.5</v>
      </c>
      <c r="D5838" s="0" t="n">
        <v>0</v>
      </c>
    </row>
    <row r="5839" customFormat="false" ht="13.8" hidden="true" customHeight="false" outlineLevel="0" collapsed="false">
      <c r="A5839" s="0" t="s">
        <v>131</v>
      </c>
      <c r="B5839" s="0" t="n">
        <v>1</v>
      </c>
      <c r="C5839" s="0" t="n">
        <v>1.55</v>
      </c>
      <c r="D5839" s="0" t="n">
        <v>0</v>
      </c>
    </row>
    <row r="5840" customFormat="false" ht="13.8" hidden="true" customHeight="false" outlineLevel="0" collapsed="false">
      <c r="A5840" s="0" t="s">
        <v>131</v>
      </c>
      <c r="B5840" s="0" t="n">
        <v>1</v>
      </c>
      <c r="C5840" s="0" t="n">
        <v>1.6</v>
      </c>
      <c r="D5840" s="0" t="n">
        <v>0</v>
      </c>
    </row>
    <row r="5841" customFormat="false" ht="13.8" hidden="true" customHeight="false" outlineLevel="0" collapsed="false">
      <c r="A5841" s="0" t="s">
        <v>131</v>
      </c>
      <c r="B5841" s="0" t="n">
        <v>1</v>
      </c>
      <c r="C5841" s="0" t="n">
        <v>1.65</v>
      </c>
      <c r="D5841" s="0" t="n">
        <v>0</v>
      </c>
    </row>
    <row r="5842" customFormat="false" ht="13.8" hidden="true" customHeight="false" outlineLevel="0" collapsed="false">
      <c r="A5842" s="0" t="s">
        <v>131</v>
      </c>
      <c r="B5842" s="0" t="n">
        <v>1</v>
      </c>
      <c r="C5842" s="0" t="n">
        <v>1.7</v>
      </c>
      <c r="D5842" s="0" t="n">
        <v>0</v>
      </c>
    </row>
    <row r="5843" customFormat="false" ht="13.8" hidden="true" customHeight="false" outlineLevel="0" collapsed="false">
      <c r="A5843" s="0" t="s">
        <v>131</v>
      </c>
      <c r="B5843" s="0" t="n">
        <v>1</v>
      </c>
      <c r="C5843" s="0" t="n">
        <v>1.75</v>
      </c>
      <c r="D5843" s="0" t="n">
        <v>0</v>
      </c>
    </row>
    <row r="5844" customFormat="false" ht="13.8" hidden="true" customHeight="false" outlineLevel="0" collapsed="false">
      <c r="A5844" s="0" t="s">
        <v>131</v>
      </c>
      <c r="B5844" s="0" t="n">
        <v>1</v>
      </c>
      <c r="C5844" s="0" t="n">
        <v>1.8</v>
      </c>
      <c r="D5844" s="0" t="n">
        <v>0.206</v>
      </c>
    </row>
    <row r="5845" customFormat="false" ht="13.8" hidden="true" customHeight="false" outlineLevel="0" collapsed="false">
      <c r="A5845" s="0" t="s">
        <v>131</v>
      </c>
      <c r="B5845" s="0" t="n">
        <v>1</v>
      </c>
      <c r="C5845" s="0" t="n">
        <v>1.85</v>
      </c>
      <c r="D5845" s="0" t="n">
        <v>0.212</v>
      </c>
    </row>
    <row r="5846" customFormat="false" ht="13.8" hidden="true" customHeight="false" outlineLevel="0" collapsed="false">
      <c r="A5846" s="0" t="s">
        <v>131</v>
      </c>
      <c r="B5846" s="0" t="n">
        <v>1</v>
      </c>
      <c r="C5846" s="0" t="n">
        <v>1.9</v>
      </c>
      <c r="D5846" s="0" t="n">
        <v>0.218</v>
      </c>
    </row>
    <row r="5847" customFormat="false" ht="13.8" hidden="true" customHeight="false" outlineLevel="0" collapsed="false">
      <c r="A5847" s="0" t="s">
        <v>131</v>
      </c>
      <c r="B5847" s="0" t="n">
        <v>1</v>
      </c>
      <c r="C5847" s="0" t="n">
        <v>1.95</v>
      </c>
      <c r="D5847" s="0" t="n">
        <v>0.224</v>
      </c>
    </row>
    <row r="5848" customFormat="false" ht="13.8" hidden="true" customHeight="false" outlineLevel="0" collapsed="false">
      <c r="A5848" s="0" t="s">
        <v>131</v>
      </c>
      <c r="B5848" s="0" t="n">
        <v>1</v>
      </c>
      <c r="C5848" s="0" t="n">
        <v>2</v>
      </c>
      <c r="D5848" s="0" t="n">
        <v>0.235</v>
      </c>
    </row>
    <row r="5849" customFormat="false" ht="13.8" hidden="true" customHeight="false" outlineLevel="0" collapsed="false">
      <c r="A5849" s="0" t="s">
        <v>131</v>
      </c>
      <c r="B5849" s="0" t="n">
        <v>1</v>
      </c>
      <c r="C5849" s="0" t="n">
        <v>2.05</v>
      </c>
      <c r="D5849" s="0" t="n">
        <v>0.241</v>
      </c>
    </row>
    <row r="5850" customFormat="false" ht="13.8" hidden="true" customHeight="false" outlineLevel="0" collapsed="false">
      <c r="A5850" s="0" t="s">
        <v>131</v>
      </c>
      <c r="B5850" s="0" t="n">
        <v>1</v>
      </c>
      <c r="C5850" s="0" t="n">
        <v>2.1</v>
      </c>
      <c r="D5850" s="0" t="n">
        <v>0.246</v>
      </c>
    </row>
    <row r="5851" customFormat="false" ht="13.8" hidden="true" customHeight="false" outlineLevel="0" collapsed="false">
      <c r="A5851" s="0" t="s">
        <v>131</v>
      </c>
      <c r="B5851" s="0" t="n">
        <v>1</v>
      </c>
      <c r="C5851" s="0" t="n">
        <v>2.15</v>
      </c>
      <c r="D5851" s="0" t="n">
        <v>0.252292931</v>
      </c>
    </row>
    <row r="5852" customFormat="false" ht="13.8" hidden="true" customHeight="false" outlineLevel="0" collapsed="false">
      <c r="A5852" s="0" t="s">
        <v>131</v>
      </c>
      <c r="B5852" s="0" t="n">
        <v>1</v>
      </c>
      <c r="C5852" s="0" t="n">
        <v>2.2</v>
      </c>
      <c r="D5852" s="0" t="n">
        <v>0.258160209</v>
      </c>
    </row>
    <row r="5853" customFormat="false" ht="13.8" hidden="true" customHeight="false" outlineLevel="0" collapsed="false">
      <c r="A5853" s="0" t="s">
        <v>131</v>
      </c>
      <c r="B5853" s="0" t="n">
        <v>1</v>
      </c>
      <c r="C5853" s="0" t="n">
        <v>2.25</v>
      </c>
      <c r="D5853" s="0" t="n">
        <v>0</v>
      </c>
    </row>
    <row r="5854" customFormat="false" ht="13.8" hidden="true" customHeight="false" outlineLevel="0" collapsed="false">
      <c r="A5854" s="0" t="s">
        <v>131</v>
      </c>
      <c r="B5854" s="0" t="n">
        <v>1</v>
      </c>
      <c r="C5854" s="0" t="n">
        <v>2.3</v>
      </c>
      <c r="D5854" s="0" t="n">
        <v>0</v>
      </c>
    </row>
    <row r="5855" customFormat="false" ht="13.8" hidden="true" customHeight="false" outlineLevel="0" collapsed="false">
      <c r="A5855" s="0" t="s">
        <v>131</v>
      </c>
      <c r="B5855" s="0" t="n">
        <v>1</v>
      </c>
      <c r="C5855" s="0" t="n">
        <v>2.35</v>
      </c>
      <c r="D5855" s="0" t="n">
        <v>0</v>
      </c>
    </row>
    <row r="5856" customFormat="false" ht="13.8" hidden="true" customHeight="false" outlineLevel="0" collapsed="false">
      <c r="A5856" s="0" t="s">
        <v>131</v>
      </c>
      <c r="B5856" s="0" t="n">
        <v>1</v>
      </c>
      <c r="C5856" s="0" t="n">
        <v>2.4</v>
      </c>
      <c r="D5856" s="0" t="n">
        <v>0</v>
      </c>
    </row>
    <row r="5857" customFormat="false" ht="13.8" hidden="true" customHeight="false" outlineLevel="0" collapsed="false">
      <c r="A5857" s="0" t="s">
        <v>131</v>
      </c>
      <c r="B5857" s="0" t="n">
        <v>1</v>
      </c>
      <c r="C5857" s="0" t="n">
        <v>2.45</v>
      </c>
      <c r="D5857" s="0" t="n">
        <v>0</v>
      </c>
    </row>
    <row r="5858" customFormat="false" ht="13.8" hidden="true" customHeight="false" outlineLevel="0" collapsed="false">
      <c r="A5858" s="0" t="s">
        <v>131</v>
      </c>
      <c r="B5858" s="0" t="n">
        <v>1</v>
      </c>
      <c r="C5858" s="0" t="n">
        <v>2.5</v>
      </c>
      <c r="D5858" s="0" t="n">
        <v>0</v>
      </c>
    </row>
    <row r="5859" customFormat="false" ht="13.8" hidden="true" customHeight="false" outlineLevel="0" collapsed="false">
      <c r="A5859" s="0" t="s">
        <v>131</v>
      </c>
      <c r="B5859" s="0" t="n">
        <v>1</v>
      </c>
      <c r="C5859" s="0" t="n">
        <v>2.55</v>
      </c>
      <c r="D5859" s="0" t="n">
        <v>0</v>
      </c>
    </row>
    <row r="5860" customFormat="false" ht="13.8" hidden="true" customHeight="false" outlineLevel="0" collapsed="false">
      <c r="A5860" s="0" t="s">
        <v>131</v>
      </c>
      <c r="B5860" s="0" t="n">
        <v>1</v>
      </c>
      <c r="C5860" s="0" t="n">
        <v>2.6</v>
      </c>
      <c r="D5860" s="0" t="n">
        <v>0</v>
      </c>
    </row>
    <row r="5861" customFormat="false" ht="13.8" hidden="true" customHeight="false" outlineLevel="0" collapsed="false">
      <c r="A5861" s="0" t="s">
        <v>131</v>
      </c>
      <c r="B5861" s="0" t="n">
        <v>2</v>
      </c>
      <c r="C5861" s="0" t="n">
        <v>1.3</v>
      </c>
      <c r="D5861" s="0" t="n">
        <v>0</v>
      </c>
    </row>
    <row r="5862" customFormat="false" ht="13.8" hidden="true" customHeight="false" outlineLevel="0" collapsed="false">
      <c r="A5862" s="0" t="s">
        <v>131</v>
      </c>
      <c r="B5862" s="0" t="n">
        <v>2</v>
      </c>
      <c r="C5862" s="0" t="n">
        <v>1.35</v>
      </c>
      <c r="D5862" s="0" t="n">
        <v>0</v>
      </c>
    </row>
    <row r="5863" customFormat="false" ht="13.8" hidden="true" customHeight="false" outlineLevel="0" collapsed="false">
      <c r="A5863" s="0" t="s">
        <v>131</v>
      </c>
      <c r="B5863" s="0" t="n">
        <v>2</v>
      </c>
      <c r="C5863" s="0" t="n">
        <v>1.4</v>
      </c>
      <c r="D5863" s="0" t="n">
        <v>0</v>
      </c>
    </row>
    <row r="5864" customFormat="false" ht="13.8" hidden="true" customHeight="false" outlineLevel="0" collapsed="false">
      <c r="A5864" s="0" t="s">
        <v>131</v>
      </c>
      <c r="B5864" s="0" t="n">
        <v>2</v>
      </c>
      <c r="C5864" s="0" t="n">
        <v>1.45</v>
      </c>
      <c r="D5864" s="0" t="n">
        <v>0</v>
      </c>
    </row>
    <row r="5865" customFormat="false" ht="13.8" hidden="true" customHeight="false" outlineLevel="0" collapsed="false">
      <c r="A5865" s="0" t="s">
        <v>131</v>
      </c>
      <c r="B5865" s="0" t="n">
        <v>2</v>
      </c>
      <c r="C5865" s="0" t="n">
        <v>1.5</v>
      </c>
      <c r="D5865" s="0" t="n">
        <v>0</v>
      </c>
    </row>
    <row r="5866" customFormat="false" ht="13.8" hidden="true" customHeight="false" outlineLevel="0" collapsed="false">
      <c r="A5866" s="0" t="s">
        <v>131</v>
      </c>
      <c r="B5866" s="0" t="n">
        <v>2</v>
      </c>
      <c r="C5866" s="0" t="n">
        <v>1.55</v>
      </c>
      <c r="D5866" s="0" t="n">
        <v>0</v>
      </c>
    </row>
    <row r="5867" customFormat="false" ht="13.8" hidden="true" customHeight="false" outlineLevel="0" collapsed="false">
      <c r="A5867" s="0" t="s">
        <v>131</v>
      </c>
      <c r="B5867" s="0" t="n">
        <v>2</v>
      </c>
      <c r="C5867" s="0" t="n">
        <v>1.6</v>
      </c>
      <c r="D5867" s="0" t="n">
        <v>0</v>
      </c>
    </row>
    <row r="5868" customFormat="false" ht="13.8" hidden="true" customHeight="false" outlineLevel="0" collapsed="false">
      <c r="A5868" s="0" t="s">
        <v>131</v>
      </c>
      <c r="B5868" s="0" t="n">
        <v>2</v>
      </c>
      <c r="C5868" s="0" t="n">
        <v>1.65</v>
      </c>
      <c r="D5868" s="0" t="n">
        <v>0</v>
      </c>
    </row>
    <row r="5869" customFormat="false" ht="13.8" hidden="true" customHeight="false" outlineLevel="0" collapsed="false">
      <c r="A5869" s="0" t="s">
        <v>131</v>
      </c>
      <c r="B5869" s="0" t="n">
        <v>2</v>
      </c>
      <c r="C5869" s="0" t="n">
        <v>1.7</v>
      </c>
      <c r="D5869" s="0" t="n">
        <v>0</v>
      </c>
    </row>
    <row r="5870" customFormat="false" ht="13.8" hidden="true" customHeight="false" outlineLevel="0" collapsed="false">
      <c r="A5870" s="0" t="s">
        <v>131</v>
      </c>
      <c r="B5870" s="0" t="n">
        <v>2</v>
      </c>
      <c r="C5870" s="0" t="n">
        <v>1.75</v>
      </c>
      <c r="D5870" s="0" t="n">
        <v>0</v>
      </c>
    </row>
    <row r="5871" customFormat="false" ht="13.8" hidden="true" customHeight="false" outlineLevel="0" collapsed="false">
      <c r="A5871" s="0" t="s">
        <v>131</v>
      </c>
      <c r="B5871" s="0" t="n">
        <v>2</v>
      </c>
      <c r="C5871" s="0" t="n">
        <v>1.8</v>
      </c>
      <c r="D5871" s="0" t="n">
        <v>0.206</v>
      </c>
    </row>
    <row r="5872" customFormat="false" ht="13.8" hidden="true" customHeight="false" outlineLevel="0" collapsed="false">
      <c r="A5872" s="0" t="s">
        <v>131</v>
      </c>
      <c r="B5872" s="0" t="n">
        <v>2</v>
      </c>
      <c r="C5872" s="0" t="n">
        <v>1.85</v>
      </c>
      <c r="D5872" s="0" t="n">
        <v>0.212</v>
      </c>
    </row>
    <row r="5873" customFormat="false" ht="13.8" hidden="true" customHeight="false" outlineLevel="0" collapsed="false">
      <c r="A5873" s="0" t="s">
        <v>131</v>
      </c>
      <c r="B5873" s="0" t="n">
        <v>2</v>
      </c>
      <c r="C5873" s="0" t="n">
        <v>1.9</v>
      </c>
      <c r="D5873" s="0" t="n">
        <v>0.218</v>
      </c>
    </row>
    <row r="5874" customFormat="false" ht="13.8" hidden="true" customHeight="false" outlineLevel="0" collapsed="false">
      <c r="A5874" s="0" t="s">
        <v>131</v>
      </c>
      <c r="B5874" s="0" t="n">
        <v>2</v>
      </c>
      <c r="C5874" s="0" t="n">
        <v>1.95</v>
      </c>
      <c r="D5874" s="0" t="n">
        <v>0.224</v>
      </c>
    </row>
    <row r="5875" customFormat="false" ht="13.8" hidden="true" customHeight="false" outlineLevel="0" collapsed="false">
      <c r="A5875" s="0" t="s">
        <v>131</v>
      </c>
      <c r="B5875" s="0" t="n">
        <v>2</v>
      </c>
      <c r="C5875" s="0" t="n">
        <v>2</v>
      </c>
      <c r="D5875" s="0" t="n">
        <v>0.235</v>
      </c>
    </row>
    <row r="5876" customFormat="false" ht="13.8" hidden="true" customHeight="false" outlineLevel="0" collapsed="false">
      <c r="A5876" s="0" t="s">
        <v>131</v>
      </c>
      <c r="B5876" s="0" t="n">
        <v>2</v>
      </c>
      <c r="C5876" s="0" t="n">
        <v>2.05</v>
      </c>
      <c r="D5876" s="0" t="n">
        <v>0.241</v>
      </c>
    </row>
    <row r="5877" customFormat="false" ht="13.8" hidden="true" customHeight="false" outlineLevel="0" collapsed="false">
      <c r="A5877" s="0" t="s">
        <v>131</v>
      </c>
      <c r="B5877" s="0" t="n">
        <v>2</v>
      </c>
      <c r="C5877" s="0" t="n">
        <v>2.1</v>
      </c>
      <c r="D5877" s="0" t="n">
        <v>0.246</v>
      </c>
    </row>
    <row r="5878" customFormat="false" ht="13.8" hidden="true" customHeight="false" outlineLevel="0" collapsed="false">
      <c r="A5878" s="0" t="s">
        <v>131</v>
      </c>
      <c r="B5878" s="0" t="n">
        <v>2</v>
      </c>
      <c r="C5878" s="0" t="n">
        <v>2.15</v>
      </c>
      <c r="D5878" s="0" t="n">
        <v>0.252292931</v>
      </c>
    </row>
    <row r="5879" customFormat="false" ht="13.8" hidden="true" customHeight="false" outlineLevel="0" collapsed="false">
      <c r="A5879" s="0" t="s">
        <v>131</v>
      </c>
      <c r="B5879" s="0" t="n">
        <v>2</v>
      </c>
      <c r="C5879" s="0" t="n">
        <v>2.2</v>
      </c>
      <c r="D5879" s="0" t="n">
        <v>0.258160209</v>
      </c>
    </row>
    <row r="5880" customFormat="false" ht="13.8" hidden="true" customHeight="false" outlineLevel="0" collapsed="false">
      <c r="A5880" s="0" t="s">
        <v>131</v>
      </c>
      <c r="B5880" s="0" t="n">
        <v>2</v>
      </c>
      <c r="C5880" s="0" t="n">
        <v>2.25</v>
      </c>
      <c r="D5880" s="0" t="n">
        <v>0</v>
      </c>
    </row>
    <row r="5881" customFormat="false" ht="13.8" hidden="true" customHeight="false" outlineLevel="0" collapsed="false">
      <c r="A5881" s="0" t="s">
        <v>131</v>
      </c>
      <c r="B5881" s="0" t="n">
        <v>2</v>
      </c>
      <c r="C5881" s="0" t="n">
        <v>2.3</v>
      </c>
      <c r="D5881" s="0" t="n">
        <v>0</v>
      </c>
    </row>
    <row r="5882" customFormat="false" ht="13.8" hidden="true" customHeight="false" outlineLevel="0" collapsed="false">
      <c r="A5882" s="0" t="s">
        <v>131</v>
      </c>
      <c r="B5882" s="0" t="n">
        <v>2</v>
      </c>
      <c r="C5882" s="0" t="n">
        <v>2.35</v>
      </c>
      <c r="D5882" s="0" t="n">
        <v>0</v>
      </c>
    </row>
    <row r="5883" customFormat="false" ht="13.8" hidden="true" customHeight="false" outlineLevel="0" collapsed="false">
      <c r="A5883" s="0" t="s">
        <v>131</v>
      </c>
      <c r="B5883" s="0" t="n">
        <v>2</v>
      </c>
      <c r="C5883" s="0" t="n">
        <v>2.4</v>
      </c>
      <c r="D5883" s="0" t="n">
        <v>0</v>
      </c>
    </row>
    <row r="5884" customFormat="false" ht="13.8" hidden="true" customHeight="false" outlineLevel="0" collapsed="false">
      <c r="A5884" s="0" t="s">
        <v>131</v>
      </c>
      <c r="B5884" s="0" t="n">
        <v>2</v>
      </c>
      <c r="C5884" s="0" t="n">
        <v>2.45</v>
      </c>
      <c r="D5884" s="0" t="n">
        <v>0</v>
      </c>
    </row>
    <row r="5885" customFormat="false" ht="13.8" hidden="true" customHeight="false" outlineLevel="0" collapsed="false">
      <c r="A5885" s="0" t="s">
        <v>131</v>
      </c>
      <c r="B5885" s="0" t="n">
        <v>2</v>
      </c>
      <c r="C5885" s="0" t="n">
        <v>2.5</v>
      </c>
      <c r="D5885" s="0" t="n">
        <v>0</v>
      </c>
    </row>
    <row r="5886" customFormat="false" ht="13.8" hidden="true" customHeight="false" outlineLevel="0" collapsed="false">
      <c r="A5886" s="0" t="s">
        <v>131</v>
      </c>
      <c r="B5886" s="0" t="n">
        <v>2</v>
      </c>
      <c r="C5886" s="0" t="n">
        <v>2.55</v>
      </c>
      <c r="D5886" s="0" t="n">
        <v>0</v>
      </c>
    </row>
    <row r="5887" customFormat="false" ht="13.8" hidden="true" customHeight="false" outlineLevel="0" collapsed="false">
      <c r="A5887" s="0" t="s">
        <v>131</v>
      </c>
      <c r="B5887" s="0" t="n">
        <v>2</v>
      </c>
      <c r="C5887" s="0" t="n">
        <v>2.6</v>
      </c>
      <c r="D5887" s="0" t="n">
        <v>0</v>
      </c>
    </row>
    <row r="5888" customFormat="false" ht="13.8" hidden="true" customHeight="false" outlineLevel="0" collapsed="false">
      <c r="A5888" s="0" t="s">
        <v>131</v>
      </c>
      <c r="B5888" s="0" t="n">
        <v>4</v>
      </c>
      <c r="C5888" s="0" t="n">
        <v>1.3</v>
      </c>
      <c r="D5888" s="0" t="n">
        <v>0</v>
      </c>
    </row>
    <row r="5889" customFormat="false" ht="13.8" hidden="true" customHeight="false" outlineLevel="0" collapsed="false">
      <c r="A5889" s="0" t="s">
        <v>131</v>
      </c>
      <c r="B5889" s="0" t="n">
        <v>4</v>
      </c>
      <c r="C5889" s="0" t="n">
        <v>1.35</v>
      </c>
      <c r="D5889" s="0" t="n">
        <v>0</v>
      </c>
    </row>
    <row r="5890" customFormat="false" ht="13.8" hidden="true" customHeight="false" outlineLevel="0" collapsed="false">
      <c r="A5890" s="0" t="s">
        <v>131</v>
      </c>
      <c r="B5890" s="0" t="n">
        <v>4</v>
      </c>
      <c r="C5890" s="0" t="n">
        <v>1.4</v>
      </c>
      <c r="D5890" s="0" t="n">
        <v>0</v>
      </c>
    </row>
    <row r="5891" customFormat="false" ht="13.8" hidden="true" customHeight="false" outlineLevel="0" collapsed="false">
      <c r="A5891" s="0" t="s">
        <v>131</v>
      </c>
      <c r="B5891" s="0" t="n">
        <v>4</v>
      </c>
      <c r="C5891" s="0" t="n">
        <v>1.45</v>
      </c>
      <c r="D5891" s="0" t="n">
        <v>0</v>
      </c>
    </row>
    <row r="5892" customFormat="false" ht="13.8" hidden="true" customHeight="false" outlineLevel="0" collapsed="false">
      <c r="A5892" s="0" t="s">
        <v>131</v>
      </c>
      <c r="B5892" s="0" t="n">
        <v>4</v>
      </c>
      <c r="C5892" s="0" t="n">
        <v>1.5</v>
      </c>
      <c r="D5892" s="0" t="n">
        <v>0</v>
      </c>
    </row>
    <row r="5893" customFormat="false" ht="13.8" hidden="true" customHeight="false" outlineLevel="0" collapsed="false">
      <c r="A5893" s="0" t="s">
        <v>131</v>
      </c>
      <c r="B5893" s="0" t="n">
        <v>4</v>
      </c>
      <c r="C5893" s="0" t="n">
        <v>1.55</v>
      </c>
      <c r="D5893" s="0" t="n">
        <v>0</v>
      </c>
    </row>
    <row r="5894" customFormat="false" ht="13.8" hidden="true" customHeight="false" outlineLevel="0" collapsed="false">
      <c r="A5894" s="0" t="s">
        <v>131</v>
      </c>
      <c r="B5894" s="0" t="n">
        <v>4</v>
      </c>
      <c r="C5894" s="0" t="n">
        <v>1.6</v>
      </c>
      <c r="D5894" s="0" t="n">
        <v>0</v>
      </c>
    </row>
    <row r="5895" customFormat="false" ht="13.8" hidden="true" customHeight="false" outlineLevel="0" collapsed="false">
      <c r="A5895" s="0" t="s">
        <v>131</v>
      </c>
      <c r="B5895" s="0" t="n">
        <v>4</v>
      </c>
      <c r="C5895" s="0" t="n">
        <v>1.65</v>
      </c>
      <c r="D5895" s="0" t="n">
        <v>0.189</v>
      </c>
    </row>
    <row r="5896" customFormat="false" ht="13.8" hidden="true" customHeight="false" outlineLevel="0" collapsed="false">
      <c r="A5896" s="0" t="s">
        <v>131</v>
      </c>
      <c r="B5896" s="0" t="n">
        <v>4</v>
      </c>
      <c r="C5896" s="0" t="n">
        <v>1.7</v>
      </c>
      <c r="D5896" s="0" t="n">
        <v>0.195</v>
      </c>
    </row>
    <row r="5897" customFormat="false" ht="13.8" hidden="true" customHeight="false" outlineLevel="0" collapsed="false">
      <c r="A5897" s="0" t="s">
        <v>131</v>
      </c>
      <c r="B5897" s="0" t="n">
        <v>4</v>
      </c>
      <c r="C5897" s="0" t="n">
        <v>1.75</v>
      </c>
      <c r="D5897" s="0" t="n">
        <v>0.201</v>
      </c>
    </row>
    <row r="5898" customFormat="false" ht="13.8" hidden="true" customHeight="false" outlineLevel="0" collapsed="false">
      <c r="A5898" s="0" t="s">
        <v>131</v>
      </c>
      <c r="B5898" s="0" t="n">
        <v>4</v>
      </c>
      <c r="C5898" s="0" t="n">
        <v>1.8</v>
      </c>
      <c r="D5898" s="0" t="n">
        <v>0.206</v>
      </c>
    </row>
    <row r="5899" customFormat="false" ht="13.8" hidden="true" customHeight="false" outlineLevel="0" collapsed="false">
      <c r="A5899" s="0" t="s">
        <v>131</v>
      </c>
      <c r="B5899" s="0" t="n">
        <v>4</v>
      </c>
      <c r="C5899" s="0" t="n">
        <v>1.85</v>
      </c>
      <c r="D5899" s="0" t="n">
        <v>0.212</v>
      </c>
    </row>
    <row r="5900" customFormat="false" ht="13.8" hidden="true" customHeight="false" outlineLevel="0" collapsed="false">
      <c r="A5900" s="0" t="s">
        <v>131</v>
      </c>
      <c r="B5900" s="0" t="n">
        <v>4</v>
      </c>
      <c r="C5900" s="0" t="n">
        <v>1.9</v>
      </c>
      <c r="D5900" s="0" t="n">
        <v>0.218</v>
      </c>
    </row>
    <row r="5901" customFormat="false" ht="13.8" hidden="true" customHeight="false" outlineLevel="0" collapsed="false">
      <c r="A5901" s="0" t="s">
        <v>131</v>
      </c>
      <c r="B5901" s="0" t="n">
        <v>4</v>
      </c>
      <c r="C5901" s="0" t="n">
        <v>1.95</v>
      </c>
      <c r="D5901" s="0" t="n">
        <v>0.224</v>
      </c>
    </row>
    <row r="5902" customFormat="false" ht="13.8" hidden="true" customHeight="false" outlineLevel="0" collapsed="false">
      <c r="A5902" s="0" t="s">
        <v>131</v>
      </c>
      <c r="B5902" s="0" t="n">
        <v>4</v>
      </c>
      <c r="C5902" s="0" t="n">
        <v>2</v>
      </c>
      <c r="D5902" s="0" t="n">
        <v>0.235</v>
      </c>
    </row>
    <row r="5903" customFormat="false" ht="13.8" hidden="true" customHeight="false" outlineLevel="0" collapsed="false">
      <c r="A5903" s="0" t="s">
        <v>131</v>
      </c>
      <c r="B5903" s="0" t="n">
        <v>4</v>
      </c>
      <c r="C5903" s="0" t="n">
        <v>2.05</v>
      </c>
      <c r="D5903" s="0" t="n">
        <v>0.241</v>
      </c>
    </row>
    <row r="5904" customFormat="false" ht="13.8" hidden="true" customHeight="false" outlineLevel="0" collapsed="false">
      <c r="A5904" s="0" t="s">
        <v>131</v>
      </c>
      <c r="B5904" s="0" t="n">
        <v>4</v>
      </c>
      <c r="C5904" s="0" t="n">
        <v>2.1</v>
      </c>
      <c r="D5904" s="0" t="n">
        <v>0.246</v>
      </c>
    </row>
    <row r="5905" customFormat="false" ht="13.8" hidden="true" customHeight="false" outlineLevel="0" collapsed="false">
      <c r="A5905" s="0" t="s">
        <v>131</v>
      </c>
      <c r="B5905" s="0" t="n">
        <v>4</v>
      </c>
      <c r="C5905" s="0" t="n">
        <v>2.15</v>
      </c>
      <c r="D5905" s="0" t="n">
        <v>0.252292931</v>
      </c>
    </row>
    <row r="5906" customFormat="false" ht="13.8" hidden="true" customHeight="false" outlineLevel="0" collapsed="false">
      <c r="A5906" s="0" t="s">
        <v>131</v>
      </c>
      <c r="B5906" s="0" t="n">
        <v>4</v>
      </c>
      <c r="C5906" s="0" t="n">
        <v>2.2</v>
      </c>
      <c r="D5906" s="0" t="n">
        <v>0.258160209</v>
      </c>
    </row>
    <row r="5907" customFormat="false" ht="13.8" hidden="true" customHeight="false" outlineLevel="0" collapsed="false">
      <c r="A5907" s="0" t="s">
        <v>131</v>
      </c>
      <c r="B5907" s="0" t="n">
        <v>4</v>
      </c>
      <c r="C5907" s="0" t="n">
        <v>2.25</v>
      </c>
      <c r="D5907" s="0" t="n">
        <v>0</v>
      </c>
    </row>
    <row r="5908" customFormat="false" ht="13.8" hidden="true" customHeight="false" outlineLevel="0" collapsed="false">
      <c r="A5908" s="0" t="s">
        <v>131</v>
      </c>
      <c r="B5908" s="0" t="n">
        <v>4</v>
      </c>
      <c r="C5908" s="0" t="n">
        <v>2.3</v>
      </c>
      <c r="D5908" s="0" t="n">
        <v>0</v>
      </c>
    </row>
    <row r="5909" customFormat="false" ht="13.8" hidden="true" customHeight="false" outlineLevel="0" collapsed="false">
      <c r="A5909" s="0" t="s">
        <v>131</v>
      </c>
      <c r="B5909" s="0" t="n">
        <v>4</v>
      </c>
      <c r="C5909" s="0" t="n">
        <v>2.35</v>
      </c>
      <c r="D5909" s="0" t="n">
        <v>0</v>
      </c>
    </row>
    <row r="5910" customFormat="false" ht="13.8" hidden="true" customHeight="false" outlineLevel="0" collapsed="false">
      <c r="A5910" s="0" t="s">
        <v>131</v>
      </c>
      <c r="B5910" s="0" t="n">
        <v>4</v>
      </c>
      <c r="C5910" s="0" t="n">
        <v>2.4</v>
      </c>
      <c r="D5910" s="0" t="n">
        <v>0</v>
      </c>
    </row>
    <row r="5911" customFormat="false" ht="13.8" hidden="true" customHeight="false" outlineLevel="0" collapsed="false">
      <c r="A5911" s="0" t="s">
        <v>131</v>
      </c>
      <c r="B5911" s="0" t="n">
        <v>4</v>
      </c>
      <c r="C5911" s="0" t="n">
        <v>2.45</v>
      </c>
      <c r="D5911" s="0" t="n">
        <v>0</v>
      </c>
    </row>
    <row r="5912" customFormat="false" ht="13.8" hidden="true" customHeight="false" outlineLevel="0" collapsed="false">
      <c r="A5912" s="0" t="s">
        <v>131</v>
      </c>
      <c r="B5912" s="0" t="n">
        <v>4</v>
      </c>
      <c r="C5912" s="0" t="n">
        <v>2.5</v>
      </c>
      <c r="D5912" s="0" t="n">
        <v>0</v>
      </c>
    </row>
    <row r="5913" customFormat="false" ht="13.8" hidden="true" customHeight="false" outlineLevel="0" collapsed="false">
      <c r="A5913" s="0" t="s">
        <v>131</v>
      </c>
      <c r="B5913" s="0" t="n">
        <v>4</v>
      </c>
      <c r="C5913" s="0" t="n">
        <v>2.55</v>
      </c>
      <c r="D5913" s="0" t="n">
        <v>0</v>
      </c>
    </row>
    <row r="5914" customFormat="false" ht="13.8" hidden="true" customHeight="false" outlineLevel="0" collapsed="false">
      <c r="A5914" s="0" t="s">
        <v>131</v>
      </c>
      <c r="B5914" s="0" t="n">
        <v>4</v>
      </c>
      <c r="C5914" s="0" t="n">
        <v>2.6</v>
      </c>
      <c r="D5914" s="0" t="n">
        <v>0</v>
      </c>
    </row>
    <row r="5915" customFormat="false" ht="13.8" hidden="true" customHeight="false" outlineLevel="0" collapsed="false">
      <c r="A5915" s="0" t="s">
        <v>243</v>
      </c>
      <c r="B5915" s="0" t="n">
        <v>1</v>
      </c>
      <c r="C5915" s="0" t="n">
        <v>1.3</v>
      </c>
      <c r="D5915" s="0" t="n">
        <v>0</v>
      </c>
    </row>
    <row r="5916" customFormat="false" ht="13.8" hidden="true" customHeight="false" outlineLevel="0" collapsed="false">
      <c r="A5916" s="0" t="s">
        <v>243</v>
      </c>
      <c r="B5916" s="0" t="n">
        <v>1</v>
      </c>
      <c r="C5916" s="0" t="n">
        <v>1.35</v>
      </c>
      <c r="D5916" s="0" t="n">
        <v>0</v>
      </c>
    </row>
    <row r="5917" customFormat="false" ht="13.8" hidden="true" customHeight="false" outlineLevel="0" collapsed="false">
      <c r="A5917" s="0" t="s">
        <v>243</v>
      </c>
      <c r="B5917" s="0" t="n">
        <v>1</v>
      </c>
      <c r="C5917" s="0" t="n">
        <v>1.4</v>
      </c>
      <c r="D5917" s="0" t="n">
        <v>0</v>
      </c>
    </row>
    <row r="5918" customFormat="false" ht="13.8" hidden="true" customHeight="false" outlineLevel="0" collapsed="false">
      <c r="A5918" s="0" t="s">
        <v>243</v>
      </c>
      <c r="B5918" s="0" t="n">
        <v>1</v>
      </c>
      <c r="C5918" s="0" t="n">
        <v>1.45</v>
      </c>
      <c r="D5918" s="0" t="n">
        <v>0</v>
      </c>
    </row>
    <row r="5919" customFormat="false" ht="13.8" hidden="true" customHeight="false" outlineLevel="0" collapsed="false">
      <c r="A5919" s="0" t="s">
        <v>243</v>
      </c>
      <c r="B5919" s="0" t="n">
        <v>1</v>
      </c>
      <c r="C5919" s="0" t="n">
        <v>1.5</v>
      </c>
      <c r="D5919" s="0" t="n">
        <v>0</v>
      </c>
    </row>
    <row r="5920" customFormat="false" ht="13.8" hidden="true" customHeight="false" outlineLevel="0" collapsed="false">
      <c r="A5920" s="0" t="s">
        <v>243</v>
      </c>
      <c r="B5920" s="0" t="n">
        <v>1</v>
      </c>
      <c r="C5920" s="0" t="n">
        <v>1.55</v>
      </c>
      <c r="D5920" s="0" t="n">
        <v>0</v>
      </c>
    </row>
    <row r="5921" customFormat="false" ht="13.8" hidden="true" customHeight="false" outlineLevel="0" collapsed="false">
      <c r="A5921" s="0" t="s">
        <v>243</v>
      </c>
      <c r="B5921" s="0" t="n">
        <v>1</v>
      </c>
      <c r="C5921" s="0" t="n">
        <v>1.6</v>
      </c>
      <c r="D5921" s="0" t="n">
        <v>0</v>
      </c>
    </row>
    <row r="5922" customFormat="false" ht="13.8" hidden="true" customHeight="false" outlineLevel="0" collapsed="false">
      <c r="A5922" s="0" t="s">
        <v>243</v>
      </c>
      <c r="B5922" s="0" t="n">
        <v>1</v>
      </c>
      <c r="C5922" s="0" t="n">
        <v>1.65</v>
      </c>
      <c r="D5922" s="0" t="n">
        <v>0</v>
      </c>
    </row>
    <row r="5923" customFormat="false" ht="13.8" hidden="true" customHeight="false" outlineLevel="0" collapsed="false">
      <c r="A5923" s="0" t="s">
        <v>243</v>
      </c>
      <c r="B5923" s="0" t="n">
        <v>1</v>
      </c>
      <c r="C5923" s="0" t="n">
        <v>1.7</v>
      </c>
      <c r="D5923" s="0" t="n">
        <v>0</v>
      </c>
    </row>
    <row r="5924" customFormat="false" ht="13.8" hidden="true" customHeight="false" outlineLevel="0" collapsed="false">
      <c r="A5924" s="0" t="s">
        <v>243</v>
      </c>
      <c r="B5924" s="0" t="n">
        <v>1</v>
      </c>
      <c r="C5924" s="0" t="n">
        <v>1.75</v>
      </c>
      <c r="D5924" s="0" t="n">
        <v>0</v>
      </c>
    </row>
    <row r="5925" customFormat="false" ht="13.8" hidden="true" customHeight="false" outlineLevel="0" collapsed="false">
      <c r="A5925" s="0" t="s">
        <v>243</v>
      </c>
      <c r="B5925" s="0" t="n">
        <v>1</v>
      </c>
      <c r="C5925" s="0" t="n">
        <v>1.8</v>
      </c>
      <c r="D5925" s="0" t="n">
        <v>0.206</v>
      </c>
    </row>
    <row r="5926" customFormat="false" ht="13.8" hidden="true" customHeight="false" outlineLevel="0" collapsed="false">
      <c r="A5926" s="0" t="s">
        <v>243</v>
      </c>
      <c r="B5926" s="0" t="n">
        <v>1</v>
      </c>
      <c r="C5926" s="0" t="n">
        <v>1.85</v>
      </c>
      <c r="D5926" s="0" t="n">
        <v>0.212</v>
      </c>
    </row>
    <row r="5927" customFormat="false" ht="13.8" hidden="true" customHeight="false" outlineLevel="0" collapsed="false">
      <c r="A5927" s="0" t="s">
        <v>243</v>
      </c>
      <c r="B5927" s="0" t="n">
        <v>1</v>
      </c>
      <c r="C5927" s="0" t="n">
        <v>1.9</v>
      </c>
      <c r="D5927" s="0" t="n">
        <v>0.218</v>
      </c>
    </row>
    <row r="5928" customFormat="false" ht="13.8" hidden="true" customHeight="false" outlineLevel="0" collapsed="false">
      <c r="A5928" s="0" t="s">
        <v>243</v>
      </c>
      <c r="B5928" s="0" t="n">
        <v>1</v>
      </c>
      <c r="C5928" s="0" t="n">
        <v>1.95</v>
      </c>
      <c r="D5928" s="0" t="n">
        <v>0.224</v>
      </c>
    </row>
    <row r="5929" customFormat="false" ht="13.8" hidden="true" customHeight="false" outlineLevel="0" collapsed="false">
      <c r="A5929" s="0" t="s">
        <v>243</v>
      </c>
      <c r="B5929" s="0" t="n">
        <v>1</v>
      </c>
      <c r="C5929" s="0" t="n">
        <v>2</v>
      </c>
      <c r="D5929" s="0" t="n">
        <v>0.235</v>
      </c>
    </row>
    <row r="5930" customFormat="false" ht="13.8" hidden="true" customHeight="false" outlineLevel="0" collapsed="false">
      <c r="A5930" s="0" t="s">
        <v>243</v>
      </c>
      <c r="B5930" s="0" t="n">
        <v>1</v>
      </c>
      <c r="C5930" s="0" t="n">
        <v>2.05</v>
      </c>
      <c r="D5930" s="0" t="n">
        <v>0.241</v>
      </c>
    </row>
    <row r="5931" customFormat="false" ht="13.8" hidden="true" customHeight="false" outlineLevel="0" collapsed="false">
      <c r="A5931" s="0" t="s">
        <v>243</v>
      </c>
      <c r="B5931" s="0" t="n">
        <v>1</v>
      </c>
      <c r="C5931" s="0" t="n">
        <v>2.1</v>
      </c>
      <c r="D5931" s="0" t="n">
        <v>0.246</v>
      </c>
    </row>
    <row r="5932" customFormat="false" ht="13.8" hidden="true" customHeight="false" outlineLevel="0" collapsed="false">
      <c r="A5932" s="0" t="s">
        <v>243</v>
      </c>
      <c r="B5932" s="0" t="n">
        <v>1</v>
      </c>
      <c r="C5932" s="0" t="n">
        <v>2.15</v>
      </c>
      <c r="D5932" s="0" t="n">
        <v>0.252292931</v>
      </c>
    </row>
    <row r="5933" customFormat="false" ht="13.8" hidden="true" customHeight="false" outlineLevel="0" collapsed="false">
      <c r="A5933" s="0" t="s">
        <v>243</v>
      </c>
      <c r="B5933" s="0" t="n">
        <v>1</v>
      </c>
      <c r="C5933" s="0" t="n">
        <v>2.2</v>
      </c>
      <c r="D5933" s="0" t="n">
        <v>0.258160209</v>
      </c>
    </row>
    <row r="5934" customFormat="false" ht="13.8" hidden="true" customHeight="false" outlineLevel="0" collapsed="false">
      <c r="A5934" s="0" t="s">
        <v>243</v>
      </c>
      <c r="B5934" s="0" t="n">
        <v>1</v>
      </c>
      <c r="C5934" s="0" t="n">
        <v>2.25</v>
      </c>
      <c r="D5934" s="0" t="n">
        <v>0</v>
      </c>
    </row>
    <row r="5935" customFormat="false" ht="13.8" hidden="true" customHeight="false" outlineLevel="0" collapsed="false">
      <c r="A5935" s="0" t="s">
        <v>243</v>
      </c>
      <c r="B5935" s="0" t="n">
        <v>1</v>
      </c>
      <c r="C5935" s="0" t="n">
        <v>2.3</v>
      </c>
      <c r="D5935" s="0" t="n">
        <v>0</v>
      </c>
    </row>
    <row r="5936" customFormat="false" ht="13.8" hidden="true" customHeight="false" outlineLevel="0" collapsed="false">
      <c r="A5936" s="0" t="s">
        <v>243</v>
      </c>
      <c r="B5936" s="0" t="n">
        <v>1</v>
      </c>
      <c r="C5936" s="0" t="n">
        <v>2.35</v>
      </c>
      <c r="D5936" s="0" t="n">
        <v>0</v>
      </c>
    </row>
    <row r="5937" customFormat="false" ht="13.8" hidden="true" customHeight="false" outlineLevel="0" collapsed="false">
      <c r="A5937" s="0" t="s">
        <v>243</v>
      </c>
      <c r="B5937" s="0" t="n">
        <v>1</v>
      </c>
      <c r="C5937" s="0" t="n">
        <v>2.4</v>
      </c>
      <c r="D5937" s="0" t="n">
        <v>0</v>
      </c>
    </row>
    <row r="5938" customFormat="false" ht="13.8" hidden="true" customHeight="false" outlineLevel="0" collapsed="false">
      <c r="A5938" s="0" t="s">
        <v>243</v>
      </c>
      <c r="B5938" s="0" t="n">
        <v>1</v>
      </c>
      <c r="C5938" s="0" t="n">
        <v>2.45</v>
      </c>
      <c r="D5938" s="0" t="n">
        <v>0</v>
      </c>
    </row>
    <row r="5939" customFormat="false" ht="13.8" hidden="true" customHeight="false" outlineLevel="0" collapsed="false">
      <c r="A5939" s="0" t="s">
        <v>243</v>
      </c>
      <c r="B5939" s="0" t="n">
        <v>1</v>
      </c>
      <c r="C5939" s="0" t="n">
        <v>2.5</v>
      </c>
      <c r="D5939" s="0" t="n">
        <v>0</v>
      </c>
    </row>
    <row r="5940" customFormat="false" ht="13.8" hidden="true" customHeight="false" outlineLevel="0" collapsed="false">
      <c r="A5940" s="0" t="s">
        <v>243</v>
      </c>
      <c r="B5940" s="0" t="n">
        <v>1</v>
      </c>
      <c r="C5940" s="0" t="n">
        <v>2.55</v>
      </c>
      <c r="D5940" s="0" t="n">
        <v>0</v>
      </c>
    </row>
    <row r="5941" customFormat="false" ht="13.8" hidden="true" customHeight="false" outlineLevel="0" collapsed="false">
      <c r="A5941" s="0" t="s">
        <v>243</v>
      </c>
      <c r="B5941" s="0" t="n">
        <v>1</v>
      </c>
      <c r="C5941" s="0" t="n">
        <v>2.6</v>
      </c>
      <c r="D5941" s="0" t="n">
        <v>0</v>
      </c>
    </row>
    <row r="5942" customFormat="false" ht="13.8" hidden="true" customHeight="false" outlineLevel="0" collapsed="false">
      <c r="A5942" s="0" t="s">
        <v>243</v>
      </c>
      <c r="B5942" s="0" t="n">
        <v>2</v>
      </c>
      <c r="C5942" s="0" t="n">
        <v>1.3</v>
      </c>
      <c r="D5942" s="0" t="n">
        <v>0</v>
      </c>
    </row>
    <row r="5943" customFormat="false" ht="13.8" hidden="true" customHeight="false" outlineLevel="0" collapsed="false">
      <c r="A5943" s="0" t="s">
        <v>243</v>
      </c>
      <c r="B5943" s="0" t="n">
        <v>2</v>
      </c>
      <c r="C5943" s="0" t="n">
        <v>1.35</v>
      </c>
      <c r="D5943" s="0" t="n">
        <v>0</v>
      </c>
    </row>
    <row r="5944" customFormat="false" ht="13.8" hidden="true" customHeight="false" outlineLevel="0" collapsed="false">
      <c r="A5944" s="0" t="s">
        <v>243</v>
      </c>
      <c r="B5944" s="0" t="n">
        <v>2</v>
      </c>
      <c r="C5944" s="0" t="n">
        <v>1.4</v>
      </c>
      <c r="D5944" s="0" t="n">
        <v>0</v>
      </c>
    </row>
    <row r="5945" customFormat="false" ht="13.8" hidden="true" customHeight="false" outlineLevel="0" collapsed="false">
      <c r="A5945" s="0" t="s">
        <v>243</v>
      </c>
      <c r="B5945" s="0" t="n">
        <v>2</v>
      </c>
      <c r="C5945" s="0" t="n">
        <v>1.45</v>
      </c>
      <c r="D5945" s="0" t="n">
        <v>0</v>
      </c>
    </row>
    <row r="5946" customFormat="false" ht="13.8" hidden="true" customHeight="false" outlineLevel="0" collapsed="false">
      <c r="A5946" s="0" t="s">
        <v>243</v>
      </c>
      <c r="B5946" s="0" t="n">
        <v>2</v>
      </c>
      <c r="C5946" s="0" t="n">
        <v>1.5</v>
      </c>
      <c r="D5946" s="0" t="n">
        <v>0</v>
      </c>
    </row>
    <row r="5947" customFormat="false" ht="13.8" hidden="true" customHeight="false" outlineLevel="0" collapsed="false">
      <c r="A5947" s="0" t="s">
        <v>243</v>
      </c>
      <c r="B5947" s="0" t="n">
        <v>2</v>
      </c>
      <c r="C5947" s="0" t="n">
        <v>1.55</v>
      </c>
      <c r="D5947" s="0" t="n">
        <v>0</v>
      </c>
    </row>
    <row r="5948" customFormat="false" ht="13.8" hidden="true" customHeight="false" outlineLevel="0" collapsed="false">
      <c r="A5948" s="0" t="s">
        <v>243</v>
      </c>
      <c r="B5948" s="0" t="n">
        <v>2</v>
      </c>
      <c r="C5948" s="0" t="n">
        <v>1.6</v>
      </c>
      <c r="D5948" s="0" t="n">
        <v>0</v>
      </c>
    </row>
    <row r="5949" customFormat="false" ht="13.8" hidden="true" customHeight="false" outlineLevel="0" collapsed="false">
      <c r="A5949" s="0" t="s">
        <v>243</v>
      </c>
      <c r="B5949" s="0" t="n">
        <v>2</v>
      </c>
      <c r="C5949" s="0" t="n">
        <v>1.65</v>
      </c>
      <c r="D5949" s="0" t="n">
        <v>0</v>
      </c>
    </row>
    <row r="5950" customFormat="false" ht="13.8" hidden="true" customHeight="false" outlineLevel="0" collapsed="false">
      <c r="A5950" s="0" t="s">
        <v>243</v>
      </c>
      <c r="B5950" s="0" t="n">
        <v>2</v>
      </c>
      <c r="C5950" s="0" t="n">
        <v>1.7</v>
      </c>
      <c r="D5950" s="0" t="n">
        <v>0</v>
      </c>
    </row>
    <row r="5951" customFormat="false" ht="13.8" hidden="true" customHeight="false" outlineLevel="0" collapsed="false">
      <c r="A5951" s="0" t="s">
        <v>243</v>
      </c>
      <c r="B5951" s="0" t="n">
        <v>2</v>
      </c>
      <c r="C5951" s="0" t="n">
        <v>1.75</v>
      </c>
      <c r="D5951" s="0" t="n">
        <v>0</v>
      </c>
    </row>
    <row r="5952" customFormat="false" ht="13.8" hidden="true" customHeight="false" outlineLevel="0" collapsed="false">
      <c r="A5952" s="0" t="s">
        <v>243</v>
      </c>
      <c r="B5952" s="0" t="n">
        <v>2</v>
      </c>
      <c r="C5952" s="0" t="n">
        <v>1.8</v>
      </c>
      <c r="D5952" s="0" t="n">
        <v>0.206</v>
      </c>
    </row>
    <row r="5953" customFormat="false" ht="13.8" hidden="true" customHeight="false" outlineLevel="0" collapsed="false">
      <c r="A5953" s="0" t="s">
        <v>243</v>
      </c>
      <c r="B5953" s="0" t="n">
        <v>2</v>
      </c>
      <c r="C5953" s="0" t="n">
        <v>1.85</v>
      </c>
      <c r="D5953" s="0" t="n">
        <v>0.212</v>
      </c>
    </row>
    <row r="5954" customFormat="false" ht="13.8" hidden="true" customHeight="false" outlineLevel="0" collapsed="false">
      <c r="A5954" s="0" t="s">
        <v>243</v>
      </c>
      <c r="B5954" s="0" t="n">
        <v>2</v>
      </c>
      <c r="C5954" s="0" t="n">
        <v>1.9</v>
      </c>
      <c r="D5954" s="0" t="n">
        <v>0.218</v>
      </c>
    </row>
    <row r="5955" customFormat="false" ht="13.8" hidden="true" customHeight="false" outlineLevel="0" collapsed="false">
      <c r="A5955" s="0" t="s">
        <v>243</v>
      </c>
      <c r="B5955" s="0" t="n">
        <v>2</v>
      </c>
      <c r="C5955" s="0" t="n">
        <v>1.95</v>
      </c>
      <c r="D5955" s="0" t="n">
        <v>0.224</v>
      </c>
    </row>
    <row r="5956" customFormat="false" ht="13.8" hidden="true" customHeight="false" outlineLevel="0" collapsed="false">
      <c r="A5956" s="0" t="s">
        <v>243</v>
      </c>
      <c r="B5956" s="0" t="n">
        <v>2</v>
      </c>
      <c r="C5956" s="0" t="n">
        <v>2</v>
      </c>
      <c r="D5956" s="0" t="n">
        <v>0.235</v>
      </c>
    </row>
    <row r="5957" customFormat="false" ht="13.8" hidden="true" customHeight="false" outlineLevel="0" collapsed="false">
      <c r="A5957" s="0" t="s">
        <v>243</v>
      </c>
      <c r="B5957" s="0" t="n">
        <v>2</v>
      </c>
      <c r="C5957" s="0" t="n">
        <v>2.05</v>
      </c>
      <c r="D5957" s="0" t="n">
        <v>0.241</v>
      </c>
    </row>
    <row r="5958" customFormat="false" ht="13.8" hidden="true" customHeight="false" outlineLevel="0" collapsed="false">
      <c r="A5958" s="0" t="s">
        <v>243</v>
      </c>
      <c r="B5958" s="0" t="n">
        <v>2</v>
      </c>
      <c r="C5958" s="0" t="n">
        <v>2.1</v>
      </c>
      <c r="D5958" s="0" t="n">
        <v>0.246</v>
      </c>
    </row>
    <row r="5959" customFormat="false" ht="13.8" hidden="true" customHeight="false" outlineLevel="0" collapsed="false">
      <c r="A5959" s="0" t="s">
        <v>243</v>
      </c>
      <c r="B5959" s="0" t="n">
        <v>2</v>
      </c>
      <c r="C5959" s="0" t="n">
        <v>2.15</v>
      </c>
      <c r="D5959" s="0" t="n">
        <v>0.252292931</v>
      </c>
    </row>
    <row r="5960" customFormat="false" ht="13.8" hidden="true" customHeight="false" outlineLevel="0" collapsed="false">
      <c r="A5960" s="0" t="s">
        <v>243</v>
      </c>
      <c r="B5960" s="0" t="n">
        <v>2</v>
      </c>
      <c r="C5960" s="0" t="n">
        <v>2.2</v>
      </c>
      <c r="D5960" s="0" t="n">
        <v>0.258160209</v>
      </c>
    </row>
    <row r="5961" customFormat="false" ht="13.8" hidden="true" customHeight="false" outlineLevel="0" collapsed="false">
      <c r="A5961" s="0" t="s">
        <v>243</v>
      </c>
      <c r="B5961" s="0" t="n">
        <v>2</v>
      </c>
      <c r="C5961" s="0" t="n">
        <v>2.25</v>
      </c>
      <c r="D5961" s="0" t="n">
        <v>0</v>
      </c>
    </row>
    <row r="5962" customFormat="false" ht="13.8" hidden="true" customHeight="false" outlineLevel="0" collapsed="false">
      <c r="A5962" s="0" t="s">
        <v>243</v>
      </c>
      <c r="B5962" s="0" t="n">
        <v>2</v>
      </c>
      <c r="C5962" s="0" t="n">
        <v>2.3</v>
      </c>
      <c r="D5962" s="0" t="n">
        <v>0</v>
      </c>
    </row>
    <row r="5963" customFormat="false" ht="13.8" hidden="true" customHeight="false" outlineLevel="0" collapsed="false">
      <c r="A5963" s="0" t="s">
        <v>243</v>
      </c>
      <c r="B5963" s="0" t="n">
        <v>2</v>
      </c>
      <c r="C5963" s="0" t="n">
        <v>2.35</v>
      </c>
      <c r="D5963" s="0" t="n">
        <v>0</v>
      </c>
    </row>
    <row r="5964" customFormat="false" ht="13.8" hidden="true" customHeight="false" outlineLevel="0" collapsed="false">
      <c r="A5964" s="0" t="s">
        <v>243</v>
      </c>
      <c r="B5964" s="0" t="n">
        <v>2</v>
      </c>
      <c r="C5964" s="0" t="n">
        <v>2.4</v>
      </c>
      <c r="D5964" s="0" t="n">
        <v>0</v>
      </c>
    </row>
    <row r="5965" customFormat="false" ht="13.8" hidden="true" customHeight="false" outlineLevel="0" collapsed="false">
      <c r="A5965" s="0" t="s">
        <v>243</v>
      </c>
      <c r="B5965" s="0" t="n">
        <v>2</v>
      </c>
      <c r="C5965" s="0" t="n">
        <v>2.45</v>
      </c>
      <c r="D5965" s="0" t="n">
        <v>0</v>
      </c>
    </row>
    <row r="5966" customFormat="false" ht="13.8" hidden="true" customHeight="false" outlineLevel="0" collapsed="false">
      <c r="A5966" s="0" t="s">
        <v>243</v>
      </c>
      <c r="B5966" s="0" t="n">
        <v>2</v>
      </c>
      <c r="C5966" s="0" t="n">
        <v>2.5</v>
      </c>
      <c r="D5966" s="0" t="n">
        <v>0</v>
      </c>
    </row>
    <row r="5967" customFormat="false" ht="13.8" hidden="true" customHeight="false" outlineLevel="0" collapsed="false">
      <c r="A5967" s="0" t="s">
        <v>243</v>
      </c>
      <c r="B5967" s="0" t="n">
        <v>2</v>
      </c>
      <c r="C5967" s="0" t="n">
        <v>2.55</v>
      </c>
      <c r="D5967" s="0" t="n">
        <v>0</v>
      </c>
    </row>
    <row r="5968" customFormat="false" ht="13.8" hidden="true" customHeight="false" outlineLevel="0" collapsed="false">
      <c r="A5968" s="0" t="s">
        <v>243</v>
      </c>
      <c r="B5968" s="0" t="n">
        <v>2</v>
      </c>
      <c r="C5968" s="0" t="n">
        <v>2.6</v>
      </c>
      <c r="D5968" s="0" t="n">
        <v>0</v>
      </c>
    </row>
    <row r="5969" customFormat="false" ht="13.8" hidden="true" customHeight="false" outlineLevel="0" collapsed="false">
      <c r="A5969" s="0" t="s">
        <v>243</v>
      </c>
      <c r="B5969" s="0" t="n">
        <v>4</v>
      </c>
      <c r="C5969" s="0" t="n">
        <v>1.3</v>
      </c>
      <c r="D5969" s="0" t="n">
        <v>0</v>
      </c>
    </row>
    <row r="5970" customFormat="false" ht="13.8" hidden="true" customHeight="false" outlineLevel="0" collapsed="false">
      <c r="A5970" s="0" t="s">
        <v>243</v>
      </c>
      <c r="B5970" s="0" t="n">
        <v>4</v>
      </c>
      <c r="C5970" s="0" t="n">
        <v>1.35</v>
      </c>
      <c r="D5970" s="0" t="n">
        <v>0</v>
      </c>
    </row>
    <row r="5971" customFormat="false" ht="13.8" hidden="true" customHeight="false" outlineLevel="0" collapsed="false">
      <c r="A5971" s="0" t="s">
        <v>243</v>
      </c>
      <c r="B5971" s="0" t="n">
        <v>4</v>
      </c>
      <c r="C5971" s="0" t="n">
        <v>1.4</v>
      </c>
      <c r="D5971" s="0" t="n">
        <v>0</v>
      </c>
    </row>
    <row r="5972" customFormat="false" ht="13.8" hidden="true" customHeight="false" outlineLevel="0" collapsed="false">
      <c r="A5972" s="0" t="s">
        <v>243</v>
      </c>
      <c r="B5972" s="0" t="n">
        <v>4</v>
      </c>
      <c r="C5972" s="0" t="n">
        <v>1.45</v>
      </c>
      <c r="D5972" s="0" t="n">
        <v>0</v>
      </c>
    </row>
    <row r="5973" customFormat="false" ht="13.8" hidden="true" customHeight="false" outlineLevel="0" collapsed="false">
      <c r="A5973" s="0" t="s">
        <v>243</v>
      </c>
      <c r="B5973" s="0" t="n">
        <v>4</v>
      </c>
      <c r="C5973" s="0" t="n">
        <v>1.5</v>
      </c>
      <c r="D5973" s="0" t="n">
        <v>0</v>
      </c>
    </row>
    <row r="5974" customFormat="false" ht="13.8" hidden="true" customHeight="false" outlineLevel="0" collapsed="false">
      <c r="A5974" s="0" t="s">
        <v>243</v>
      </c>
      <c r="B5974" s="0" t="n">
        <v>4</v>
      </c>
      <c r="C5974" s="0" t="n">
        <v>1.55</v>
      </c>
      <c r="D5974" s="0" t="n">
        <v>0</v>
      </c>
    </row>
    <row r="5975" customFormat="false" ht="13.8" hidden="true" customHeight="false" outlineLevel="0" collapsed="false">
      <c r="A5975" s="0" t="s">
        <v>243</v>
      </c>
      <c r="B5975" s="0" t="n">
        <v>4</v>
      </c>
      <c r="C5975" s="0" t="n">
        <v>1.6</v>
      </c>
      <c r="D5975" s="0" t="n">
        <v>0</v>
      </c>
    </row>
    <row r="5976" customFormat="false" ht="13.8" hidden="true" customHeight="false" outlineLevel="0" collapsed="false">
      <c r="A5976" s="0" t="s">
        <v>243</v>
      </c>
      <c r="B5976" s="0" t="n">
        <v>4</v>
      </c>
      <c r="C5976" s="0" t="n">
        <v>1.65</v>
      </c>
      <c r="D5976" s="0" t="n">
        <v>0.189</v>
      </c>
    </row>
    <row r="5977" customFormat="false" ht="13.8" hidden="true" customHeight="false" outlineLevel="0" collapsed="false">
      <c r="A5977" s="0" t="s">
        <v>243</v>
      </c>
      <c r="B5977" s="0" t="n">
        <v>4</v>
      </c>
      <c r="C5977" s="0" t="n">
        <v>1.7</v>
      </c>
      <c r="D5977" s="0" t="n">
        <v>0.195</v>
      </c>
    </row>
    <row r="5978" customFormat="false" ht="13.8" hidden="true" customHeight="false" outlineLevel="0" collapsed="false">
      <c r="A5978" s="0" t="s">
        <v>243</v>
      </c>
      <c r="B5978" s="0" t="n">
        <v>4</v>
      </c>
      <c r="C5978" s="0" t="n">
        <v>1.75</v>
      </c>
      <c r="D5978" s="0" t="n">
        <v>0.201</v>
      </c>
    </row>
    <row r="5979" customFormat="false" ht="13.8" hidden="true" customHeight="false" outlineLevel="0" collapsed="false">
      <c r="A5979" s="0" t="s">
        <v>243</v>
      </c>
      <c r="B5979" s="0" t="n">
        <v>4</v>
      </c>
      <c r="C5979" s="0" t="n">
        <v>1.8</v>
      </c>
      <c r="D5979" s="0" t="n">
        <v>0.206</v>
      </c>
    </row>
    <row r="5980" customFormat="false" ht="13.8" hidden="true" customHeight="false" outlineLevel="0" collapsed="false">
      <c r="A5980" s="0" t="s">
        <v>243</v>
      </c>
      <c r="B5980" s="0" t="n">
        <v>4</v>
      </c>
      <c r="C5980" s="0" t="n">
        <v>1.85</v>
      </c>
      <c r="D5980" s="0" t="n">
        <v>0.212</v>
      </c>
    </row>
    <row r="5981" customFormat="false" ht="13.8" hidden="true" customHeight="false" outlineLevel="0" collapsed="false">
      <c r="A5981" s="0" t="s">
        <v>243</v>
      </c>
      <c r="B5981" s="0" t="n">
        <v>4</v>
      </c>
      <c r="C5981" s="0" t="n">
        <v>1.9</v>
      </c>
      <c r="D5981" s="0" t="n">
        <v>0.218</v>
      </c>
    </row>
    <row r="5982" customFormat="false" ht="13.8" hidden="true" customHeight="false" outlineLevel="0" collapsed="false">
      <c r="A5982" s="0" t="s">
        <v>243</v>
      </c>
      <c r="B5982" s="0" t="n">
        <v>4</v>
      </c>
      <c r="C5982" s="0" t="n">
        <v>1.95</v>
      </c>
      <c r="D5982" s="0" t="n">
        <v>0.224</v>
      </c>
    </row>
    <row r="5983" customFormat="false" ht="13.8" hidden="true" customHeight="false" outlineLevel="0" collapsed="false">
      <c r="A5983" s="0" t="s">
        <v>243</v>
      </c>
      <c r="B5983" s="0" t="n">
        <v>4</v>
      </c>
      <c r="C5983" s="0" t="n">
        <v>2</v>
      </c>
      <c r="D5983" s="0" t="n">
        <v>0.235</v>
      </c>
    </row>
    <row r="5984" customFormat="false" ht="13.8" hidden="true" customHeight="false" outlineLevel="0" collapsed="false">
      <c r="A5984" s="0" t="s">
        <v>243</v>
      </c>
      <c r="B5984" s="0" t="n">
        <v>4</v>
      </c>
      <c r="C5984" s="0" t="n">
        <v>2.05</v>
      </c>
      <c r="D5984" s="0" t="n">
        <v>0.241</v>
      </c>
    </row>
    <row r="5985" customFormat="false" ht="13.8" hidden="true" customHeight="false" outlineLevel="0" collapsed="false">
      <c r="A5985" s="0" t="s">
        <v>243</v>
      </c>
      <c r="B5985" s="0" t="n">
        <v>4</v>
      </c>
      <c r="C5985" s="0" t="n">
        <v>2.1</v>
      </c>
      <c r="D5985" s="0" t="n">
        <v>0.246</v>
      </c>
    </row>
    <row r="5986" customFormat="false" ht="13.8" hidden="true" customHeight="false" outlineLevel="0" collapsed="false">
      <c r="A5986" s="0" t="s">
        <v>243</v>
      </c>
      <c r="B5986" s="0" t="n">
        <v>4</v>
      </c>
      <c r="C5986" s="0" t="n">
        <v>2.15</v>
      </c>
      <c r="D5986" s="0" t="n">
        <v>0.252292931</v>
      </c>
    </row>
    <row r="5987" customFormat="false" ht="13.8" hidden="true" customHeight="false" outlineLevel="0" collapsed="false">
      <c r="A5987" s="0" t="s">
        <v>243</v>
      </c>
      <c r="B5987" s="0" t="n">
        <v>4</v>
      </c>
      <c r="C5987" s="0" t="n">
        <v>2.2</v>
      </c>
      <c r="D5987" s="0" t="n">
        <v>0.258160209</v>
      </c>
    </row>
    <row r="5988" customFormat="false" ht="13.8" hidden="true" customHeight="false" outlineLevel="0" collapsed="false">
      <c r="A5988" s="0" t="s">
        <v>243</v>
      </c>
      <c r="B5988" s="0" t="n">
        <v>4</v>
      </c>
      <c r="C5988" s="0" t="n">
        <v>2.25</v>
      </c>
      <c r="D5988" s="0" t="n">
        <v>0</v>
      </c>
    </row>
    <row r="5989" customFormat="false" ht="13.8" hidden="true" customHeight="false" outlineLevel="0" collapsed="false">
      <c r="A5989" s="0" t="s">
        <v>243</v>
      </c>
      <c r="B5989" s="0" t="n">
        <v>4</v>
      </c>
      <c r="C5989" s="0" t="n">
        <v>2.3</v>
      </c>
      <c r="D5989" s="0" t="n">
        <v>0</v>
      </c>
    </row>
    <row r="5990" customFormat="false" ht="13.8" hidden="true" customHeight="false" outlineLevel="0" collapsed="false">
      <c r="A5990" s="0" t="s">
        <v>243</v>
      </c>
      <c r="B5990" s="0" t="n">
        <v>4</v>
      </c>
      <c r="C5990" s="0" t="n">
        <v>2.35</v>
      </c>
      <c r="D5990" s="0" t="n">
        <v>0</v>
      </c>
    </row>
    <row r="5991" customFormat="false" ht="13.8" hidden="true" customHeight="false" outlineLevel="0" collapsed="false">
      <c r="A5991" s="0" t="s">
        <v>243</v>
      </c>
      <c r="B5991" s="0" t="n">
        <v>4</v>
      </c>
      <c r="C5991" s="0" t="n">
        <v>2.4</v>
      </c>
      <c r="D5991" s="0" t="n">
        <v>0</v>
      </c>
    </row>
    <row r="5992" customFormat="false" ht="13.8" hidden="true" customHeight="false" outlineLevel="0" collapsed="false">
      <c r="A5992" s="0" t="s">
        <v>243</v>
      </c>
      <c r="B5992" s="0" t="n">
        <v>4</v>
      </c>
      <c r="C5992" s="0" t="n">
        <v>2.45</v>
      </c>
      <c r="D5992" s="0" t="n">
        <v>0</v>
      </c>
    </row>
    <row r="5993" customFormat="false" ht="13.8" hidden="true" customHeight="false" outlineLevel="0" collapsed="false">
      <c r="A5993" s="0" t="s">
        <v>243</v>
      </c>
      <c r="B5993" s="0" t="n">
        <v>4</v>
      </c>
      <c r="C5993" s="0" t="n">
        <v>2.5</v>
      </c>
      <c r="D5993" s="0" t="n">
        <v>0</v>
      </c>
    </row>
    <row r="5994" customFormat="false" ht="13.8" hidden="true" customHeight="false" outlineLevel="0" collapsed="false">
      <c r="A5994" s="0" t="s">
        <v>243</v>
      </c>
      <c r="B5994" s="0" t="n">
        <v>4</v>
      </c>
      <c r="C5994" s="0" t="n">
        <v>2.55</v>
      </c>
      <c r="D5994" s="0" t="n">
        <v>0</v>
      </c>
    </row>
    <row r="5995" customFormat="false" ht="13.8" hidden="true" customHeight="false" outlineLevel="0" collapsed="false">
      <c r="A5995" s="0" t="s">
        <v>243</v>
      </c>
      <c r="B5995" s="0" t="n">
        <v>4</v>
      </c>
      <c r="C5995" s="0" t="n">
        <v>2.6</v>
      </c>
      <c r="D5995" s="0" t="n">
        <v>0</v>
      </c>
    </row>
    <row r="5996" customFormat="false" ht="13.8" hidden="true" customHeight="false" outlineLevel="0" collapsed="false">
      <c r="A5996" s="0" t="s">
        <v>861</v>
      </c>
      <c r="B5996" s="0" t="n">
        <v>1</v>
      </c>
      <c r="C5996" s="0" t="n">
        <v>1.3</v>
      </c>
      <c r="D5996" s="0" t="n">
        <v>0</v>
      </c>
    </row>
    <row r="5997" customFormat="false" ht="13.8" hidden="true" customHeight="false" outlineLevel="0" collapsed="false">
      <c r="A5997" s="0" t="s">
        <v>861</v>
      </c>
      <c r="B5997" s="0" t="n">
        <v>1</v>
      </c>
      <c r="C5997" s="0" t="n">
        <v>1.35</v>
      </c>
      <c r="D5997" s="0" t="n">
        <v>0</v>
      </c>
    </row>
    <row r="5998" customFormat="false" ht="13.8" hidden="true" customHeight="false" outlineLevel="0" collapsed="false">
      <c r="A5998" s="0" t="s">
        <v>861</v>
      </c>
      <c r="B5998" s="0" t="n">
        <v>1</v>
      </c>
      <c r="C5998" s="0" t="n">
        <v>1.4</v>
      </c>
      <c r="D5998" s="0" t="n">
        <v>0</v>
      </c>
    </row>
    <row r="5999" customFormat="false" ht="13.8" hidden="true" customHeight="false" outlineLevel="0" collapsed="false">
      <c r="A5999" s="0" t="s">
        <v>861</v>
      </c>
      <c r="B5999" s="0" t="n">
        <v>1</v>
      </c>
      <c r="C5999" s="0" t="n">
        <v>1.45</v>
      </c>
      <c r="D5999" s="0" t="n">
        <v>0</v>
      </c>
    </row>
    <row r="6000" customFormat="false" ht="13.8" hidden="true" customHeight="false" outlineLevel="0" collapsed="false">
      <c r="A6000" s="0" t="s">
        <v>861</v>
      </c>
      <c r="B6000" s="0" t="n">
        <v>1</v>
      </c>
      <c r="C6000" s="0" t="n">
        <v>1.5</v>
      </c>
      <c r="D6000" s="0" t="n">
        <v>0</v>
      </c>
    </row>
    <row r="6001" customFormat="false" ht="13.8" hidden="true" customHeight="false" outlineLevel="0" collapsed="false">
      <c r="A6001" s="0" t="s">
        <v>861</v>
      </c>
      <c r="B6001" s="0" t="n">
        <v>1</v>
      </c>
      <c r="C6001" s="0" t="n">
        <v>1.55</v>
      </c>
      <c r="D6001" s="0" t="n">
        <v>0</v>
      </c>
    </row>
    <row r="6002" customFormat="false" ht="13.8" hidden="true" customHeight="false" outlineLevel="0" collapsed="false">
      <c r="A6002" s="0" t="s">
        <v>861</v>
      </c>
      <c r="B6002" s="0" t="n">
        <v>1</v>
      </c>
      <c r="C6002" s="0" t="n">
        <v>1.6</v>
      </c>
      <c r="D6002" s="0" t="n">
        <v>0</v>
      </c>
    </row>
    <row r="6003" customFormat="false" ht="13.8" hidden="true" customHeight="false" outlineLevel="0" collapsed="false">
      <c r="A6003" s="0" t="s">
        <v>861</v>
      </c>
      <c r="B6003" s="0" t="n">
        <v>1</v>
      </c>
      <c r="C6003" s="0" t="n">
        <v>1.65</v>
      </c>
      <c r="D6003" s="0" t="n">
        <v>0</v>
      </c>
    </row>
    <row r="6004" customFormat="false" ht="13.8" hidden="true" customHeight="false" outlineLevel="0" collapsed="false">
      <c r="A6004" s="0" t="s">
        <v>861</v>
      </c>
      <c r="B6004" s="0" t="n">
        <v>1</v>
      </c>
      <c r="C6004" s="0" t="n">
        <v>1.7</v>
      </c>
      <c r="D6004" s="0" t="n">
        <v>0</v>
      </c>
    </row>
    <row r="6005" customFormat="false" ht="13.8" hidden="true" customHeight="false" outlineLevel="0" collapsed="false">
      <c r="A6005" s="0" t="s">
        <v>861</v>
      </c>
      <c r="B6005" s="0" t="n">
        <v>1</v>
      </c>
      <c r="C6005" s="0" t="n">
        <v>1.75</v>
      </c>
      <c r="D6005" s="0" t="n">
        <v>0</v>
      </c>
    </row>
    <row r="6006" customFormat="false" ht="13.8" hidden="true" customHeight="false" outlineLevel="0" collapsed="false">
      <c r="A6006" s="0" t="s">
        <v>861</v>
      </c>
      <c r="B6006" s="0" t="n">
        <v>1</v>
      </c>
      <c r="C6006" s="0" t="n">
        <v>1.8</v>
      </c>
      <c r="D6006" s="0" t="n">
        <v>0.206</v>
      </c>
    </row>
    <row r="6007" customFormat="false" ht="13.8" hidden="true" customHeight="false" outlineLevel="0" collapsed="false">
      <c r="A6007" s="0" t="s">
        <v>861</v>
      </c>
      <c r="B6007" s="0" t="n">
        <v>1</v>
      </c>
      <c r="C6007" s="0" t="n">
        <v>1.85</v>
      </c>
      <c r="D6007" s="0" t="n">
        <v>0.212</v>
      </c>
    </row>
    <row r="6008" customFormat="false" ht="13.8" hidden="true" customHeight="false" outlineLevel="0" collapsed="false">
      <c r="A6008" s="0" t="s">
        <v>861</v>
      </c>
      <c r="B6008" s="0" t="n">
        <v>1</v>
      </c>
      <c r="C6008" s="0" t="n">
        <v>1.9</v>
      </c>
      <c r="D6008" s="0" t="n">
        <v>0.218</v>
      </c>
    </row>
    <row r="6009" customFormat="false" ht="13.8" hidden="true" customHeight="false" outlineLevel="0" collapsed="false">
      <c r="A6009" s="0" t="s">
        <v>861</v>
      </c>
      <c r="B6009" s="0" t="n">
        <v>1</v>
      </c>
      <c r="C6009" s="0" t="n">
        <v>1.95</v>
      </c>
      <c r="D6009" s="0" t="n">
        <v>0.224</v>
      </c>
    </row>
    <row r="6010" customFormat="false" ht="13.8" hidden="true" customHeight="false" outlineLevel="0" collapsed="false">
      <c r="A6010" s="0" t="s">
        <v>861</v>
      </c>
      <c r="B6010" s="0" t="n">
        <v>1</v>
      </c>
      <c r="C6010" s="0" t="n">
        <v>2</v>
      </c>
      <c r="D6010" s="0" t="n">
        <v>0.235</v>
      </c>
    </row>
    <row r="6011" customFormat="false" ht="13.8" hidden="true" customHeight="false" outlineLevel="0" collapsed="false">
      <c r="A6011" s="0" t="s">
        <v>861</v>
      </c>
      <c r="B6011" s="0" t="n">
        <v>1</v>
      </c>
      <c r="C6011" s="0" t="n">
        <v>2.05</v>
      </c>
      <c r="D6011" s="0" t="n">
        <v>0.241</v>
      </c>
    </row>
    <row r="6012" customFormat="false" ht="13.8" hidden="true" customHeight="false" outlineLevel="0" collapsed="false">
      <c r="A6012" s="0" t="s">
        <v>861</v>
      </c>
      <c r="B6012" s="0" t="n">
        <v>1</v>
      </c>
      <c r="C6012" s="0" t="n">
        <v>2.1</v>
      </c>
      <c r="D6012" s="0" t="n">
        <v>0.246</v>
      </c>
    </row>
    <row r="6013" customFormat="false" ht="13.8" hidden="true" customHeight="false" outlineLevel="0" collapsed="false">
      <c r="A6013" s="0" t="s">
        <v>861</v>
      </c>
      <c r="B6013" s="0" t="n">
        <v>1</v>
      </c>
      <c r="C6013" s="0" t="n">
        <v>2.15</v>
      </c>
      <c r="D6013" s="0" t="n">
        <v>0.252292931</v>
      </c>
    </row>
    <row r="6014" customFormat="false" ht="13.8" hidden="true" customHeight="false" outlineLevel="0" collapsed="false">
      <c r="A6014" s="0" t="s">
        <v>861</v>
      </c>
      <c r="B6014" s="0" t="n">
        <v>1</v>
      </c>
      <c r="C6014" s="0" t="n">
        <v>2.2</v>
      </c>
      <c r="D6014" s="0" t="n">
        <v>0.258160209</v>
      </c>
    </row>
    <row r="6015" customFormat="false" ht="13.8" hidden="true" customHeight="false" outlineLevel="0" collapsed="false">
      <c r="A6015" s="0" t="s">
        <v>861</v>
      </c>
      <c r="B6015" s="0" t="n">
        <v>1</v>
      </c>
      <c r="C6015" s="0" t="n">
        <v>2.25</v>
      </c>
      <c r="D6015" s="0" t="n">
        <v>0</v>
      </c>
    </row>
    <row r="6016" customFormat="false" ht="13.8" hidden="true" customHeight="false" outlineLevel="0" collapsed="false">
      <c r="A6016" s="0" t="s">
        <v>861</v>
      </c>
      <c r="B6016" s="0" t="n">
        <v>1</v>
      </c>
      <c r="C6016" s="0" t="n">
        <v>2.3</v>
      </c>
      <c r="D6016" s="0" t="n">
        <v>0</v>
      </c>
    </row>
    <row r="6017" customFormat="false" ht="13.8" hidden="true" customHeight="false" outlineLevel="0" collapsed="false">
      <c r="A6017" s="0" t="s">
        <v>861</v>
      </c>
      <c r="B6017" s="0" t="n">
        <v>1</v>
      </c>
      <c r="C6017" s="0" t="n">
        <v>2.35</v>
      </c>
      <c r="D6017" s="0" t="n">
        <v>0</v>
      </c>
    </row>
    <row r="6018" customFormat="false" ht="13.8" hidden="true" customHeight="false" outlineLevel="0" collapsed="false">
      <c r="A6018" s="0" t="s">
        <v>861</v>
      </c>
      <c r="B6018" s="0" t="n">
        <v>1</v>
      </c>
      <c r="C6018" s="0" t="n">
        <v>2.4</v>
      </c>
      <c r="D6018" s="0" t="n">
        <v>0</v>
      </c>
    </row>
    <row r="6019" customFormat="false" ht="13.8" hidden="true" customHeight="false" outlineLevel="0" collapsed="false">
      <c r="A6019" s="0" t="s">
        <v>861</v>
      </c>
      <c r="B6019" s="0" t="n">
        <v>1</v>
      </c>
      <c r="C6019" s="0" t="n">
        <v>2.45</v>
      </c>
      <c r="D6019" s="0" t="n">
        <v>0</v>
      </c>
    </row>
    <row r="6020" customFormat="false" ht="13.8" hidden="true" customHeight="false" outlineLevel="0" collapsed="false">
      <c r="A6020" s="0" t="s">
        <v>861</v>
      </c>
      <c r="B6020" s="0" t="n">
        <v>1</v>
      </c>
      <c r="C6020" s="0" t="n">
        <v>2.5</v>
      </c>
      <c r="D6020" s="0" t="n">
        <v>0</v>
      </c>
    </row>
    <row r="6021" customFormat="false" ht="13.8" hidden="true" customHeight="false" outlineLevel="0" collapsed="false">
      <c r="A6021" s="0" t="s">
        <v>861</v>
      </c>
      <c r="B6021" s="0" t="n">
        <v>1</v>
      </c>
      <c r="C6021" s="0" t="n">
        <v>2.55</v>
      </c>
      <c r="D6021" s="0" t="n">
        <v>0</v>
      </c>
    </row>
    <row r="6022" customFormat="false" ht="13.8" hidden="true" customHeight="false" outlineLevel="0" collapsed="false">
      <c r="A6022" s="0" t="s">
        <v>861</v>
      </c>
      <c r="B6022" s="0" t="n">
        <v>1</v>
      </c>
      <c r="C6022" s="0" t="n">
        <v>2.6</v>
      </c>
      <c r="D6022" s="0" t="n">
        <v>0</v>
      </c>
    </row>
    <row r="6023" customFormat="false" ht="13.8" hidden="true" customHeight="false" outlineLevel="0" collapsed="false">
      <c r="A6023" s="0" t="s">
        <v>861</v>
      </c>
      <c r="B6023" s="0" t="n">
        <v>2</v>
      </c>
      <c r="C6023" s="0" t="n">
        <v>1.3</v>
      </c>
      <c r="D6023" s="0" t="n">
        <v>0</v>
      </c>
    </row>
    <row r="6024" customFormat="false" ht="13.8" hidden="true" customHeight="false" outlineLevel="0" collapsed="false">
      <c r="A6024" s="0" t="s">
        <v>861</v>
      </c>
      <c r="B6024" s="0" t="n">
        <v>2</v>
      </c>
      <c r="C6024" s="0" t="n">
        <v>1.35</v>
      </c>
      <c r="D6024" s="0" t="n">
        <v>0</v>
      </c>
    </row>
    <row r="6025" customFormat="false" ht="13.8" hidden="true" customHeight="false" outlineLevel="0" collapsed="false">
      <c r="A6025" s="0" t="s">
        <v>861</v>
      </c>
      <c r="B6025" s="0" t="n">
        <v>2</v>
      </c>
      <c r="C6025" s="0" t="n">
        <v>1.4</v>
      </c>
      <c r="D6025" s="0" t="n">
        <v>0</v>
      </c>
    </row>
    <row r="6026" customFormat="false" ht="13.8" hidden="true" customHeight="false" outlineLevel="0" collapsed="false">
      <c r="A6026" s="0" t="s">
        <v>861</v>
      </c>
      <c r="B6026" s="0" t="n">
        <v>2</v>
      </c>
      <c r="C6026" s="0" t="n">
        <v>1.45</v>
      </c>
      <c r="D6026" s="0" t="n">
        <v>0</v>
      </c>
    </row>
    <row r="6027" customFormat="false" ht="13.8" hidden="true" customHeight="false" outlineLevel="0" collapsed="false">
      <c r="A6027" s="0" t="s">
        <v>861</v>
      </c>
      <c r="B6027" s="0" t="n">
        <v>2</v>
      </c>
      <c r="C6027" s="0" t="n">
        <v>1.5</v>
      </c>
      <c r="D6027" s="0" t="n">
        <v>0</v>
      </c>
    </row>
    <row r="6028" customFormat="false" ht="13.8" hidden="true" customHeight="false" outlineLevel="0" collapsed="false">
      <c r="A6028" s="0" t="s">
        <v>861</v>
      </c>
      <c r="B6028" s="0" t="n">
        <v>2</v>
      </c>
      <c r="C6028" s="0" t="n">
        <v>1.55</v>
      </c>
      <c r="D6028" s="0" t="n">
        <v>0</v>
      </c>
    </row>
    <row r="6029" customFormat="false" ht="13.8" hidden="true" customHeight="false" outlineLevel="0" collapsed="false">
      <c r="A6029" s="0" t="s">
        <v>861</v>
      </c>
      <c r="B6029" s="0" t="n">
        <v>2</v>
      </c>
      <c r="C6029" s="0" t="n">
        <v>1.6</v>
      </c>
      <c r="D6029" s="0" t="n">
        <v>0</v>
      </c>
    </row>
    <row r="6030" customFormat="false" ht="13.8" hidden="true" customHeight="false" outlineLevel="0" collapsed="false">
      <c r="A6030" s="0" t="s">
        <v>861</v>
      </c>
      <c r="B6030" s="0" t="n">
        <v>2</v>
      </c>
      <c r="C6030" s="0" t="n">
        <v>1.65</v>
      </c>
      <c r="D6030" s="0" t="n">
        <v>0</v>
      </c>
    </row>
    <row r="6031" customFormat="false" ht="13.8" hidden="true" customHeight="false" outlineLevel="0" collapsed="false">
      <c r="A6031" s="0" t="s">
        <v>861</v>
      </c>
      <c r="B6031" s="0" t="n">
        <v>2</v>
      </c>
      <c r="C6031" s="0" t="n">
        <v>1.7</v>
      </c>
      <c r="D6031" s="0" t="n">
        <v>0</v>
      </c>
    </row>
    <row r="6032" customFormat="false" ht="13.8" hidden="true" customHeight="false" outlineLevel="0" collapsed="false">
      <c r="A6032" s="0" t="s">
        <v>861</v>
      </c>
      <c r="B6032" s="0" t="n">
        <v>2</v>
      </c>
      <c r="C6032" s="0" t="n">
        <v>1.75</v>
      </c>
      <c r="D6032" s="0" t="n">
        <v>0</v>
      </c>
    </row>
    <row r="6033" customFormat="false" ht="13.8" hidden="true" customHeight="false" outlineLevel="0" collapsed="false">
      <c r="A6033" s="0" t="s">
        <v>861</v>
      </c>
      <c r="B6033" s="0" t="n">
        <v>2</v>
      </c>
      <c r="C6033" s="0" t="n">
        <v>1.8</v>
      </c>
      <c r="D6033" s="0" t="n">
        <v>0.206</v>
      </c>
    </row>
    <row r="6034" customFormat="false" ht="13.8" hidden="true" customHeight="false" outlineLevel="0" collapsed="false">
      <c r="A6034" s="0" t="s">
        <v>861</v>
      </c>
      <c r="B6034" s="0" t="n">
        <v>2</v>
      </c>
      <c r="C6034" s="0" t="n">
        <v>1.85</v>
      </c>
      <c r="D6034" s="0" t="n">
        <v>0.212</v>
      </c>
    </row>
    <row r="6035" customFormat="false" ht="13.8" hidden="true" customHeight="false" outlineLevel="0" collapsed="false">
      <c r="A6035" s="0" t="s">
        <v>861</v>
      </c>
      <c r="B6035" s="0" t="n">
        <v>2</v>
      </c>
      <c r="C6035" s="0" t="n">
        <v>1.9</v>
      </c>
      <c r="D6035" s="0" t="n">
        <v>0.218</v>
      </c>
    </row>
    <row r="6036" customFormat="false" ht="13.8" hidden="true" customHeight="false" outlineLevel="0" collapsed="false">
      <c r="A6036" s="0" t="s">
        <v>861</v>
      </c>
      <c r="B6036" s="0" t="n">
        <v>2</v>
      </c>
      <c r="C6036" s="0" t="n">
        <v>1.95</v>
      </c>
      <c r="D6036" s="0" t="n">
        <v>0.224</v>
      </c>
    </row>
    <row r="6037" customFormat="false" ht="13.8" hidden="true" customHeight="false" outlineLevel="0" collapsed="false">
      <c r="A6037" s="0" t="s">
        <v>861</v>
      </c>
      <c r="B6037" s="0" t="n">
        <v>2</v>
      </c>
      <c r="C6037" s="0" t="n">
        <v>2</v>
      </c>
      <c r="D6037" s="0" t="n">
        <v>0.235</v>
      </c>
    </row>
    <row r="6038" customFormat="false" ht="13.8" hidden="true" customHeight="false" outlineLevel="0" collapsed="false">
      <c r="A6038" s="0" t="s">
        <v>861</v>
      </c>
      <c r="B6038" s="0" t="n">
        <v>2</v>
      </c>
      <c r="C6038" s="0" t="n">
        <v>2.05</v>
      </c>
      <c r="D6038" s="0" t="n">
        <v>0.241</v>
      </c>
    </row>
    <row r="6039" customFormat="false" ht="13.8" hidden="true" customHeight="false" outlineLevel="0" collapsed="false">
      <c r="A6039" s="0" t="s">
        <v>861</v>
      </c>
      <c r="B6039" s="0" t="n">
        <v>2</v>
      </c>
      <c r="C6039" s="0" t="n">
        <v>2.1</v>
      </c>
      <c r="D6039" s="0" t="n">
        <v>0.246</v>
      </c>
    </row>
    <row r="6040" customFormat="false" ht="13.8" hidden="true" customHeight="false" outlineLevel="0" collapsed="false">
      <c r="A6040" s="0" t="s">
        <v>861</v>
      </c>
      <c r="B6040" s="0" t="n">
        <v>2</v>
      </c>
      <c r="C6040" s="0" t="n">
        <v>2.15</v>
      </c>
      <c r="D6040" s="0" t="n">
        <v>0.252292931</v>
      </c>
    </row>
    <row r="6041" customFormat="false" ht="13.8" hidden="true" customHeight="false" outlineLevel="0" collapsed="false">
      <c r="A6041" s="0" t="s">
        <v>861</v>
      </c>
      <c r="B6041" s="0" t="n">
        <v>2</v>
      </c>
      <c r="C6041" s="0" t="n">
        <v>2.2</v>
      </c>
      <c r="D6041" s="0" t="n">
        <v>0.258160209</v>
      </c>
    </row>
    <row r="6042" customFormat="false" ht="13.8" hidden="true" customHeight="false" outlineLevel="0" collapsed="false">
      <c r="A6042" s="0" t="s">
        <v>861</v>
      </c>
      <c r="B6042" s="0" t="n">
        <v>2</v>
      </c>
      <c r="C6042" s="0" t="n">
        <v>2.25</v>
      </c>
      <c r="D6042" s="0" t="n">
        <v>0</v>
      </c>
    </row>
    <row r="6043" customFormat="false" ht="13.8" hidden="true" customHeight="false" outlineLevel="0" collapsed="false">
      <c r="A6043" s="0" t="s">
        <v>861</v>
      </c>
      <c r="B6043" s="0" t="n">
        <v>2</v>
      </c>
      <c r="C6043" s="0" t="n">
        <v>2.3</v>
      </c>
      <c r="D6043" s="0" t="n">
        <v>0</v>
      </c>
    </row>
    <row r="6044" customFormat="false" ht="13.8" hidden="true" customHeight="false" outlineLevel="0" collapsed="false">
      <c r="A6044" s="0" t="s">
        <v>861</v>
      </c>
      <c r="B6044" s="0" t="n">
        <v>2</v>
      </c>
      <c r="C6044" s="0" t="n">
        <v>2.35</v>
      </c>
      <c r="D6044" s="0" t="n">
        <v>0</v>
      </c>
    </row>
    <row r="6045" customFormat="false" ht="13.8" hidden="true" customHeight="false" outlineLevel="0" collapsed="false">
      <c r="A6045" s="0" t="s">
        <v>861</v>
      </c>
      <c r="B6045" s="0" t="n">
        <v>2</v>
      </c>
      <c r="C6045" s="0" t="n">
        <v>2.4</v>
      </c>
      <c r="D6045" s="0" t="n">
        <v>0</v>
      </c>
    </row>
    <row r="6046" customFormat="false" ht="13.8" hidden="true" customHeight="false" outlineLevel="0" collapsed="false">
      <c r="A6046" s="0" t="s">
        <v>861</v>
      </c>
      <c r="B6046" s="0" t="n">
        <v>2</v>
      </c>
      <c r="C6046" s="0" t="n">
        <v>2.45</v>
      </c>
      <c r="D6046" s="0" t="n">
        <v>0</v>
      </c>
    </row>
    <row r="6047" customFormat="false" ht="13.8" hidden="true" customHeight="false" outlineLevel="0" collapsed="false">
      <c r="A6047" s="0" t="s">
        <v>861</v>
      </c>
      <c r="B6047" s="0" t="n">
        <v>2</v>
      </c>
      <c r="C6047" s="0" t="n">
        <v>2.5</v>
      </c>
      <c r="D6047" s="0" t="n">
        <v>0</v>
      </c>
    </row>
    <row r="6048" customFormat="false" ht="13.8" hidden="true" customHeight="false" outlineLevel="0" collapsed="false">
      <c r="A6048" s="0" t="s">
        <v>861</v>
      </c>
      <c r="B6048" s="0" t="n">
        <v>2</v>
      </c>
      <c r="C6048" s="0" t="n">
        <v>2.55</v>
      </c>
      <c r="D6048" s="0" t="n">
        <v>0</v>
      </c>
    </row>
    <row r="6049" customFormat="false" ht="13.8" hidden="true" customHeight="false" outlineLevel="0" collapsed="false">
      <c r="A6049" s="0" t="s">
        <v>861</v>
      </c>
      <c r="B6049" s="0" t="n">
        <v>2</v>
      </c>
      <c r="C6049" s="0" t="n">
        <v>2.6</v>
      </c>
      <c r="D6049" s="0" t="n">
        <v>0</v>
      </c>
    </row>
    <row r="6050" customFormat="false" ht="13.8" hidden="true" customHeight="false" outlineLevel="0" collapsed="false">
      <c r="A6050" s="0" t="s">
        <v>861</v>
      </c>
      <c r="B6050" s="0" t="n">
        <v>4</v>
      </c>
      <c r="C6050" s="0" t="n">
        <v>1.3</v>
      </c>
      <c r="D6050" s="0" t="n">
        <v>0</v>
      </c>
    </row>
    <row r="6051" customFormat="false" ht="13.8" hidden="true" customHeight="false" outlineLevel="0" collapsed="false">
      <c r="A6051" s="0" t="s">
        <v>861</v>
      </c>
      <c r="B6051" s="0" t="n">
        <v>4</v>
      </c>
      <c r="C6051" s="0" t="n">
        <v>1.35</v>
      </c>
      <c r="D6051" s="0" t="n">
        <v>0</v>
      </c>
    </row>
    <row r="6052" customFormat="false" ht="13.8" hidden="true" customHeight="false" outlineLevel="0" collapsed="false">
      <c r="A6052" s="0" t="s">
        <v>861</v>
      </c>
      <c r="B6052" s="0" t="n">
        <v>4</v>
      </c>
      <c r="C6052" s="0" t="n">
        <v>1.4</v>
      </c>
      <c r="D6052" s="0" t="n">
        <v>0</v>
      </c>
    </row>
    <row r="6053" customFormat="false" ht="13.8" hidden="true" customHeight="false" outlineLevel="0" collapsed="false">
      <c r="A6053" s="0" t="s">
        <v>861</v>
      </c>
      <c r="B6053" s="0" t="n">
        <v>4</v>
      </c>
      <c r="C6053" s="0" t="n">
        <v>1.45</v>
      </c>
      <c r="D6053" s="0" t="n">
        <v>0</v>
      </c>
    </row>
    <row r="6054" customFormat="false" ht="13.8" hidden="true" customHeight="false" outlineLevel="0" collapsed="false">
      <c r="A6054" s="0" t="s">
        <v>861</v>
      </c>
      <c r="B6054" s="0" t="n">
        <v>4</v>
      </c>
      <c r="C6054" s="0" t="n">
        <v>1.5</v>
      </c>
      <c r="D6054" s="0" t="n">
        <v>0</v>
      </c>
    </row>
    <row r="6055" customFormat="false" ht="13.8" hidden="true" customHeight="false" outlineLevel="0" collapsed="false">
      <c r="A6055" s="0" t="s">
        <v>861</v>
      </c>
      <c r="B6055" s="0" t="n">
        <v>4</v>
      </c>
      <c r="C6055" s="0" t="n">
        <v>1.55</v>
      </c>
      <c r="D6055" s="0" t="n">
        <v>0</v>
      </c>
    </row>
    <row r="6056" customFormat="false" ht="13.8" hidden="true" customHeight="false" outlineLevel="0" collapsed="false">
      <c r="A6056" s="0" t="s">
        <v>861</v>
      </c>
      <c r="B6056" s="0" t="n">
        <v>4</v>
      </c>
      <c r="C6056" s="0" t="n">
        <v>1.6</v>
      </c>
      <c r="D6056" s="0" t="n">
        <v>0</v>
      </c>
    </row>
    <row r="6057" customFormat="false" ht="13.8" hidden="true" customHeight="false" outlineLevel="0" collapsed="false">
      <c r="A6057" s="0" t="s">
        <v>861</v>
      </c>
      <c r="B6057" s="0" t="n">
        <v>4</v>
      </c>
      <c r="C6057" s="0" t="n">
        <v>1.65</v>
      </c>
      <c r="D6057" s="0" t="n">
        <v>0.189</v>
      </c>
    </row>
    <row r="6058" customFormat="false" ht="13.8" hidden="true" customHeight="false" outlineLevel="0" collapsed="false">
      <c r="A6058" s="0" t="s">
        <v>861</v>
      </c>
      <c r="B6058" s="0" t="n">
        <v>4</v>
      </c>
      <c r="C6058" s="0" t="n">
        <v>1.7</v>
      </c>
      <c r="D6058" s="0" t="n">
        <v>0.195</v>
      </c>
    </row>
    <row r="6059" customFormat="false" ht="13.8" hidden="true" customHeight="false" outlineLevel="0" collapsed="false">
      <c r="A6059" s="0" t="s">
        <v>861</v>
      </c>
      <c r="B6059" s="0" t="n">
        <v>4</v>
      </c>
      <c r="C6059" s="0" t="n">
        <v>1.75</v>
      </c>
      <c r="D6059" s="0" t="n">
        <v>0.201</v>
      </c>
    </row>
    <row r="6060" customFormat="false" ht="13.8" hidden="true" customHeight="false" outlineLevel="0" collapsed="false">
      <c r="A6060" s="0" t="s">
        <v>861</v>
      </c>
      <c r="B6060" s="0" t="n">
        <v>4</v>
      </c>
      <c r="C6060" s="0" t="n">
        <v>1.8</v>
      </c>
      <c r="D6060" s="0" t="n">
        <v>0.206</v>
      </c>
    </row>
    <row r="6061" customFormat="false" ht="13.8" hidden="true" customHeight="false" outlineLevel="0" collapsed="false">
      <c r="A6061" s="0" t="s">
        <v>861</v>
      </c>
      <c r="B6061" s="0" t="n">
        <v>4</v>
      </c>
      <c r="C6061" s="0" t="n">
        <v>1.85</v>
      </c>
      <c r="D6061" s="0" t="n">
        <v>0.212</v>
      </c>
    </row>
    <row r="6062" customFormat="false" ht="13.8" hidden="true" customHeight="false" outlineLevel="0" collapsed="false">
      <c r="A6062" s="0" t="s">
        <v>861</v>
      </c>
      <c r="B6062" s="0" t="n">
        <v>4</v>
      </c>
      <c r="C6062" s="0" t="n">
        <v>1.9</v>
      </c>
      <c r="D6062" s="0" t="n">
        <v>0.218</v>
      </c>
    </row>
    <row r="6063" customFormat="false" ht="13.8" hidden="true" customHeight="false" outlineLevel="0" collapsed="false">
      <c r="A6063" s="0" t="s">
        <v>861</v>
      </c>
      <c r="B6063" s="0" t="n">
        <v>4</v>
      </c>
      <c r="C6063" s="0" t="n">
        <v>1.95</v>
      </c>
      <c r="D6063" s="0" t="n">
        <v>0.224</v>
      </c>
    </row>
    <row r="6064" customFormat="false" ht="13.8" hidden="true" customHeight="false" outlineLevel="0" collapsed="false">
      <c r="A6064" s="0" t="s">
        <v>861</v>
      </c>
      <c r="B6064" s="0" t="n">
        <v>4</v>
      </c>
      <c r="C6064" s="0" t="n">
        <v>2</v>
      </c>
      <c r="D6064" s="0" t="n">
        <v>0.235</v>
      </c>
    </row>
    <row r="6065" customFormat="false" ht="13.8" hidden="true" customHeight="false" outlineLevel="0" collapsed="false">
      <c r="A6065" s="0" t="s">
        <v>861</v>
      </c>
      <c r="B6065" s="0" t="n">
        <v>4</v>
      </c>
      <c r="C6065" s="0" t="n">
        <v>2.05</v>
      </c>
      <c r="D6065" s="0" t="n">
        <v>0.241</v>
      </c>
    </row>
    <row r="6066" customFormat="false" ht="13.8" hidden="true" customHeight="false" outlineLevel="0" collapsed="false">
      <c r="A6066" s="0" t="s">
        <v>861</v>
      </c>
      <c r="B6066" s="0" t="n">
        <v>4</v>
      </c>
      <c r="C6066" s="0" t="n">
        <v>2.1</v>
      </c>
      <c r="D6066" s="0" t="n">
        <v>0.246</v>
      </c>
    </row>
    <row r="6067" customFormat="false" ht="13.8" hidden="true" customHeight="false" outlineLevel="0" collapsed="false">
      <c r="A6067" s="0" t="s">
        <v>861</v>
      </c>
      <c r="B6067" s="0" t="n">
        <v>4</v>
      </c>
      <c r="C6067" s="0" t="n">
        <v>2.15</v>
      </c>
      <c r="D6067" s="0" t="n">
        <v>0.252292931</v>
      </c>
    </row>
    <row r="6068" customFormat="false" ht="13.8" hidden="true" customHeight="false" outlineLevel="0" collapsed="false">
      <c r="A6068" s="0" t="s">
        <v>861</v>
      </c>
      <c r="B6068" s="0" t="n">
        <v>4</v>
      </c>
      <c r="C6068" s="0" t="n">
        <v>2.2</v>
      </c>
      <c r="D6068" s="0" t="n">
        <v>0.258160209</v>
      </c>
    </row>
    <row r="6069" customFormat="false" ht="13.8" hidden="true" customHeight="false" outlineLevel="0" collapsed="false">
      <c r="A6069" s="0" t="s">
        <v>861</v>
      </c>
      <c r="B6069" s="0" t="n">
        <v>4</v>
      </c>
      <c r="C6069" s="0" t="n">
        <v>2.25</v>
      </c>
      <c r="D6069" s="0" t="n">
        <v>0</v>
      </c>
    </row>
    <row r="6070" customFormat="false" ht="13.8" hidden="true" customHeight="false" outlineLevel="0" collapsed="false">
      <c r="A6070" s="0" t="s">
        <v>861</v>
      </c>
      <c r="B6070" s="0" t="n">
        <v>4</v>
      </c>
      <c r="C6070" s="0" t="n">
        <v>2.3</v>
      </c>
      <c r="D6070" s="0" t="n">
        <v>0</v>
      </c>
    </row>
    <row r="6071" customFormat="false" ht="13.8" hidden="true" customHeight="false" outlineLevel="0" collapsed="false">
      <c r="A6071" s="0" t="s">
        <v>861</v>
      </c>
      <c r="B6071" s="0" t="n">
        <v>4</v>
      </c>
      <c r="C6071" s="0" t="n">
        <v>2.35</v>
      </c>
      <c r="D6071" s="0" t="n">
        <v>0</v>
      </c>
    </row>
    <row r="6072" customFormat="false" ht="13.8" hidden="true" customHeight="false" outlineLevel="0" collapsed="false">
      <c r="A6072" s="0" t="s">
        <v>861</v>
      </c>
      <c r="B6072" s="0" t="n">
        <v>4</v>
      </c>
      <c r="C6072" s="0" t="n">
        <v>2.4</v>
      </c>
      <c r="D6072" s="0" t="n">
        <v>0</v>
      </c>
    </row>
    <row r="6073" customFormat="false" ht="13.8" hidden="true" customHeight="false" outlineLevel="0" collapsed="false">
      <c r="A6073" s="0" t="s">
        <v>861</v>
      </c>
      <c r="B6073" s="0" t="n">
        <v>4</v>
      </c>
      <c r="C6073" s="0" t="n">
        <v>2.45</v>
      </c>
      <c r="D6073" s="0" t="n">
        <v>0</v>
      </c>
    </row>
    <row r="6074" customFormat="false" ht="13.8" hidden="true" customHeight="false" outlineLevel="0" collapsed="false">
      <c r="A6074" s="0" t="s">
        <v>861</v>
      </c>
      <c r="B6074" s="0" t="n">
        <v>4</v>
      </c>
      <c r="C6074" s="0" t="n">
        <v>2.5</v>
      </c>
      <c r="D6074" s="0" t="n">
        <v>0</v>
      </c>
    </row>
    <row r="6075" customFormat="false" ht="13.8" hidden="true" customHeight="false" outlineLevel="0" collapsed="false">
      <c r="A6075" s="0" t="s">
        <v>861</v>
      </c>
      <c r="B6075" s="0" t="n">
        <v>4</v>
      </c>
      <c r="C6075" s="0" t="n">
        <v>2.55</v>
      </c>
      <c r="D6075" s="0" t="n">
        <v>0</v>
      </c>
    </row>
    <row r="6076" customFormat="false" ht="13.8" hidden="true" customHeight="false" outlineLevel="0" collapsed="false">
      <c r="A6076" s="0" t="s">
        <v>861</v>
      </c>
      <c r="B6076" s="0" t="n">
        <v>4</v>
      </c>
      <c r="C6076" s="0" t="n">
        <v>2.6</v>
      </c>
      <c r="D6076" s="0" t="n">
        <v>0</v>
      </c>
    </row>
    <row r="6077" customFormat="false" ht="13.8" hidden="true" customHeight="false" outlineLevel="0" collapsed="false">
      <c r="A6077" s="0" t="s">
        <v>244</v>
      </c>
      <c r="B6077" s="0" t="n">
        <v>1</v>
      </c>
      <c r="C6077" s="0" t="n">
        <v>1.3</v>
      </c>
      <c r="D6077" s="0" t="n">
        <v>0</v>
      </c>
    </row>
    <row r="6078" customFormat="false" ht="13.8" hidden="true" customHeight="false" outlineLevel="0" collapsed="false">
      <c r="A6078" s="0" t="s">
        <v>244</v>
      </c>
      <c r="B6078" s="0" t="n">
        <v>1</v>
      </c>
      <c r="C6078" s="0" t="n">
        <v>1.35</v>
      </c>
      <c r="D6078" s="0" t="n">
        <v>0</v>
      </c>
    </row>
    <row r="6079" customFormat="false" ht="13.8" hidden="true" customHeight="false" outlineLevel="0" collapsed="false">
      <c r="A6079" s="0" t="s">
        <v>244</v>
      </c>
      <c r="B6079" s="0" t="n">
        <v>1</v>
      </c>
      <c r="C6079" s="0" t="n">
        <v>1.4</v>
      </c>
      <c r="D6079" s="0" t="n">
        <v>0</v>
      </c>
    </row>
    <row r="6080" customFormat="false" ht="13.8" hidden="true" customHeight="false" outlineLevel="0" collapsed="false">
      <c r="A6080" s="0" t="s">
        <v>244</v>
      </c>
      <c r="B6080" s="0" t="n">
        <v>1</v>
      </c>
      <c r="C6080" s="0" t="n">
        <v>1.45</v>
      </c>
      <c r="D6080" s="0" t="n">
        <v>0</v>
      </c>
    </row>
    <row r="6081" customFormat="false" ht="13.8" hidden="true" customHeight="false" outlineLevel="0" collapsed="false">
      <c r="A6081" s="0" t="s">
        <v>244</v>
      </c>
      <c r="B6081" s="0" t="n">
        <v>1</v>
      </c>
      <c r="C6081" s="0" t="n">
        <v>1.5</v>
      </c>
      <c r="D6081" s="0" t="n">
        <v>0</v>
      </c>
    </row>
    <row r="6082" customFormat="false" ht="13.8" hidden="true" customHeight="false" outlineLevel="0" collapsed="false">
      <c r="A6082" s="0" t="s">
        <v>244</v>
      </c>
      <c r="B6082" s="0" t="n">
        <v>1</v>
      </c>
      <c r="C6082" s="0" t="n">
        <v>1.55</v>
      </c>
      <c r="D6082" s="0" t="n">
        <v>0</v>
      </c>
    </row>
    <row r="6083" customFormat="false" ht="13.8" hidden="true" customHeight="false" outlineLevel="0" collapsed="false">
      <c r="A6083" s="0" t="s">
        <v>244</v>
      </c>
      <c r="B6083" s="0" t="n">
        <v>1</v>
      </c>
      <c r="C6083" s="0" t="n">
        <v>1.6</v>
      </c>
      <c r="D6083" s="0" t="n">
        <v>0</v>
      </c>
    </row>
    <row r="6084" customFormat="false" ht="13.8" hidden="true" customHeight="false" outlineLevel="0" collapsed="false">
      <c r="A6084" s="0" t="s">
        <v>244</v>
      </c>
      <c r="B6084" s="0" t="n">
        <v>1</v>
      </c>
      <c r="C6084" s="0" t="n">
        <v>1.65</v>
      </c>
      <c r="D6084" s="0" t="n">
        <v>0</v>
      </c>
    </row>
    <row r="6085" customFormat="false" ht="13.8" hidden="true" customHeight="false" outlineLevel="0" collapsed="false">
      <c r="A6085" s="0" t="s">
        <v>244</v>
      </c>
      <c r="B6085" s="0" t="n">
        <v>1</v>
      </c>
      <c r="C6085" s="0" t="n">
        <v>1.7</v>
      </c>
      <c r="D6085" s="0" t="n">
        <v>0</v>
      </c>
    </row>
    <row r="6086" customFormat="false" ht="13.8" hidden="true" customHeight="false" outlineLevel="0" collapsed="false">
      <c r="A6086" s="0" t="s">
        <v>244</v>
      </c>
      <c r="B6086" s="0" t="n">
        <v>1</v>
      </c>
      <c r="C6086" s="0" t="n">
        <v>1.75</v>
      </c>
      <c r="D6086" s="0" t="n">
        <v>0</v>
      </c>
    </row>
    <row r="6087" customFormat="false" ht="13.8" hidden="true" customHeight="false" outlineLevel="0" collapsed="false">
      <c r="A6087" s="0" t="s">
        <v>244</v>
      </c>
      <c r="B6087" s="0" t="n">
        <v>1</v>
      </c>
      <c r="C6087" s="0" t="n">
        <v>1.8</v>
      </c>
      <c r="D6087" s="0" t="n">
        <v>0.206</v>
      </c>
    </row>
    <row r="6088" customFormat="false" ht="13.8" hidden="true" customHeight="false" outlineLevel="0" collapsed="false">
      <c r="A6088" s="0" t="s">
        <v>244</v>
      </c>
      <c r="B6088" s="0" t="n">
        <v>1</v>
      </c>
      <c r="C6088" s="0" t="n">
        <v>1.85</v>
      </c>
      <c r="D6088" s="0" t="n">
        <v>0.212</v>
      </c>
    </row>
    <row r="6089" customFormat="false" ht="13.8" hidden="true" customHeight="false" outlineLevel="0" collapsed="false">
      <c r="A6089" s="0" t="s">
        <v>244</v>
      </c>
      <c r="B6089" s="0" t="n">
        <v>1</v>
      </c>
      <c r="C6089" s="0" t="n">
        <v>1.9</v>
      </c>
      <c r="D6089" s="0" t="n">
        <v>0.218</v>
      </c>
    </row>
    <row r="6090" customFormat="false" ht="13.8" hidden="true" customHeight="false" outlineLevel="0" collapsed="false">
      <c r="A6090" s="0" t="s">
        <v>244</v>
      </c>
      <c r="B6090" s="0" t="n">
        <v>1</v>
      </c>
      <c r="C6090" s="0" t="n">
        <v>1.95</v>
      </c>
      <c r="D6090" s="0" t="n">
        <v>0.224</v>
      </c>
    </row>
    <row r="6091" customFormat="false" ht="13.8" hidden="true" customHeight="false" outlineLevel="0" collapsed="false">
      <c r="A6091" s="0" t="s">
        <v>244</v>
      </c>
      <c r="B6091" s="0" t="n">
        <v>1</v>
      </c>
      <c r="C6091" s="0" t="n">
        <v>2</v>
      </c>
      <c r="D6091" s="0" t="n">
        <v>0.235</v>
      </c>
    </row>
    <row r="6092" customFormat="false" ht="13.8" hidden="true" customHeight="false" outlineLevel="0" collapsed="false">
      <c r="A6092" s="0" t="s">
        <v>244</v>
      </c>
      <c r="B6092" s="0" t="n">
        <v>1</v>
      </c>
      <c r="C6092" s="0" t="n">
        <v>2.05</v>
      </c>
      <c r="D6092" s="0" t="n">
        <v>0.241</v>
      </c>
    </row>
    <row r="6093" customFormat="false" ht="13.8" hidden="true" customHeight="false" outlineLevel="0" collapsed="false">
      <c r="A6093" s="0" t="s">
        <v>244</v>
      </c>
      <c r="B6093" s="0" t="n">
        <v>1</v>
      </c>
      <c r="C6093" s="0" t="n">
        <v>2.1</v>
      </c>
      <c r="D6093" s="0" t="n">
        <v>0.246</v>
      </c>
    </row>
    <row r="6094" customFormat="false" ht="13.8" hidden="true" customHeight="false" outlineLevel="0" collapsed="false">
      <c r="A6094" s="0" t="s">
        <v>244</v>
      </c>
      <c r="B6094" s="0" t="n">
        <v>1</v>
      </c>
      <c r="C6094" s="0" t="n">
        <v>2.15</v>
      </c>
      <c r="D6094" s="0" t="n">
        <v>0.252292931</v>
      </c>
    </row>
    <row r="6095" customFormat="false" ht="13.8" hidden="true" customHeight="false" outlineLevel="0" collapsed="false">
      <c r="A6095" s="0" t="s">
        <v>244</v>
      </c>
      <c r="B6095" s="0" t="n">
        <v>1</v>
      </c>
      <c r="C6095" s="0" t="n">
        <v>2.2</v>
      </c>
      <c r="D6095" s="0" t="n">
        <v>0.258160209</v>
      </c>
    </row>
    <row r="6096" customFormat="false" ht="13.8" hidden="true" customHeight="false" outlineLevel="0" collapsed="false">
      <c r="A6096" s="0" t="s">
        <v>244</v>
      </c>
      <c r="B6096" s="0" t="n">
        <v>1</v>
      </c>
      <c r="C6096" s="0" t="n">
        <v>2.25</v>
      </c>
      <c r="D6096" s="0" t="n">
        <v>0</v>
      </c>
    </row>
    <row r="6097" customFormat="false" ht="13.8" hidden="true" customHeight="false" outlineLevel="0" collapsed="false">
      <c r="A6097" s="0" t="s">
        <v>244</v>
      </c>
      <c r="B6097" s="0" t="n">
        <v>1</v>
      </c>
      <c r="C6097" s="0" t="n">
        <v>2.3</v>
      </c>
      <c r="D6097" s="0" t="n">
        <v>0</v>
      </c>
    </row>
    <row r="6098" customFormat="false" ht="13.8" hidden="true" customHeight="false" outlineLevel="0" collapsed="false">
      <c r="A6098" s="0" t="s">
        <v>244</v>
      </c>
      <c r="B6098" s="0" t="n">
        <v>1</v>
      </c>
      <c r="C6098" s="0" t="n">
        <v>2.35</v>
      </c>
      <c r="D6098" s="0" t="n">
        <v>0</v>
      </c>
    </row>
    <row r="6099" customFormat="false" ht="13.8" hidden="true" customHeight="false" outlineLevel="0" collapsed="false">
      <c r="A6099" s="0" t="s">
        <v>244</v>
      </c>
      <c r="B6099" s="0" t="n">
        <v>1</v>
      </c>
      <c r="C6099" s="0" t="n">
        <v>2.4</v>
      </c>
      <c r="D6099" s="0" t="n">
        <v>0</v>
      </c>
    </row>
    <row r="6100" customFormat="false" ht="13.8" hidden="true" customHeight="false" outlineLevel="0" collapsed="false">
      <c r="A6100" s="0" t="s">
        <v>244</v>
      </c>
      <c r="B6100" s="0" t="n">
        <v>1</v>
      </c>
      <c r="C6100" s="0" t="n">
        <v>2.45</v>
      </c>
      <c r="D6100" s="0" t="n">
        <v>0</v>
      </c>
    </row>
    <row r="6101" customFormat="false" ht="13.8" hidden="true" customHeight="false" outlineLevel="0" collapsed="false">
      <c r="A6101" s="0" t="s">
        <v>244</v>
      </c>
      <c r="B6101" s="0" t="n">
        <v>1</v>
      </c>
      <c r="C6101" s="0" t="n">
        <v>2.5</v>
      </c>
      <c r="D6101" s="0" t="n">
        <v>0</v>
      </c>
    </row>
    <row r="6102" customFormat="false" ht="13.8" hidden="true" customHeight="false" outlineLevel="0" collapsed="false">
      <c r="A6102" s="0" t="s">
        <v>244</v>
      </c>
      <c r="B6102" s="0" t="n">
        <v>1</v>
      </c>
      <c r="C6102" s="0" t="n">
        <v>2.55</v>
      </c>
      <c r="D6102" s="0" t="n">
        <v>0</v>
      </c>
    </row>
    <row r="6103" customFormat="false" ht="13.8" hidden="true" customHeight="false" outlineLevel="0" collapsed="false">
      <c r="A6103" s="0" t="s">
        <v>244</v>
      </c>
      <c r="B6103" s="0" t="n">
        <v>1</v>
      </c>
      <c r="C6103" s="0" t="n">
        <v>2.6</v>
      </c>
      <c r="D6103" s="0" t="n">
        <v>0</v>
      </c>
    </row>
    <row r="6104" customFormat="false" ht="13.8" hidden="true" customHeight="false" outlineLevel="0" collapsed="false">
      <c r="A6104" s="0" t="s">
        <v>244</v>
      </c>
      <c r="B6104" s="0" t="n">
        <v>2</v>
      </c>
      <c r="C6104" s="0" t="n">
        <v>1.3</v>
      </c>
      <c r="D6104" s="0" t="n">
        <v>0</v>
      </c>
    </row>
    <row r="6105" customFormat="false" ht="13.8" hidden="true" customHeight="false" outlineLevel="0" collapsed="false">
      <c r="A6105" s="0" t="s">
        <v>244</v>
      </c>
      <c r="B6105" s="0" t="n">
        <v>2</v>
      </c>
      <c r="C6105" s="0" t="n">
        <v>1.35</v>
      </c>
      <c r="D6105" s="0" t="n">
        <v>0</v>
      </c>
    </row>
    <row r="6106" customFormat="false" ht="13.8" hidden="true" customHeight="false" outlineLevel="0" collapsed="false">
      <c r="A6106" s="0" t="s">
        <v>244</v>
      </c>
      <c r="B6106" s="0" t="n">
        <v>2</v>
      </c>
      <c r="C6106" s="0" t="n">
        <v>1.4</v>
      </c>
      <c r="D6106" s="0" t="n">
        <v>0</v>
      </c>
    </row>
    <row r="6107" customFormat="false" ht="13.8" hidden="true" customHeight="false" outlineLevel="0" collapsed="false">
      <c r="A6107" s="0" t="s">
        <v>244</v>
      </c>
      <c r="B6107" s="0" t="n">
        <v>2</v>
      </c>
      <c r="C6107" s="0" t="n">
        <v>1.45</v>
      </c>
      <c r="D6107" s="0" t="n">
        <v>0</v>
      </c>
    </row>
    <row r="6108" customFormat="false" ht="13.8" hidden="true" customHeight="false" outlineLevel="0" collapsed="false">
      <c r="A6108" s="0" t="s">
        <v>244</v>
      </c>
      <c r="B6108" s="0" t="n">
        <v>2</v>
      </c>
      <c r="C6108" s="0" t="n">
        <v>1.5</v>
      </c>
      <c r="D6108" s="0" t="n">
        <v>0</v>
      </c>
    </row>
    <row r="6109" customFormat="false" ht="13.8" hidden="true" customHeight="false" outlineLevel="0" collapsed="false">
      <c r="A6109" s="0" t="s">
        <v>244</v>
      </c>
      <c r="B6109" s="0" t="n">
        <v>2</v>
      </c>
      <c r="C6109" s="0" t="n">
        <v>1.55</v>
      </c>
      <c r="D6109" s="0" t="n">
        <v>0</v>
      </c>
    </row>
    <row r="6110" customFormat="false" ht="13.8" hidden="true" customHeight="false" outlineLevel="0" collapsed="false">
      <c r="A6110" s="0" t="s">
        <v>244</v>
      </c>
      <c r="B6110" s="0" t="n">
        <v>2</v>
      </c>
      <c r="C6110" s="0" t="n">
        <v>1.6</v>
      </c>
      <c r="D6110" s="0" t="n">
        <v>0</v>
      </c>
    </row>
    <row r="6111" customFormat="false" ht="13.8" hidden="true" customHeight="false" outlineLevel="0" collapsed="false">
      <c r="A6111" s="0" t="s">
        <v>244</v>
      </c>
      <c r="B6111" s="0" t="n">
        <v>2</v>
      </c>
      <c r="C6111" s="0" t="n">
        <v>1.65</v>
      </c>
      <c r="D6111" s="0" t="n">
        <v>0</v>
      </c>
    </row>
    <row r="6112" customFormat="false" ht="13.8" hidden="true" customHeight="false" outlineLevel="0" collapsed="false">
      <c r="A6112" s="0" t="s">
        <v>244</v>
      </c>
      <c r="B6112" s="0" t="n">
        <v>2</v>
      </c>
      <c r="C6112" s="0" t="n">
        <v>1.7</v>
      </c>
      <c r="D6112" s="0" t="n">
        <v>0</v>
      </c>
    </row>
    <row r="6113" customFormat="false" ht="13.8" hidden="true" customHeight="false" outlineLevel="0" collapsed="false">
      <c r="A6113" s="0" t="s">
        <v>244</v>
      </c>
      <c r="B6113" s="0" t="n">
        <v>2</v>
      </c>
      <c r="C6113" s="0" t="n">
        <v>1.75</v>
      </c>
      <c r="D6113" s="0" t="n">
        <v>0</v>
      </c>
    </row>
    <row r="6114" customFormat="false" ht="13.8" hidden="true" customHeight="false" outlineLevel="0" collapsed="false">
      <c r="A6114" s="0" t="s">
        <v>244</v>
      </c>
      <c r="B6114" s="0" t="n">
        <v>2</v>
      </c>
      <c r="C6114" s="0" t="n">
        <v>1.8</v>
      </c>
      <c r="D6114" s="0" t="n">
        <v>0.206</v>
      </c>
    </row>
    <row r="6115" customFormat="false" ht="13.8" hidden="true" customHeight="false" outlineLevel="0" collapsed="false">
      <c r="A6115" s="0" t="s">
        <v>244</v>
      </c>
      <c r="B6115" s="0" t="n">
        <v>2</v>
      </c>
      <c r="C6115" s="0" t="n">
        <v>1.85</v>
      </c>
      <c r="D6115" s="0" t="n">
        <v>0.212</v>
      </c>
    </row>
    <row r="6116" customFormat="false" ht="13.8" hidden="true" customHeight="false" outlineLevel="0" collapsed="false">
      <c r="A6116" s="0" t="s">
        <v>244</v>
      </c>
      <c r="B6116" s="0" t="n">
        <v>2</v>
      </c>
      <c r="C6116" s="0" t="n">
        <v>1.9</v>
      </c>
      <c r="D6116" s="0" t="n">
        <v>0.218</v>
      </c>
    </row>
    <row r="6117" customFormat="false" ht="13.8" hidden="true" customHeight="false" outlineLevel="0" collapsed="false">
      <c r="A6117" s="0" t="s">
        <v>244</v>
      </c>
      <c r="B6117" s="0" t="n">
        <v>2</v>
      </c>
      <c r="C6117" s="0" t="n">
        <v>1.95</v>
      </c>
      <c r="D6117" s="0" t="n">
        <v>0.224</v>
      </c>
    </row>
    <row r="6118" customFormat="false" ht="13.8" hidden="true" customHeight="false" outlineLevel="0" collapsed="false">
      <c r="A6118" s="0" t="s">
        <v>244</v>
      </c>
      <c r="B6118" s="0" t="n">
        <v>2</v>
      </c>
      <c r="C6118" s="0" t="n">
        <v>2</v>
      </c>
      <c r="D6118" s="0" t="n">
        <v>0.235</v>
      </c>
    </row>
    <row r="6119" customFormat="false" ht="13.8" hidden="true" customHeight="false" outlineLevel="0" collapsed="false">
      <c r="A6119" s="0" t="s">
        <v>244</v>
      </c>
      <c r="B6119" s="0" t="n">
        <v>2</v>
      </c>
      <c r="C6119" s="0" t="n">
        <v>2.05</v>
      </c>
      <c r="D6119" s="0" t="n">
        <v>0.241</v>
      </c>
    </row>
    <row r="6120" customFormat="false" ht="13.8" hidden="true" customHeight="false" outlineLevel="0" collapsed="false">
      <c r="A6120" s="0" t="s">
        <v>244</v>
      </c>
      <c r="B6120" s="0" t="n">
        <v>2</v>
      </c>
      <c r="C6120" s="0" t="n">
        <v>2.1</v>
      </c>
      <c r="D6120" s="0" t="n">
        <v>0.246</v>
      </c>
    </row>
    <row r="6121" customFormat="false" ht="13.8" hidden="true" customHeight="false" outlineLevel="0" collapsed="false">
      <c r="A6121" s="0" t="s">
        <v>244</v>
      </c>
      <c r="B6121" s="0" t="n">
        <v>2</v>
      </c>
      <c r="C6121" s="0" t="n">
        <v>2.15</v>
      </c>
      <c r="D6121" s="0" t="n">
        <v>0.252292931</v>
      </c>
    </row>
    <row r="6122" customFormat="false" ht="13.8" hidden="true" customHeight="false" outlineLevel="0" collapsed="false">
      <c r="A6122" s="0" t="s">
        <v>244</v>
      </c>
      <c r="B6122" s="0" t="n">
        <v>2</v>
      </c>
      <c r="C6122" s="0" t="n">
        <v>2.2</v>
      </c>
      <c r="D6122" s="0" t="n">
        <v>0.258160209</v>
      </c>
    </row>
    <row r="6123" customFormat="false" ht="13.8" hidden="true" customHeight="false" outlineLevel="0" collapsed="false">
      <c r="A6123" s="0" t="s">
        <v>244</v>
      </c>
      <c r="B6123" s="0" t="n">
        <v>2</v>
      </c>
      <c r="C6123" s="0" t="n">
        <v>2.25</v>
      </c>
      <c r="D6123" s="0" t="n">
        <v>0</v>
      </c>
    </row>
    <row r="6124" customFormat="false" ht="13.8" hidden="true" customHeight="false" outlineLevel="0" collapsed="false">
      <c r="A6124" s="0" t="s">
        <v>244</v>
      </c>
      <c r="B6124" s="0" t="n">
        <v>2</v>
      </c>
      <c r="C6124" s="0" t="n">
        <v>2.3</v>
      </c>
      <c r="D6124" s="0" t="n">
        <v>0</v>
      </c>
    </row>
    <row r="6125" customFormat="false" ht="13.8" hidden="true" customHeight="false" outlineLevel="0" collapsed="false">
      <c r="A6125" s="0" t="s">
        <v>244</v>
      </c>
      <c r="B6125" s="0" t="n">
        <v>2</v>
      </c>
      <c r="C6125" s="0" t="n">
        <v>2.35</v>
      </c>
      <c r="D6125" s="0" t="n">
        <v>0</v>
      </c>
    </row>
    <row r="6126" customFormat="false" ht="13.8" hidden="true" customHeight="false" outlineLevel="0" collapsed="false">
      <c r="A6126" s="0" t="s">
        <v>244</v>
      </c>
      <c r="B6126" s="0" t="n">
        <v>2</v>
      </c>
      <c r="C6126" s="0" t="n">
        <v>2.4</v>
      </c>
      <c r="D6126" s="0" t="n">
        <v>0</v>
      </c>
    </row>
    <row r="6127" customFormat="false" ht="13.8" hidden="true" customHeight="false" outlineLevel="0" collapsed="false">
      <c r="A6127" s="0" t="s">
        <v>244</v>
      </c>
      <c r="B6127" s="0" t="n">
        <v>2</v>
      </c>
      <c r="C6127" s="0" t="n">
        <v>2.45</v>
      </c>
      <c r="D6127" s="0" t="n">
        <v>0</v>
      </c>
    </row>
    <row r="6128" customFormat="false" ht="13.8" hidden="true" customHeight="false" outlineLevel="0" collapsed="false">
      <c r="A6128" s="0" t="s">
        <v>244</v>
      </c>
      <c r="B6128" s="0" t="n">
        <v>2</v>
      </c>
      <c r="C6128" s="0" t="n">
        <v>2.5</v>
      </c>
      <c r="D6128" s="0" t="n">
        <v>0</v>
      </c>
    </row>
    <row r="6129" customFormat="false" ht="13.8" hidden="true" customHeight="false" outlineLevel="0" collapsed="false">
      <c r="A6129" s="0" t="s">
        <v>244</v>
      </c>
      <c r="B6129" s="0" t="n">
        <v>2</v>
      </c>
      <c r="C6129" s="0" t="n">
        <v>2.55</v>
      </c>
      <c r="D6129" s="0" t="n">
        <v>0</v>
      </c>
    </row>
    <row r="6130" customFormat="false" ht="13.8" hidden="true" customHeight="false" outlineLevel="0" collapsed="false">
      <c r="A6130" s="0" t="s">
        <v>244</v>
      </c>
      <c r="B6130" s="0" t="n">
        <v>2</v>
      </c>
      <c r="C6130" s="0" t="n">
        <v>2.6</v>
      </c>
      <c r="D6130" s="0" t="n">
        <v>0</v>
      </c>
    </row>
    <row r="6131" customFormat="false" ht="13.8" hidden="true" customHeight="false" outlineLevel="0" collapsed="false">
      <c r="A6131" s="0" t="s">
        <v>244</v>
      </c>
      <c r="B6131" s="0" t="n">
        <v>4</v>
      </c>
      <c r="C6131" s="0" t="n">
        <v>1.3</v>
      </c>
      <c r="D6131" s="0" t="n">
        <v>0</v>
      </c>
    </row>
    <row r="6132" customFormat="false" ht="13.8" hidden="true" customHeight="false" outlineLevel="0" collapsed="false">
      <c r="A6132" s="0" t="s">
        <v>244</v>
      </c>
      <c r="B6132" s="0" t="n">
        <v>4</v>
      </c>
      <c r="C6132" s="0" t="n">
        <v>1.35</v>
      </c>
      <c r="D6132" s="0" t="n">
        <v>0</v>
      </c>
    </row>
    <row r="6133" customFormat="false" ht="13.8" hidden="true" customHeight="false" outlineLevel="0" collapsed="false">
      <c r="A6133" s="0" t="s">
        <v>244</v>
      </c>
      <c r="B6133" s="0" t="n">
        <v>4</v>
      </c>
      <c r="C6133" s="0" t="n">
        <v>1.4</v>
      </c>
      <c r="D6133" s="0" t="n">
        <v>0</v>
      </c>
    </row>
    <row r="6134" customFormat="false" ht="13.8" hidden="true" customHeight="false" outlineLevel="0" collapsed="false">
      <c r="A6134" s="0" t="s">
        <v>244</v>
      </c>
      <c r="B6134" s="0" t="n">
        <v>4</v>
      </c>
      <c r="C6134" s="0" t="n">
        <v>1.45</v>
      </c>
      <c r="D6134" s="0" t="n">
        <v>0</v>
      </c>
    </row>
    <row r="6135" customFormat="false" ht="13.8" hidden="true" customHeight="false" outlineLevel="0" collapsed="false">
      <c r="A6135" s="0" t="s">
        <v>244</v>
      </c>
      <c r="B6135" s="0" t="n">
        <v>4</v>
      </c>
      <c r="C6135" s="0" t="n">
        <v>1.5</v>
      </c>
      <c r="D6135" s="0" t="n">
        <v>0</v>
      </c>
    </row>
    <row r="6136" customFormat="false" ht="13.8" hidden="true" customHeight="false" outlineLevel="0" collapsed="false">
      <c r="A6136" s="0" t="s">
        <v>244</v>
      </c>
      <c r="B6136" s="0" t="n">
        <v>4</v>
      </c>
      <c r="C6136" s="0" t="n">
        <v>1.55</v>
      </c>
      <c r="D6136" s="0" t="n">
        <v>0</v>
      </c>
    </row>
    <row r="6137" customFormat="false" ht="13.8" hidden="true" customHeight="false" outlineLevel="0" collapsed="false">
      <c r="A6137" s="0" t="s">
        <v>244</v>
      </c>
      <c r="B6137" s="0" t="n">
        <v>4</v>
      </c>
      <c r="C6137" s="0" t="n">
        <v>1.6</v>
      </c>
      <c r="D6137" s="0" t="n">
        <v>0</v>
      </c>
    </row>
    <row r="6138" customFormat="false" ht="13.8" hidden="true" customHeight="false" outlineLevel="0" collapsed="false">
      <c r="A6138" s="0" t="s">
        <v>244</v>
      </c>
      <c r="B6138" s="0" t="n">
        <v>4</v>
      </c>
      <c r="C6138" s="0" t="n">
        <v>1.65</v>
      </c>
      <c r="D6138" s="0" t="n">
        <v>0.189</v>
      </c>
    </row>
    <row r="6139" customFormat="false" ht="13.8" hidden="true" customHeight="false" outlineLevel="0" collapsed="false">
      <c r="A6139" s="0" t="s">
        <v>244</v>
      </c>
      <c r="B6139" s="0" t="n">
        <v>4</v>
      </c>
      <c r="C6139" s="0" t="n">
        <v>1.7</v>
      </c>
      <c r="D6139" s="0" t="n">
        <v>0.195</v>
      </c>
    </row>
    <row r="6140" customFormat="false" ht="13.8" hidden="true" customHeight="false" outlineLevel="0" collapsed="false">
      <c r="A6140" s="0" t="s">
        <v>244</v>
      </c>
      <c r="B6140" s="0" t="n">
        <v>4</v>
      </c>
      <c r="C6140" s="0" t="n">
        <v>1.75</v>
      </c>
      <c r="D6140" s="0" t="n">
        <v>0.201</v>
      </c>
    </row>
    <row r="6141" customFormat="false" ht="13.8" hidden="true" customHeight="false" outlineLevel="0" collapsed="false">
      <c r="A6141" s="0" t="s">
        <v>244</v>
      </c>
      <c r="B6141" s="0" t="n">
        <v>4</v>
      </c>
      <c r="C6141" s="0" t="n">
        <v>1.8</v>
      </c>
      <c r="D6141" s="0" t="n">
        <v>0.206</v>
      </c>
    </row>
    <row r="6142" customFormat="false" ht="13.8" hidden="true" customHeight="false" outlineLevel="0" collapsed="false">
      <c r="A6142" s="0" t="s">
        <v>244</v>
      </c>
      <c r="B6142" s="0" t="n">
        <v>4</v>
      </c>
      <c r="C6142" s="0" t="n">
        <v>1.85</v>
      </c>
      <c r="D6142" s="0" t="n">
        <v>0.212</v>
      </c>
    </row>
    <row r="6143" customFormat="false" ht="13.8" hidden="true" customHeight="false" outlineLevel="0" collapsed="false">
      <c r="A6143" s="0" t="s">
        <v>244</v>
      </c>
      <c r="B6143" s="0" t="n">
        <v>4</v>
      </c>
      <c r="C6143" s="0" t="n">
        <v>1.9</v>
      </c>
      <c r="D6143" s="0" t="n">
        <v>0.218</v>
      </c>
    </row>
    <row r="6144" customFormat="false" ht="13.8" hidden="true" customHeight="false" outlineLevel="0" collapsed="false">
      <c r="A6144" s="0" t="s">
        <v>244</v>
      </c>
      <c r="B6144" s="0" t="n">
        <v>4</v>
      </c>
      <c r="C6144" s="0" t="n">
        <v>1.95</v>
      </c>
      <c r="D6144" s="0" t="n">
        <v>0.224</v>
      </c>
    </row>
    <row r="6145" customFormat="false" ht="13.8" hidden="true" customHeight="false" outlineLevel="0" collapsed="false">
      <c r="A6145" s="0" t="s">
        <v>244</v>
      </c>
      <c r="B6145" s="0" t="n">
        <v>4</v>
      </c>
      <c r="C6145" s="0" t="n">
        <v>2</v>
      </c>
      <c r="D6145" s="0" t="n">
        <v>0.235</v>
      </c>
    </row>
    <row r="6146" customFormat="false" ht="13.8" hidden="true" customHeight="false" outlineLevel="0" collapsed="false">
      <c r="A6146" s="0" t="s">
        <v>244</v>
      </c>
      <c r="B6146" s="0" t="n">
        <v>4</v>
      </c>
      <c r="C6146" s="0" t="n">
        <v>2.05</v>
      </c>
      <c r="D6146" s="0" t="n">
        <v>0.241</v>
      </c>
    </row>
    <row r="6147" customFormat="false" ht="13.8" hidden="true" customHeight="false" outlineLevel="0" collapsed="false">
      <c r="A6147" s="0" t="s">
        <v>244</v>
      </c>
      <c r="B6147" s="0" t="n">
        <v>4</v>
      </c>
      <c r="C6147" s="0" t="n">
        <v>2.1</v>
      </c>
      <c r="D6147" s="0" t="n">
        <v>0.246</v>
      </c>
    </row>
    <row r="6148" customFormat="false" ht="13.8" hidden="true" customHeight="false" outlineLevel="0" collapsed="false">
      <c r="A6148" s="0" t="s">
        <v>244</v>
      </c>
      <c r="B6148" s="0" t="n">
        <v>4</v>
      </c>
      <c r="C6148" s="0" t="n">
        <v>2.15</v>
      </c>
      <c r="D6148" s="0" t="n">
        <v>0.252292931</v>
      </c>
    </row>
    <row r="6149" customFormat="false" ht="13.8" hidden="true" customHeight="false" outlineLevel="0" collapsed="false">
      <c r="A6149" s="0" t="s">
        <v>244</v>
      </c>
      <c r="B6149" s="0" t="n">
        <v>4</v>
      </c>
      <c r="C6149" s="0" t="n">
        <v>2.2</v>
      </c>
      <c r="D6149" s="0" t="n">
        <v>0.258160209</v>
      </c>
    </row>
    <row r="6150" customFormat="false" ht="13.8" hidden="true" customHeight="false" outlineLevel="0" collapsed="false">
      <c r="A6150" s="0" t="s">
        <v>244</v>
      </c>
      <c r="B6150" s="0" t="n">
        <v>4</v>
      </c>
      <c r="C6150" s="0" t="n">
        <v>2.25</v>
      </c>
      <c r="D6150" s="0" t="n">
        <v>0</v>
      </c>
    </row>
    <row r="6151" customFormat="false" ht="13.8" hidden="true" customHeight="false" outlineLevel="0" collapsed="false">
      <c r="A6151" s="0" t="s">
        <v>244</v>
      </c>
      <c r="B6151" s="0" t="n">
        <v>4</v>
      </c>
      <c r="C6151" s="0" t="n">
        <v>2.3</v>
      </c>
      <c r="D6151" s="0" t="n">
        <v>0</v>
      </c>
    </row>
    <row r="6152" customFormat="false" ht="13.8" hidden="true" customHeight="false" outlineLevel="0" collapsed="false">
      <c r="A6152" s="0" t="s">
        <v>244</v>
      </c>
      <c r="B6152" s="0" t="n">
        <v>4</v>
      </c>
      <c r="C6152" s="0" t="n">
        <v>2.35</v>
      </c>
      <c r="D6152" s="0" t="n">
        <v>0</v>
      </c>
    </row>
    <row r="6153" customFormat="false" ht="13.8" hidden="true" customHeight="false" outlineLevel="0" collapsed="false">
      <c r="A6153" s="0" t="s">
        <v>244</v>
      </c>
      <c r="B6153" s="0" t="n">
        <v>4</v>
      </c>
      <c r="C6153" s="0" t="n">
        <v>2.4</v>
      </c>
      <c r="D6153" s="0" t="n">
        <v>0</v>
      </c>
    </row>
    <row r="6154" customFormat="false" ht="13.8" hidden="true" customHeight="false" outlineLevel="0" collapsed="false">
      <c r="A6154" s="0" t="s">
        <v>244</v>
      </c>
      <c r="B6154" s="0" t="n">
        <v>4</v>
      </c>
      <c r="C6154" s="0" t="n">
        <v>2.45</v>
      </c>
      <c r="D6154" s="0" t="n">
        <v>0</v>
      </c>
    </row>
    <row r="6155" customFormat="false" ht="13.8" hidden="true" customHeight="false" outlineLevel="0" collapsed="false">
      <c r="A6155" s="0" t="s">
        <v>244</v>
      </c>
      <c r="B6155" s="0" t="n">
        <v>4</v>
      </c>
      <c r="C6155" s="0" t="n">
        <v>2.5</v>
      </c>
      <c r="D6155" s="0" t="n">
        <v>0</v>
      </c>
    </row>
    <row r="6156" customFormat="false" ht="13.8" hidden="true" customHeight="false" outlineLevel="0" collapsed="false">
      <c r="A6156" s="0" t="s">
        <v>244</v>
      </c>
      <c r="B6156" s="0" t="n">
        <v>4</v>
      </c>
      <c r="C6156" s="0" t="n">
        <v>2.55</v>
      </c>
      <c r="D6156" s="0" t="n">
        <v>0</v>
      </c>
    </row>
    <row r="6157" customFormat="false" ht="13.8" hidden="true" customHeight="false" outlineLevel="0" collapsed="false">
      <c r="A6157" s="0" t="s">
        <v>244</v>
      </c>
      <c r="B6157" s="0" t="n">
        <v>4</v>
      </c>
      <c r="C6157" s="0" t="n">
        <v>2.6</v>
      </c>
      <c r="D6157" s="0" t="n">
        <v>0</v>
      </c>
    </row>
    <row r="6158" customFormat="false" ht="13.8" hidden="true" customHeight="false" outlineLevel="0" collapsed="false">
      <c r="A6158" s="0" t="s">
        <v>866</v>
      </c>
      <c r="B6158" s="0" t="n">
        <v>1</v>
      </c>
      <c r="C6158" s="0" t="n">
        <v>1.3</v>
      </c>
      <c r="D6158" s="0" t="n">
        <v>0</v>
      </c>
    </row>
    <row r="6159" customFormat="false" ht="13.8" hidden="true" customHeight="false" outlineLevel="0" collapsed="false">
      <c r="A6159" s="0" t="s">
        <v>866</v>
      </c>
      <c r="B6159" s="0" t="n">
        <v>1</v>
      </c>
      <c r="C6159" s="0" t="n">
        <v>1.35</v>
      </c>
      <c r="D6159" s="0" t="n">
        <v>0</v>
      </c>
    </row>
    <row r="6160" customFormat="false" ht="13.8" hidden="true" customHeight="false" outlineLevel="0" collapsed="false">
      <c r="A6160" s="0" t="s">
        <v>866</v>
      </c>
      <c r="B6160" s="0" t="n">
        <v>1</v>
      </c>
      <c r="C6160" s="0" t="n">
        <v>1.4</v>
      </c>
      <c r="D6160" s="0" t="n">
        <v>0</v>
      </c>
    </row>
    <row r="6161" customFormat="false" ht="13.8" hidden="true" customHeight="false" outlineLevel="0" collapsed="false">
      <c r="A6161" s="0" t="s">
        <v>866</v>
      </c>
      <c r="B6161" s="0" t="n">
        <v>1</v>
      </c>
      <c r="C6161" s="0" t="n">
        <v>1.45</v>
      </c>
      <c r="D6161" s="0" t="n">
        <v>0</v>
      </c>
    </row>
    <row r="6162" customFormat="false" ht="13.8" hidden="true" customHeight="false" outlineLevel="0" collapsed="false">
      <c r="A6162" s="0" t="s">
        <v>866</v>
      </c>
      <c r="B6162" s="0" t="n">
        <v>1</v>
      </c>
      <c r="C6162" s="0" t="n">
        <v>1.5</v>
      </c>
      <c r="D6162" s="0" t="n">
        <v>0</v>
      </c>
    </row>
    <row r="6163" customFormat="false" ht="13.8" hidden="true" customHeight="false" outlineLevel="0" collapsed="false">
      <c r="A6163" s="0" t="s">
        <v>866</v>
      </c>
      <c r="B6163" s="0" t="n">
        <v>1</v>
      </c>
      <c r="C6163" s="0" t="n">
        <v>1.55</v>
      </c>
      <c r="D6163" s="0" t="n">
        <v>0</v>
      </c>
    </row>
    <row r="6164" customFormat="false" ht="13.8" hidden="true" customHeight="false" outlineLevel="0" collapsed="false">
      <c r="A6164" s="0" t="s">
        <v>866</v>
      </c>
      <c r="B6164" s="0" t="n">
        <v>1</v>
      </c>
      <c r="C6164" s="0" t="n">
        <v>1.6</v>
      </c>
      <c r="D6164" s="0" t="n">
        <v>0.184</v>
      </c>
    </row>
    <row r="6165" customFormat="false" ht="13.8" hidden="true" customHeight="false" outlineLevel="0" collapsed="false">
      <c r="A6165" s="0" t="s">
        <v>866</v>
      </c>
      <c r="B6165" s="0" t="n">
        <v>1</v>
      </c>
      <c r="C6165" s="0" t="n">
        <v>1.65</v>
      </c>
      <c r="D6165" s="0" t="n">
        <v>0.189</v>
      </c>
    </row>
    <row r="6166" customFormat="false" ht="13.8" hidden="true" customHeight="false" outlineLevel="0" collapsed="false">
      <c r="A6166" s="0" t="s">
        <v>866</v>
      </c>
      <c r="B6166" s="0" t="n">
        <v>1</v>
      </c>
      <c r="C6166" s="0" t="n">
        <v>1.7</v>
      </c>
      <c r="D6166" s="0" t="n">
        <v>0.195</v>
      </c>
    </row>
    <row r="6167" customFormat="false" ht="13.8" hidden="true" customHeight="false" outlineLevel="0" collapsed="false">
      <c r="A6167" s="0" t="s">
        <v>866</v>
      </c>
      <c r="B6167" s="0" t="n">
        <v>1</v>
      </c>
      <c r="C6167" s="0" t="n">
        <v>1.75</v>
      </c>
      <c r="D6167" s="0" t="n">
        <v>0.201</v>
      </c>
    </row>
    <row r="6168" customFormat="false" ht="13.8" hidden="true" customHeight="false" outlineLevel="0" collapsed="false">
      <c r="A6168" s="0" t="s">
        <v>866</v>
      </c>
      <c r="B6168" s="0" t="n">
        <v>1</v>
      </c>
      <c r="C6168" s="0" t="n">
        <v>1.8</v>
      </c>
      <c r="D6168" s="0" t="n">
        <v>0.206</v>
      </c>
    </row>
    <row r="6169" customFormat="false" ht="13.8" hidden="true" customHeight="false" outlineLevel="0" collapsed="false">
      <c r="A6169" s="0" t="s">
        <v>866</v>
      </c>
      <c r="B6169" s="0" t="n">
        <v>1</v>
      </c>
      <c r="C6169" s="0" t="n">
        <v>1.85</v>
      </c>
      <c r="D6169" s="0" t="n">
        <v>0.212</v>
      </c>
    </row>
    <row r="6170" customFormat="false" ht="13.8" hidden="true" customHeight="false" outlineLevel="0" collapsed="false">
      <c r="A6170" s="0" t="s">
        <v>866</v>
      </c>
      <c r="B6170" s="0" t="n">
        <v>1</v>
      </c>
      <c r="C6170" s="0" t="n">
        <v>1.9</v>
      </c>
      <c r="D6170" s="0" t="n">
        <v>0.218</v>
      </c>
    </row>
    <row r="6171" customFormat="false" ht="13.8" hidden="true" customHeight="false" outlineLevel="0" collapsed="false">
      <c r="A6171" s="0" t="s">
        <v>866</v>
      </c>
      <c r="B6171" s="0" t="n">
        <v>1</v>
      </c>
      <c r="C6171" s="0" t="n">
        <v>1.95</v>
      </c>
      <c r="D6171" s="0" t="n">
        <v>0.224</v>
      </c>
    </row>
    <row r="6172" customFormat="false" ht="13.8" hidden="true" customHeight="false" outlineLevel="0" collapsed="false">
      <c r="A6172" s="0" t="s">
        <v>866</v>
      </c>
      <c r="B6172" s="0" t="n">
        <v>1</v>
      </c>
      <c r="C6172" s="0" t="n">
        <v>2</v>
      </c>
      <c r="D6172" s="0" t="n">
        <v>0.235</v>
      </c>
    </row>
    <row r="6173" customFormat="false" ht="13.8" hidden="true" customHeight="false" outlineLevel="0" collapsed="false">
      <c r="A6173" s="0" t="s">
        <v>866</v>
      </c>
      <c r="B6173" s="0" t="n">
        <v>1</v>
      </c>
      <c r="C6173" s="0" t="n">
        <v>2.05</v>
      </c>
      <c r="D6173" s="0" t="n">
        <v>0.241</v>
      </c>
    </row>
    <row r="6174" customFormat="false" ht="13.8" hidden="true" customHeight="false" outlineLevel="0" collapsed="false">
      <c r="A6174" s="0" t="s">
        <v>866</v>
      </c>
      <c r="B6174" s="0" t="n">
        <v>1</v>
      </c>
      <c r="C6174" s="0" t="n">
        <v>2.1</v>
      </c>
      <c r="D6174" s="0" t="n">
        <v>0.246</v>
      </c>
    </row>
    <row r="6175" customFormat="false" ht="13.8" hidden="true" customHeight="false" outlineLevel="0" collapsed="false">
      <c r="A6175" s="0" t="s">
        <v>866</v>
      </c>
      <c r="B6175" s="0" t="n">
        <v>1</v>
      </c>
      <c r="C6175" s="0" t="n">
        <v>2.15</v>
      </c>
      <c r="D6175" s="0" t="n">
        <v>0.252292931</v>
      </c>
    </row>
    <row r="6176" customFormat="false" ht="13.8" hidden="true" customHeight="false" outlineLevel="0" collapsed="false">
      <c r="A6176" s="0" t="s">
        <v>866</v>
      </c>
      <c r="B6176" s="0" t="n">
        <v>1</v>
      </c>
      <c r="C6176" s="0" t="n">
        <v>2.2</v>
      </c>
      <c r="D6176" s="0" t="n">
        <v>0.258160209</v>
      </c>
    </row>
    <row r="6177" customFormat="false" ht="13.8" hidden="true" customHeight="false" outlineLevel="0" collapsed="false">
      <c r="A6177" s="0" t="s">
        <v>866</v>
      </c>
      <c r="B6177" s="0" t="n">
        <v>1</v>
      </c>
      <c r="C6177" s="0" t="n">
        <v>2.25</v>
      </c>
      <c r="D6177" s="0" t="n">
        <v>0</v>
      </c>
    </row>
    <row r="6178" customFormat="false" ht="13.8" hidden="true" customHeight="false" outlineLevel="0" collapsed="false">
      <c r="A6178" s="0" t="s">
        <v>866</v>
      </c>
      <c r="B6178" s="0" t="n">
        <v>1</v>
      </c>
      <c r="C6178" s="0" t="n">
        <v>2.3</v>
      </c>
      <c r="D6178" s="0" t="n">
        <v>0</v>
      </c>
    </row>
    <row r="6179" customFormat="false" ht="13.8" hidden="true" customHeight="false" outlineLevel="0" collapsed="false">
      <c r="A6179" s="0" t="s">
        <v>866</v>
      </c>
      <c r="B6179" s="0" t="n">
        <v>1</v>
      </c>
      <c r="C6179" s="0" t="n">
        <v>2.35</v>
      </c>
      <c r="D6179" s="0" t="n">
        <v>0</v>
      </c>
    </row>
    <row r="6180" customFormat="false" ht="13.8" hidden="true" customHeight="false" outlineLevel="0" collapsed="false">
      <c r="A6180" s="0" t="s">
        <v>866</v>
      </c>
      <c r="B6180" s="0" t="n">
        <v>1</v>
      </c>
      <c r="C6180" s="0" t="n">
        <v>2.4</v>
      </c>
      <c r="D6180" s="0" t="n">
        <v>0</v>
      </c>
    </row>
    <row r="6181" customFormat="false" ht="13.8" hidden="true" customHeight="false" outlineLevel="0" collapsed="false">
      <c r="A6181" s="0" t="s">
        <v>866</v>
      </c>
      <c r="B6181" s="0" t="n">
        <v>1</v>
      </c>
      <c r="C6181" s="0" t="n">
        <v>2.45</v>
      </c>
      <c r="D6181" s="0" t="n">
        <v>0</v>
      </c>
    </row>
    <row r="6182" customFormat="false" ht="13.8" hidden="true" customHeight="false" outlineLevel="0" collapsed="false">
      <c r="A6182" s="0" t="s">
        <v>866</v>
      </c>
      <c r="B6182" s="0" t="n">
        <v>1</v>
      </c>
      <c r="C6182" s="0" t="n">
        <v>2.5</v>
      </c>
      <c r="D6182" s="0" t="n">
        <v>0</v>
      </c>
    </row>
    <row r="6183" customFormat="false" ht="13.8" hidden="true" customHeight="false" outlineLevel="0" collapsed="false">
      <c r="A6183" s="0" t="s">
        <v>866</v>
      </c>
      <c r="B6183" s="0" t="n">
        <v>1</v>
      </c>
      <c r="C6183" s="0" t="n">
        <v>2.55</v>
      </c>
      <c r="D6183" s="0" t="n">
        <v>0</v>
      </c>
    </row>
    <row r="6184" customFormat="false" ht="13.8" hidden="true" customHeight="false" outlineLevel="0" collapsed="false">
      <c r="A6184" s="0" t="s">
        <v>866</v>
      </c>
      <c r="B6184" s="0" t="n">
        <v>1</v>
      </c>
      <c r="C6184" s="0" t="n">
        <v>2.6</v>
      </c>
      <c r="D6184" s="0" t="n">
        <v>0</v>
      </c>
    </row>
    <row r="6185" customFormat="false" ht="13.8" hidden="true" customHeight="false" outlineLevel="0" collapsed="false">
      <c r="A6185" s="0" t="s">
        <v>866</v>
      </c>
      <c r="B6185" s="0" t="n">
        <v>2</v>
      </c>
      <c r="C6185" s="0" t="n">
        <v>1.3</v>
      </c>
      <c r="D6185" s="0" t="n">
        <v>0</v>
      </c>
    </row>
    <row r="6186" customFormat="false" ht="13.8" hidden="true" customHeight="false" outlineLevel="0" collapsed="false">
      <c r="A6186" s="0" t="s">
        <v>866</v>
      </c>
      <c r="B6186" s="0" t="n">
        <v>2</v>
      </c>
      <c r="C6186" s="0" t="n">
        <v>1.35</v>
      </c>
      <c r="D6186" s="0" t="n">
        <v>0</v>
      </c>
    </row>
    <row r="6187" customFormat="false" ht="13.8" hidden="true" customHeight="false" outlineLevel="0" collapsed="false">
      <c r="A6187" s="0" t="s">
        <v>866</v>
      </c>
      <c r="B6187" s="0" t="n">
        <v>2</v>
      </c>
      <c r="C6187" s="0" t="n">
        <v>1.4</v>
      </c>
      <c r="D6187" s="0" t="n">
        <v>0</v>
      </c>
    </row>
    <row r="6188" customFormat="false" ht="13.8" hidden="true" customHeight="false" outlineLevel="0" collapsed="false">
      <c r="A6188" s="0" t="s">
        <v>866</v>
      </c>
      <c r="B6188" s="0" t="n">
        <v>2</v>
      </c>
      <c r="C6188" s="0" t="n">
        <v>1.45</v>
      </c>
      <c r="D6188" s="0" t="n">
        <v>0</v>
      </c>
    </row>
    <row r="6189" customFormat="false" ht="13.8" hidden="true" customHeight="false" outlineLevel="0" collapsed="false">
      <c r="A6189" s="0" t="s">
        <v>866</v>
      </c>
      <c r="B6189" s="0" t="n">
        <v>2</v>
      </c>
      <c r="C6189" s="0" t="n">
        <v>1.5</v>
      </c>
      <c r="D6189" s="0" t="n">
        <v>0</v>
      </c>
    </row>
    <row r="6190" customFormat="false" ht="13.8" hidden="true" customHeight="false" outlineLevel="0" collapsed="false">
      <c r="A6190" s="0" t="s">
        <v>866</v>
      </c>
      <c r="B6190" s="0" t="n">
        <v>2</v>
      </c>
      <c r="C6190" s="0" t="n">
        <v>1.55</v>
      </c>
      <c r="D6190" s="0" t="n">
        <v>0</v>
      </c>
    </row>
    <row r="6191" customFormat="false" ht="13.8" hidden="true" customHeight="false" outlineLevel="0" collapsed="false">
      <c r="A6191" s="0" t="s">
        <v>866</v>
      </c>
      <c r="B6191" s="0" t="n">
        <v>2</v>
      </c>
      <c r="C6191" s="0" t="n">
        <v>1.6</v>
      </c>
      <c r="D6191" s="0" t="n">
        <v>0.184</v>
      </c>
    </row>
    <row r="6192" customFormat="false" ht="13.8" hidden="true" customHeight="false" outlineLevel="0" collapsed="false">
      <c r="A6192" s="0" t="s">
        <v>866</v>
      </c>
      <c r="B6192" s="0" t="n">
        <v>2</v>
      </c>
      <c r="C6192" s="0" t="n">
        <v>1.65</v>
      </c>
      <c r="D6192" s="0" t="n">
        <v>0.189</v>
      </c>
    </row>
    <row r="6193" customFormat="false" ht="13.8" hidden="true" customHeight="false" outlineLevel="0" collapsed="false">
      <c r="A6193" s="0" t="s">
        <v>866</v>
      </c>
      <c r="B6193" s="0" t="n">
        <v>2</v>
      </c>
      <c r="C6193" s="0" t="n">
        <v>1.7</v>
      </c>
      <c r="D6193" s="0" t="n">
        <v>0.195</v>
      </c>
    </row>
    <row r="6194" customFormat="false" ht="13.8" hidden="true" customHeight="false" outlineLevel="0" collapsed="false">
      <c r="A6194" s="0" t="s">
        <v>866</v>
      </c>
      <c r="B6194" s="0" t="n">
        <v>2</v>
      </c>
      <c r="C6194" s="0" t="n">
        <v>1.75</v>
      </c>
      <c r="D6194" s="0" t="n">
        <v>0.201</v>
      </c>
    </row>
    <row r="6195" customFormat="false" ht="13.8" hidden="true" customHeight="false" outlineLevel="0" collapsed="false">
      <c r="A6195" s="0" t="s">
        <v>866</v>
      </c>
      <c r="B6195" s="0" t="n">
        <v>2</v>
      </c>
      <c r="C6195" s="0" t="n">
        <v>1.8</v>
      </c>
      <c r="D6195" s="0" t="n">
        <v>0.206</v>
      </c>
    </row>
    <row r="6196" customFormat="false" ht="13.8" hidden="true" customHeight="false" outlineLevel="0" collapsed="false">
      <c r="A6196" s="0" t="s">
        <v>866</v>
      </c>
      <c r="B6196" s="0" t="n">
        <v>2</v>
      </c>
      <c r="C6196" s="0" t="n">
        <v>1.85</v>
      </c>
      <c r="D6196" s="0" t="n">
        <v>0.212</v>
      </c>
    </row>
    <row r="6197" customFormat="false" ht="13.8" hidden="true" customHeight="false" outlineLevel="0" collapsed="false">
      <c r="A6197" s="0" t="s">
        <v>866</v>
      </c>
      <c r="B6197" s="0" t="n">
        <v>2</v>
      </c>
      <c r="C6197" s="0" t="n">
        <v>1.9</v>
      </c>
      <c r="D6197" s="0" t="n">
        <v>0.218</v>
      </c>
    </row>
    <row r="6198" customFormat="false" ht="13.8" hidden="true" customHeight="false" outlineLevel="0" collapsed="false">
      <c r="A6198" s="0" t="s">
        <v>866</v>
      </c>
      <c r="B6198" s="0" t="n">
        <v>2</v>
      </c>
      <c r="C6198" s="0" t="n">
        <v>1.95</v>
      </c>
      <c r="D6198" s="0" t="n">
        <v>0.224</v>
      </c>
    </row>
    <row r="6199" customFormat="false" ht="13.8" hidden="true" customHeight="false" outlineLevel="0" collapsed="false">
      <c r="A6199" s="0" t="s">
        <v>866</v>
      </c>
      <c r="B6199" s="0" t="n">
        <v>2</v>
      </c>
      <c r="C6199" s="0" t="n">
        <v>2</v>
      </c>
      <c r="D6199" s="0" t="n">
        <v>0.235</v>
      </c>
    </row>
    <row r="6200" customFormat="false" ht="13.8" hidden="true" customHeight="false" outlineLevel="0" collapsed="false">
      <c r="A6200" s="0" t="s">
        <v>866</v>
      </c>
      <c r="B6200" s="0" t="n">
        <v>2</v>
      </c>
      <c r="C6200" s="0" t="n">
        <v>2.05</v>
      </c>
      <c r="D6200" s="0" t="n">
        <v>0.241</v>
      </c>
    </row>
    <row r="6201" customFormat="false" ht="13.8" hidden="true" customHeight="false" outlineLevel="0" collapsed="false">
      <c r="A6201" s="0" t="s">
        <v>866</v>
      </c>
      <c r="B6201" s="0" t="n">
        <v>2</v>
      </c>
      <c r="C6201" s="0" t="n">
        <v>2.1</v>
      </c>
      <c r="D6201" s="0" t="n">
        <v>0.246</v>
      </c>
    </row>
    <row r="6202" customFormat="false" ht="13.8" hidden="true" customHeight="false" outlineLevel="0" collapsed="false">
      <c r="A6202" s="0" t="s">
        <v>866</v>
      </c>
      <c r="B6202" s="0" t="n">
        <v>2</v>
      </c>
      <c r="C6202" s="0" t="n">
        <v>2.15</v>
      </c>
      <c r="D6202" s="0" t="n">
        <v>0.252292931</v>
      </c>
    </row>
    <row r="6203" customFormat="false" ht="13.8" hidden="true" customHeight="false" outlineLevel="0" collapsed="false">
      <c r="A6203" s="0" t="s">
        <v>866</v>
      </c>
      <c r="B6203" s="0" t="n">
        <v>2</v>
      </c>
      <c r="C6203" s="0" t="n">
        <v>2.2</v>
      </c>
      <c r="D6203" s="0" t="n">
        <v>0.258160209</v>
      </c>
    </row>
    <row r="6204" customFormat="false" ht="13.8" hidden="true" customHeight="false" outlineLevel="0" collapsed="false">
      <c r="A6204" s="0" t="s">
        <v>866</v>
      </c>
      <c r="B6204" s="0" t="n">
        <v>2</v>
      </c>
      <c r="C6204" s="0" t="n">
        <v>2.25</v>
      </c>
      <c r="D6204" s="0" t="n">
        <v>0</v>
      </c>
    </row>
    <row r="6205" customFormat="false" ht="13.8" hidden="true" customHeight="false" outlineLevel="0" collapsed="false">
      <c r="A6205" s="0" t="s">
        <v>866</v>
      </c>
      <c r="B6205" s="0" t="n">
        <v>2</v>
      </c>
      <c r="C6205" s="0" t="n">
        <v>2.3</v>
      </c>
      <c r="D6205" s="0" t="n">
        <v>0</v>
      </c>
    </row>
    <row r="6206" customFormat="false" ht="13.8" hidden="true" customHeight="false" outlineLevel="0" collapsed="false">
      <c r="A6206" s="0" t="s">
        <v>866</v>
      </c>
      <c r="B6206" s="0" t="n">
        <v>2</v>
      </c>
      <c r="C6206" s="0" t="n">
        <v>2.35</v>
      </c>
      <c r="D6206" s="0" t="n">
        <v>0</v>
      </c>
    </row>
    <row r="6207" customFormat="false" ht="13.8" hidden="true" customHeight="false" outlineLevel="0" collapsed="false">
      <c r="A6207" s="0" t="s">
        <v>866</v>
      </c>
      <c r="B6207" s="0" t="n">
        <v>2</v>
      </c>
      <c r="C6207" s="0" t="n">
        <v>2.4</v>
      </c>
      <c r="D6207" s="0" t="n">
        <v>0</v>
      </c>
    </row>
    <row r="6208" customFormat="false" ht="13.8" hidden="true" customHeight="false" outlineLevel="0" collapsed="false">
      <c r="A6208" s="0" t="s">
        <v>866</v>
      </c>
      <c r="B6208" s="0" t="n">
        <v>2</v>
      </c>
      <c r="C6208" s="0" t="n">
        <v>2.45</v>
      </c>
      <c r="D6208" s="0" t="n">
        <v>0</v>
      </c>
    </row>
    <row r="6209" customFormat="false" ht="13.8" hidden="true" customHeight="false" outlineLevel="0" collapsed="false">
      <c r="A6209" s="0" t="s">
        <v>866</v>
      </c>
      <c r="B6209" s="0" t="n">
        <v>2</v>
      </c>
      <c r="C6209" s="0" t="n">
        <v>2.5</v>
      </c>
      <c r="D6209" s="0" t="n">
        <v>0</v>
      </c>
    </row>
    <row r="6210" customFormat="false" ht="13.8" hidden="true" customHeight="false" outlineLevel="0" collapsed="false">
      <c r="A6210" s="0" t="s">
        <v>866</v>
      </c>
      <c r="B6210" s="0" t="n">
        <v>2</v>
      </c>
      <c r="C6210" s="0" t="n">
        <v>2.55</v>
      </c>
      <c r="D6210" s="0" t="n">
        <v>0</v>
      </c>
    </row>
    <row r="6211" customFormat="false" ht="13.8" hidden="true" customHeight="false" outlineLevel="0" collapsed="false">
      <c r="A6211" s="0" t="s">
        <v>866</v>
      </c>
      <c r="B6211" s="0" t="n">
        <v>2</v>
      </c>
      <c r="C6211" s="0" t="n">
        <v>2.6</v>
      </c>
      <c r="D6211" s="0" t="n">
        <v>0</v>
      </c>
    </row>
    <row r="6212" customFormat="false" ht="13.8" hidden="true" customHeight="false" outlineLevel="0" collapsed="false">
      <c r="A6212" s="0" t="s">
        <v>866</v>
      </c>
      <c r="B6212" s="0" t="n">
        <v>4</v>
      </c>
      <c r="C6212" s="0" t="n">
        <v>1.3</v>
      </c>
      <c r="D6212" s="0" t="n">
        <v>0</v>
      </c>
    </row>
    <row r="6213" customFormat="false" ht="13.8" hidden="true" customHeight="false" outlineLevel="0" collapsed="false">
      <c r="A6213" s="0" t="s">
        <v>866</v>
      </c>
      <c r="B6213" s="0" t="n">
        <v>4</v>
      </c>
      <c r="C6213" s="0" t="n">
        <v>1.35</v>
      </c>
      <c r="D6213" s="0" t="n">
        <v>0</v>
      </c>
    </row>
    <row r="6214" customFormat="false" ht="13.8" hidden="true" customHeight="false" outlineLevel="0" collapsed="false">
      <c r="A6214" s="0" t="s">
        <v>866</v>
      </c>
      <c r="B6214" s="0" t="n">
        <v>4</v>
      </c>
      <c r="C6214" s="0" t="n">
        <v>1.4</v>
      </c>
      <c r="D6214" s="0" t="n">
        <v>0</v>
      </c>
    </row>
    <row r="6215" customFormat="false" ht="13.8" hidden="true" customHeight="false" outlineLevel="0" collapsed="false">
      <c r="A6215" s="0" t="s">
        <v>866</v>
      </c>
      <c r="B6215" s="0" t="n">
        <v>4</v>
      </c>
      <c r="C6215" s="0" t="n">
        <v>1.45</v>
      </c>
      <c r="D6215" s="0" t="n">
        <v>0</v>
      </c>
    </row>
    <row r="6216" customFormat="false" ht="13.8" hidden="true" customHeight="false" outlineLevel="0" collapsed="false">
      <c r="A6216" s="0" t="s">
        <v>866</v>
      </c>
      <c r="B6216" s="0" t="n">
        <v>4</v>
      </c>
      <c r="C6216" s="0" t="n">
        <v>1.5</v>
      </c>
      <c r="D6216" s="0" t="n">
        <v>0</v>
      </c>
    </row>
    <row r="6217" customFormat="false" ht="13.8" hidden="true" customHeight="false" outlineLevel="0" collapsed="false">
      <c r="A6217" s="0" t="s">
        <v>866</v>
      </c>
      <c r="B6217" s="0" t="n">
        <v>4</v>
      </c>
      <c r="C6217" s="0" t="n">
        <v>1.55</v>
      </c>
      <c r="D6217" s="0" t="n">
        <v>0</v>
      </c>
    </row>
    <row r="6218" customFormat="false" ht="13.8" hidden="true" customHeight="false" outlineLevel="0" collapsed="false">
      <c r="A6218" s="0" t="s">
        <v>866</v>
      </c>
      <c r="B6218" s="0" t="n">
        <v>4</v>
      </c>
      <c r="C6218" s="0" t="n">
        <v>1.6</v>
      </c>
      <c r="D6218" s="0" t="n">
        <v>0.184</v>
      </c>
    </row>
    <row r="6219" customFormat="false" ht="13.8" hidden="true" customHeight="false" outlineLevel="0" collapsed="false">
      <c r="A6219" s="0" t="s">
        <v>866</v>
      </c>
      <c r="B6219" s="0" t="n">
        <v>4</v>
      </c>
      <c r="C6219" s="0" t="n">
        <v>1.65</v>
      </c>
      <c r="D6219" s="0" t="n">
        <v>0.189</v>
      </c>
    </row>
    <row r="6220" customFormat="false" ht="13.8" hidden="true" customHeight="false" outlineLevel="0" collapsed="false">
      <c r="A6220" s="0" t="s">
        <v>866</v>
      </c>
      <c r="B6220" s="0" t="n">
        <v>4</v>
      </c>
      <c r="C6220" s="0" t="n">
        <v>1.7</v>
      </c>
      <c r="D6220" s="0" t="n">
        <v>0.195</v>
      </c>
    </row>
    <row r="6221" customFormat="false" ht="13.8" hidden="true" customHeight="false" outlineLevel="0" collapsed="false">
      <c r="A6221" s="0" t="s">
        <v>866</v>
      </c>
      <c r="B6221" s="0" t="n">
        <v>4</v>
      </c>
      <c r="C6221" s="0" t="n">
        <v>1.75</v>
      </c>
      <c r="D6221" s="0" t="n">
        <v>0.201</v>
      </c>
    </row>
    <row r="6222" customFormat="false" ht="13.8" hidden="true" customHeight="false" outlineLevel="0" collapsed="false">
      <c r="A6222" s="0" t="s">
        <v>866</v>
      </c>
      <c r="B6222" s="0" t="n">
        <v>4</v>
      </c>
      <c r="C6222" s="0" t="n">
        <v>1.8</v>
      </c>
      <c r="D6222" s="0" t="n">
        <v>0.206</v>
      </c>
    </row>
    <row r="6223" customFormat="false" ht="13.8" hidden="true" customHeight="false" outlineLevel="0" collapsed="false">
      <c r="A6223" s="0" t="s">
        <v>866</v>
      </c>
      <c r="B6223" s="0" t="n">
        <v>4</v>
      </c>
      <c r="C6223" s="0" t="n">
        <v>1.85</v>
      </c>
      <c r="D6223" s="0" t="n">
        <v>0.212</v>
      </c>
    </row>
    <row r="6224" customFormat="false" ht="13.8" hidden="true" customHeight="false" outlineLevel="0" collapsed="false">
      <c r="A6224" s="0" t="s">
        <v>866</v>
      </c>
      <c r="B6224" s="0" t="n">
        <v>4</v>
      </c>
      <c r="C6224" s="0" t="n">
        <v>1.9</v>
      </c>
      <c r="D6224" s="0" t="n">
        <v>0.218</v>
      </c>
    </row>
    <row r="6225" customFormat="false" ht="13.8" hidden="true" customHeight="false" outlineLevel="0" collapsed="false">
      <c r="A6225" s="0" t="s">
        <v>866</v>
      </c>
      <c r="B6225" s="0" t="n">
        <v>4</v>
      </c>
      <c r="C6225" s="0" t="n">
        <v>1.95</v>
      </c>
      <c r="D6225" s="0" t="n">
        <v>0.224</v>
      </c>
    </row>
    <row r="6226" customFormat="false" ht="13.8" hidden="true" customHeight="false" outlineLevel="0" collapsed="false">
      <c r="A6226" s="0" t="s">
        <v>866</v>
      </c>
      <c r="B6226" s="0" t="n">
        <v>4</v>
      </c>
      <c r="C6226" s="0" t="n">
        <v>2</v>
      </c>
      <c r="D6226" s="0" t="n">
        <v>0.235</v>
      </c>
    </row>
    <row r="6227" customFormat="false" ht="13.8" hidden="true" customHeight="false" outlineLevel="0" collapsed="false">
      <c r="A6227" s="0" t="s">
        <v>866</v>
      </c>
      <c r="B6227" s="0" t="n">
        <v>4</v>
      </c>
      <c r="C6227" s="0" t="n">
        <v>2.05</v>
      </c>
      <c r="D6227" s="0" t="n">
        <v>0.241</v>
      </c>
    </row>
    <row r="6228" customFormat="false" ht="13.8" hidden="true" customHeight="false" outlineLevel="0" collapsed="false">
      <c r="A6228" s="0" t="s">
        <v>866</v>
      </c>
      <c r="B6228" s="0" t="n">
        <v>4</v>
      </c>
      <c r="C6228" s="0" t="n">
        <v>2.1</v>
      </c>
      <c r="D6228" s="0" t="n">
        <v>0.246</v>
      </c>
    </row>
    <row r="6229" customFormat="false" ht="13.8" hidden="true" customHeight="false" outlineLevel="0" collapsed="false">
      <c r="A6229" s="0" t="s">
        <v>866</v>
      </c>
      <c r="B6229" s="0" t="n">
        <v>4</v>
      </c>
      <c r="C6229" s="0" t="n">
        <v>2.15</v>
      </c>
      <c r="D6229" s="0" t="n">
        <v>0.252292931</v>
      </c>
    </row>
    <row r="6230" customFormat="false" ht="13.8" hidden="true" customHeight="false" outlineLevel="0" collapsed="false">
      <c r="A6230" s="0" t="s">
        <v>866</v>
      </c>
      <c r="B6230" s="0" t="n">
        <v>4</v>
      </c>
      <c r="C6230" s="0" t="n">
        <v>2.2</v>
      </c>
      <c r="D6230" s="0" t="n">
        <v>0.258160209</v>
      </c>
    </row>
    <row r="6231" customFormat="false" ht="13.8" hidden="true" customHeight="false" outlineLevel="0" collapsed="false">
      <c r="A6231" s="0" t="s">
        <v>866</v>
      </c>
      <c r="B6231" s="0" t="n">
        <v>4</v>
      </c>
      <c r="C6231" s="0" t="n">
        <v>2.25</v>
      </c>
      <c r="D6231" s="0" t="n">
        <v>0</v>
      </c>
    </row>
    <row r="6232" customFormat="false" ht="13.8" hidden="true" customHeight="false" outlineLevel="0" collapsed="false">
      <c r="A6232" s="0" t="s">
        <v>866</v>
      </c>
      <c r="B6232" s="0" t="n">
        <v>4</v>
      </c>
      <c r="C6232" s="0" t="n">
        <v>2.3</v>
      </c>
      <c r="D6232" s="0" t="n">
        <v>0</v>
      </c>
    </row>
    <row r="6233" customFormat="false" ht="13.8" hidden="true" customHeight="false" outlineLevel="0" collapsed="false">
      <c r="A6233" s="0" t="s">
        <v>866</v>
      </c>
      <c r="B6233" s="0" t="n">
        <v>4</v>
      </c>
      <c r="C6233" s="0" t="n">
        <v>2.35</v>
      </c>
      <c r="D6233" s="0" t="n">
        <v>0</v>
      </c>
    </row>
    <row r="6234" customFormat="false" ht="13.8" hidden="true" customHeight="false" outlineLevel="0" collapsed="false">
      <c r="A6234" s="0" t="s">
        <v>866</v>
      </c>
      <c r="B6234" s="0" t="n">
        <v>4</v>
      </c>
      <c r="C6234" s="0" t="n">
        <v>2.4</v>
      </c>
      <c r="D6234" s="0" t="n">
        <v>0</v>
      </c>
    </row>
    <row r="6235" customFormat="false" ht="13.8" hidden="true" customHeight="false" outlineLevel="0" collapsed="false">
      <c r="A6235" s="0" t="s">
        <v>866</v>
      </c>
      <c r="B6235" s="0" t="n">
        <v>4</v>
      </c>
      <c r="C6235" s="0" t="n">
        <v>2.45</v>
      </c>
      <c r="D6235" s="0" t="n">
        <v>0</v>
      </c>
    </row>
    <row r="6236" customFormat="false" ht="13.8" hidden="true" customHeight="false" outlineLevel="0" collapsed="false">
      <c r="A6236" s="0" t="s">
        <v>866</v>
      </c>
      <c r="B6236" s="0" t="n">
        <v>4</v>
      </c>
      <c r="C6236" s="0" t="n">
        <v>2.5</v>
      </c>
      <c r="D6236" s="0" t="n">
        <v>0</v>
      </c>
    </row>
    <row r="6237" customFormat="false" ht="13.8" hidden="true" customHeight="false" outlineLevel="0" collapsed="false">
      <c r="A6237" s="0" t="s">
        <v>866</v>
      </c>
      <c r="B6237" s="0" t="n">
        <v>4</v>
      </c>
      <c r="C6237" s="0" t="n">
        <v>2.55</v>
      </c>
      <c r="D6237" s="0" t="n">
        <v>0</v>
      </c>
    </row>
    <row r="6238" customFormat="false" ht="13.8" hidden="true" customHeight="false" outlineLevel="0" collapsed="false">
      <c r="A6238" s="0" t="s">
        <v>866</v>
      </c>
      <c r="B6238" s="0" t="n">
        <v>4</v>
      </c>
      <c r="C6238" s="0" t="n">
        <v>2.6</v>
      </c>
      <c r="D6238" s="0" t="n">
        <v>0</v>
      </c>
    </row>
    <row r="6239" customFormat="false" ht="13.8" hidden="true" customHeight="false" outlineLevel="0" collapsed="false">
      <c r="A6239" s="0" t="s">
        <v>245</v>
      </c>
      <c r="B6239" s="0" t="n">
        <v>1</v>
      </c>
      <c r="C6239" s="0" t="n">
        <v>1.3</v>
      </c>
      <c r="D6239" s="0" t="n">
        <v>0</v>
      </c>
    </row>
    <row r="6240" customFormat="false" ht="13.8" hidden="true" customHeight="false" outlineLevel="0" collapsed="false">
      <c r="A6240" s="0" t="s">
        <v>245</v>
      </c>
      <c r="B6240" s="0" t="n">
        <v>1</v>
      </c>
      <c r="C6240" s="0" t="n">
        <v>1.35</v>
      </c>
      <c r="D6240" s="0" t="n">
        <v>0</v>
      </c>
    </row>
    <row r="6241" customFormat="false" ht="13.8" hidden="true" customHeight="false" outlineLevel="0" collapsed="false">
      <c r="A6241" s="0" t="s">
        <v>245</v>
      </c>
      <c r="B6241" s="0" t="n">
        <v>1</v>
      </c>
      <c r="C6241" s="0" t="n">
        <v>1.4</v>
      </c>
      <c r="D6241" s="0" t="n">
        <v>0</v>
      </c>
    </row>
    <row r="6242" customFormat="false" ht="13.8" hidden="true" customHeight="false" outlineLevel="0" collapsed="false">
      <c r="A6242" s="0" t="s">
        <v>245</v>
      </c>
      <c r="B6242" s="0" t="n">
        <v>1</v>
      </c>
      <c r="C6242" s="0" t="n">
        <v>1.45</v>
      </c>
      <c r="D6242" s="0" t="n">
        <v>0</v>
      </c>
    </row>
    <row r="6243" customFormat="false" ht="13.8" hidden="true" customHeight="false" outlineLevel="0" collapsed="false">
      <c r="A6243" s="0" t="s">
        <v>245</v>
      </c>
      <c r="B6243" s="0" t="n">
        <v>1</v>
      </c>
      <c r="C6243" s="0" t="n">
        <v>1.5</v>
      </c>
      <c r="D6243" s="0" t="n">
        <v>0</v>
      </c>
    </row>
    <row r="6244" customFormat="false" ht="13.8" hidden="true" customHeight="false" outlineLevel="0" collapsed="false">
      <c r="A6244" s="0" t="s">
        <v>245</v>
      </c>
      <c r="B6244" s="0" t="n">
        <v>1</v>
      </c>
      <c r="C6244" s="0" t="n">
        <v>1.55</v>
      </c>
      <c r="D6244" s="0" t="n">
        <v>0</v>
      </c>
    </row>
    <row r="6245" customFormat="false" ht="13.8" hidden="true" customHeight="false" outlineLevel="0" collapsed="false">
      <c r="A6245" s="0" t="s">
        <v>245</v>
      </c>
      <c r="B6245" s="0" t="n">
        <v>1</v>
      </c>
      <c r="C6245" s="0" t="n">
        <v>1.6</v>
      </c>
      <c r="D6245" s="0" t="n">
        <v>0.184</v>
      </c>
    </row>
    <row r="6246" customFormat="false" ht="13.8" hidden="true" customHeight="false" outlineLevel="0" collapsed="false">
      <c r="A6246" s="0" t="s">
        <v>245</v>
      </c>
      <c r="B6246" s="0" t="n">
        <v>1</v>
      </c>
      <c r="C6246" s="0" t="n">
        <v>1.65</v>
      </c>
      <c r="D6246" s="0" t="n">
        <v>0.189</v>
      </c>
    </row>
    <row r="6247" customFormat="false" ht="13.8" hidden="true" customHeight="false" outlineLevel="0" collapsed="false">
      <c r="A6247" s="0" t="s">
        <v>245</v>
      </c>
      <c r="B6247" s="0" t="n">
        <v>1</v>
      </c>
      <c r="C6247" s="0" t="n">
        <v>1.7</v>
      </c>
      <c r="D6247" s="0" t="n">
        <v>0.195</v>
      </c>
    </row>
    <row r="6248" customFormat="false" ht="13.8" hidden="true" customHeight="false" outlineLevel="0" collapsed="false">
      <c r="A6248" s="0" t="s">
        <v>245</v>
      </c>
      <c r="B6248" s="0" t="n">
        <v>1</v>
      </c>
      <c r="C6248" s="0" t="n">
        <v>1.75</v>
      </c>
      <c r="D6248" s="0" t="n">
        <v>0.201</v>
      </c>
    </row>
    <row r="6249" customFormat="false" ht="13.8" hidden="true" customHeight="false" outlineLevel="0" collapsed="false">
      <c r="A6249" s="0" t="s">
        <v>245</v>
      </c>
      <c r="B6249" s="0" t="n">
        <v>1</v>
      </c>
      <c r="C6249" s="0" t="n">
        <v>1.8</v>
      </c>
      <c r="D6249" s="0" t="n">
        <v>0.206</v>
      </c>
    </row>
    <row r="6250" customFormat="false" ht="13.8" hidden="true" customHeight="false" outlineLevel="0" collapsed="false">
      <c r="A6250" s="0" t="s">
        <v>245</v>
      </c>
      <c r="B6250" s="0" t="n">
        <v>1</v>
      </c>
      <c r="C6250" s="0" t="n">
        <v>1.85</v>
      </c>
      <c r="D6250" s="0" t="n">
        <v>0.212</v>
      </c>
    </row>
    <row r="6251" customFormat="false" ht="13.8" hidden="true" customHeight="false" outlineLevel="0" collapsed="false">
      <c r="A6251" s="0" t="s">
        <v>245</v>
      </c>
      <c r="B6251" s="0" t="n">
        <v>1</v>
      </c>
      <c r="C6251" s="0" t="n">
        <v>1.9</v>
      </c>
      <c r="D6251" s="0" t="n">
        <v>0.218</v>
      </c>
    </row>
    <row r="6252" customFormat="false" ht="13.8" hidden="true" customHeight="false" outlineLevel="0" collapsed="false">
      <c r="A6252" s="0" t="s">
        <v>245</v>
      </c>
      <c r="B6252" s="0" t="n">
        <v>1</v>
      </c>
      <c r="C6252" s="0" t="n">
        <v>1.95</v>
      </c>
      <c r="D6252" s="0" t="n">
        <v>0.224</v>
      </c>
    </row>
    <row r="6253" customFormat="false" ht="13.8" hidden="true" customHeight="false" outlineLevel="0" collapsed="false">
      <c r="A6253" s="0" t="s">
        <v>245</v>
      </c>
      <c r="B6253" s="0" t="n">
        <v>1</v>
      </c>
      <c r="C6253" s="0" t="n">
        <v>2</v>
      </c>
      <c r="D6253" s="0" t="n">
        <v>0.235</v>
      </c>
    </row>
    <row r="6254" customFormat="false" ht="13.8" hidden="true" customHeight="false" outlineLevel="0" collapsed="false">
      <c r="A6254" s="0" t="s">
        <v>245</v>
      </c>
      <c r="B6254" s="0" t="n">
        <v>1</v>
      </c>
      <c r="C6254" s="0" t="n">
        <v>2.05</v>
      </c>
      <c r="D6254" s="0" t="n">
        <v>0.241</v>
      </c>
    </row>
    <row r="6255" customFormat="false" ht="13.8" hidden="true" customHeight="false" outlineLevel="0" collapsed="false">
      <c r="A6255" s="0" t="s">
        <v>245</v>
      </c>
      <c r="B6255" s="0" t="n">
        <v>1</v>
      </c>
      <c r="C6255" s="0" t="n">
        <v>2.1</v>
      </c>
      <c r="D6255" s="0" t="n">
        <v>0.246</v>
      </c>
    </row>
    <row r="6256" customFormat="false" ht="13.8" hidden="true" customHeight="false" outlineLevel="0" collapsed="false">
      <c r="A6256" s="0" t="s">
        <v>245</v>
      </c>
      <c r="B6256" s="0" t="n">
        <v>1</v>
      </c>
      <c r="C6256" s="0" t="n">
        <v>2.15</v>
      </c>
      <c r="D6256" s="0" t="n">
        <v>0.252292931</v>
      </c>
    </row>
    <row r="6257" customFormat="false" ht="13.8" hidden="true" customHeight="false" outlineLevel="0" collapsed="false">
      <c r="A6257" s="0" t="s">
        <v>245</v>
      </c>
      <c r="B6257" s="0" t="n">
        <v>1</v>
      </c>
      <c r="C6257" s="0" t="n">
        <v>2.2</v>
      </c>
      <c r="D6257" s="0" t="n">
        <v>0.258160209</v>
      </c>
    </row>
    <row r="6258" customFormat="false" ht="13.8" hidden="true" customHeight="false" outlineLevel="0" collapsed="false">
      <c r="A6258" s="0" t="s">
        <v>245</v>
      </c>
      <c r="B6258" s="0" t="n">
        <v>1</v>
      </c>
      <c r="C6258" s="0" t="n">
        <v>2.25</v>
      </c>
      <c r="D6258" s="0" t="n">
        <v>0</v>
      </c>
    </row>
    <row r="6259" customFormat="false" ht="13.8" hidden="true" customHeight="false" outlineLevel="0" collapsed="false">
      <c r="A6259" s="0" t="s">
        <v>245</v>
      </c>
      <c r="B6259" s="0" t="n">
        <v>1</v>
      </c>
      <c r="C6259" s="0" t="n">
        <v>2.3</v>
      </c>
      <c r="D6259" s="0" t="n">
        <v>0</v>
      </c>
    </row>
    <row r="6260" customFormat="false" ht="13.8" hidden="true" customHeight="false" outlineLevel="0" collapsed="false">
      <c r="A6260" s="0" t="s">
        <v>245</v>
      </c>
      <c r="B6260" s="0" t="n">
        <v>1</v>
      </c>
      <c r="C6260" s="0" t="n">
        <v>2.35</v>
      </c>
      <c r="D6260" s="0" t="n">
        <v>0</v>
      </c>
    </row>
    <row r="6261" customFormat="false" ht="13.8" hidden="true" customHeight="false" outlineLevel="0" collapsed="false">
      <c r="A6261" s="0" t="s">
        <v>245</v>
      </c>
      <c r="B6261" s="0" t="n">
        <v>1</v>
      </c>
      <c r="C6261" s="0" t="n">
        <v>2.4</v>
      </c>
      <c r="D6261" s="0" t="n">
        <v>0</v>
      </c>
    </row>
    <row r="6262" customFormat="false" ht="13.8" hidden="true" customHeight="false" outlineLevel="0" collapsed="false">
      <c r="A6262" s="0" t="s">
        <v>245</v>
      </c>
      <c r="B6262" s="0" t="n">
        <v>1</v>
      </c>
      <c r="C6262" s="0" t="n">
        <v>2.45</v>
      </c>
      <c r="D6262" s="0" t="n">
        <v>0</v>
      </c>
    </row>
    <row r="6263" customFormat="false" ht="13.8" hidden="true" customHeight="false" outlineLevel="0" collapsed="false">
      <c r="A6263" s="0" t="s">
        <v>245</v>
      </c>
      <c r="B6263" s="0" t="n">
        <v>1</v>
      </c>
      <c r="C6263" s="0" t="n">
        <v>2.5</v>
      </c>
      <c r="D6263" s="0" t="n">
        <v>0</v>
      </c>
    </row>
    <row r="6264" customFormat="false" ht="13.8" hidden="true" customHeight="false" outlineLevel="0" collapsed="false">
      <c r="A6264" s="0" t="s">
        <v>245</v>
      </c>
      <c r="B6264" s="0" t="n">
        <v>1</v>
      </c>
      <c r="C6264" s="0" t="n">
        <v>2.55</v>
      </c>
      <c r="D6264" s="0" t="n">
        <v>0</v>
      </c>
    </row>
    <row r="6265" customFormat="false" ht="13.8" hidden="true" customHeight="false" outlineLevel="0" collapsed="false">
      <c r="A6265" s="0" t="s">
        <v>245</v>
      </c>
      <c r="B6265" s="0" t="n">
        <v>1</v>
      </c>
      <c r="C6265" s="0" t="n">
        <v>2.6</v>
      </c>
      <c r="D6265" s="0" t="n">
        <v>0</v>
      </c>
    </row>
    <row r="6266" customFormat="false" ht="13.8" hidden="true" customHeight="false" outlineLevel="0" collapsed="false">
      <c r="A6266" s="0" t="s">
        <v>245</v>
      </c>
      <c r="B6266" s="0" t="n">
        <v>2</v>
      </c>
      <c r="C6266" s="0" t="n">
        <v>1.3</v>
      </c>
      <c r="D6266" s="0" t="n">
        <v>0</v>
      </c>
    </row>
    <row r="6267" customFormat="false" ht="13.8" hidden="true" customHeight="false" outlineLevel="0" collapsed="false">
      <c r="A6267" s="0" t="s">
        <v>245</v>
      </c>
      <c r="B6267" s="0" t="n">
        <v>2</v>
      </c>
      <c r="C6267" s="0" t="n">
        <v>1.35</v>
      </c>
      <c r="D6267" s="0" t="n">
        <v>0</v>
      </c>
    </row>
    <row r="6268" customFormat="false" ht="13.8" hidden="true" customHeight="false" outlineLevel="0" collapsed="false">
      <c r="A6268" s="0" t="s">
        <v>245</v>
      </c>
      <c r="B6268" s="0" t="n">
        <v>2</v>
      </c>
      <c r="C6268" s="0" t="n">
        <v>1.4</v>
      </c>
      <c r="D6268" s="0" t="n">
        <v>0</v>
      </c>
    </row>
    <row r="6269" customFormat="false" ht="13.8" hidden="true" customHeight="false" outlineLevel="0" collapsed="false">
      <c r="A6269" s="0" t="s">
        <v>245</v>
      </c>
      <c r="B6269" s="0" t="n">
        <v>2</v>
      </c>
      <c r="C6269" s="0" t="n">
        <v>1.45</v>
      </c>
      <c r="D6269" s="0" t="n">
        <v>0</v>
      </c>
    </row>
    <row r="6270" customFormat="false" ht="13.8" hidden="true" customHeight="false" outlineLevel="0" collapsed="false">
      <c r="A6270" s="0" t="s">
        <v>245</v>
      </c>
      <c r="B6270" s="0" t="n">
        <v>2</v>
      </c>
      <c r="C6270" s="0" t="n">
        <v>1.5</v>
      </c>
      <c r="D6270" s="0" t="n">
        <v>0</v>
      </c>
    </row>
    <row r="6271" customFormat="false" ht="13.8" hidden="true" customHeight="false" outlineLevel="0" collapsed="false">
      <c r="A6271" s="0" t="s">
        <v>245</v>
      </c>
      <c r="B6271" s="0" t="n">
        <v>2</v>
      </c>
      <c r="C6271" s="0" t="n">
        <v>1.55</v>
      </c>
      <c r="D6271" s="0" t="n">
        <v>0</v>
      </c>
    </row>
    <row r="6272" customFormat="false" ht="13.8" hidden="true" customHeight="false" outlineLevel="0" collapsed="false">
      <c r="A6272" s="0" t="s">
        <v>245</v>
      </c>
      <c r="B6272" s="0" t="n">
        <v>2</v>
      </c>
      <c r="C6272" s="0" t="n">
        <v>1.6</v>
      </c>
      <c r="D6272" s="0" t="n">
        <v>0.184</v>
      </c>
    </row>
    <row r="6273" customFormat="false" ht="13.8" hidden="true" customHeight="false" outlineLevel="0" collapsed="false">
      <c r="A6273" s="0" t="s">
        <v>245</v>
      </c>
      <c r="B6273" s="0" t="n">
        <v>2</v>
      </c>
      <c r="C6273" s="0" t="n">
        <v>1.65</v>
      </c>
      <c r="D6273" s="0" t="n">
        <v>0.189</v>
      </c>
    </row>
    <row r="6274" customFormat="false" ht="13.8" hidden="true" customHeight="false" outlineLevel="0" collapsed="false">
      <c r="A6274" s="0" t="s">
        <v>245</v>
      </c>
      <c r="B6274" s="0" t="n">
        <v>2</v>
      </c>
      <c r="C6274" s="0" t="n">
        <v>1.7</v>
      </c>
      <c r="D6274" s="0" t="n">
        <v>0.195</v>
      </c>
    </row>
    <row r="6275" customFormat="false" ht="13.8" hidden="true" customHeight="false" outlineLevel="0" collapsed="false">
      <c r="A6275" s="0" t="s">
        <v>245</v>
      </c>
      <c r="B6275" s="0" t="n">
        <v>2</v>
      </c>
      <c r="C6275" s="0" t="n">
        <v>1.75</v>
      </c>
      <c r="D6275" s="0" t="n">
        <v>0.201</v>
      </c>
    </row>
    <row r="6276" customFormat="false" ht="13.8" hidden="true" customHeight="false" outlineLevel="0" collapsed="false">
      <c r="A6276" s="0" t="s">
        <v>245</v>
      </c>
      <c r="B6276" s="0" t="n">
        <v>2</v>
      </c>
      <c r="C6276" s="0" t="n">
        <v>1.8</v>
      </c>
      <c r="D6276" s="0" t="n">
        <v>0.206</v>
      </c>
    </row>
    <row r="6277" customFormat="false" ht="13.8" hidden="true" customHeight="false" outlineLevel="0" collapsed="false">
      <c r="A6277" s="0" t="s">
        <v>245</v>
      </c>
      <c r="B6277" s="0" t="n">
        <v>2</v>
      </c>
      <c r="C6277" s="0" t="n">
        <v>1.85</v>
      </c>
      <c r="D6277" s="0" t="n">
        <v>0.212</v>
      </c>
    </row>
    <row r="6278" customFormat="false" ht="13.8" hidden="true" customHeight="false" outlineLevel="0" collapsed="false">
      <c r="A6278" s="0" t="s">
        <v>245</v>
      </c>
      <c r="B6278" s="0" t="n">
        <v>2</v>
      </c>
      <c r="C6278" s="0" t="n">
        <v>1.9</v>
      </c>
      <c r="D6278" s="0" t="n">
        <v>0.218</v>
      </c>
    </row>
    <row r="6279" customFormat="false" ht="13.8" hidden="true" customHeight="false" outlineLevel="0" collapsed="false">
      <c r="A6279" s="0" t="s">
        <v>245</v>
      </c>
      <c r="B6279" s="0" t="n">
        <v>2</v>
      </c>
      <c r="C6279" s="0" t="n">
        <v>1.95</v>
      </c>
      <c r="D6279" s="0" t="n">
        <v>0.224</v>
      </c>
    </row>
    <row r="6280" customFormat="false" ht="13.8" hidden="true" customHeight="false" outlineLevel="0" collapsed="false">
      <c r="A6280" s="0" t="s">
        <v>245</v>
      </c>
      <c r="B6280" s="0" t="n">
        <v>2</v>
      </c>
      <c r="C6280" s="0" t="n">
        <v>2</v>
      </c>
      <c r="D6280" s="0" t="n">
        <v>0.235</v>
      </c>
    </row>
    <row r="6281" customFormat="false" ht="13.8" hidden="true" customHeight="false" outlineLevel="0" collapsed="false">
      <c r="A6281" s="0" t="s">
        <v>245</v>
      </c>
      <c r="B6281" s="0" t="n">
        <v>2</v>
      </c>
      <c r="C6281" s="0" t="n">
        <v>2.05</v>
      </c>
      <c r="D6281" s="0" t="n">
        <v>0.241</v>
      </c>
    </row>
    <row r="6282" customFormat="false" ht="13.8" hidden="true" customHeight="false" outlineLevel="0" collapsed="false">
      <c r="A6282" s="0" t="s">
        <v>245</v>
      </c>
      <c r="B6282" s="0" t="n">
        <v>2</v>
      </c>
      <c r="C6282" s="0" t="n">
        <v>2.1</v>
      </c>
      <c r="D6282" s="0" t="n">
        <v>0.246</v>
      </c>
    </row>
    <row r="6283" customFormat="false" ht="13.8" hidden="true" customHeight="false" outlineLevel="0" collapsed="false">
      <c r="A6283" s="0" t="s">
        <v>245</v>
      </c>
      <c r="B6283" s="0" t="n">
        <v>2</v>
      </c>
      <c r="C6283" s="0" t="n">
        <v>2.15</v>
      </c>
      <c r="D6283" s="0" t="n">
        <v>0.252292931</v>
      </c>
    </row>
    <row r="6284" customFormat="false" ht="13.8" hidden="true" customHeight="false" outlineLevel="0" collapsed="false">
      <c r="A6284" s="0" t="s">
        <v>245</v>
      </c>
      <c r="B6284" s="0" t="n">
        <v>2</v>
      </c>
      <c r="C6284" s="0" t="n">
        <v>2.2</v>
      </c>
      <c r="D6284" s="0" t="n">
        <v>0.258160209</v>
      </c>
    </row>
    <row r="6285" customFormat="false" ht="13.8" hidden="true" customHeight="false" outlineLevel="0" collapsed="false">
      <c r="A6285" s="0" t="s">
        <v>245</v>
      </c>
      <c r="B6285" s="0" t="n">
        <v>2</v>
      </c>
      <c r="C6285" s="0" t="n">
        <v>2.25</v>
      </c>
      <c r="D6285" s="0" t="n">
        <v>0</v>
      </c>
    </row>
    <row r="6286" customFormat="false" ht="13.8" hidden="true" customHeight="false" outlineLevel="0" collapsed="false">
      <c r="A6286" s="0" t="s">
        <v>245</v>
      </c>
      <c r="B6286" s="0" t="n">
        <v>2</v>
      </c>
      <c r="C6286" s="0" t="n">
        <v>2.3</v>
      </c>
      <c r="D6286" s="0" t="n">
        <v>0</v>
      </c>
    </row>
    <row r="6287" customFormat="false" ht="13.8" hidden="true" customHeight="false" outlineLevel="0" collapsed="false">
      <c r="A6287" s="0" t="s">
        <v>245</v>
      </c>
      <c r="B6287" s="0" t="n">
        <v>2</v>
      </c>
      <c r="C6287" s="0" t="n">
        <v>2.35</v>
      </c>
      <c r="D6287" s="0" t="n">
        <v>0</v>
      </c>
    </row>
    <row r="6288" customFormat="false" ht="13.8" hidden="true" customHeight="false" outlineLevel="0" collapsed="false">
      <c r="A6288" s="0" t="s">
        <v>245</v>
      </c>
      <c r="B6288" s="0" t="n">
        <v>2</v>
      </c>
      <c r="C6288" s="0" t="n">
        <v>2.4</v>
      </c>
      <c r="D6288" s="0" t="n">
        <v>0</v>
      </c>
    </row>
    <row r="6289" customFormat="false" ht="13.8" hidden="true" customHeight="false" outlineLevel="0" collapsed="false">
      <c r="A6289" s="0" t="s">
        <v>245</v>
      </c>
      <c r="B6289" s="0" t="n">
        <v>2</v>
      </c>
      <c r="C6289" s="0" t="n">
        <v>2.45</v>
      </c>
      <c r="D6289" s="0" t="n">
        <v>0</v>
      </c>
    </row>
    <row r="6290" customFormat="false" ht="13.8" hidden="true" customHeight="false" outlineLevel="0" collapsed="false">
      <c r="A6290" s="0" t="s">
        <v>245</v>
      </c>
      <c r="B6290" s="0" t="n">
        <v>2</v>
      </c>
      <c r="C6290" s="0" t="n">
        <v>2.5</v>
      </c>
      <c r="D6290" s="0" t="n">
        <v>0</v>
      </c>
    </row>
    <row r="6291" customFormat="false" ht="13.8" hidden="true" customHeight="false" outlineLevel="0" collapsed="false">
      <c r="A6291" s="0" t="s">
        <v>245</v>
      </c>
      <c r="B6291" s="0" t="n">
        <v>2</v>
      </c>
      <c r="C6291" s="0" t="n">
        <v>2.55</v>
      </c>
      <c r="D6291" s="0" t="n">
        <v>0</v>
      </c>
    </row>
    <row r="6292" customFormat="false" ht="13.8" hidden="true" customHeight="false" outlineLevel="0" collapsed="false">
      <c r="A6292" s="0" t="s">
        <v>245</v>
      </c>
      <c r="B6292" s="0" t="n">
        <v>2</v>
      </c>
      <c r="C6292" s="0" t="n">
        <v>2.6</v>
      </c>
      <c r="D6292" s="0" t="n">
        <v>0</v>
      </c>
    </row>
    <row r="6293" customFormat="false" ht="13.8" hidden="true" customHeight="false" outlineLevel="0" collapsed="false">
      <c r="A6293" s="0" t="s">
        <v>245</v>
      </c>
      <c r="B6293" s="0" t="n">
        <v>4</v>
      </c>
      <c r="C6293" s="0" t="n">
        <v>1.3</v>
      </c>
      <c r="D6293" s="0" t="n">
        <v>0</v>
      </c>
    </row>
    <row r="6294" customFormat="false" ht="13.8" hidden="true" customHeight="false" outlineLevel="0" collapsed="false">
      <c r="A6294" s="0" t="s">
        <v>245</v>
      </c>
      <c r="B6294" s="0" t="n">
        <v>4</v>
      </c>
      <c r="C6294" s="0" t="n">
        <v>1.35</v>
      </c>
      <c r="D6294" s="0" t="n">
        <v>0</v>
      </c>
    </row>
    <row r="6295" customFormat="false" ht="13.8" hidden="true" customHeight="false" outlineLevel="0" collapsed="false">
      <c r="A6295" s="0" t="s">
        <v>245</v>
      </c>
      <c r="B6295" s="0" t="n">
        <v>4</v>
      </c>
      <c r="C6295" s="0" t="n">
        <v>1.4</v>
      </c>
      <c r="D6295" s="0" t="n">
        <v>0</v>
      </c>
    </row>
    <row r="6296" customFormat="false" ht="13.8" hidden="true" customHeight="false" outlineLevel="0" collapsed="false">
      <c r="A6296" s="0" t="s">
        <v>245</v>
      </c>
      <c r="B6296" s="0" t="n">
        <v>4</v>
      </c>
      <c r="C6296" s="0" t="n">
        <v>1.45</v>
      </c>
      <c r="D6296" s="0" t="n">
        <v>0</v>
      </c>
    </row>
    <row r="6297" customFormat="false" ht="13.8" hidden="true" customHeight="false" outlineLevel="0" collapsed="false">
      <c r="A6297" s="0" t="s">
        <v>245</v>
      </c>
      <c r="B6297" s="0" t="n">
        <v>4</v>
      </c>
      <c r="C6297" s="0" t="n">
        <v>1.5</v>
      </c>
      <c r="D6297" s="0" t="n">
        <v>0</v>
      </c>
    </row>
    <row r="6298" customFormat="false" ht="13.8" hidden="true" customHeight="false" outlineLevel="0" collapsed="false">
      <c r="A6298" s="0" t="s">
        <v>245</v>
      </c>
      <c r="B6298" s="0" t="n">
        <v>4</v>
      </c>
      <c r="C6298" s="0" t="n">
        <v>1.55</v>
      </c>
      <c r="D6298" s="0" t="n">
        <v>0</v>
      </c>
    </row>
    <row r="6299" customFormat="false" ht="13.8" hidden="true" customHeight="false" outlineLevel="0" collapsed="false">
      <c r="A6299" s="0" t="s">
        <v>245</v>
      </c>
      <c r="B6299" s="0" t="n">
        <v>4</v>
      </c>
      <c r="C6299" s="0" t="n">
        <v>1.6</v>
      </c>
      <c r="D6299" s="0" t="n">
        <v>0.184</v>
      </c>
    </row>
    <row r="6300" customFormat="false" ht="13.8" hidden="true" customHeight="false" outlineLevel="0" collapsed="false">
      <c r="A6300" s="0" t="s">
        <v>245</v>
      </c>
      <c r="B6300" s="0" t="n">
        <v>4</v>
      </c>
      <c r="C6300" s="0" t="n">
        <v>1.65</v>
      </c>
      <c r="D6300" s="0" t="n">
        <v>0.189</v>
      </c>
    </row>
    <row r="6301" customFormat="false" ht="13.8" hidden="true" customHeight="false" outlineLevel="0" collapsed="false">
      <c r="A6301" s="0" t="s">
        <v>245</v>
      </c>
      <c r="B6301" s="0" t="n">
        <v>4</v>
      </c>
      <c r="C6301" s="0" t="n">
        <v>1.7</v>
      </c>
      <c r="D6301" s="0" t="n">
        <v>0.195</v>
      </c>
    </row>
    <row r="6302" customFormat="false" ht="13.8" hidden="true" customHeight="false" outlineLevel="0" collapsed="false">
      <c r="A6302" s="0" t="s">
        <v>245</v>
      </c>
      <c r="B6302" s="0" t="n">
        <v>4</v>
      </c>
      <c r="C6302" s="0" t="n">
        <v>1.75</v>
      </c>
      <c r="D6302" s="0" t="n">
        <v>0.201</v>
      </c>
    </row>
    <row r="6303" customFormat="false" ht="13.8" hidden="true" customHeight="false" outlineLevel="0" collapsed="false">
      <c r="A6303" s="0" t="s">
        <v>245</v>
      </c>
      <c r="B6303" s="0" t="n">
        <v>4</v>
      </c>
      <c r="C6303" s="0" t="n">
        <v>1.8</v>
      </c>
      <c r="D6303" s="0" t="n">
        <v>0.206</v>
      </c>
    </row>
    <row r="6304" customFormat="false" ht="13.8" hidden="true" customHeight="false" outlineLevel="0" collapsed="false">
      <c r="A6304" s="0" t="s">
        <v>245</v>
      </c>
      <c r="B6304" s="0" t="n">
        <v>4</v>
      </c>
      <c r="C6304" s="0" t="n">
        <v>1.85</v>
      </c>
      <c r="D6304" s="0" t="n">
        <v>0.212</v>
      </c>
    </row>
    <row r="6305" customFormat="false" ht="13.8" hidden="true" customHeight="false" outlineLevel="0" collapsed="false">
      <c r="A6305" s="0" t="s">
        <v>245</v>
      </c>
      <c r="B6305" s="0" t="n">
        <v>4</v>
      </c>
      <c r="C6305" s="0" t="n">
        <v>1.9</v>
      </c>
      <c r="D6305" s="0" t="n">
        <v>0.218</v>
      </c>
    </row>
    <row r="6306" customFormat="false" ht="13.8" hidden="true" customHeight="false" outlineLevel="0" collapsed="false">
      <c r="A6306" s="0" t="s">
        <v>245</v>
      </c>
      <c r="B6306" s="0" t="n">
        <v>4</v>
      </c>
      <c r="C6306" s="0" t="n">
        <v>1.95</v>
      </c>
      <c r="D6306" s="0" t="n">
        <v>0.224</v>
      </c>
    </row>
    <row r="6307" customFormat="false" ht="13.8" hidden="true" customHeight="false" outlineLevel="0" collapsed="false">
      <c r="A6307" s="0" t="s">
        <v>245</v>
      </c>
      <c r="B6307" s="0" t="n">
        <v>4</v>
      </c>
      <c r="C6307" s="0" t="n">
        <v>2</v>
      </c>
      <c r="D6307" s="0" t="n">
        <v>0.235</v>
      </c>
    </row>
    <row r="6308" customFormat="false" ht="13.8" hidden="true" customHeight="false" outlineLevel="0" collapsed="false">
      <c r="A6308" s="0" t="s">
        <v>245</v>
      </c>
      <c r="B6308" s="0" t="n">
        <v>4</v>
      </c>
      <c r="C6308" s="0" t="n">
        <v>2.05</v>
      </c>
      <c r="D6308" s="0" t="n">
        <v>0.241</v>
      </c>
    </row>
    <row r="6309" customFormat="false" ht="13.8" hidden="true" customHeight="false" outlineLevel="0" collapsed="false">
      <c r="A6309" s="0" t="s">
        <v>245</v>
      </c>
      <c r="B6309" s="0" t="n">
        <v>4</v>
      </c>
      <c r="C6309" s="0" t="n">
        <v>2.1</v>
      </c>
      <c r="D6309" s="0" t="n">
        <v>0.246</v>
      </c>
    </row>
    <row r="6310" customFormat="false" ht="13.8" hidden="true" customHeight="false" outlineLevel="0" collapsed="false">
      <c r="A6310" s="0" t="s">
        <v>245</v>
      </c>
      <c r="B6310" s="0" t="n">
        <v>4</v>
      </c>
      <c r="C6310" s="0" t="n">
        <v>2.15</v>
      </c>
      <c r="D6310" s="0" t="n">
        <v>0.252292931</v>
      </c>
    </row>
    <row r="6311" customFormat="false" ht="13.8" hidden="true" customHeight="false" outlineLevel="0" collapsed="false">
      <c r="A6311" s="0" t="s">
        <v>245</v>
      </c>
      <c r="B6311" s="0" t="n">
        <v>4</v>
      </c>
      <c r="C6311" s="0" t="n">
        <v>2.2</v>
      </c>
      <c r="D6311" s="0" t="n">
        <v>0.258160209</v>
      </c>
    </row>
    <row r="6312" customFormat="false" ht="13.8" hidden="true" customHeight="false" outlineLevel="0" collapsed="false">
      <c r="A6312" s="0" t="s">
        <v>245</v>
      </c>
      <c r="B6312" s="0" t="n">
        <v>4</v>
      </c>
      <c r="C6312" s="0" t="n">
        <v>2.25</v>
      </c>
      <c r="D6312" s="0" t="n">
        <v>0</v>
      </c>
    </row>
    <row r="6313" customFormat="false" ht="13.8" hidden="true" customHeight="false" outlineLevel="0" collapsed="false">
      <c r="A6313" s="0" t="s">
        <v>245</v>
      </c>
      <c r="B6313" s="0" t="n">
        <v>4</v>
      </c>
      <c r="C6313" s="0" t="n">
        <v>2.3</v>
      </c>
      <c r="D6313" s="0" t="n">
        <v>0</v>
      </c>
    </row>
    <row r="6314" customFormat="false" ht="13.8" hidden="true" customHeight="false" outlineLevel="0" collapsed="false">
      <c r="A6314" s="0" t="s">
        <v>245</v>
      </c>
      <c r="B6314" s="0" t="n">
        <v>4</v>
      </c>
      <c r="C6314" s="0" t="n">
        <v>2.35</v>
      </c>
      <c r="D6314" s="0" t="n">
        <v>0</v>
      </c>
    </row>
    <row r="6315" customFormat="false" ht="13.8" hidden="true" customHeight="false" outlineLevel="0" collapsed="false">
      <c r="A6315" s="0" t="s">
        <v>245</v>
      </c>
      <c r="B6315" s="0" t="n">
        <v>4</v>
      </c>
      <c r="C6315" s="0" t="n">
        <v>2.4</v>
      </c>
      <c r="D6315" s="0" t="n">
        <v>0</v>
      </c>
    </row>
    <row r="6316" customFormat="false" ht="13.8" hidden="true" customHeight="false" outlineLevel="0" collapsed="false">
      <c r="A6316" s="0" t="s">
        <v>245</v>
      </c>
      <c r="B6316" s="0" t="n">
        <v>4</v>
      </c>
      <c r="C6316" s="0" t="n">
        <v>2.45</v>
      </c>
      <c r="D6316" s="0" t="n">
        <v>0</v>
      </c>
    </row>
    <row r="6317" customFormat="false" ht="13.8" hidden="true" customHeight="false" outlineLevel="0" collapsed="false">
      <c r="A6317" s="0" t="s">
        <v>245</v>
      </c>
      <c r="B6317" s="0" t="n">
        <v>4</v>
      </c>
      <c r="C6317" s="0" t="n">
        <v>2.5</v>
      </c>
      <c r="D6317" s="0" t="n">
        <v>0</v>
      </c>
    </row>
    <row r="6318" customFormat="false" ht="13.8" hidden="true" customHeight="false" outlineLevel="0" collapsed="false">
      <c r="A6318" s="0" t="s">
        <v>245</v>
      </c>
      <c r="B6318" s="0" t="n">
        <v>4</v>
      </c>
      <c r="C6318" s="0" t="n">
        <v>2.55</v>
      </c>
      <c r="D6318" s="0" t="n">
        <v>0</v>
      </c>
    </row>
    <row r="6319" customFormat="false" ht="13.8" hidden="true" customHeight="false" outlineLevel="0" collapsed="false">
      <c r="A6319" s="0" t="s">
        <v>245</v>
      </c>
      <c r="B6319" s="0" t="n">
        <v>4</v>
      </c>
      <c r="C6319" s="0" t="n">
        <v>2.6</v>
      </c>
      <c r="D6319" s="0" t="n">
        <v>0</v>
      </c>
    </row>
    <row r="6320" customFormat="false" ht="13.8" hidden="true" customHeight="false" outlineLevel="0" collapsed="false">
      <c r="A6320" s="0" t="s">
        <v>873</v>
      </c>
      <c r="B6320" s="0" t="n">
        <v>1</v>
      </c>
      <c r="C6320" s="0" t="n">
        <v>1.3</v>
      </c>
      <c r="D6320" s="0" t="n">
        <v>0</v>
      </c>
    </row>
    <row r="6321" customFormat="false" ht="13.8" hidden="true" customHeight="false" outlineLevel="0" collapsed="false">
      <c r="A6321" s="0" t="s">
        <v>873</v>
      </c>
      <c r="B6321" s="0" t="n">
        <v>1</v>
      </c>
      <c r="C6321" s="0" t="n">
        <v>1.35</v>
      </c>
      <c r="D6321" s="0" t="n">
        <v>0</v>
      </c>
    </row>
    <row r="6322" customFormat="false" ht="13.8" hidden="true" customHeight="false" outlineLevel="0" collapsed="false">
      <c r="A6322" s="0" t="s">
        <v>873</v>
      </c>
      <c r="B6322" s="0" t="n">
        <v>1</v>
      </c>
      <c r="C6322" s="0" t="n">
        <v>1.4</v>
      </c>
      <c r="D6322" s="0" t="n">
        <v>0.161</v>
      </c>
    </row>
    <row r="6323" customFormat="false" ht="13.8" hidden="true" customHeight="false" outlineLevel="0" collapsed="false">
      <c r="A6323" s="0" t="s">
        <v>873</v>
      </c>
      <c r="B6323" s="0" t="n">
        <v>1</v>
      </c>
      <c r="C6323" s="0" t="n">
        <v>1.45</v>
      </c>
      <c r="D6323" s="0" t="n">
        <v>0.166</v>
      </c>
    </row>
    <row r="6324" customFormat="false" ht="13.8" hidden="true" customHeight="false" outlineLevel="0" collapsed="false">
      <c r="A6324" s="0" t="s">
        <v>873</v>
      </c>
      <c r="B6324" s="0" t="n">
        <v>1</v>
      </c>
      <c r="C6324" s="0" t="n">
        <v>1.5</v>
      </c>
      <c r="D6324" s="0" t="n">
        <v>0.172</v>
      </c>
    </row>
    <row r="6325" customFormat="false" ht="13.8" hidden="true" customHeight="false" outlineLevel="0" collapsed="false">
      <c r="A6325" s="0" t="s">
        <v>873</v>
      </c>
      <c r="B6325" s="0" t="n">
        <v>1</v>
      </c>
      <c r="C6325" s="0" t="n">
        <v>1.55</v>
      </c>
      <c r="D6325" s="0" t="n">
        <v>0.178</v>
      </c>
    </row>
    <row r="6326" customFormat="false" ht="13.8" hidden="true" customHeight="false" outlineLevel="0" collapsed="false">
      <c r="A6326" s="0" t="s">
        <v>873</v>
      </c>
      <c r="B6326" s="0" t="n">
        <v>1</v>
      </c>
      <c r="C6326" s="0" t="n">
        <v>1.6</v>
      </c>
      <c r="D6326" s="0" t="n">
        <v>0.184</v>
      </c>
    </row>
    <row r="6327" customFormat="false" ht="13.8" hidden="true" customHeight="false" outlineLevel="0" collapsed="false">
      <c r="A6327" s="0" t="s">
        <v>873</v>
      </c>
      <c r="B6327" s="0" t="n">
        <v>1</v>
      </c>
      <c r="C6327" s="0" t="n">
        <v>1.65</v>
      </c>
      <c r="D6327" s="0" t="n">
        <v>0.189</v>
      </c>
    </row>
    <row r="6328" customFormat="false" ht="13.8" hidden="true" customHeight="false" outlineLevel="0" collapsed="false">
      <c r="A6328" s="0" t="s">
        <v>873</v>
      </c>
      <c r="B6328" s="0" t="n">
        <v>1</v>
      </c>
      <c r="C6328" s="0" t="n">
        <v>1.7</v>
      </c>
      <c r="D6328" s="0" t="n">
        <v>0.195</v>
      </c>
    </row>
    <row r="6329" customFormat="false" ht="13.8" hidden="true" customHeight="false" outlineLevel="0" collapsed="false">
      <c r="A6329" s="0" t="s">
        <v>873</v>
      </c>
      <c r="B6329" s="0" t="n">
        <v>1</v>
      </c>
      <c r="C6329" s="0" t="n">
        <v>1.75</v>
      </c>
      <c r="D6329" s="0" t="n">
        <v>0.201</v>
      </c>
    </row>
    <row r="6330" customFormat="false" ht="13.8" hidden="true" customHeight="false" outlineLevel="0" collapsed="false">
      <c r="A6330" s="0" t="s">
        <v>873</v>
      </c>
      <c r="B6330" s="0" t="n">
        <v>1</v>
      </c>
      <c r="C6330" s="0" t="n">
        <v>1.8</v>
      </c>
      <c r="D6330" s="0" t="n">
        <v>0</v>
      </c>
    </row>
    <row r="6331" customFormat="false" ht="13.8" hidden="true" customHeight="false" outlineLevel="0" collapsed="false">
      <c r="A6331" s="0" t="s">
        <v>873</v>
      </c>
      <c r="B6331" s="0" t="n">
        <v>1</v>
      </c>
      <c r="C6331" s="0" t="n">
        <v>1.85</v>
      </c>
      <c r="D6331" s="0" t="n">
        <v>0</v>
      </c>
    </row>
    <row r="6332" customFormat="false" ht="13.8" hidden="true" customHeight="false" outlineLevel="0" collapsed="false">
      <c r="A6332" s="0" t="s">
        <v>873</v>
      </c>
      <c r="B6332" s="0" t="n">
        <v>1</v>
      </c>
      <c r="C6332" s="0" t="n">
        <v>1.9</v>
      </c>
      <c r="D6332" s="0" t="n">
        <v>0</v>
      </c>
    </row>
    <row r="6333" customFormat="false" ht="13.8" hidden="true" customHeight="false" outlineLevel="0" collapsed="false">
      <c r="A6333" s="0" t="s">
        <v>873</v>
      </c>
      <c r="B6333" s="0" t="n">
        <v>1</v>
      </c>
      <c r="C6333" s="0" t="n">
        <v>1.95</v>
      </c>
      <c r="D6333" s="0" t="n">
        <v>0</v>
      </c>
    </row>
    <row r="6334" customFormat="false" ht="13.8" hidden="true" customHeight="false" outlineLevel="0" collapsed="false">
      <c r="A6334" s="0" t="s">
        <v>873</v>
      </c>
      <c r="B6334" s="0" t="n">
        <v>1</v>
      </c>
      <c r="C6334" s="0" t="n">
        <v>2</v>
      </c>
      <c r="D6334" s="0" t="n">
        <v>0</v>
      </c>
    </row>
    <row r="6335" customFormat="false" ht="13.8" hidden="true" customHeight="false" outlineLevel="0" collapsed="false">
      <c r="A6335" s="0" t="s">
        <v>873</v>
      </c>
      <c r="B6335" s="0" t="n">
        <v>1</v>
      </c>
      <c r="C6335" s="0" t="n">
        <v>2.05</v>
      </c>
      <c r="D6335" s="0" t="n">
        <v>0</v>
      </c>
    </row>
    <row r="6336" customFormat="false" ht="13.8" hidden="true" customHeight="false" outlineLevel="0" collapsed="false">
      <c r="A6336" s="0" t="s">
        <v>873</v>
      </c>
      <c r="B6336" s="0" t="n">
        <v>1</v>
      </c>
      <c r="C6336" s="0" t="n">
        <v>2.1</v>
      </c>
      <c r="D6336" s="0" t="n">
        <v>0</v>
      </c>
    </row>
    <row r="6337" customFormat="false" ht="13.8" hidden="true" customHeight="false" outlineLevel="0" collapsed="false">
      <c r="A6337" s="0" t="s">
        <v>873</v>
      </c>
      <c r="B6337" s="0" t="n">
        <v>1</v>
      </c>
      <c r="C6337" s="0" t="n">
        <v>2.15</v>
      </c>
      <c r="D6337" s="0" t="n">
        <v>0</v>
      </c>
    </row>
    <row r="6338" customFormat="false" ht="13.8" hidden="true" customHeight="false" outlineLevel="0" collapsed="false">
      <c r="A6338" s="0" t="s">
        <v>873</v>
      </c>
      <c r="B6338" s="0" t="n">
        <v>1</v>
      </c>
      <c r="C6338" s="0" t="n">
        <v>2.2</v>
      </c>
      <c r="D6338" s="0" t="n">
        <v>0</v>
      </c>
    </row>
    <row r="6339" customFormat="false" ht="13.8" hidden="true" customHeight="false" outlineLevel="0" collapsed="false">
      <c r="A6339" s="0" t="s">
        <v>873</v>
      </c>
      <c r="B6339" s="0" t="n">
        <v>1</v>
      </c>
      <c r="C6339" s="0" t="n">
        <v>2.25</v>
      </c>
      <c r="D6339" s="0" t="n">
        <v>0</v>
      </c>
    </row>
    <row r="6340" customFormat="false" ht="13.8" hidden="true" customHeight="false" outlineLevel="0" collapsed="false">
      <c r="A6340" s="0" t="s">
        <v>873</v>
      </c>
      <c r="B6340" s="0" t="n">
        <v>1</v>
      </c>
      <c r="C6340" s="0" t="n">
        <v>2.3</v>
      </c>
      <c r="D6340" s="0" t="n">
        <v>0</v>
      </c>
    </row>
    <row r="6341" customFormat="false" ht="13.8" hidden="true" customHeight="false" outlineLevel="0" collapsed="false">
      <c r="A6341" s="0" t="s">
        <v>873</v>
      </c>
      <c r="B6341" s="0" t="n">
        <v>1</v>
      </c>
      <c r="C6341" s="0" t="n">
        <v>2.35</v>
      </c>
      <c r="D6341" s="0" t="n">
        <v>0</v>
      </c>
    </row>
    <row r="6342" customFormat="false" ht="13.8" hidden="true" customHeight="false" outlineLevel="0" collapsed="false">
      <c r="A6342" s="0" t="s">
        <v>873</v>
      </c>
      <c r="B6342" s="0" t="n">
        <v>1</v>
      </c>
      <c r="C6342" s="0" t="n">
        <v>2.4</v>
      </c>
      <c r="D6342" s="0" t="n">
        <v>0</v>
      </c>
    </row>
    <row r="6343" customFormat="false" ht="13.8" hidden="true" customHeight="false" outlineLevel="0" collapsed="false">
      <c r="A6343" s="0" t="s">
        <v>873</v>
      </c>
      <c r="B6343" s="0" t="n">
        <v>1</v>
      </c>
      <c r="C6343" s="0" t="n">
        <v>2.45</v>
      </c>
      <c r="D6343" s="0" t="n">
        <v>0</v>
      </c>
    </row>
    <row r="6344" customFormat="false" ht="13.8" hidden="true" customHeight="false" outlineLevel="0" collapsed="false">
      <c r="A6344" s="0" t="s">
        <v>873</v>
      </c>
      <c r="B6344" s="0" t="n">
        <v>1</v>
      </c>
      <c r="C6344" s="0" t="n">
        <v>2.5</v>
      </c>
      <c r="D6344" s="0" t="n">
        <v>0</v>
      </c>
    </row>
    <row r="6345" customFormat="false" ht="13.8" hidden="true" customHeight="false" outlineLevel="0" collapsed="false">
      <c r="A6345" s="0" t="s">
        <v>873</v>
      </c>
      <c r="B6345" s="0" t="n">
        <v>1</v>
      </c>
      <c r="C6345" s="0" t="n">
        <v>2.55</v>
      </c>
      <c r="D6345" s="0" t="n">
        <v>0</v>
      </c>
    </row>
    <row r="6346" customFormat="false" ht="13.8" hidden="true" customHeight="false" outlineLevel="0" collapsed="false">
      <c r="A6346" s="0" t="s">
        <v>873</v>
      </c>
      <c r="B6346" s="0" t="n">
        <v>1</v>
      </c>
      <c r="C6346" s="0" t="n">
        <v>2.6</v>
      </c>
      <c r="D6346" s="0" t="n">
        <v>0</v>
      </c>
    </row>
    <row r="6347" customFormat="false" ht="13.8" hidden="true" customHeight="false" outlineLevel="0" collapsed="false">
      <c r="A6347" s="0" t="s">
        <v>873</v>
      </c>
      <c r="B6347" s="0" t="n">
        <v>2</v>
      </c>
      <c r="C6347" s="0" t="n">
        <v>1.3</v>
      </c>
      <c r="D6347" s="0" t="n">
        <v>0</v>
      </c>
    </row>
    <row r="6348" customFormat="false" ht="13.8" hidden="true" customHeight="false" outlineLevel="0" collapsed="false">
      <c r="A6348" s="0" t="s">
        <v>873</v>
      </c>
      <c r="B6348" s="0" t="n">
        <v>2</v>
      </c>
      <c r="C6348" s="0" t="n">
        <v>1.35</v>
      </c>
      <c r="D6348" s="0" t="n">
        <v>0</v>
      </c>
    </row>
    <row r="6349" customFormat="false" ht="13.8" hidden="true" customHeight="false" outlineLevel="0" collapsed="false">
      <c r="A6349" s="0" t="s">
        <v>873</v>
      </c>
      <c r="B6349" s="0" t="n">
        <v>2</v>
      </c>
      <c r="C6349" s="0" t="n">
        <v>1.4</v>
      </c>
      <c r="D6349" s="0" t="n">
        <v>0</v>
      </c>
    </row>
    <row r="6350" customFormat="false" ht="13.8" hidden="true" customHeight="false" outlineLevel="0" collapsed="false">
      <c r="A6350" s="0" t="s">
        <v>873</v>
      </c>
      <c r="B6350" s="0" t="n">
        <v>2</v>
      </c>
      <c r="C6350" s="0" t="n">
        <v>1.45</v>
      </c>
      <c r="D6350" s="0" t="n">
        <v>0</v>
      </c>
    </row>
    <row r="6351" customFormat="false" ht="13.8" hidden="true" customHeight="false" outlineLevel="0" collapsed="false">
      <c r="A6351" s="0" t="s">
        <v>873</v>
      </c>
      <c r="B6351" s="0" t="n">
        <v>2</v>
      </c>
      <c r="C6351" s="0" t="n">
        <v>1.5</v>
      </c>
      <c r="D6351" s="0" t="n">
        <v>0</v>
      </c>
    </row>
    <row r="6352" customFormat="false" ht="13.8" hidden="true" customHeight="false" outlineLevel="0" collapsed="false">
      <c r="A6352" s="0" t="s">
        <v>873</v>
      </c>
      <c r="B6352" s="0" t="n">
        <v>2</v>
      </c>
      <c r="C6352" s="0" t="n">
        <v>1.55</v>
      </c>
      <c r="D6352" s="0" t="n">
        <v>0</v>
      </c>
    </row>
    <row r="6353" customFormat="false" ht="13.8" hidden="true" customHeight="false" outlineLevel="0" collapsed="false">
      <c r="A6353" s="0" t="s">
        <v>873</v>
      </c>
      <c r="B6353" s="0" t="n">
        <v>2</v>
      </c>
      <c r="C6353" s="0" t="n">
        <v>1.6</v>
      </c>
      <c r="D6353" s="0" t="n">
        <v>0.184</v>
      </c>
    </row>
    <row r="6354" customFormat="false" ht="13.8" hidden="true" customHeight="false" outlineLevel="0" collapsed="false">
      <c r="A6354" s="0" t="s">
        <v>873</v>
      </c>
      <c r="B6354" s="0" t="n">
        <v>2</v>
      </c>
      <c r="C6354" s="0" t="n">
        <v>1.65</v>
      </c>
      <c r="D6354" s="0" t="n">
        <v>0.189</v>
      </c>
    </row>
    <row r="6355" customFormat="false" ht="13.8" hidden="true" customHeight="false" outlineLevel="0" collapsed="false">
      <c r="A6355" s="0" t="s">
        <v>873</v>
      </c>
      <c r="B6355" s="0" t="n">
        <v>2</v>
      </c>
      <c r="C6355" s="0" t="n">
        <v>1.7</v>
      </c>
      <c r="D6355" s="0" t="n">
        <v>0.195</v>
      </c>
    </row>
    <row r="6356" customFormat="false" ht="13.8" hidden="true" customHeight="false" outlineLevel="0" collapsed="false">
      <c r="A6356" s="0" t="s">
        <v>873</v>
      </c>
      <c r="B6356" s="0" t="n">
        <v>2</v>
      </c>
      <c r="C6356" s="0" t="n">
        <v>1.75</v>
      </c>
      <c r="D6356" s="0" t="n">
        <v>0.201</v>
      </c>
    </row>
    <row r="6357" customFormat="false" ht="13.8" hidden="true" customHeight="false" outlineLevel="0" collapsed="false">
      <c r="A6357" s="0" t="s">
        <v>873</v>
      </c>
      <c r="B6357" s="0" t="n">
        <v>2</v>
      </c>
      <c r="C6357" s="0" t="n">
        <v>1.8</v>
      </c>
      <c r="D6357" s="0" t="n">
        <v>0</v>
      </c>
    </row>
    <row r="6358" customFormat="false" ht="13.8" hidden="true" customHeight="false" outlineLevel="0" collapsed="false">
      <c r="A6358" s="0" t="s">
        <v>873</v>
      </c>
      <c r="B6358" s="0" t="n">
        <v>2</v>
      </c>
      <c r="C6358" s="0" t="n">
        <v>1.85</v>
      </c>
      <c r="D6358" s="0" t="n">
        <v>0</v>
      </c>
    </row>
    <row r="6359" customFormat="false" ht="13.8" hidden="true" customHeight="false" outlineLevel="0" collapsed="false">
      <c r="A6359" s="0" t="s">
        <v>873</v>
      </c>
      <c r="B6359" s="0" t="n">
        <v>2</v>
      </c>
      <c r="C6359" s="0" t="n">
        <v>1.9</v>
      </c>
      <c r="D6359" s="0" t="n">
        <v>0</v>
      </c>
    </row>
    <row r="6360" customFormat="false" ht="13.8" hidden="true" customHeight="false" outlineLevel="0" collapsed="false">
      <c r="A6360" s="0" t="s">
        <v>873</v>
      </c>
      <c r="B6360" s="0" t="n">
        <v>2</v>
      </c>
      <c r="C6360" s="0" t="n">
        <v>1.95</v>
      </c>
      <c r="D6360" s="0" t="n">
        <v>0</v>
      </c>
    </row>
    <row r="6361" customFormat="false" ht="13.8" hidden="true" customHeight="false" outlineLevel="0" collapsed="false">
      <c r="A6361" s="0" t="s">
        <v>873</v>
      </c>
      <c r="B6361" s="0" t="n">
        <v>2</v>
      </c>
      <c r="C6361" s="0" t="n">
        <v>2</v>
      </c>
      <c r="D6361" s="0" t="n">
        <v>0</v>
      </c>
    </row>
    <row r="6362" customFormat="false" ht="13.8" hidden="true" customHeight="false" outlineLevel="0" collapsed="false">
      <c r="A6362" s="0" t="s">
        <v>873</v>
      </c>
      <c r="B6362" s="0" t="n">
        <v>2</v>
      </c>
      <c r="C6362" s="0" t="n">
        <v>2.05</v>
      </c>
      <c r="D6362" s="0" t="n">
        <v>0</v>
      </c>
    </row>
    <row r="6363" customFormat="false" ht="13.8" hidden="true" customHeight="false" outlineLevel="0" collapsed="false">
      <c r="A6363" s="0" t="s">
        <v>873</v>
      </c>
      <c r="B6363" s="0" t="n">
        <v>2</v>
      </c>
      <c r="C6363" s="0" t="n">
        <v>2.1</v>
      </c>
      <c r="D6363" s="0" t="n">
        <v>0</v>
      </c>
    </row>
    <row r="6364" customFormat="false" ht="13.8" hidden="true" customHeight="false" outlineLevel="0" collapsed="false">
      <c r="A6364" s="0" t="s">
        <v>873</v>
      </c>
      <c r="B6364" s="0" t="n">
        <v>2</v>
      </c>
      <c r="C6364" s="0" t="n">
        <v>2.15</v>
      </c>
      <c r="D6364" s="0" t="n">
        <v>0</v>
      </c>
    </row>
    <row r="6365" customFormat="false" ht="13.8" hidden="true" customHeight="false" outlineLevel="0" collapsed="false">
      <c r="A6365" s="0" t="s">
        <v>873</v>
      </c>
      <c r="B6365" s="0" t="n">
        <v>2</v>
      </c>
      <c r="C6365" s="0" t="n">
        <v>2.2</v>
      </c>
      <c r="D6365" s="0" t="n">
        <v>0</v>
      </c>
    </row>
    <row r="6366" customFormat="false" ht="13.8" hidden="true" customHeight="false" outlineLevel="0" collapsed="false">
      <c r="A6366" s="0" t="s">
        <v>873</v>
      </c>
      <c r="B6366" s="0" t="n">
        <v>2</v>
      </c>
      <c r="C6366" s="0" t="n">
        <v>2.25</v>
      </c>
      <c r="D6366" s="0" t="n">
        <v>0</v>
      </c>
    </row>
    <row r="6367" customFormat="false" ht="13.8" hidden="true" customHeight="false" outlineLevel="0" collapsed="false">
      <c r="A6367" s="0" t="s">
        <v>873</v>
      </c>
      <c r="B6367" s="0" t="n">
        <v>2</v>
      </c>
      <c r="C6367" s="0" t="n">
        <v>2.3</v>
      </c>
      <c r="D6367" s="0" t="n">
        <v>0</v>
      </c>
    </row>
    <row r="6368" customFormat="false" ht="13.8" hidden="true" customHeight="false" outlineLevel="0" collapsed="false">
      <c r="A6368" s="0" t="s">
        <v>873</v>
      </c>
      <c r="B6368" s="0" t="n">
        <v>2</v>
      </c>
      <c r="C6368" s="0" t="n">
        <v>2.35</v>
      </c>
      <c r="D6368" s="0" t="n">
        <v>0</v>
      </c>
    </row>
    <row r="6369" customFormat="false" ht="13.8" hidden="true" customHeight="false" outlineLevel="0" collapsed="false">
      <c r="A6369" s="0" t="s">
        <v>873</v>
      </c>
      <c r="B6369" s="0" t="n">
        <v>2</v>
      </c>
      <c r="C6369" s="0" t="n">
        <v>2.4</v>
      </c>
      <c r="D6369" s="0" t="n">
        <v>0</v>
      </c>
    </row>
    <row r="6370" customFormat="false" ht="13.8" hidden="true" customHeight="false" outlineLevel="0" collapsed="false">
      <c r="A6370" s="0" t="s">
        <v>873</v>
      </c>
      <c r="B6370" s="0" t="n">
        <v>2</v>
      </c>
      <c r="C6370" s="0" t="n">
        <v>2.45</v>
      </c>
      <c r="D6370" s="0" t="n">
        <v>0</v>
      </c>
    </row>
    <row r="6371" customFormat="false" ht="13.8" hidden="true" customHeight="false" outlineLevel="0" collapsed="false">
      <c r="A6371" s="0" t="s">
        <v>873</v>
      </c>
      <c r="B6371" s="0" t="n">
        <v>2</v>
      </c>
      <c r="C6371" s="0" t="n">
        <v>2.5</v>
      </c>
      <c r="D6371" s="0" t="n">
        <v>0</v>
      </c>
    </row>
    <row r="6372" customFormat="false" ht="13.8" hidden="true" customHeight="false" outlineLevel="0" collapsed="false">
      <c r="A6372" s="0" t="s">
        <v>873</v>
      </c>
      <c r="B6372" s="0" t="n">
        <v>2</v>
      </c>
      <c r="C6372" s="0" t="n">
        <v>2.55</v>
      </c>
      <c r="D6372" s="0" t="n">
        <v>0</v>
      </c>
    </row>
    <row r="6373" customFormat="false" ht="13.8" hidden="true" customHeight="false" outlineLevel="0" collapsed="false">
      <c r="A6373" s="0" t="s">
        <v>873</v>
      </c>
      <c r="B6373" s="0" t="n">
        <v>2</v>
      </c>
      <c r="C6373" s="0" t="n">
        <v>2.6</v>
      </c>
      <c r="D6373" s="0" t="n">
        <v>0</v>
      </c>
    </row>
    <row r="6374" customFormat="false" ht="13.8" hidden="true" customHeight="false" outlineLevel="0" collapsed="false">
      <c r="A6374" s="0" t="s">
        <v>873</v>
      </c>
      <c r="B6374" s="0" t="n">
        <v>4</v>
      </c>
      <c r="C6374" s="0" t="n">
        <v>1.3</v>
      </c>
      <c r="D6374" s="0" t="n">
        <v>0</v>
      </c>
    </row>
    <row r="6375" customFormat="false" ht="13.8" hidden="true" customHeight="false" outlineLevel="0" collapsed="false">
      <c r="A6375" s="0" t="s">
        <v>873</v>
      </c>
      <c r="B6375" s="0" t="n">
        <v>4</v>
      </c>
      <c r="C6375" s="0" t="n">
        <v>1.35</v>
      </c>
      <c r="D6375" s="0" t="n">
        <v>0</v>
      </c>
    </row>
    <row r="6376" customFormat="false" ht="13.8" hidden="true" customHeight="false" outlineLevel="0" collapsed="false">
      <c r="A6376" s="0" t="s">
        <v>873</v>
      </c>
      <c r="B6376" s="0" t="n">
        <v>4</v>
      </c>
      <c r="C6376" s="0" t="n">
        <v>1.4</v>
      </c>
      <c r="D6376" s="0" t="n">
        <v>0</v>
      </c>
    </row>
    <row r="6377" customFormat="false" ht="13.8" hidden="true" customHeight="false" outlineLevel="0" collapsed="false">
      <c r="A6377" s="0" t="s">
        <v>873</v>
      </c>
      <c r="B6377" s="0" t="n">
        <v>4</v>
      </c>
      <c r="C6377" s="0" t="n">
        <v>1.45</v>
      </c>
      <c r="D6377" s="0" t="n">
        <v>0</v>
      </c>
    </row>
    <row r="6378" customFormat="false" ht="13.8" hidden="true" customHeight="false" outlineLevel="0" collapsed="false">
      <c r="A6378" s="0" t="s">
        <v>873</v>
      </c>
      <c r="B6378" s="0" t="n">
        <v>4</v>
      </c>
      <c r="C6378" s="0" t="n">
        <v>1.5</v>
      </c>
      <c r="D6378" s="0" t="n">
        <v>0</v>
      </c>
    </row>
    <row r="6379" customFormat="false" ht="13.8" hidden="true" customHeight="false" outlineLevel="0" collapsed="false">
      <c r="A6379" s="0" t="s">
        <v>873</v>
      </c>
      <c r="B6379" s="0" t="n">
        <v>4</v>
      </c>
      <c r="C6379" s="0" t="n">
        <v>1.55</v>
      </c>
      <c r="D6379" s="0" t="n">
        <v>0</v>
      </c>
    </row>
    <row r="6380" customFormat="false" ht="13.8" hidden="true" customHeight="false" outlineLevel="0" collapsed="false">
      <c r="A6380" s="0" t="s">
        <v>873</v>
      </c>
      <c r="B6380" s="0" t="n">
        <v>4</v>
      </c>
      <c r="C6380" s="0" t="n">
        <v>1.6</v>
      </c>
      <c r="D6380" s="0" t="n">
        <v>0.184</v>
      </c>
    </row>
    <row r="6381" customFormat="false" ht="13.8" hidden="true" customHeight="false" outlineLevel="0" collapsed="false">
      <c r="A6381" s="0" t="s">
        <v>873</v>
      </c>
      <c r="B6381" s="0" t="n">
        <v>4</v>
      </c>
      <c r="C6381" s="0" t="n">
        <v>1.65</v>
      </c>
      <c r="D6381" s="0" t="n">
        <v>0.189</v>
      </c>
    </row>
    <row r="6382" customFormat="false" ht="13.8" hidden="true" customHeight="false" outlineLevel="0" collapsed="false">
      <c r="A6382" s="0" t="s">
        <v>873</v>
      </c>
      <c r="B6382" s="0" t="n">
        <v>4</v>
      </c>
      <c r="C6382" s="0" t="n">
        <v>1.7</v>
      </c>
      <c r="D6382" s="0" t="n">
        <v>0.195</v>
      </c>
    </row>
    <row r="6383" customFormat="false" ht="13.8" hidden="true" customHeight="false" outlineLevel="0" collapsed="false">
      <c r="A6383" s="0" t="s">
        <v>873</v>
      </c>
      <c r="B6383" s="0" t="n">
        <v>4</v>
      </c>
      <c r="C6383" s="0" t="n">
        <v>1.75</v>
      </c>
      <c r="D6383" s="0" t="n">
        <v>0.201</v>
      </c>
    </row>
    <row r="6384" customFormat="false" ht="13.8" hidden="true" customHeight="false" outlineLevel="0" collapsed="false">
      <c r="A6384" s="0" t="s">
        <v>873</v>
      </c>
      <c r="B6384" s="0" t="n">
        <v>4</v>
      </c>
      <c r="C6384" s="0" t="n">
        <v>1.8</v>
      </c>
      <c r="D6384" s="0" t="n">
        <v>0</v>
      </c>
    </row>
    <row r="6385" customFormat="false" ht="13.8" hidden="true" customHeight="false" outlineLevel="0" collapsed="false">
      <c r="A6385" s="0" t="s">
        <v>873</v>
      </c>
      <c r="B6385" s="0" t="n">
        <v>4</v>
      </c>
      <c r="C6385" s="0" t="n">
        <v>1.85</v>
      </c>
      <c r="D6385" s="0" t="n">
        <v>0</v>
      </c>
    </row>
    <row r="6386" customFormat="false" ht="13.8" hidden="true" customHeight="false" outlineLevel="0" collapsed="false">
      <c r="A6386" s="0" t="s">
        <v>873</v>
      </c>
      <c r="B6386" s="0" t="n">
        <v>4</v>
      </c>
      <c r="C6386" s="0" t="n">
        <v>1.9</v>
      </c>
      <c r="D6386" s="0" t="n">
        <v>0</v>
      </c>
    </row>
    <row r="6387" customFormat="false" ht="13.8" hidden="true" customHeight="false" outlineLevel="0" collapsed="false">
      <c r="A6387" s="0" t="s">
        <v>873</v>
      </c>
      <c r="B6387" s="0" t="n">
        <v>4</v>
      </c>
      <c r="C6387" s="0" t="n">
        <v>1.95</v>
      </c>
      <c r="D6387" s="0" t="n">
        <v>0</v>
      </c>
    </row>
    <row r="6388" customFormat="false" ht="13.8" hidden="true" customHeight="false" outlineLevel="0" collapsed="false">
      <c r="A6388" s="0" t="s">
        <v>873</v>
      </c>
      <c r="B6388" s="0" t="n">
        <v>4</v>
      </c>
      <c r="C6388" s="0" t="n">
        <v>2</v>
      </c>
      <c r="D6388" s="0" t="n">
        <v>0</v>
      </c>
    </row>
    <row r="6389" customFormat="false" ht="13.8" hidden="true" customHeight="false" outlineLevel="0" collapsed="false">
      <c r="A6389" s="0" t="s">
        <v>873</v>
      </c>
      <c r="B6389" s="0" t="n">
        <v>4</v>
      </c>
      <c r="C6389" s="0" t="n">
        <v>2.05</v>
      </c>
      <c r="D6389" s="0" t="n">
        <v>0</v>
      </c>
    </row>
    <row r="6390" customFormat="false" ht="13.8" hidden="true" customHeight="false" outlineLevel="0" collapsed="false">
      <c r="A6390" s="0" t="s">
        <v>873</v>
      </c>
      <c r="B6390" s="0" t="n">
        <v>4</v>
      </c>
      <c r="C6390" s="0" t="n">
        <v>2.1</v>
      </c>
      <c r="D6390" s="0" t="n">
        <v>0</v>
      </c>
    </row>
    <row r="6391" customFormat="false" ht="13.8" hidden="true" customHeight="false" outlineLevel="0" collapsed="false">
      <c r="A6391" s="0" t="s">
        <v>873</v>
      </c>
      <c r="B6391" s="0" t="n">
        <v>4</v>
      </c>
      <c r="C6391" s="0" t="n">
        <v>2.15</v>
      </c>
      <c r="D6391" s="0" t="n">
        <v>0</v>
      </c>
    </row>
    <row r="6392" customFormat="false" ht="13.8" hidden="true" customHeight="false" outlineLevel="0" collapsed="false">
      <c r="A6392" s="0" t="s">
        <v>873</v>
      </c>
      <c r="B6392" s="0" t="n">
        <v>4</v>
      </c>
      <c r="C6392" s="0" t="n">
        <v>2.2</v>
      </c>
      <c r="D6392" s="0" t="n">
        <v>0</v>
      </c>
    </row>
    <row r="6393" customFormat="false" ht="13.8" hidden="true" customHeight="false" outlineLevel="0" collapsed="false">
      <c r="A6393" s="0" t="s">
        <v>873</v>
      </c>
      <c r="B6393" s="0" t="n">
        <v>4</v>
      </c>
      <c r="C6393" s="0" t="n">
        <v>2.25</v>
      </c>
      <c r="D6393" s="0" t="n">
        <v>0</v>
      </c>
    </row>
    <row r="6394" customFormat="false" ht="13.8" hidden="true" customHeight="false" outlineLevel="0" collapsed="false">
      <c r="A6394" s="0" t="s">
        <v>873</v>
      </c>
      <c r="B6394" s="0" t="n">
        <v>4</v>
      </c>
      <c r="C6394" s="0" t="n">
        <v>2.3</v>
      </c>
      <c r="D6394" s="0" t="n">
        <v>0</v>
      </c>
    </row>
    <row r="6395" customFormat="false" ht="13.8" hidden="true" customHeight="false" outlineLevel="0" collapsed="false">
      <c r="A6395" s="0" t="s">
        <v>873</v>
      </c>
      <c r="B6395" s="0" t="n">
        <v>4</v>
      </c>
      <c r="C6395" s="0" t="n">
        <v>2.35</v>
      </c>
      <c r="D6395" s="0" t="n">
        <v>0</v>
      </c>
    </row>
    <row r="6396" customFormat="false" ht="13.8" hidden="true" customHeight="false" outlineLevel="0" collapsed="false">
      <c r="A6396" s="0" t="s">
        <v>873</v>
      </c>
      <c r="B6396" s="0" t="n">
        <v>4</v>
      </c>
      <c r="C6396" s="0" t="n">
        <v>2.4</v>
      </c>
      <c r="D6396" s="0" t="n">
        <v>0</v>
      </c>
    </row>
    <row r="6397" customFormat="false" ht="13.8" hidden="true" customHeight="false" outlineLevel="0" collapsed="false">
      <c r="A6397" s="0" t="s">
        <v>873</v>
      </c>
      <c r="B6397" s="0" t="n">
        <v>4</v>
      </c>
      <c r="C6397" s="0" t="n">
        <v>2.45</v>
      </c>
      <c r="D6397" s="0" t="n">
        <v>0</v>
      </c>
    </row>
    <row r="6398" customFormat="false" ht="13.8" hidden="true" customHeight="false" outlineLevel="0" collapsed="false">
      <c r="A6398" s="0" t="s">
        <v>873</v>
      </c>
      <c r="B6398" s="0" t="n">
        <v>4</v>
      </c>
      <c r="C6398" s="0" t="n">
        <v>2.5</v>
      </c>
      <c r="D6398" s="0" t="n">
        <v>0</v>
      </c>
    </row>
    <row r="6399" customFormat="false" ht="13.8" hidden="true" customHeight="false" outlineLevel="0" collapsed="false">
      <c r="A6399" s="0" t="s">
        <v>873</v>
      </c>
      <c r="B6399" s="0" t="n">
        <v>4</v>
      </c>
      <c r="C6399" s="0" t="n">
        <v>2.55</v>
      </c>
      <c r="D6399" s="0" t="n">
        <v>0</v>
      </c>
    </row>
    <row r="6400" customFormat="false" ht="13.8" hidden="true" customHeight="false" outlineLevel="0" collapsed="false">
      <c r="A6400" s="0" t="s">
        <v>873</v>
      </c>
      <c r="B6400" s="0" t="n">
        <v>4</v>
      </c>
      <c r="C6400" s="0" t="n">
        <v>2.6</v>
      </c>
      <c r="D6400" s="0" t="n">
        <v>0</v>
      </c>
    </row>
    <row r="6401" customFormat="false" ht="13.8" hidden="true" customHeight="false" outlineLevel="0" collapsed="false">
      <c r="A6401" s="0" t="s">
        <v>132</v>
      </c>
      <c r="B6401" s="0" t="n">
        <v>5</v>
      </c>
      <c r="C6401" s="0" t="n">
        <v>1.3</v>
      </c>
      <c r="D6401" s="0" t="n">
        <v>0</v>
      </c>
    </row>
    <row r="6402" customFormat="false" ht="13.8" hidden="true" customHeight="false" outlineLevel="0" collapsed="false">
      <c r="A6402" s="0" t="s">
        <v>132</v>
      </c>
      <c r="B6402" s="0" t="n">
        <v>5</v>
      </c>
      <c r="C6402" s="0" t="n">
        <v>1.35</v>
      </c>
      <c r="D6402" s="0" t="n">
        <v>0</v>
      </c>
    </row>
    <row r="6403" customFormat="false" ht="13.8" hidden="true" customHeight="false" outlineLevel="0" collapsed="false">
      <c r="A6403" s="0" t="s">
        <v>132</v>
      </c>
      <c r="B6403" s="0" t="n">
        <v>5</v>
      </c>
      <c r="C6403" s="0" t="n">
        <v>1.4</v>
      </c>
      <c r="D6403" s="0" t="n">
        <v>0</v>
      </c>
    </row>
    <row r="6404" customFormat="false" ht="13.8" hidden="true" customHeight="false" outlineLevel="0" collapsed="false">
      <c r="A6404" s="0" t="s">
        <v>132</v>
      </c>
      <c r="B6404" s="0" t="n">
        <v>5</v>
      </c>
      <c r="C6404" s="0" t="n">
        <v>1.45</v>
      </c>
      <c r="D6404" s="0" t="n">
        <v>0</v>
      </c>
    </row>
    <row r="6405" customFormat="false" ht="13.8" hidden="true" customHeight="false" outlineLevel="0" collapsed="false">
      <c r="A6405" s="0" t="s">
        <v>132</v>
      </c>
      <c r="B6405" s="0" t="n">
        <v>5</v>
      </c>
      <c r="C6405" s="0" t="n">
        <v>1.5</v>
      </c>
      <c r="D6405" s="0" t="n">
        <v>0</v>
      </c>
    </row>
    <row r="6406" customFormat="false" ht="13.8" hidden="true" customHeight="false" outlineLevel="0" collapsed="false">
      <c r="A6406" s="0" t="s">
        <v>132</v>
      </c>
      <c r="B6406" s="0" t="n">
        <v>5</v>
      </c>
      <c r="C6406" s="0" t="n">
        <v>1.55</v>
      </c>
      <c r="D6406" s="0" t="n">
        <v>0</v>
      </c>
    </row>
    <row r="6407" customFormat="false" ht="13.8" hidden="true" customHeight="false" outlineLevel="0" collapsed="false">
      <c r="A6407" s="0" t="s">
        <v>132</v>
      </c>
      <c r="B6407" s="0" t="n">
        <v>5</v>
      </c>
      <c r="C6407" s="0" t="n">
        <v>1.6</v>
      </c>
      <c r="D6407" s="0" t="n">
        <v>1.08</v>
      </c>
    </row>
    <row r="6408" customFormat="false" ht="13.8" hidden="true" customHeight="false" outlineLevel="0" collapsed="false">
      <c r="A6408" s="0" t="s">
        <v>132</v>
      </c>
      <c r="B6408" s="0" t="n">
        <v>5</v>
      </c>
      <c r="C6408" s="0" t="n">
        <v>1.65</v>
      </c>
      <c r="D6408" s="0" t="n">
        <v>1.114</v>
      </c>
    </row>
    <row r="6409" customFormat="false" ht="13.8" hidden="true" customHeight="false" outlineLevel="0" collapsed="false">
      <c r="A6409" s="0" t="s">
        <v>132</v>
      </c>
      <c r="B6409" s="0" t="n">
        <v>5</v>
      </c>
      <c r="C6409" s="0" t="n">
        <v>1.7</v>
      </c>
      <c r="D6409" s="0" t="n">
        <v>0</v>
      </c>
    </row>
    <row r="6410" customFormat="false" ht="13.8" hidden="true" customHeight="false" outlineLevel="0" collapsed="false">
      <c r="A6410" s="0" t="s">
        <v>132</v>
      </c>
      <c r="B6410" s="0" t="n">
        <v>5</v>
      </c>
      <c r="C6410" s="0" t="n">
        <v>1.75</v>
      </c>
      <c r="D6410" s="0" t="n">
        <v>0</v>
      </c>
    </row>
    <row r="6411" customFormat="false" ht="13.8" hidden="true" customHeight="false" outlineLevel="0" collapsed="false">
      <c r="A6411" s="0" t="s">
        <v>132</v>
      </c>
      <c r="B6411" s="0" t="n">
        <v>5</v>
      </c>
      <c r="C6411" s="0" t="n">
        <v>1.8</v>
      </c>
      <c r="D6411" s="0" t="n">
        <v>0</v>
      </c>
    </row>
    <row r="6412" customFormat="false" ht="13.8" hidden="true" customHeight="false" outlineLevel="0" collapsed="false">
      <c r="A6412" s="0" t="s">
        <v>132</v>
      </c>
      <c r="B6412" s="0" t="n">
        <v>5</v>
      </c>
      <c r="C6412" s="0" t="n">
        <v>1.85</v>
      </c>
      <c r="D6412" s="0" t="n">
        <v>0</v>
      </c>
    </row>
    <row r="6413" customFormat="false" ht="13.8" hidden="true" customHeight="false" outlineLevel="0" collapsed="false">
      <c r="A6413" s="0" t="s">
        <v>132</v>
      </c>
      <c r="B6413" s="0" t="n">
        <v>5</v>
      </c>
      <c r="C6413" s="0" t="n">
        <v>1.9</v>
      </c>
      <c r="D6413" s="0" t="n">
        <v>0</v>
      </c>
    </row>
    <row r="6414" customFormat="false" ht="13.8" hidden="true" customHeight="false" outlineLevel="0" collapsed="false">
      <c r="A6414" s="0" t="s">
        <v>132</v>
      </c>
      <c r="B6414" s="0" t="n">
        <v>5</v>
      </c>
      <c r="C6414" s="0" t="n">
        <v>1.95</v>
      </c>
      <c r="D6414" s="0" t="n">
        <v>0</v>
      </c>
    </row>
    <row r="6415" customFormat="false" ht="13.8" hidden="true" customHeight="false" outlineLevel="0" collapsed="false">
      <c r="A6415" s="0" t="s">
        <v>132</v>
      </c>
      <c r="B6415" s="0" t="n">
        <v>5</v>
      </c>
      <c r="C6415" s="0" t="n">
        <v>2</v>
      </c>
      <c r="D6415" s="0" t="n">
        <v>0</v>
      </c>
    </row>
    <row r="6416" customFormat="false" ht="13.8" hidden="true" customHeight="false" outlineLevel="0" collapsed="false">
      <c r="A6416" s="0" t="s">
        <v>132</v>
      </c>
      <c r="B6416" s="0" t="n">
        <v>5</v>
      </c>
      <c r="C6416" s="0" t="n">
        <v>2.05</v>
      </c>
      <c r="D6416" s="0" t="n">
        <v>0</v>
      </c>
    </row>
    <row r="6417" customFormat="false" ht="13.8" hidden="true" customHeight="false" outlineLevel="0" collapsed="false">
      <c r="A6417" s="0" t="s">
        <v>132</v>
      </c>
      <c r="B6417" s="0" t="n">
        <v>5</v>
      </c>
      <c r="C6417" s="0" t="n">
        <v>2.1</v>
      </c>
      <c r="D6417" s="0" t="n">
        <v>0</v>
      </c>
    </row>
    <row r="6418" customFormat="false" ht="13.8" hidden="true" customHeight="false" outlineLevel="0" collapsed="false">
      <c r="A6418" s="0" t="s">
        <v>132</v>
      </c>
      <c r="B6418" s="0" t="n">
        <v>5</v>
      </c>
      <c r="C6418" s="0" t="n">
        <v>2.15</v>
      </c>
      <c r="D6418" s="0" t="n">
        <v>0</v>
      </c>
    </row>
    <row r="6419" customFormat="false" ht="13.8" hidden="true" customHeight="false" outlineLevel="0" collapsed="false">
      <c r="A6419" s="0" t="s">
        <v>132</v>
      </c>
      <c r="B6419" s="0" t="n">
        <v>5</v>
      </c>
      <c r="C6419" s="0" t="n">
        <v>2.2</v>
      </c>
      <c r="D6419" s="0" t="n">
        <v>0</v>
      </c>
    </row>
    <row r="6420" customFormat="false" ht="13.8" hidden="true" customHeight="false" outlineLevel="0" collapsed="false">
      <c r="A6420" s="0" t="s">
        <v>132</v>
      </c>
      <c r="B6420" s="0" t="n">
        <v>5</v>
      </c>
      <c r="C6420" s="0" t="n">
        <v>2.25</v>
      </c>
      <c r="D6420" s="0" t="n">
        <v>0</v>
      </c>
    </row>
    <row r="6421" customFormat="false" ht="13.8" hidden="true" customHeight="false" outlineLevel="0" collapsed="false">
      <c r="A6421" s="0" t="s">
        <v>132</v>
      </c>
      <c r="B6421" s="0" t="n">
        <v>5</v>
      </c>
      <c r="C6421" s="0" t="n">
        <v>2.3</v>
      </c>
      <c r="D6421" s="0" t="n">
        <v>0</v>
      </c>
    </row>
    <row r="6422" customFormat="false" ht="13.8" hidden="true" customHeight="false" outlineLevel="0" collapsed="false">
      <c r="A6422" s="0" t="s">
        <v>132</v>
      </c>
      <c r="B6422" s="0" t="n">
        <v>5</v>
      </c>
      <c r="C6422" s="0" t="n">
        <v>2.35</v>
      </c>
      <c r="D6422" s="0" t="n">
        <v>0</v>
      </c>
    </row>
    <row r="6423" customFormat="false" ht="13.8" hidden="true" customHeight="false" outlineLevel="0" collapsed="false">
      <c r="A6423" s="0" t="s">
        <v>132</v>
      </c>
      <c r="B6423" s="0" t="n">
        <v>5</v>
      </c>
      <c r="C6423" s="0" t="n">
        <v>2.4</v>
      </c>
      <c r="D6423" s="0" t="n">
        <v>0</v>
      </c>
    </row>
    <row r="6424" customFormat="false" ht="13.8" hidden="true" customHeight="false" outlineLevel="0" collapsed="false">
      <c r="A6424" s="0" t="s">
        <v>132</v>
      </c>
      <c r="B6424" s="0" t="n">
        <v>5</v>
      </c>
      <c r="C6424" s="0" t="n">
        <v>2.45</v>
      </c>
      <c r="D6424" s="0" t="n">
        <v>0</v>
      </c>
    </row>
    <row r="6425" customFormat="false" ht="13.8" hidden="true" customHeight="false" outlineLevel="0" collapsed="false">
      <c r="A6425" s="0" t="s">
        <v>132</v>
      </c>
      <c r="B6425" s="0" t="n">
        <v>5</v>
      </c>
      <c r="C6425" s="0" t="n">
        <v>2.5</v>
      </c>
      <c r="D6425" s="0" t="n">
        <v>0</v>
      </c>
    </row>
    <row r="6426" customFormat="false" ht="13.8" hidden="true" customHeight="false" outlineLevel="0" collapsed="false">
      <c r="A6426" s="0" t="s">
        <v>132</v>
      </c>
      <c r="B6426" s="0" t="n">
        <v>5</v>
      </c>
      <c r="C6426" s="0" t="n">
        <v>2.55</v>
      </c>
      <c r="D6426" s="0" t="n">
        <v>0</v>
      </c>
    </row>
    <row r="6427" customFormat="false" ht="13.8" hidden="true" customHeight="false" outlineLevel="0" collapsed="false">
      <c r="A6427" s="0" t="s">
        <v>132</v>
      </c>
      <c r="B6427" s="0" t="n">
        <v>5</v>
      </c>
      <c r="C6427" s="0" t="n">
        <v>2.6</v>
      </c>
      <c r="D6427" s="0" t="n">
        <v>0</v>
      </c>
    </row>
    <row r="6428" customFormat="false" ht="13.8" hidden="true" customHeight="false" outlineLevel="0" collapsed="false">
      <c r="A6428" s="0" t="s">
        <v>878</v>
      </c>
      <c r="B6428" s="0" t="n">
        <v>5</v>
      </c>
      <c r="C6428" s="0" t="n">
        <v>1.3</v>
      </c>
      <c r="D6428" s="0" t="n">
        <v>0</v>
      </c>
    </row>
    <row r="6429" customFormat="false" ht="13.8" hidden="true" customHeight="false" outlineLevel="0" collapsed="false">
      <c r="A6429" s="0" t="s">
        <v>878</v>
      </c>
      <c r="B6429" s="0" t="n">
        <v>5</v>
      </c>
      <c r="C6429" s="0" t="n">
        <v>1.35</v>
      </c>
      <c r="D6429" s="0" t="n">
        <v>0</v>
      </c>
    </row>
    <row r="6430" customFormat="false" ht="13.8" hidden="true" customHeight="false" outlineLevel="0" collapsed="false">
      <c r="A6430" s="0" t="s">
        <v>878</v>
      </c>
      <c r="B6430" s="0" t="n">
        <v>5</v>
      </c>
      <c r="C6430" s="0" t="n">
        <v>1.4</v>
      </c>
      <c r="D6430" s="0" t="n">
        <v>0</v>
      </c>
    </row>
    <row r="6431" customFormat="false" ht="13.8" hidden="true" customHeight="false" outlineLevel="0" collapsed="false">
      <c r="A6431" s="0" t="s">
        <v>878</v>
      </c>
      <c r="B6431" s="0" t="n">
        <v>5</v>
      </c>
      <c r="C6431" s="0" t="n">
        <v>1.45</v>
      </c>
      <c r="D6431" s="0" t="n">
        <v>0</v>
      </c>
    </row>
    <row r="6432" customFormat="false" ht="13.8" hidden="true" customHeight="false" outlineLevel="0" collapsed="false">
      <c r="A6432" s="0" t="s">
        <v>878</v>
      </c>
      <c r="B6432" s="0" t="n">
        <v>5</v>
      </c>
      <c r="C6432" s="0" t="n">
        <v>1.5</v>
      </c>
      <c r="D6432" s="0" t="n">
        <v>0</v>
      </c>
    </row>
    <row r="6433" customFormat="false" ht="13.8" hidden="true" customHeight="false" outlineLevel="0" collapsed="false">
      <c r="A6433" s="0" t="s">
        <v>878</v>
      </c>
      <c r="B6433" s="0" t="n">
        <v>5</v>
      </c>
      <c r="C6433" s="0" t="n">
        <v>1.55</v>
      </c>
      <c r="D6433" s="0" t="n">
        <v>0</v>
      </c>
    </row>
    <row r="6434" customFormat="false" ht="13.8" hidden="true" customHeight="false" outlineLevel="0" collapsed="false">
      <c r="A6434" s="0" t="s">
        <v>878</v>
      </c>
      <c r="B6434" s="0" t="n">
        <v>5</v>
      </c>
      <c r="C6434" s="0" t="n">
        <v>1.6</v>
      </c>
      <c r="D6434" s="0" t="n">
        <v>0</v>
      </c>
    </row>
    <row r="6435" customFormat="false" ht="13.8" hidden="true" customHeight="false" outlineLevel="0" collapsed="false">
      <c r="A6435" s="0" t="s">
        <v>878</v>
      </c>
      <c r="B6435" s="0" t="n">
        <v>5</v>
      </c>
      <c r="C6435" s="0" t="n">
        <v>1.65</v>
      </c>
      <c r="D6435" s="0" t="n">
        <v>0</v>
      </c>
    </row>
    <row r="6436" customFormat="false" ht="13.8" hidden="true" customHeight="false" outlineLevel="0" collapsed="false">
      <c r="A6436" s="0" t="s">
        <v>878</v>
      </c>
      <c r="B6436" s="0" t="n">
        <v>5</v>
      </c>
      <c r="C6436" s="0" t="n">
        <v>1.7</v>
      </c>
      <c r="D6436" s="0" t="n">
        <v>0</v>
      </c>
    </row>
    <row r="6437" customFormat="false" ht="13.8" hidden="true" customHeight="false" outlineLevel="0" collapsed="false">
      <c r="A6437" s="0" t="s">
        <v>878</v>
      </c>
      <c r="B6437" s="0" t="n">
        <v>5</v>
      </c>
      <c r="C6437" s="0" t="n">
        <v>1.75</v>
      </c>
      <c r="D6437" s="0" t="n">
        <v>1.181</v>
      </c>
    </row>
    <row r="6438" customFormat="false" ht="13.8" hidden="true" customHeight="false" outlineLevel="0" collapsed="false">
      <c r="A6438" s="0" t="s">
        <v>878</v>
      </c>
      <c r="B6438" s="0" t="n">
        <v>5</v>
      </c>
      <c r="C6438" s="0" t="n">
        <v>1.8</v>
      </c>
      <c r="D6438" s="0" t="n">
        <v>1.215</v>
      </c>
    </row>
    <row r="6439" customFormat="false" ht="13.8" hidden="true" customHeight="false" outlineLevel="0" collapsed="false">
      <c r="A6439" s="0" t="s">
        <v>878</v>
      </c>
      <c r="B6439" s="0" t="n">
        <v>5</v>
      </c>
      <c r="C6439" s="0" t="n">
        <v>1.85</v>
      </c>
      <c r="D6439" s="0" t="n">
        <v>1.249</v>
      </c>
    </row>
    <row r="6440" customFormat="false" ht="13.8" hidden="true" customHeight="false" outlineLevel="0" collapsed="false">
      <c r="A6440" s="0" t="s">
        <v>878</v>
      </c>
      <c r="B6440" s="0" t="n">
        <v>5</v>
      </c>
      <c r="C6440" s="0" t="n">
        <v>1.9</v>
      </c>
      <c r="D6440" s="0" t="n">
        <v>1.283</v>
      </c>
    </row>
    <row r="6441" customFormat="false" ht="13.8" hidden="true" customHeight="false" outlineLevel="0" collapsed="false">
      <c r="A6441" s="0" t="s">
        <v>878</v>
      </c>
      <c r="B6441" s="0" t="n">
        <v>5</v>
      </c>
      <c r="C6441" s="0" t="n">
        <v>1.95</v>
      </c>
      <c r="D6441" s="0" t="n">
        <v>0</v>
      </c>
    </row>
    <row r="6442" customFormat="false" ht="13.8" hidden="true" customHeight="false" outlineLevel="0" collapsed="false">
      <c r="A6442" s="0" t="s">
        <v>878</v>
      </c>
      <c r="B6442" s="0" t="n">
        <v>5</v>
      </c>
      <c r="C6442" s="0" t="n">
        <v>2</v>
      </c>
      <c r="D6442" s="0" t="n">
        <v>0</v>
      </c>
    </row>
    <row r="6443" customFormat="false" ht="13.8" hidden="true" customHeight="false" outlineLevel="0" collapsed="false">
      <c r="A6443" s="0" t="s">
        <v>878</v>
      </c>
      <c r="B6443" s="0" t="n">
        <v>5</v>
      </c>
      <c r="C6443" s="0" t="n">
        <v>2.05</v>
      </c>
      <c r="D6443" s="0" t="n">
        <v>0</v>
      </c>
    </row>
    <row r="6444" customFormat="false" ht="13.8" hidden="true" customHeight="false" outlineLevel="0" collapsed="false">
      <c r="A6444" s="0" t="s">
        <v>878</v>
      </c>
      <c r="B6444" s="0" t="n">
        <v>5</v>
      </c>
      <c r="C6444" s="0" t="n">
        <v>2.1</v>
      </c>
      <c r="D6444" s="0" t="n">
        <v>0</v>
      </c>
    </row>
    <row r="6445" customFormat="false" ht="13.8" hidden="true" customHeight="false" outlineLevel="0" collapsed="false">
      <c r="A6445" s="0" t="s">
        <v>878</v>
      </c>
      <c r="B6445" s="0" t="n">
        <v>5</v>
      </c>
      <c r="C6445" s="0" t="n">
        <v>2.15</v>
      </c>
      <c r="D6445" s="0" t="n">
        <v>0</v>
      </c>
    </row>
    <row r="6446" customFormat="false" ht="13.8" hidden="true" customHeight="false" outlineLevel="0" collapsed="false">
      <c r="A6446" s="0" t="s">
        <v>878</v>
      </c>
      <c r="B6446" s="0" t="n">
        <v>5</v>
      </c>
      <c r="C6446" s="0" t="n">
        <v>2.2</v>
      </c>
      <c r="D6446" s="0" t="n">
        <v>0</v>
      </c>
    </row>
    <row r="6447" customFormat="false" ht="13.8" hidden="true" customHeight="false" outlineLevel="0" collapsed="false">
      <c r="A6447" s="0" t="s">
        <v>878</v>
      </c>
      <c r="B6447" s="0" t="n">
        <v>5</v>
      </c>
      <c r="C6447" s="0" t="n">
        <v>2.25</v>
      </c>
      <c r="D6447" s="0" t="n">
        <v>0</v>
      </c>
    </row>
    <row r="6448" customFormat="false" ht="13.8" hidden="true" customHeight="false" outlineLevel="0" collapsed="false">
      <c r="A6448" s="0" t="s">
        <v>878</v>
      </c>
      <c r="B6448" s="0" t="n">
        <v>5</v>
      </c>
      <c r="C6448" s="0" t="n">
        <v>2.3</v>
      </c>
      <c r="D6448" s="0" t="n">
        <v>0</v>
      </c>
    </row>
    <row r="6449" customFormat="false" ht="13.8" hidden="true" customHeight="false" outlineLevel="0" collapsed="false">
      <c r="A6449" s="0" t="s">
        <v>878</v>
      </c>
      <c r="B6449" s="0" t="n">
        <v>5</v>
      </c>
      <c r="C6449" s="0" t="n">
        <v>2.35</v>
      </c>
      <c r="D6449" s="0" t="n">
        <v>0</v>
      </c>
    </row>
    <row r="6450" customFormat="false" ht="13.8" hidden="true" customHeight="false" outlineLevel="0" collapsed="false">
      <c r="A6450" s="0" t="s">
        <v>878</v>
      </c>
      <c r="B6450" s="0" t="n">
        <v>5</v>
      </c>
      <c r="C6450" s="0" t="n">
        <v>2.4</v>
      </c>
      <c r="D6450" s="0" t="n">
        <v>0</v>
      </c>
    </row>
    <row r="6451" customFormat="false" ht="13.8" hidden="true" customHeight="false" outlineLevel="0" collapsed="false">
      <c r="A6451" s="0" t="s">
        <v>878</v>
      </c>
      <c r="B6451" s="0" t="n">
        <v>5</v>
      </c>
      <c r="C6451" s="0" t="n">
        <v>2.45</v>
      </c>
      <c r="D6451" s="0" t="n">
        <v>0</v>
      </c>
    </row>
    <row r="6452" customFormat="false" ht="13.8" hidden="true" customHeight="false" outlineLevel="0" collapsed="false">
      <c r="A6452" s="0" t="s">
        <v>878</v>
      </c>
      <c r="B6452" s="0" t="n">
        <v>5</v>
      </c>
      <c r="C6452" s="0" t="n">
        <v>2.5</v>
      </c>
      <c r="D6452" s="0" t="n">
        <v>0</v>
      </c>
    </row>
    <row r="6453" customFormat="false" ht="13.8" hidden="true" customHeight="false" outlineLevel="0" collapsed="false">
      <c r="A6453" s="0" t="s">
        <v>878</v>
      </c>
      <c r="B6453" s="0" t="n">
        <v>5</v>
      </c>
      <c r="C6453" s="0" t="n">
        <v>2.55</v>
      </c>
      <c r="D6453" s="0" t="n">
        <v>0</v>
      </c>
    </row>
    <row r="6454" customFormat="false" ht="13.8" hidden="true" customHeight="false" outlineLevel="0" collapsed="false">
      <c r="A6454" s="0" t="s">
        <v>878</v>
      </c>
      <c r="B6454" s="0" t="n">
        <v>5</v>
      </c>
      <c r="C6454" s="0" t="n">
        <v>2.6</v>
      </c>
      <c r="D6454" s="0" t="n">
        <v>0</v>
      </c>
    </row>
    <row r="6455" customFormat="false" ht="13.8" hidden="true" customHeight="false" outlineLevel="0" collapsed="false">
      <c r="A6455" s="0" t="s">
        <v>881</v>
      </c>
      <c r="B6455" s="0" t="n">
        <v>2</v>
      </c>
      <c r="C6455" s="0" t="n">
        <v>1.3</v>
      </c>
      <c r="D6455" s="0" t="n">
        <v>0</v>
      </c>
    </row>
    <row r="6456" customFormat="false" ht="13.8" hidden="true" customHeight="false" outlineLevel="0" collapsed="false">
      <c r="A6456" s="0" t="s">
        <v>881</v>
      </c>
      <c r="B6456" s="0" t="n">
        <v>2</v>
      </c>
      <c r="C6456" s="0" t="n">
        <v>1.35</v>
      </c>
      <c r="D6456" s="0" t="n">
        <v>0</v>
      </c>
    </row>
    <row r="6457" customFormat="false" ht="13.8" hidden="true" customHeight="false" outlineLevel="0" collapsed="false">
      <c r="A6457" s="0" t="s">
        <v>881</v>
      </c>
      <c r="B6457" s="0" t="n">
        <v>2</v>
      </c>
      <c r="C6457" s="0" t="n">
        <v>1.4</v>
      </c>
      <c r="D6457" s="0" t="n">
        <v>0</v>
      </c>
    </row>
    <row r="6458" customFormat="false" ht="13.8" hidden="true" customHeight="false" outlineLevel="0" collapsed="false">
      <c r="A6458" s="0" t="s">
        <v>881</v>
      </c>
      <c r="B6458" s="0" t="n">
        <v>2</v>
      </c>
      <c r="C6458" s="0" t="n">
        <v>1.45</v>
      </c>
      <c r="D6458" s="0" t="n">
        <v>0</v>
      </c>
    </row>
    <row r="6459" customFormat="false" ht="13.8" hidden="true" customHeight="false" outlineLevel="0" collapsed="false">
      <c r="A6459" s="0" t="s">
        <v>881</v>
      </c>
      <c r="B6459" s="0" t="n">
        <v>2</v>
      </c>
      <c r="C6459" s="0" t="n">
        <v>1.5</v>
      </c>
      <c r="D6459" s="0" t="n">
        <v>0</v>
      </c>
    </row>
    <row r="6460" customFormat="false" ht="13.8" hidden="true" customHeight="false" outlineLevel="0" collapsed="false">
      <c r="A6460" s="0" t="s">
        <v>881</v>
      </c>
      <c r="B6460" s="0" t="n">
        <v>2</v>
      </c>
      <c r="C6460" s="0" t="n">
        <v>1.55</v>
      </c>
      <c r="D6460" s="0" t="n">
        <v>0</v>
      </c>
    </row>
    <row r="6461" customFormat="false" ht="13.8" hidden="true" customHeight="false" outlineLevel="0" collapsed="false">
      <c r="A6461" s="0" t="s">
        <v>881</v>
      </c>
      <c r="B6461" s="0" t="n">
        <v>2</v>
      </c>
      <c r="C6461" s="0" t="n">
        <v>1.6</v>
      </c>
      <c r="D6461" s="0" t="n">
        <v>0</v>
      </c>
    </row>
    <row r="6462" customFormat="false" ht="13.8" hidden="true" customHeight="false" outlineLevel="0" collapsed="false">
      <c r="A6462" s="0" t="s">
        <v>881</v>
      </c>
      <c r="B6462" s="0" t="n">
        <v>2</v>
      </c>
      <c r="C6462" s="0" t="n">
        <v>1.65</v>
      </c>
      <c r="D6462" s="0" t="n">
        <v>0</v>
      </c>
    </row>
    <row r="6463" customFormat="false" ht="13.8" hidden="true" customHeight="false" outlineLevel="0" collapsed="false">
      <c r="A6463" s="0" t="s">
        <v>881</v>
      </c>
      <c r="B6463" s="0" t="n">
        <v>2</v>
      </c>
      <c r="C6463" s="0" t="n">
        <v>1.7</v>
      </c>
      <c r="D6463" s="0" t="n">
        <v>0</v>
      </c>
    </row>
    <row r="6464" customFormat="false" ht="13.8" hidden="true" customHeight="false" outlineLevel="0" collapsed="false">
      <c r="A6464" s="0" t="s">
        <v>881</v>
      </c>
      <c r="B6464" s="0" t="n">
        <v>2</v>
      </c>
      <c r="C6464" s="0" t="n">
        <v>1.75</v>
      </c>
      <c r="D6464" s="0" t="n">
        <v>1.181</v>
      </c>
    </row>
    <row r="6465" customFormat="false" ht="13.8" hidden="true" customHeight="false" outlineLevel="0" collapsed="false">
      <c r="A6465" s="0" t="s">
        <v>881</v>
      </c>
      <c r="B6465" s="0" t="n">
        <v>2</v>
      </c>
      <c r="C6465" s="0" t="n">
        <v>1.8</v>
      </c>
      <c r="D6465" s="0" t="n">
        <v>1.215</v>
      </c>
    </row>
    <row r="6466" customFormat="false" ht="13.8" hidden="true" customHeight="false" outlineLevel="0" collapsed="false">
      <c r="A6466" s="0" t="s">
        <v>881</v>
      </c>
      <c r="B6466" s="0" t="n">
        <v>2</v>
      </c>
      <c r="C6466" s="0" t="n">
        <v>1.85</v>
      </c>
      <c r="D6466" s="0" t="n">
        <v>1.249</v>
      </c>
    </row>
    <row r="6467" customFormat="false" ht="13.8" hidden="true" customHeight="false" outlineLevel="0" collapsed="false">
      <c r="A6467" s="0" t="s">
        <v>881</v>
      </c>
      <c r="B6467" s="0" t="n">
        <v>2</v>
      </c>
      <c r="C6467" s="0" t="n">
        <v>1.9</v>
      </c>
      <c r="D6467" s="0" t="n">
        <v>1.283</v>
      </c>
    </row>
    <row r="6468" customFormat="false" ht="13.8" hidden="true" customHeight="false" outlineLevel="0" collapsed="false">
      <c r="A6468" s="0" t="s">
        <v>881</v>
      </c>
      <c r="B6468" s="0" t="n">
        <v>2</v>
      </c>
      <c r="C6468" s="0" t="n">
        <v>1.95</v>
      </c>
      <c r="D6468" s="0" t="n">
        <v>0</v>
      </c>
    </row>
    <row r="6469" customFormat="false" ht="13.8" hidden="true" customHeight="false" outlineLevel="0" collapsed="false">
      <c r="A6469" s="0" t="s">
        <v>881</v>
      </c>
      <c r="B6469" s="0" t="n">
        <v>2</v>
      </c>
      <c r="C6469" s="0" t="n">
        <v>2</v>
      </c>
      <c r="D6469" s="0" t="n">
        <v>0</v>
      </c>
    </row>
    <row r="6470" customFormat="false" ht="13.8" hidden="true" customHeight="false" outlineLevel="0" collapsed="false">
      <c r="A6470" s="0" t="s">
        <v>881</v>
      </c>
      <c r="B6470" s="0" t="n">
        <v>2</v>
      </c>
      <c r="C6470" s="0" t="n">
        <v>2.05</v>
      </c>
      <c r="D6470" s="0" t="n">
        <v>0</v>
      </c>
    </row>
    <row r="6471" customFormat="false" ht="13.8" hidden="true" customHeight="false" outlineLevel="0" collapsed="false">
      <c r="A6471" s="0" t="s">
        <v>881</v>
      </c>
      <c r="B6471" s="0" t="n">
        <v>2</v>
      </c>
      <c r="C6471" s="0" t="n">
        <v>2.1</v>
      </c>
      <c r="D6471" s="0" t="n">
        <v>0</v>
      </c>
    </row>
    <row r="6472" customFormat="false" ht="13.8" hidden="true" customHeight="false" outlineLevel="0" collapsed="false">
      <c r="A6472" s="0" t="s">
        <v>881</v>
      </c>
      <c r="B6472" s="0" t="n">
        <v>2</v>
      </c>
      <c r="C6472" s="0" t="n">
        <v>2.15</v>
      </c>
      <c r="D6472" s="0" t="n">
        <v>0</v>
      </c>
    </row>
    <row r="6473" customFormat="false" ht="13.8" hidden="true" customHeight="false" outlineLevel="0" collapsed="false">
      <c r="A6473" s="0" t="s">
        <v>881</v>
      </c>
      <c r="B6473" s="0" t="n">
        <v>2</v>
      </c>
      <c r="C6473" s="0" t="n">
        <v>2.2</v>
      </c>
      <c r="D6473" s="0" t="n">
        <v>0</v>
      </c>
    </row>
    <row r="6474" customFormat="false" ht="13.8" hidden="true" customHeight="false" outlineLevel="0" collapsed="false">
      <c r="A6474" s="0" t="s">
        <v>881</v>
      </c>
      <c r="B6474" s="0" t="n">
        <v>2</v>
      </c>
      <c r="C6474" s="0" t="n">
        <v>2.25</v>
      </c>
      <c r="D6474" s="0" t="n">
        <v>0</v>
      </c>
    </row>
    <row r="6475" customFormat="false" ht="13.8" hidden="true" customHeight="false" outlineLevel="0" collapsed="false">
      <c r="A6475" s="0" t="s">
        <v>881</v>
      </c>
      <c r="B6475" s="0" t="n">
        <v>2</v>
      </c>
      <c r="C6475" s="0" t="n">
        <v>2.3</v>
      </c>
      <c r="D6475" s="0" t="n">
        <v>0</v>
      </c>
    </row>
    <row r="6476" customFormat="false" ht="13.8" hidden="true" customHeight="false" outlineLevel="0" collapsed="false">
      <c r="A6476" s="0" t="s">
        <v>881</v>
      </c>
      <c r="B6476" s="0" t="n">
        <v>2</v>
      </c>
      <c r="C6476" s="0" t="n">
        <v>2.35</v>
      </c>
      <c r="D6476" s="0" t="n">
        <v>0</v>
      </c>
    </row>
    <row r="6477" customFormat="false" ht="13.8" hidden="true" customHeight="false" outlineLevel="0" collapsed="false">
      <c r="A6477" s="0" t="s">
        <v>881</v>
      </c>
      <c r="B6477" s="0" t="n">
        <v>2</v>
      </c>
      <c r="C6477" s="0" t="n">
        <v>2.4</v>
      </c>
      <c r="D6477" s="0" t="n">
        <v>0</v>
      </c>
    </row>
    <row r="6478" customFormat="false" ht="13.8" hidden="true" customHeight="false" outlineLevel="0" collapsed="false">
      <c r="A6478" s="0" t="s">
        <v>881</v>
      </c>
      <c r="B6478" s="0" t="n">
        <v>2</v>
      </c>
      <c r="C6478" s="0" t="n">
        <v>2.45</v>
      </c>
      <c r="D6478" s="0" t="n">
        <v>0</v>
      </c>
    </row>
    <row r="6479" customFormat="false" ht="13.8" hidden="true" customHeight="false" outlineLevel="0" collapsed="false">
      <c r="A6479" s="0" t="s">
        <v>881</v>
      </c>
      <c r="B6479" s="0" t="n">
        <v>2</v>
      </c>
      <c r="C6479" s="0" t="n">
        <v>2.5</v>
      </c>
      <c r="D6479" s="0" t="n">
        <v>0</v>
      </c>
    </row>
    <row r="6480" customFormat="false" ht="13.8" hidden="true" customHeight="false" outlineLevel="0" collapsed="false">
      <c r="A6480" s="0" t="s">
        <v>881</v>
      </c>
      <c r="B6480" s="0" t="n">
        <v>2</v>
      </c>
      <c r="C6480" s="0" t="n">
        <v>2.55</v>
      </c>
      <c r="D6480" s="0" t="n">
        <v>0</v>
      </c>
    </row>
    <row r="6481" customFormat="false" ht="13.8" hidden="true" customHeight="false" outlineLevel="0" collapsed="false">
      <c r="A6481" s="0" t="s">
        <v>881</v>
      </c>
      <c r="B6481" s="0" t="n">
        <v>2</v>
      </c>
      <c r="C6481" s="0" t="n">
        <v>2.6</v>
      </c>
      <c r="D6481" s="0" t="n">
        <v>0</v>
      </c>
    </row>
    <row r="6482" customFormat="false" ht="13.8" hidden="true" customHeight="false" outlineLevel="0" collapsed="false">
      <c r="A6482" s="0" t="s">
        <v>133</v>
      </c>
      <c r="B6482" s="0" t="n">
        <v>1</v>
      </c>
      <c r="C6482" s="0" t="n">
        <v>1.3</v>
      </c>
      <c r="D6482" s="0" t="n">
        <v>0</v>
      </c>
    </row>
    <row r="6483" customFormat="false" ht="13.8" hidden="true" customHeight="false" outlineLevel="0" collapsed="false">
      <c r="A6483" s="0" t="s">
        <v>133</v>
      </c>
      <c r="B6483" s="0" t="n">
        <v>1</v>
      </c>
      <c r="C6483" s="0" t="n">
        <v>1.35</v>
      </c>
      <c r="D6483" s="0" t="n">
        <v>0</v>
      </c>
    </row>
    <row r="6484" customFormat="false" ht="13.8" hidden="true" customHeight="false" outlineLevel="0" collapsed="false">
      <c r="A6484" s="0" t="s">
        <v>133</v>
      </c>
      <c r="B6484" s="0" t="n">
        <v>1</v>
      </c>
      <c r="C6484" s="0" t="n">
        <v>1.4</v>
      </c>
      <c r="D6484" s="0" t="n">
        <v>0</v>
      </c>
    </row>
    <row r="6485" customFormat="false" ht="13.8" hidden="true" customHeight="false" outlineLevel="0" collapsed="false">
      <c r="A6485" s="0" t="s">
        <v>133</v>
      </c>
      <c r="B6485" s="0" t="n">
        <v>1</v>
      </c>
      <c r="C6485" s="0" t="n">
        <v>1.45</v>
      </c>
      <c r="D6485" s="0" t="n">
        <v>0.979</v>
      </c>
    </row>
    <row r="6486" customFormat="false" ht="13.8" hidden="true" customHeight="false" outlineLevel="0" collapsed="false">
      <c r="A6486" s="0" t="s">
        <v>133</v>
      </c>
      <c r="B6486" s="0" t="n">
        <v>1</v>
      </c>
      <c r="C6486" s="0" t="n">
        <v>1.5</v>
      </c>
      <c r="D6486" s="0" t="n">
        <v>1.013</v>
      </c>
    </row>
    <row r="6487" customFormat="false" ht="13.8" hidden="true" customHeight="false" outlineLevel="0" collapsed="false">
      <c r="A6487" s="0" t="s">
        <v>133</v>
      </c>
      <c r="B6487" s="0" t="n">
        <v>1</v>
      </c>
      <c r="C6487" s="0" t="n">
        <v>1.55</v>
      </c>
      <c r="D6487" s="0" t="n">
        <v>1.046</v>
      </c>
    </row>
    <row r="6488" customFormat="false" ht="13.8" hidden="true" customHeight="false" outlineLevel="0" collapsed="false">
      <c r="A6488" s="0" t="s">
        <v>133</v>
      </c>
      <c r="B6488" s="0" t="n">
        <v>1</v>
      </c>
      <c r="C6488" s="0" t="n">
        <v>1.6</v>
      </c>
      <c r="D6488" s="0" t="n">
        <v>1.08</v>
      </c>
    </row>
    <row r="6489" customFormat="false" ht="13.8" hidden="true" customHeight="false" outlineLevel="0" collapsed="false">
      <c r="A6489" s="0" t="s">
        <v>133</v>
      </c>
      <c r="B6489" s="0" t="n">
        <v>1</v>
      </c>
      <c r="C6489" s="0" t="n">
        <v>1.65</v>
      </c>
      <c r="D6489" s="0" t="n">
        <v>1.114</v>
      </c>
    </row>
    <row r="6490" customFormat="false" ht="13.8" hidden="true" customHeight="false" outlineLevel="0" collapsed="false">
      <c r="A6490" s="0" t="s">
        <v>133</v>
      </c>
      <c r="B6490" s="0" t="n">
        <v>1</v>
      </c>
      <c r="C6490" s="0" t="n">
        <v>1.7</v>
      </c>
      <c r="D6490" s="0" t="n">
        <v>1.148</v>
      </c>
    </row>
    <row r="6491" customFormat="false" ht="13.8" hidden="true" customHeight="false" outlineLevel="0" collapsed="false">
      <c r="A6491" s="0" t="s">
        <v>133</v>
      </c>
      <c r="B6491" s="0" t="n">
        <v>1</v>
      </c>
      <c r="C6491" s="0" t="n">
        <v>1.75</v>
      </c>
      <c r="D6491" s="0" t="n">
        <v>1.181</v>
      </c>
    </row>
    <row r="6492" customFormat="false" ht="13.8" hidden="true" customHeight="false" outlineLevel="0" collapsed="false">
      <c r="A6492" s="0" t="s">
        <v>133</v>
      </c>
      <c r="B6492" s="0" t="n">
        <v>1</v>
      </c>
      <c r="C6492" s="0" t="n">
        <v>1.8</v>
      </c>
      <c r="D6492" s="0" t="n">
        <v>1.215</v>
      </c>
    </row>
    <row r="6493" customFormat="false" ht="13.8" hidden="true" customHeight="false" outlineLevel="0" collapsed="false">
      <c r="A6493" s="0" t="s">
        <v>133</v>
      </c>
      <c r="B6493" s="0" t="n">
        <v>1</v>
      </c>
      <c r="C6493" s="0" t="n">
        <v>1.85</v>
      </c>
      <c r="D6493" s="0" t="n">
        <v>1.249</v>
      </c>
    </row>
    <row r="6494" customFormat="false" ht="13.8" hidden="true" customHeight="false" outlineLevel="0" collapsed="false">
      <c r="A6494" s="0" t="s">
        <v>133</v>
      </c>
      <c r="B6494" s="0" t="n">
        <v>1</v>
      </c>
      <c r="C6494" s="0" t="n">
        <v>1.9</v>
      </c>
      <c r="D6494" s="0" t="n">
        <v>0</v>
      </c>
    </row>
    <row r="6495" customFormat="false" ht="13.8" hidden="true" customHeight="false" outlineLevel="0" collapsed="false">
      <c r="A6495" s="0" t="s">
        <v>133</v>
      </c>
      <c r="B6495" s="0" t="n">
        <v>1</v>
      </c>
      <c r="C6495" s="0" t="n">
        <v>1.95</v>
      </c>
      <c r="D6495" s="0" t="n">
        <v>0</v>
      </c>
    </row>
    <row r="6496" customFormat="false" ht="13.8" hidden="true" customHeight="false" outlineLevel="0" collapsed="false">
      <c r="A6496" s="0" t="s">
        <v>133</v>
      </c>
      <c r="B6496" s="0" t="n">
        <v>1</v>
      </c>
      <c r="C6496" s="0" t="n">
        <v>2</v>
      </c>
      <c r="D6496" s="0" t="n">
        <v>0</v>
      </c>
    </row>
    <row r="6497" customFormat="false" ht="13.8" hidden="true" customHeight="false" outlineLevel="0" collapsed="false">
      <c r="A6497" s="0" t="s">
        <v>133</v>
      </c>
      <c r="B6497" s="0" t="n">
        <v>1</v>
      </c>
      <c r="C6497" s="0" t="n">
        <v>2.05</v>
      </c>
      <c r="D6497" s="0" t="n">
        <v>0</v>
      </c>
    </row>
    <row r="6498" customFormat="false" ht="13.8" hidden="true" customHeight="false" outlineLevel="0" collapsed="false">
      <c r="A6498" s="0" t="s">
        <v>133</v>
      </c>
      <c r="B6498" s="0" t="n">
        <v>1</v>
      </c>
      <c r="C6498" s="0" t="n">
        <v>2.1</v>
      </c>
      <c r="D6498" s="0" t="n">
        <v>0</v>
      </c>
    </row>
    <row r="6499" customFormat="false" ht="13.8" hidden="true" customHeight="false" outlineLevel="0" collapsed="false">
      <c r="A6499" s="0" t="s">
        <v>133</v>
      </c>
      <c r="B6499" s="0" t="n">
        <v>1</v>
      </c>
      <c r="C6499" s="0" t="n">
        <v>2.15</v>
      </c>
      <c r="D6499" s="0" t="n">
        <v>0</v>
      </c>
    </row>
    <row r="6500" customFormat="false" ht="13.8" hidden="true" customHeight="false" outlineLevel="0" collapsed="false">
      <c r="A6500" s="0" t="s">
        <v>133</v>
      </c>
      <c r="B6500" s="0" t="n">
        <v>1</v>
      </c>
      <c r="C6500" s="0" t="n">
        <v>2.2</v>
      </c>
      <c r="D6500" s="0" t="n">
        <v>0</v>
      </c>
    </row>
    <row r="6501" customFormat="false" ht="13.8" hidden="true" customHeight="false" outlineLevel="0" collapsed="false">
      <c r="A6501" s="0" t="s">
        <v>133</v>
      </c>
      <c r="B6501" s="0" t="n">
        <v>1</v>
      </c>
      <c r="C6501" s="0" t="n">
        <v>2.25</v>
      </c>
      <c r="D6501" s="0" t="n">
        <v>0</v>
      </c>
    </row>
    <row r="6502" customFormat="false" ht="13.8" hidden="true" customHeight="false" outlineLevel="0" collapsed="false">
      <c r="A6502" s="0" t="s">
        <v>133</v>
      </c>
      <c r="B6502" s="0" t="n">
        <v>1</v>
      </c>
      <c r="C6502" s="0" t="n">
        <v>2.3</v>
      </c>
      <c r="D6502" s="0" t="n">
        <v>0</v>
      </c>
    </row>
    <row r="6503" customFormat="false" ht="13.8" hidden="true" customHeight="false" outlineLevel="0" collapsed="false">
      <c r="A6503" s="0" t="s">
        <v>133</v>
      </c>
      <c r="B6503" s="0" t="n">
        <v>1</v>
      </c>
      <c r="C6503" s="0" t="n">
        <v>2.35</v>
      </c>
      <c r="D6503" s="0" t="n">
        <v>0</v>
      </c>
    </row>
    <row r="6504" customFormat="false" ht="13.8" hidden="true" customHeight="false" outlineLevel="0" collapsed="false">
      <c r="A6504" s="0" t="s">
        <v>133</v>
      </c>
      <c r="B6504" s="0" t="n">
        <v>1</v>
      </c>
      <c r="C6504" s="0" t="n">
        <v>2.4</v>
      </c>
      <c r="D6504" s="0" t="n">
        <v>0</v>
      </c>
    </row>
    <row r="6505" customFormat="false" ht="13.8" hidden="true" customHeight="false" outlineLevel="0" collapsed="false">
      <c r="A6505" s="0" t="s">
        <v>133</v>
      </c>
      <c r="B6505" s="0" t="n">
        <v>1</v>
      </c>
      <c r="C6505" s="0" t="n">
        <v>2.45</v>
      </c>
      <c r="D6505" s="0" t="n">
        <v>0</v>
      </c>
    </row>
    <row r="6506" customFormat="false" ht="13.8" hidden="true" customHeight="false" outlineLevel="0" collapsed="false">
      <c r="A6506" s="0" t="s">
        <v>133</v>
      </c>
      <c r="B6506" s="0" t="n">
        <v>1</v>
      </c>
      <c r="C6506" s="0" t="n">
        <v>2.5</v>
      </c>
      <c r="D6506" s="0" t="n">
        <v>0</v>
      </c>
    </row>
    <row r="6507" customFormat="false" ht="13.8" hidden="true" customHeight="false" outlineLevel="0" collapsed="false">
      <c r="A6507" s="0" t="s">
        <v>133</v>
      </c>
      <c r="B6507" s="0" t="n">
        <v>1</v>
      </c>
      <c r="C6507" s="0" t="n">
        <v>2.55</v>
      </c>
      <c r="D6507" s="0" t="n">
        <v>0</v>
      </c>
    </row>
    <row r="6508" customFormat="false" ht="13.8" hidden="true" customHeight="false" outlineLevel="0" collapsed="false">
      <c r="A6508" s="0" t="s">
        <v>133</v>
      </c>
      <c r="B6508" s="0" t="n">
        <v>1</v>
      </c>
      <c r="C6508" s="0" t="n">
        <v>2.6</v>
      </c>
      <c r="D6508" s="0" t="n">
        <v>0</v>
      </c>
    </row>
    <row r="6509" customFormat="false" ht="13.8" hidden="true" customHeight="false" outlineLevel="0" collapsed="false">
      <c r="A6509" s="0" t="s">
        <v>246</v>
      </c>
      <c r="B6509" s="0" t="n">
        <v>1</v>
      </c>
      <c r="C6509" s="0" t="n">
        <v>1.3</v>
      </c>
      <c r="D6509" s="0" t="n">
        <v>0</v>
      </c>
    </row>
    <row r="6510" customFormat="false" ht="13.8" hidden="true" customHeight="false" outlineLevel="0" collapsed="false">
      <c r="A6510" s="0" t="s">
        <v>246</v>
      </c>
      <c r="B6510" s="0" t="n">
        <v>1</v>
      </c>
      <c r="C6510" s="0" t="n">
        <v>1.35</v>
      </c>
      <c r="D6510" s="0" t="n">
        <v>0</v>
      </c>
    </row>
    <row r="6511" customFormat="false" ht="13.8" hidden="true" customHeight="false" outlineLevel="0" collapsed="false">
      <c r="A6511" s="0" t="s">
        <v>246</v>
      </c>
      <c r="B6511" s="0" t="n">
        <v>1</v>
      </c>
      <c r="C6511" s="0" t="n">
        <v>1.4</v>
      </c>
      <c r="D6511" s="0" t="n">
        <v>0</v>
      </c>
    </row>
    <row r="6512" customFormat="false" ht="13.8" hidden="true" customHeight="false" outlineLevel="0" collapsed="false">
      <c r="A6512" s="0" t="s">
        <v>246</v>
      </c>
      <c r="B6512" s="0" t="n">
        <v>1</v>
      </c>
      <c r="C6512" s="0" t="n">
        <v>1.45</v>
      </c>
      <c r="D6512" s="0" t="n">
        <v>0.979</v>
      </c>
    </row>
    <row r="6513" customFormat="false" ht="13.8" hidden="true" customHeight="false" outlineLevel="0" collapsed="false">
      <c r="A6513" s="0" t="s">
        <v>246</v>
      </c>
      <c r="B6513" s="0" t="n">
        <v>1</v>
      </c>
      <c r="C6513" s="0" t="n">
        <v>1.5</v>
      </c>
      <c r="D6513" s="0" t="n">
        <v>1.013</v>
      </c>
    </row>
    <row r="6514" customFormat="false" ht="13.8" hidden="true" customHeight="false" outlineLevel="0" collapsed="false">
      <c r="A6514" s="0" t="s">
        <v>246</v>
      </c>
      <c r="B6514" s="0" t="n">
        <v>1</v>
      </c>
      <c r="C6514" s="0" t="n">
        <v>1.55</v>
      </c>
      <c r="D6514" s="0" t="n">
        <v>1.046</v>
      </c>
    </row>
    <row r="6515" customFormat="false" ht="13.8" hidden="true" customHeight="false" outlineLevel="0" collapsed="false">
      <c r="A6515" s="0" t="s">
        <v>246</v>
      </c>
      <c r="B6515" s="0" t="n">
        <v>1</v>
      </c>
      <c r="C6515" s="0" t="n">
        <v>1.6</v>
      </c>
      <c r="D6515" s="0" t="n">
        <v>1.08</v>
      </c>
    </row>
    <row r="6516" customFormat="false" ht="13.8" hidden="true" customHeight="false" outlineLevel="0" collapsed="false">
      <c r="A6516" s="0" t="s">
        <v>246</v>
      </c>
      <c r="B6516" s="0" t="n">
        <v>1</v>
      </c>
      <c r="C6516" s="0" t="n">
        <v>1.65</v>
      </c>
      <c r="D6516" s="0" t="n">
        <v>1.114</v>
      </c>
    </row>
    <row r="6517" customFormat="false" ht="13.8" hidden="true" customHeight="false" outlineLevel="0" collapsed="false">
      <c r="A6517" s="0" t="s">
        <v>246</v>
      </c>
      <c r="B6517" s="0" t="n">
        <v>1</v>
      </c>
      <c r="C6517" s="0" t="n">
        <v>1.7</v>
      </c>
      <c r="D6517" s="0" t="n">
        <v>1.148</v>
      </c>
    </row>
    <row r="6518" customFormat="false" ht="13.8" hidden="true" customHeight="false" outlineLevel="0" collapsed="false">
      <c r="A6518" s="0" t="s">
        <v>246</v>
      </c>
      <c r="B6518" s="0" t="n">
        <v>1</v>
      </c>
      <c r="C6518" s="0" t="n">
        <v>1.75</v>
      </c>
      <c r="D6518" s="0" t="n">
        <v>1.181</v>
      </c>
    </row>
    <row r="6519" customFormat="false" ht="13.8" hidden="true" customHeight="false" outlineLevel="0" collapsed="false">
      <c r="A6519" s="0" t="s">
        <v>246</v>
      </c>
      <c r="B6519" s="0" t="n">
        <v>1</v>
      </c>
      <c r="C6519" s="0" t="n">
        <v>1.8</v>
      </c>
      <c r="D6519" s="0" t="n">
        <v>1.215</v>
      </c>
    </row>
    <row r="6520" customFormat="false" ht="13.8" hidden="true" customHeight="false" outlineLevel="0" collapsed="false">
      <c r="A6520" s="0" t="s">
        <v>246</v>
      </c>
      <c r="B6520" s="0" t="n">
        <v>1</v>
      </c>
      <c r="C6520" s="0" t="n">
        <v>1.85</v>
      </c>
      <c r="D6520" s="0" t="n">
        <v>1.249</v>
      </c>
    </row>
    <row r="6521" customFormat="false" ht="13.8" hidden="true" customHeight="false" outlineLevel="0" collapsed="false">
      <c r="A6521" s="0" t="s">
        <v>246</v>
      </c>
      <c r="B6521" s="0" t="n">
        <v>1</v>
      </c>
      <c r="C6521" s="0" t="n">
        <v>1.9</v>
      </c>
      <c r="D6521" s="0" t="n">
        <v>0</v>
      </c>
    </row>
    <row r="6522" customFormat="false" ht="13.8" hidden="true" customHeight="false" outlineLevel="0" collapsed="false">
      <c r="A6522" s="0" t="s">
        <v>246</v>
      </c>
      <c r="B6522" s="0" t="n">
        <v>1</v>
      </c>
      <c r="C6522" s="0" t="n">
        <v>1.95</v>
      </c>
      <c r="D6522" s="0" t="n">
        <v>0</v>
      </c>
    </row>
    <row r="6523" customFormat="false" ht="13.8" hidden="true" customHeight="false" outlineLevel="0" collapsed="false">
      <c r="A6523" s="0" t="s">
        <v>246</v>
      </c>
      <c r="B6523" s="0" t="n">
        <v>1</v>
      </c>
      <c r="C6523" s="0" t="n">
        <v>2</v>
      </c>
      <c r="D6523" s="0" t="n">
        <v>0</v>
      </c>
    </row>
    <row r="6524" customFormat="false" ht="13.8" hidden="true" customHeight="false" outlineLevel="0" collapsed="false">
      <c r="A6524" s="0" t="s">
        <v>246</v>
      </c>
      <c r="B6524" s="0" t="n">
        <v>1</v>
      </c>
      <c r="C6524" s="0" t="n">
        <v>2.05</v>
      </c>
      <c r="D6524" s="0" t="n">
        <v>0</v>
      </c>
    </row>
    <row r="6525" customFormat="false" ht="13.8" hidden="true" customHeight="false" outlineLevel="0" collapsed="false">
      <c r="A6525" s="0" t="s">
        <v>246</v>
      </c>
      <c r="B6525" s="0" t="n">
        <v>1</v>
      </c>
      <c r="C6525" s="0" t="n">
        <v>2.1</v>
      </c>
      <c r="D6525" s="0" t="n">
        <v>0</v>
      </c>
    </row>
    <row r="6526" customFormat="false" ht="13.8" hidden="true" customHeight="false" outlineLevel="0" collapsed="false">
      <c r="A6526" s="0" t="s">
        <v>246</v>
      </c>
      <c r="B6526" s="0" t="n">
        <v>1</v>
      </c>
      <c r="C6526" s="0" t="n">
        <v>2.15</v>
      </c>
      <c r="D6526" s="0" t="n">
        <v>0</v>
      </c>
    </row>
    <row r="6527" customFormat="false" ht="13.8" hidden="true" customHeight="false" outlineLevel="0" collapsed="false">
      <c r="A6527" s="0" t="s">
        <v>246</v>
      </c>
      <c r="B6527" s="0" t="n">
        <v>1</v>
      </c>
      <c r="C6527" s="0" t="n">
        <v>2.2</v>
      </c>
      <c r="D6527" s="0" t="n">
        <v>0</v>
      </c>
    </row>
    <row r="6528" customFormat="false" ht="13.8" hidden="true" customHeight="false" outlineLevel="0" collapsed="false">
      <c r="A6528" s="0" t="s">
        <v>246</v>
      </c>
      <c r="B6528" s="0" t="n">
        <v>1</v>
      </c>
      <c r="C6528" s="0" t="n">
        <v>2.25</v>
      </c>
      <c r="D6528" s="0" t="n">
        <v>0</v>
      </c>
    </row>
    <row r="6529" customFormat="false" ht="13.8" hidden="true" customHeight="false" outlineLevel="0" collapsed="false">
      <c r="A6529" s="0" t="s">
        <v>246</v>
      </c>
      <c r="B6529" s="0" t="n">
        <v>1</v>
      </c>
      <c r="C6529" s="0" t="n">
        <v>2.3</v>
      </c>
      <c r="D6529" s="0" t="n">
        <v>0</v>
      </c>
    </row>
    <row r="6530" customFormat="false" ht="13.8" hidden="true" customHeight="false" outlineLevel="0" collapsed="false">
      <c r="A6530" s="0" t="s">
        <v>246</v>
      </c>
      <c r="B6530" s="0" t="n">
        <v>1</v>
      </c>
      <c r="C6530" s="0" t="n">
        <v>2.35</v>
      </c>
      <c r="D6530" s="0" t="n">
        <v>0</v>
      </c>
    </row>
    <row r="6531" customFormat="false" ht="13.8" hidden="true" customHeight="false" outlineLevel="0" collapsed="false">
      <c r="A6531" s="0" t="s">
        <v>246</v>
      </c>
      <c r="B6531" s="0" t="n">
        <v>1</v>
      </c>
      <c r="C6531" s="0" t="n">
        <v>2.4</v>
      </c>
      <c r="D6531" s="0" t="n">
        <v>0</v>
      </c>
    </row>
    <row r="6532" customFormat="false" ht="13.8" hidden="true" customHeight="false" outlineLevel="0" collapsed="false">
      <c r="A6532" s="0" t="s">
        <v>246</v>
      </c>
      <c r="B6532" s="0" t="n">
        <v>1</v>
      </c>
      <c r="C6532" s="0" t="n">
        <v>2.45</v>
      </c>
      <c r="D6532" s="0" t="n">
        <v>0</v>
      </c>
    </row>
    <row r="6533" customFormat="false" ht="13.8" hidden="true" customHeight="false" outlineLevel="0" collapsed="false">
      <c r="A6533" s="0" t="s">
        <v>246</v>
      </c>
      <c r="B6533" s="0" t="n">
        <v>1</v>
      </c>
      <c r="C6533" s="0" t="n">
        <v>2.5</v>
      </c>
      <c r="D6533" s="0" t="n">
        <v>0</v>
      </c>
    </row>
    <row r="6534" customFormat="false" ht="13.8" hidden="true" customHeight="false" outlineLevel="0" collapsed="false">
      <c r="A6534" s="0" t="s">
        <v>246</v>
      </c>
      <c r="B6534" s="0" t="n">
        <v>1</v>
      </c>
      <c r="C6534" s="0" t="n">
        <v>2.55</v>
      </c>
      <c r="D6534" s="0" t="n">
        <v>0</v>
      </c>
    </row>
    <row r="6535" customFormat="false" ht="13.8" hidden="true" customHeight="false" outlineLevel="0" collapsed="false">
      <c r="A6535" s="0" t="s">
        <v>246</v>
      </c>
      <c r="B6535" s="0" t="n">
        <v>1</v>
      </c>
      <c r="C6535" s="0" t="n">
        <v>2.6</v>
      </c>
      <c r="D6535" s="0" t="n">
        <v>0</v>
      </c>
    </row>
    <row r="6536" customFormat="false" ht="13.8" hidden="true" customHeight="false" outlineLevel="0" collapsed="false">
      <c r="A6536" s="0" t="s">
        <v>888</v>
      </c>
      <c r="B6536" s="0" t="n">
        <v>1</v>
      </c>
      <c r="C6536" s="0" t="n">
        <v>1.3</v>
      </c>
      <c r="D6536" s="0" t="n">
        <v>0</v>
      </c>
    </row>
    <row r="6537" customFormat="false" ht="13.8" hidden="true" customHeight="false" outlineLevel="0" collapsed="false">
      <c r="A6537" s="0" t="s">
        <v>888</v>
      </c>
      <c r="B6537" s="0" t="n">
        <v>1</v>
      </c>
      <c r="C6537" s="0" t="n">
        <v>1.35</v>
      </c>
      <c r="D6537" s="0" t="n">
        <v>0</v>
      </c>
    </row>
    <row r="6538" customFormat="false" ht="13.8" hidden="true" customHeight="false" outlineLevel="0" collapsed="false">
      <c r="A6538" s="0" t="s">
        <v>888</v>
      </c>
      <c r="B6538" s="0" t="n">
        <v>1</v>
      </c>
      <c r="C6538" s="0" t="n">
        <v>1.4</v>
      </c>
      <c r="D6538" s="0" t="n">
        <v>0</v>
      </c>
    </row>
    <row r="6539" customFormat="false" ht="13.8" hidden="true" customHeight="false" outlineLevel="0" collapsed="false">
      <c r="A6539" s="0" t="s">
        <v>888</v>
      </c>
      <c r="B6539" s="0" t="n">
        <v>1</v>
      </c>
      <c r="C6539" s="0" t="n">
        <v>1.45</v>
      </c>
      <c r="D6539" s="0" t="n">
        <v>0</v>
      </c>
    </row>
    <row r="6540" customFormat="false" ht="13.8" hidden="true" customHeight="false" outlineLevel="0" collapsed="false">
      <c r="A6540" s="0" t="s">
        <v>888</v>
      </c>
      <c r="B6540" s="0" t="n">
        <v>1</v>
      </c>
      <c r="C6540" s="0" t="n">
        <v>1.5</v>
      </c>
      <c r="D6540" s="0" t="n">
        <v>0</v>
      </c>
    </row>
    <row r="6541" customFormat="false" ht="13.8" hidden="true" customHeight="false" outlineLevel="0" collapsed="false">
      <c r="A6541" s="0" t="s">
        <v>888</v>
      </c>
      <c r="B6541" s="0" t="n">
        <v>1</v>
      </c>
      <c r="C6541" s="0" t="n">
        <v>1.55</v>
      </c>
      <c r="D6541" s="0" t="n">
        <v>0</v>
      </c>
    </row>
    <row r="6542" customFormat="false" ht="13.8" hidden="true" customHeight="false" outlineLevel="0" collapsed="false">
      <c r="A6542" s="0" t="s">
        <v>888</v>
      </c>
      <c r="B6542" s="0" t="n">
        <v>1</v>
      </c>
      <c r="C6542" s="0" t="n">
        <v>1.6</v>
      </c>
      <c r="D6542" s="0" t="n">
        <v>1.08</v>
      </c>
    </row>
    <row r="6543" customFormat="false" ht="13.8" hidden="true" customHeight="false" outlineLevel="0" collapsed="false">
      <c r="A6543" s="0" t="s">
        <v>888</v>
      </c>
      <c r="B6543" s="0" t="n">
        <v>1</v>
      </c>
      <c r="C6543" s="0" t="n">
        <v>1.65</v>
      </c>
      <c r="D6543" s="0" t="n">
        <v>1.114</v>
      </c>
    </row>
    <row r="6544" customFormat="false" ht="13.8" hidden="true" customHeight="false" outlineLevel="0" collapsed="false">
      <c r="A6544" s="0" t="s">
        <v>888</v>
      </c>
      <c r="B6544" s="0" t="n">
        <v>1</v>
      </c>
      <c r="C6544" s="0" t="n">
        <v>1.7</v>
      </c>
      <c r="D6544" s="0" t="n">
        <v>1.148</v>
      </c>
    </row>
    <row r="6545" customFormat="false" ht="13.8" hidden="true" customHeight="false" outlineLevel="0" collapsed="false">
      <c r="A6545" s="0" t="s">
        <v>888</v>
      </c>
      <c r="B6545" s="0" t="n">
        <v>1</v>
      </c>
      <c r="C6545" s="0" t="n">
        <v>1.75</v>
      </c>
      <c r="D6545" s="0" t="n">
        <v>1.181</v>
      </c>
    </row>
    <row r="6546" customFormat="false" ht="13.8" hidden="true" customHeight="false" outlineLevel="0" collapsed="false">
      <c r="A6546" s="0" t="s">
        <v>888</v>
      </c>
      <c r="B6546" s="0" t="n">
        <v>1</v>
      </c>
      <c r="C6546" s="0" t="n">
        <v>1.8</v>
      </c>
      <c r="D6546" s="0" t="n">
        <v>1.215</v>
      </c>
    </row>
    <row r="6547" customFormat="false" ht="13.8" hidden="true" customHeight="false" outlineLevel="0" collapsed="false">
      <c r="A6547" s="0" t="s">
        <v>888</v>
      </c>
      <c r="B6547" s="0" t="n">
        <v>1</v>
      </c>
      <c r="C6547" s="0" t="n">
        <v>1.85</v>
      </c>
      <c r="D6547" s="0" t="n">
        <v>1.249</v>
      </c>
    </row>
    <row r="6548" customFormat="false" ht="13.8" hidden="true" customHeight="false" outlineLevel="0" collapsed="false">
      <c r="A6548" s="0" t="s">
        <v>888</v>
      </c>
      <c r="B6548" s="0" t="n">
        <v>1</v>
      </c>
      <c r="C6548" s="0" t="n">
        <v>1.9</v>
      </c>
      <c r="D6548" s="0" t="n">
        <v>0</v>
      </c>
    </row>
    <row r="6549" customFormat="false" ht="13.8" hidden="true" customHeight="false" outlineLevel="0" collapsed="false">
      <c r="A6549" s="0" t="s">
        <v>888</v>
      </c>
      <c r="B6549" s="0" t="n">
        <v>1</v>
      </c>
      <c r="C6549" s="0" t="n">
        <v>1.95</v>
      </c>
      <c r="D6549" s="0" t="n">
        <v>0</v>
      </c>
    </row>
    <row r="6550" customFormat="false" ht="13.8" hidden="true" customHeight="false" outlineLevel="0" collapsed="false">
      <c r="A6550" s="0" t="s">
        <v>888</v>
      </c>
      <c r="B6550" s="0" t="n">
        <v>1</v>
      </c>
      <c r="C6550" s="0" t="n">
        <v>2</v>
      </c>
      <c r="D6550" s="0" t="n">
        <v>0</v>
      </c>
    </row>
    <row r="6551" customFormat="false" ht="13.8" hidden="true" customHeight="false" outlineLevel="0" collapsed="false">
      <c r="A6551" s="0" t="s">
        <v>888</v>
      </c>
      <c r="B6551" s="0" t="n">
        <v>1</v>
      </c>
      <c r="C6551" s="0" t="n">
        <v>2.05</v>
      </c>
      <c r="D6551" s="0" t="n">
        <v>0</v>
      </c>
    </row>
    <row r="6552" customFormat="false" ht="13.8" hidden="true" customHeight="false" outlineLevel="0" collapsed="false">
      <c r="A6552" s="0" t="s">
        <v>888</v>
      </c>
      <c r="B6552" s="0" t="n">
        <v>1</v>
      </c>
      <c r="C6552" s="0" t="n">
        <v>2.1</v>
      </c>
      <c r="D6552" s="0" t="n">
        <v>0</v>
      </c>
    </row>
    <row r="6553" customFormat="false" ht="13.8" hidden="true" customHeight="false" outlineLevel="0" collapsed="false">
      <c r="A6553" s="0" t="s">
        <v>888</v>
      </c>
      <c r="B6553" s="0" t="n">
        <v>1</v>
      </c>
      <c r="C6553" s="0" t="n">
        <v>2.15</v>
      </c>
      <c r="D6553" s="0" t="n">
        <v>0</v>
      </c>
    </row>
    <row r="6554" customFormat="false" ht="13.8" hidden="true" customHeight="false" outlineLevel="0" collapsed="false">
      <c r="A6554" s="0" t="s">
        <v>888</v>
      </c>
      <c r="B6554" s="0" t="n">
        <v>1</v>
      </c>
      <c r="C6554" s="0" t="n">
        <v>2.2</v>
      </c>
      <c r="D6554" s="0" t="n">
        <v>0</v>
      </c>
    </row>
    <row r="6555" customFormat="false" ht="13.8" hidden="true" customHeight="false" outlineLevel="0" collapsed="false">
      <c r="A6555" s="0" t="s">
        <v>888</v>
      </c>
      <c r="B6555" s="0" t="n">
        <v>1</v>
      </c>
      <c r="C6555" s="0" t="n">
        <v>2.25</v>
      </c>
      <c r="D6555" s="0" t="n">
        <v>0</v>
      </c>
    </row>
    <row r="6556" customFormat="false" ht="13.8" hidden="true" customHeight="false" outlineLevel="0" collapsed="false">
      <c r="A6556" s="0" t="s">
        <v>888</v>
      </c>
      <c r="B6556" s="0" t="n">
        <v>1</v>
      </c>
      <c r="C6556" s="0" t="n">
        <v>2.3</v>
      </c>
      <c r="D6556" s="0" t="n">
        <v>0</v>
      </c>
    </row>
    <row r="6557" customFormat="false" ht="13.8" hidden="true" customHeight="false" outlineLevel="0" collapsed="false">
      <c r="A6557" s="0" t="s">
        <v>888</v>
      </c>
      <c r="B6557" s="0" t="n">
        <v>1</v>
      </c>
      <c r="C6557" s="0" t="n">
        <v>2.35</v>
      </c>
      <c r="D6557" s="0" t="n">
        <v>0</v>
      </c>
    </row>
    <row r="6558" customFormat="false" ht="13.8" hidden="true" customHeight="false" outlineLevel="0" collapsed="false">
      <c r="A6558" s="0" t="s">
        <v>888</v>
      </c>
      <c r="B6558" s="0" t="n">
        <v>1</v>
      </c>
      <c r="C6558" s="0" t="n">
        <v>2.4</v>
      </c>
      <c r="D6558" s="0" t="n">
        <v>0</v>
      </c>
    </row>
    <row r="6559" customFormat="false" ht="13.8" hidden="true" customHeight="false" outlineLevel="0" collapsed="false">
      <c r="A6559" s="0" t="s">
        <v>888</v>
      </c>
      <c r="B6559" s="0" t="n">
        <v>1</v>
      </c>
      <c r="C6559" s="0" t="n">
        <v>2.45</v>
      </c>
      <c r="D6559" s="0" t="n">
        <v>0</v>
      </c>
    </row>
    <row r="6560" customFormat="false" ht="13.8" hidden="true" customHeight="false" outlineLevel="0" collapsed="false">
      <c r="A6560" s="0" t="s">
        <v>888</v>
      </c>
      <c r="B6560" s="0" t="n">
        <v>1</v>
      </c>
      <c r="C6560" s="0" t="n">
        <v>2.5</v>
      </c>
      <c r="D6560" s="0" t="n">
        <v>0</v>
      </c>
    </row>
    <row r="6561" customFormat="false" ht="13.8" hidden="true" customHeight="false" outlineLevel="0" collapsed="false">
      <c r="A6561" s="0" t="s">
        <v>888</v>
      </c>
      <c r="B6561" s="0" t="n">
        <v>1</v>
      </c>
      <c r="C6561" s="0" t="n">
        <v>2.55</v>
      </c>
      <c r="D6561" s="0" t="n">
        <v>0</v>
      </c>
    </row>
    <row r="6562" customFormat="false" ht="13.8" hidden="true" customHeight="false" outlineLevel="0" collapsed="false">
      <c r="A6562" s="0" t="s">
        <v>888</v>
      </c>
      <c r="B6562" s="0" t="n">
        <v>1</v>
      </c>
      <c r="C6562" s="0" t="n">
        <v>2.6</v>
      </c>
      <c r="D6562" s="0" t="n">
        <v>0</v>
      </c>
    </row>
    <row r="6563" customFormat="false" ht="13.8" hidden="true" customHeight="false" outlineLevel="0" collapsed="false">
      <c r="A6563" s="0" t="s">
        <v>891</v>
      </c>
      <c r="B6563" s="0" t="n">
        <v>1</v>
      </c>
      <c r="C6563" s="0" t="n">
        <v>1.3</v>
      </c>
      <c r="D6563" s="0" t="n">
        <v>0</v>
      </c>
    </row>
    <row r="6564" customFormat="false" ht="13.8" hidden="true" customHeight="false" outlineLevel="0" collapsed="false">
      <c r="A6564" s="0" t="s">
        <v>891</v>
      </c>
      <c r="B6564" s="0" t="n">
        <v>1</v>
      </c>
      <c r="C6564" s="0" t="n">
        <v>1.35</v>
      </c>
      <c r="D6564" s="0" t="n">
        <v>0</v>
      </c>
    </row>
    <row r="6565" customFormat="false" ht="13.8" hidden="true" customHeight="false" outlineLevel="0" collapsed="false">
      <c r="A6565" s="0" t="s">
        <v>891</v>
      </c>
      <c r="B6565" s="0" t="n">
        <v>1</v>
      </c>
      <c r="C6565" s="0" t="n">
        <v>1.4</v>
      </c>
      <c r="D6565" s="0" t="n">
        <v>0</v>
      </c>
    </row>
    <row r="6566" customFormat="false" ht="13.8" hidden="true" customHeight="false" outlineLevel="0" collapsed="false">
      <c r="A6566" s="0" t="s">
        <v>891</v>
      </c>
      <c r="B6566" s="0" t="n">
        <v>1</v>
      </c>
      <c r="C6566" s="0" t="n">
        <v>1.45</v>
      </c>
      <c r="D6566" s="0" t="n">
        <v>0</v>
      </c>
    </row>
    <row r="6567" customFormat="false" ht="13.8" hidden="true" customHeight="false" outlineLevel="0" collapsed="false">
      <c r="A6567" s="0" t="s">
        <v>891</v>
      </c>
      <c r="B6567" s="0" t="n">
        <v>1</v>
      </c>
      <c r="C6567" s="0" t="n">
        <v>1.5</v>
      </c>
      <c r="D6567" s="0" t="n">
        <v>0</v>
      </c>
    </row>
    <row r="6568" customFormat="false" ht="13.8" hidden="true" customHeight="false" outlineLevel="0" collapsed="false">
      <c r="A6568" s="0" t="s">
        <v>891</v>
      </c>
      <c r="B6568" s="0" t="n">
        <v>1</v>
      </c>
      <c r="C6568" s="0" t="n">
        <v>1.55</v>
      </c>
      <c r="D6568" s="0" t="n">
        <v>0</v>
      </c>
    </row>
    <row r="6569" customFormat="false" ht="13.8" hidden="true" customHeight="false" outlineLevel="0" collapsed="false">
      <c r="A6569" s="0" t="s">
        <v>891</v>
      </c>
      <c r="B6569" s="0" t="n">
        <v>1</v>
      </c>
      <c r="C6569" s="0" t="n">
        <v>1.6</v>
      </c>
      <c r="D6569" s="0" t="n">
        <v>1.08</v>
      </c>
    </row>
    <row r="6570" customFormat="false" ht="13.8" hidden="true" customHeight="false" outlineLevel="0" collapsed="false">
      <c r="A6570" s="0" t="s">
        <v>891</v>
      </c>
      <c r="B6570" s="0" t="n">
        <v>1</v>
      </c>
      <c r="C6570" s="0" t="n">
        <v>1.65</v>
      </c>
      <c r="D6570" s="0" t="n">
        <v>1.114</v>
      </c>
    </row>
    <row r="6571" customFormat="false" ht="13.8" hidden="true" customHeight="false" outlineLevel="0" collapsed="false">
      <c r="A6571" s="0" t="s">
        <v>891</v>
      </c>
      <c r="B6571" s="0" t="n">
        <v>1</v>
      </c>
      <c r="C6571" s="0" t="n">
        <v>1.7</v>
      </c>
      <c r="D6571" s="0" t="n">
        <v>1.1475</v>
      </c>
    </row>
    <row r="6572" customFormat="false" ht="13.8" hidden="true" customHeight="false" outlineLevel="0" collapsed="false">
      <c r="A6572" s="0" t="s">
        <v>891</v>
      </c>
      <c r="B6572" s="0" t="n">
        <v>1</v>
      </c>
      <c r="C6572" s="0" t="n">
        <v>1.75</v>
      </c>
      <c r="D6572" s="0" t="n">
        <v>1.18125</v>
      </c>
    </row>
    <row r="6573" customFormat="false" ht="13.8" hidden="true" customHeight="false" outlineLevel="0" collapsed="false">
      <c r="A6573" s="0" t="s">
        <v>891</v>
      </c>
      <c r="B6573" s="0" t="n">
        <v>1</v>
      </c>
      <c r="C6573" s="0" t="n">
        <v>1.8</v>
      </c>
      <c r="D6573" s="0" t="n">
        <v>1.215</v>
      </c>
    </row>
    <row r="6574" customFormat="false" ht="13.8" hidden="true" customHeight="false" outlineLevel="0" collapsed="false">
      <c r="A6574" s="0" t="s">
        <v>891</v>
      </c>
      <c r="B6574" s="0" t="n">
        <v>1</v>
      </c>
      <c r="C6574" s="0" t="n">
        <v>1.85</v>
      </c>
      <c r="D6574" s="0" t="n">
        <v>1.24875</v>
      </c>
    </row>
    <row r="6575" customFormat="false" ht="13.8" hidden="true" customHeight="false" outlineLevel="0" collapsed="false">
      <c r="A6575" s="0" t="s">
        <v>891</v>
      </c>
      <c r="B6575" s="0" t="n">
        <v>1</v>
      </c>
      <c r="C6575" s="0" t="n">
        <v>1.9</v>
      </c>
      <c r="D6575" s="0" t="n">
        <v>0</v>
      </c>
    </row>
    <row r="6576" customFormat="false" ht="13.8" hidden="true" customHeight="false" outlineLevel="0" collapsed="false">
      <c r="A6576" s="0" t="s">
        <v>891</v>
      </c>
      <c r="B6576" s="0" t="n">
        <v>1</v>
      </c>
      <c r="C6576" s="0" t="n">
        <v>1.95</v>
      </c>
      <c r="D6576" s="0" t="n">
        <v>0</v>
      </c>
    </row>
    <row r="6577" customFormat="false" ht="13.8" hidden="true" customHeight="false" outlineLevel="0" collapsed="false">
      <c r="A6577" s="0" t="s">
        <v>891</v>
      </c>
      <c r="B6577" s="0" t="n">
        <v>1</v>
      </c>
      <c r="C6577" s="0" t="n">
        <v>2</v>
      </c>
      <c r="D6577" s="0" t="n">
        <v>0</v>
      </c>
    </row>
    <row r="6578" customFormat="false" ht="13.8" hidden="true" customHeight="false" outlineLevel="0" collapsed="false">
      <c r="A6578" s="0" t="s">
        <v>891</v>
      </c>
      <c r="B6578" s="0" t="n">
        <v>1</v>
      </c>
      <c r="C6578" s="0" t="n">
        <v>2.05</v>
      </c>
      <c r="D6578" s="0" t="n">
        <v>0</v>
      </c>
    </row>
    <row r="6579" customFormat="false" ht="13.8" hidden="true" customHeight="false" outlineLevel="0" collapsed="false">
      <c r="A6579" s="0" t="s">
        <v>891</v>
      </c>
      <c r="B6579" s="0" t="n">
        <v>1</v>
      </c>
      <c r="C6579" s="0" t="n">
        <v>2.1</v>
      </c>
      <c r="D6579" s="0" t="n">
        <v>0</v>
      </c>
    </row>
    <row r="6580" customFormat="false" ht="13.8" hidden="true" customHeight="false" outlineLevel="0" collapsed="false">
      <c r="A6580" s="0" t="s">
        <v>891</v>
      </c>
      <c r="B6580" s="0" t="n">
        <v>1</v>
      </c>
      <c r="C6580" s="0" t="n">
        <v>2.15</v>
      </c>
      <c r="D6580" s="0" t="n">
        <v>0</v>
      </c>
    </row>
    <row r="6581" customFormat="false" ht="13.8" hidden="true" customHeight="false" outlineLevel="0" collapsed="false">
      <c r="A6581" s="0" t="s">
        <v>891</v>
      </c>
      <c r="B6581" s="0" t="n">
        <v>1</v>
      </c>
      <c r="C6581" s="0" t="n">
        <v>2.2</v>
      </c>
      <c r="D6581" s="0" t="n">
        <v>0</v>
      </c>
    </row>
    <row r="6582" customFormat="false" ht="13.8" hidden="true" customHeight="false" outlineLevel="0" collapsed="false">
      <c r="A6582" s="0" t="s">
        <v>891</v>
      </c>
      <c r="B6582" s="0" t="n">
        <v>1</v>
      </c>
      <c r="C6582" s="0" t="n">
        <v>2.25</v>
      </c>
      <c r="D6582" s="0" t="n">
        <v>0</v>
      </c>
    </row>
    <row r="6583" customFormat="false" ht="13.8" hidden="true" customHeight="false" outlineLevel="0" collapsed="false">
      <c r="A6583" s="0" t="s">
        <v>891</v>
      </c>
      <c r="B6583" s="0" t="n">
        <v>1</v>
      </c>
      <c r="C6583" s="0" t="n">
        <v>2.3</v>
      </c>
      <c r="D6583" s="0" t="n">
        <v>0</v>
      </c>
    </row>
    <row r="6584" customFormat="false" ht="13.8" hidden="true" customHeight="false" outlineLevel="0" collapsed="false">
      <c r="A6584" s="0" t="s">
        <v>891</v>
      </c>
      <c r="B6584" s="0" t="n">
        <v>1</v>
      </c>
      <c r="C6584" s="0" t="n">
        <v>2.35</v>
      </c>
      <c r="D6584" s="0" t="n">
        <v>0</v>
      </c>
    </row>
    <row r="6585" customFormat="false" ht="13.8" hidden="true" customHeight="false" outlineLevel="0" collapsed="false">
      <c r="A6585" s="0" t="s">
        <v>891</v>
      </c>
      <c r="B6585" s="0" t="n">
        <v>1</v>
      </c>
      <c r="C6585" s="0" t="n">
        <v>2.4</v>
      </c>
      <c r="D6585" s="0" t="n">
        <v>0</v>
      </c>
    </row>
    <row r="6586" customFormat="false" ht="13.8" hidden="true" customHeight="false" outlineLevel="0" collapsed="false">
      <c r="A6586" s="0" t="s">
        <v>891</v>
      </c>
      <c r="B6586" s="0" t="n">
        <v>1</v>
      </c>
      <c r="C6586" s="0" t="n">
        <v>2.45</v>
      </c>
      <c r="D6586" s="0" t="n">
        <v>0</v>
      </c>
    </row>
    <row r="6587" customFormat="false" ht="13.8" hidden="true" customHeight="false" outlineLevel="0" collapsed="false">
      <c r="A6587" s="0" t="s">
        <v>891</v>
      </c>
      <c r="B6587" s="0" t="n">
        <v>1</v>
      </c>
      <c r="C6587" s="0" t="n">
        <v>2.5</v>
      </c>
      <c r="D6587" s="0" t="n">
        <v>0</v>
      </c>
    </row>
    <row r="6588" customFormat="false" ht="13.8" hidden="true" customHeight="false" outlineLevel="0" collapsed="false">
      <c r="A6588" s="0" t="s">
        <v>891</v>
      </c>
      <c r="B6588" s="0" t="n">
        <v>1</v>
      </c>
      <c r="C6588" s="0" t="n">
        <v>2.55</v>
      </c>
      <c r="D6588" s="0" t="n">
        <v>0</v>
      </c>
    </row>
    <row r="6589" customFormat="false" ht="13.8" hidden="true" customHeight="false" outlineLevel="0" collapsed="false">
      <c r="A6589" s="0" t="s">
        <v>891</v>
      </c>
      <c r="B6589" s="0" t="n">
        <v>1</v>
      </c>
      <c r="C6589" s="0" t="n">
        <v>2.6</v>
      </c>
      <c r="D6589" s="0" t="n">
        <v>0</v>
      </c>
    </row>
    <row r="6590" customFormat="false" ht="13.8" hidden="true" customHeight="false" outlineLevel="0" collapsed="false">
      <c r="A6590" s="0" t="s">
        <v>894</v>
      </c>
      <c r="B6590" s="0" t="n">
        <v>1</v>
      </c>
      <c r="C6590" s="0" t="n">
        <v>1.3</v>
      </c>
      <c r="D6590" s="0" t="n">
        <v>0</v>
      </c>
    </row>
    <row r="6591" customFormat="false" ht="13.8" hidden="true" customHeight="false" outlineLevel="0" collapsed="false">
      <c r="A6591" s="0" t="s">
        <v>894</v>
      </c>
      <c r="B6591" s="0" t="n">
        <v>1</v>
      </c>
      <c r="C6591" s="0" t="n">
        <v>1.35</v>
      </c>
      <c r="D6591" s="0" t="n">
        <v>0</v>
      </c>
    </row>
    <row r="6592" customFormat="false" ht="13.8" hidden="true" customHeight="false" outlineLevel="0" collapsed="false">
      <c r="A6592" s="0" t="s">
        <v>894</v>
      </c>
      <c r="B6592" s="0" t="n">
        <v>1</v>
      </c>
      <c r="C6592" s="0" t="n">
        <v>1.4</v>
      </c>
      <c r="D6592" s="0" t="n">
        <v>0</v>
      </c>
    </row>
    <row r="6593" customFormat="false" ht="13.8" hidden="true" customHeight="false" outlineLevel="0" collapsed="false">
      <c r="A6593" s="0" t="s">
        <v>894</v>
      </c>
      <c r="B6593" s="0" t="n">
        <v>1</v>
      </c>
      <c r="C6593" s="0" t="n">
        <v>1.45</v>
      </c>
      <c r="D6593" s="0" t="n">
        <v>0</v>
      </c>
    </row>
    <row r="6594" customFormat="false" ht="13.8" hidden="true" customHeight="false" outlineLevel="0" collapsed="false">
      <c r="A6594" s="0" t="s">
        <v>894</v>
      </c>
      <c r="B6594" s="0" t="n">
        <v>1</v>
      </c>
      <c r="C6594" s="0" t="n">
        <v>1.5</v>
      </c>
      <c r="D6594" s="0" t="n">
        <v>0</v>
      </c>
    </row>
    <row r="6595" customFormat="false" ht="13.8" hidden="true" customHeight="false" outlineLevel="0" collapsed="false">
      <c r="A6595" s="0" t="s">
        <v>894</v>
      </c>
      <c r="B6595" s="0" t="n">
        <v>1</v>
      </c>
      <c r="C6595" s="0" t="n">
        <v>1.55</v>
      </c>
      <c r="D6595" s="0" t="n">
        <v>0</v>
      </c>
    </row>
    <row r="6596" customFormat="false" ht="13.8" hidden="true" customHeight="false" outlineLevel="0" collapsed="false">
      <c r="A6596" s="0" t="s">
        <v>894</v>
      </c>
      <c r="B6596" s="0" t="n">
        <v>1</v>
      </c>
      <c r="C6596" s="0" t="n">
        <v>1.6</v>
      </c>
      <c r="D6596" s="0" t="n">
        <v>1.08</v>
      </c>
    </row>
    <row r="6597" customFormat="false" ht="13.8" hidden="true" customHeight="false" outlineLevel="0" collapsed="false">
      <c r="A6597" s="0" t="s">
        <v>894</v>
      </c>
      <c r="B6597" s="0" t="n">
        <v>1</v>
      </c>
      <c r="C6597" s="0" t="n">
        <v>1.65</v>
      </c>
      <c r="D6597" s="0" t="n">
        <v>1.114</v>
      </c>
    </row>
    <row r="6598" customFormat="false" ht="13.8" hidden="true" customHeight="false" outlineLevel="0" collapsed="false">
      <c r="A6598" s="0" t="s">
        <v>894</v>
      </c>
      <c r="B6598" s="0" t="n">
        <v>1</v>
      </c>
      <c r="C6598" s="0" t="n">
        <v>1.7</v>
      </c>
      <c r="D6598" s="0" t="n">
        <v>1.148</v>
      </c>
    </row>
    <row r="6599" customFormat="false" ht="13.8" hidden="true" customHeight="false" outlineLevel="0" collapsed="false">
      <c r="A6599" s="0" t="s">
        <v>894</v>
      </c>
      <c r="B6599" s="0" t="n">
        <v>1</v>
      </c>
      <c r="C6599" s="0" t="n">
        <v>1.75</v>
      </c>
      <c r="D6599" s="0" t="n">
        <v>1.181</v>
      </c>
    </row>
    <row r="6600" customFormat="false" ht="13.8" hidden="true" customHeight="false" outlineLevel="0" collapsed="false">
      <c r="A6600" s="0" t="s">
        <v>894</v>
      </c>
      <c r="B6600" s="0" t="n">
        <v>1</v>
      </c>
      <c r="C6600" s="0" t="n">
        <v>1.8</v>
      </c>
      <c r="D6600" s="0" t="n">
        <v>1.215</v>
      </c>
    </row>
    <row r="6601" customFormat="false" ht="13.8" hidden="true" customHeight="false" outlineLevel="0" collapsed="false">
      <c r="A6601" s="0" t="s">
        <v>894</v>
      </c>
      <c r="B6601" s="0" t="n">
        <v>1</v>
      </c>
      <c r="C6601" s="0" t="n">
        <v>1.85</v>
      </c>
      <c r="D6601" s="0" t="n">
        <v>1.249</v>
      </c>
    </row>
    <row r="6602" customFormat="false" ht="13.8" hidden="true" customHeight="false" outlineLevel="0" collapsed="false">
      <c r="A6602" s="0" t="s">
        <v>894</v>
      </c>
      <c r="B6602" s="0" t="n">
        <v>1</v>
      </c>
      <c r="C6602" s="0" t="n">
        <v>1.9</v>
      </c>
      <c r="D6602" s="0" t="n">
        <v>0</v>
      </c>
    </row>
    <row r="6603" customFormat="false" ht="13.8" hidden="true" customHeight="false" outlineLevel="0" collapsed="false">
      <c r="A6603" s="0" t="s">
        <v>894</v>
      </c>
      <c r="B6603" s="0" t="n">
        <v>1</v>
      </c>
      <c r="C6603" s="0" t="n">
        <v>1.95</v>
      </c>
      <c r="D6603" s="0" t="n">
        <v>0</v>
      </c>
    </row>
    <row r="6604" customFormat="false" ht="13.8" hidden="true" customHeight="false" outlineLevel="0" collapsed="false">
      <c r="A6604" s="0" t="s">
        <v>894</v>
      </c>
      <c r="B6604" s="0" t="n">
        <v>1</v>
      </c>
      <c r="C6604" s="0" t="n">
        <v>2</v>
      </c>
      <c r="D6604" s="0" t="n">
        <v>0</v>
      </c>
    </row>
    <row r="6605" customFormat="false" ht="13.8" hidden="true" customHeight="false" outlineLevel="0" collapsed="false">
      <c r="A6605" s="0" t="s">
        <v>894</v>
      </c>
      <c r="B6605" s="0" t="n">
        <v>1</v>
      </c>
      <c r="C6605" s="0" t="n">
        <v>2.05</v>
      </c>
      <c r="D6605" s="0" t="n">
        <v>0</v>
      </c>
    </row>
    <row r="6606" customFormat="false" ht="13.8" hidden="true" customHeight="false" outlineLevel="0" collapsed="false">
      <c r="A6606" s="0" t="s">
        <v>894</v>
      </c>
      <c r="B6606" s="0" t="n">
        <v>1</v>
      </c>
      <c r="C6606" s="0" t="n">
        <v>2.1</v>
      </c>
      <c r="D6606" s="0" t="n">
        <v>0</v>
      </c>
    </row>
    <row r="6607" customFormat="false" ht="13.8" hidden="true" customHeight="false" outlineLevel="0" collapsed="false">
      <c r="A6607" s="0" t="s">
        <v>894</v>
      </c>
      <c r="B6607" s="0" t="n">
        <v>1</v>
      </c>
      <c r="C6607" s="0" t="n">
        <v>2.15</v>
      </c>
      <c r="D6607" s="0" t="n">
        <v>0</v>
      </c>
    </row>
    <row r="6608" customFormat="false" ht="13.8" hidden="true" customHeight="false" outlineLevel="0" collapsed="false">
      <c r="A6608" s="0" t="s">
        <v>894</v>
      </c>
      <c r="B6608" s="0" t="n">
        <v>1</v>
      </c>
      <c r="C6608" s="0" t="n">
        <v>2.2</v>
      </c>
      <c r="D6608" s="0" t="n">
        <v>0</v>
      </c>
    </row>
    <row r="6609" customFormat="false" ht="13.8" hidden="true" customHeight="false" outlineLevel="0" collapsed="false">
      <c r="A6609" s="0" t="s">
        <v>894</v>
      </c>
      <c r="B6609" s="0" t="n">
        <v>1</v>
      </c>
      <c r="C6609" s="0" t="n">
        <v>2.25</v>
      </c>
      <c r="D6609" s="0" t="n">
        <v>0</v>
      </c>
    </row>
    <row r="6610" customFormat="false" ht="13.8" hidden="true" customHeight="false" outlineLevel="0" collapsed="false">
      <c r="A6610" s="0" t="s">
        <v>894</v>
      </c>
      <c r="B6610" s="0" t="n">
        <v>1</v>
      </c>
      <c r="C6610" s="0" t="n">
        <v>2.3</v>
      </c>
      <c r="D6610" s="0" t="n">
        <v>0</v>
      </c>
    </row>
    <row r="6611" customFormat="false" ht="13.8" hidden="true" customHeight="false" outlineLevel="0" collapsed="false">
      <c r="A6611" s="0" t="s">
        <v>894</v>
      </c>
      <c r="B6611" s="0" t="n">
        <v>1</v>
      </c>
      <c r="C6611" s="0" t="n">
        <v>2.35</v>
      </c>
      <c r="D6611" s="0" t="n">
        <v>0</v>
      </c>
    </row>
    <row r="6612" customFormat="false" ht="13.8" hidden="true" customHeight="false" outlineLevel="0" collapsed="false">
      <c r="A6612" s="0" t="s">
        <v>894</v>
      </c>
      <c r="B6612" s="0" t="n">
        <v>1</v>
      </c>
      <c r="C6612" s="0" t="n">
        <v>2.4</v>
      </c>
      <c r="D6612" s="0" t="n">
        <v>0</v>
      </c>
    </row>
    <row r="6613" customFormat="false" ht="13.8" hidden="true" customHeight="false" outlineLevel="0" collapsed="false">
      <c r="A6613" s="0" t="s">
        <v>894</v>
      </c>
      <c r="B6613" s="0" t="n">
        <v>1</v>
      </c>
      <c r="C6613" s="0" t="n">
        <v>2.45</v>
      </c>
      <c r="D6613" s="0" t="n">
        <v>0</v>
      </c>
    </row>
    <row r="6614" customFormat="false" ht="13.8" hidden="true" customHeight="false" outlineLevel="0" collapsed="false">
      <c r="A6614" s="0" t="s">
        <v>894</v>
      </c>
      <c r="B6614" s="0" t="n">
        <v>1</v>
      </c>
      <c r="C6614" s="0" t="n">
        <v>2.5</v>
      </c>
      <c r="D6614" s="0" t="n">
        <v>0</v>
      </c>
    </row>
    <row r="6615" customFormat="false" ht="13.8" hidden="true" customHeight="false" outlineLevel="0" collapsed="false">
      <c r="A6615" s="0" t="s">
        <v>894</v>
      </c>
      <c r="B6615" s="0" t="n">
        <v>1</v>
      </c>
      <c r="C6615" s="0" t="n">
        <v>2.55</v>
      </c>
      <c r="D6615" s="0" t="n">
        <v>0</v>
      </c>
    </row>
    <row r="6616" customFormat="false" ht="13.8" hidden="true" customHeight="false" outlineLevel="0" collapsed="false">
      <c r="A6616" s="0" t="s">
        <v>894</v>
      </c>
      <c r="B6616" s="0" t="n">
        <v>1</v>
      </c>
      <c r="C6616" s="0" t="n">
        <v>2.6</v>
      </c>
      <c r="D6616" s="0" t="n">
        <v>0</v>
      </c>
    </row>
    <row r="6617" customFormat="false" ht="13.8" hidden="true" customHeight="false" outlineLevel="0" collapsed="false">
      <c r="A6617" s="0" t="s">
        <v>897</v>
      </c>
      <c r="B6617" s="0" t="n">
        <v>1</v>
      </c>
      <c r="C6617" s="0" t="n">
        <v>1.3</v>
      </c>
      <c r="D6617" s="0" t="n">
        <v>0</v>
      </c>
    </row>
    <row r="6618" customFormat="false" ht="13.8" hidden="true" customHeight="false" outlineLevel="0" collapsed="false">
      <c r="A6618" s="0" t="s">
        <v>897</v>
      </c>
      <c r="B6618" s="0" t="n">
        <v>1</v>
      </c>
      <c r="C6618" s="0" t="n">
        <v>1.35</v>
      </c>
      <c r="D6618" s="0" t="n">
        <v>0</v>
      </c>
    </row>
    <row r="6619" customFormat="false" ht="13.8" hidden="true" customHeight="false" outlineLevel="0" collapsed="false">
      <c r="A6619" s="0" t="s">
        <v>897</v>
      </c>
      <c r="B6619" s="0" t="n">
        <v>1</v>
      </c>
      <c r="C6619" s="0" t="n">
        <v>1.4</v>
      </c>
      <c r="D6619" s="0" t="n">
        <v>0</v>
      </c>
    </row>
    <row r="6620" customFormat="false" ht="13.8" hidden="true" customHeight="false" outlineLevel="0" collapsed="false">
      <c r="A6620" s="0" t="s">
        <v>897</v>
      </c>
      <c r="B6620" s="0" t="n">
        <v>1</v>
      </c>
      <c r="C6620" s="0" t="n">
        <v>1.45</v>
      </c>
      <c r="D6620" s="0" t="n">
        <v>0</v>
      </c>
    </row>
    <row r="6621" customFormat="false" ht="13.8" hidden="true" customHeight="false" outlineLevel="0" collapsed="false">
      <c r="A6621" s="0" t="s">
        <v>897</v>
      </c>
      <c r="B6621" s="0" t="n">
        <v>1</v>
      </c>
      <c r="C6621" s="0" t="n">
        <v>1.5</v>
      </c>
      <c r="D6621" s="0" t="n">
        <v>0</v>
      </c>
    </row>
    <row r="6622" customFormat="false" ht="13.8" hidden="true" customHeight="false" outlineLevel="0" collapsed="false">
      <c r="A6622" s="0" t="s">
        <v>897</v>
      </c>
      <c r="B6622" s="0" t="n">
        <v>1</v>
      </c>
      <c r="C6622" s="0" t="n">
        <v>1.55</v>
      </c>
      <c r="D6622" s="0" t="n">
        <v>0</v>
      </c>
    </row>
    <row r="6623" customFormat="false" ht="13.8" hidden="true" customHeight="false" outlineLevel="0" collapsed="false">
      <c r="A6623" s="0" t="s">
        <v>897</v>
      </c>
      <c r="B6623" s="0" t="n">
        <v>1</v>
      </c>
      <c r="C6623" s="0" t="n">
        <v>1.6</v>
      </c>
      <c r="D6623" s="0" t="n">
        <v>1.08</v>
      </c>
    </row>
    <row r="6624" customFormat="false" ht="13.8" hidden="true" customHeight="false" outlineLevel="0" collapsed="false">
      <c r="A6624" s="0" t="s">
        <v>897</v>
      </c>
      <c r="B6624" s="0" t="n">
        <v>1</v>
      </c>
      <c r="C6624" s="0" t="n">
        <v>1.65</v>
      </c>
      <c r="D6624" s="0" t="n">
        <v>1.114</v>
      </c>
    </row>
    <row r="6625" customFormat="false" ht="13.8" hidden="true" customHeight="false" outlineLevel="0" collapsed="false">
      <c r="A6625" s="0" t="s">
        <v>897</v>
      </c>
      <c r="B6625" s="0" t="n">
        <v>1</v>
      </c>
      <c r="C6625" s="0" t="n">
        <v>1.7</v>
      </c>
      <c r="D6625" s="0" t="n">
        <v>1.148</v>
      </c>
    </row>
    <row r="6626" customFormat="false" ht="13.8" hidden="true" customHeight="false" outlineLevel="0" collapsed="false">
      <c r="A6626" s="0" t="s">
        <v>897</v>
      </c>
      <c r="B6626" s="0" t="n">
        <v>1</v>
      </c>
      <c r="C6626" s="0" t="n">
        <v>1.75</v>
      </c>
      <c r="D6626" s="0" t="n">
        <v>1.181</v>
      </c>
    </row>
    <row r="6627" customFormat="false" ht="13.8" hidden="true" customHeight="false" outlineLevel="0" collapsed="false">
      <c r="A6627" s="0" t="s">
        <v>897</v>
      </c>
      <c r="B6627" s="0" t="n">
        <v>1</v>
      </c>
      <c r="C6627" s="0" t="n">
        <v>1.8</v>
      </c>
      <c r="D6627" s="0" t="n">
        <v>1.215</v>
      </c>
    </row>
    <row r="6628" customFormat="false" ht="13.8" hidden="true" customHeight="false" outlineLevel="0" collapsed="false">
      <c r="A6628" s="0" t="s">
        <v>897</v>
      </c>
      <c r="B6628" s="0" t="n">
        <v>1</v>
      </c>
      <c r="C6628" s="0" t="n">
        <v>1.85</v>
      </c>
      <c r="D6628" s="0" t="n">
        <v>1.249</v>
      </c>
    </row>
    <row r="6629" customFormat="false" ht="13.8" hidden="true" customHeight="false" outlineLevel="0" collapsed="false">
      <c r="A6629" s="0" t="s">
        <v>897</v>
      </c>
      <c r="B6629" s="0" t="n">
        <v>1</v>
      </c>
      <c r="C6629" s="0" t="n">
        <v>1.9</v>
      </c>
      <c r="D6629" s="0" t="n">
        <v>0</v>
      </c>
    </row>
    <row r="6630" customFormat="false" ht="13.8" hidden="true" customHeight="false" outlineLevel="0" collapsed="false">
      <c r="A6630" s="0" t="s">
        <v>897</v>
      </c>
      <c r="B6630" s="0" t="n">
        <v>1</v>
      </c>
      <c r="C6630" s="0" t="n">
        <v>1.95</v>
      </c>
      <c r="D6630" s="0" t="n">
        <v>0</v>
      </c>
    </row>
    <row r="6631" customFormat="false" ht="13.8" hidden="true" customHeight="false" outlineLevel="0" collapsed="false">
      <c r="A6631" s="0" t="s">
        <v>897</v>
      </c>
      <c r="B6631" s="0" t="n">
        <v>1</v>
      </c>
      <c r="C6631" s="0" t="n">
        <v>2</v>
      </c>
      <c r="D6631" s="0" t="n">
        <v>0</v>
      </c>
    </row>
    <row r="6632" customFormat="false" ht="13.8" hidden="true" customHeight="false" outlineLevel="0" collapsed="false">
      <c r="A6632" s="0" t="s">
        <v>897</v>
      </c>
      <c r="B6632" s="0" t="n">
        <v>1</v>
      </c>
      <c r="C6632" s="0" t="n">
        <v>2.05</v>
      </c>
      <c r="D6632" s="0" t="n">
        <v>0</v>
      </c>
    </row>
    <row r="6633" customFormat="false" ht="13.8" hidden="true" customHeight="false" outlineLevel="0" collapsed="false">
      <c r="A6633" s="0" t="s">
        <v>897</v>
      </c>
      <c r="B6633" s="0" t="n">
        <v>1</v>
      </c>
      <c r="C6633" s="0" t="n">
        <v>2.1</v>
      </c>
      <c r="D6633" s="0" t="n">
        <v>0</v>
      </c>
    </row>
    <row r="6634" customFormat="false" ht="13.8" hidden="true" customHeight="false" outlineLevel="0" collapsed="false">
      <c r="A6634" s="0" t="s">
        <v>897</v>
      </c>
      <c r="B6634" s="0" t="n">
        <v>1</v>
      </c>
      <c r="C6634" s="0" t="n">
        <v>2.15</v>
      </c>
      <c r="D6634" s="0" t="n">
        <v>0</v>
      </c>
    </row>
    <row r="6635" customFormat="false" ht="13.8" hidden="true" customHeight="false" outlineLevel="0" collapsed="false">
      <c r="A6635" s="0" t="s">
        <v>897</v>
      </c>
      <c r="B6635" s="0" t="n">
        <v>1</v>
      </c>
      <c r="C6635" s="0" t="n">
        <v>2.2</v>
      </c>
      <c r="D6635" s="0" t="n">
        <v>0</v>
      </c>
    </row>
    <row r="6636" customFormat="false" ht="13.8" hidden="true" customHeight="false" outlineLevel="0" collapsed="false">
      <c r="A6636" s="0" t="s">
        <v>897</v>
      </c>
      <c r="B6636" s="0" t="n">
        <v>1</v>
      </c>
      <c r="C6636" s="0" t="n">
        <v>2.25</v>
      </c>
      <c r="D6636" s="0" t="n">
        <v>0</v>
      </c>
    </row>
    <row r="6637" customFormat="false" ht="13.8" hidden="true" customHeight="false" outlineLevel="0" collapsed="false">
      <c r="A6637" s="0" t="s">
        <v>897</v>
      </c>
      <c r="B6637" s="0" t="n">
        <v>1</v>
      </c>
      <c r="C6637" s="0" t="n">
        <v>2.3</v>
      </c>
      <c r="D6637" s="0" t="n">
        <v>0</v>
      </c>
    </row>
    <row r="6638" customFormat="false" ht="13.8" hidden="true" customHeight="false" outlineLevel="0" collapsed="false">
      <c r="A6638" s="0" t="s">
        <v>897</v>
      </c>
      <c r="B6638" s="0" t="n">
        <v>1</v>
      </c>
      <c r="C6638" s="0" t="n">
        <v>2.35</v>
      </c>
      <c r="D6638" s="0" t="n">
        <v>0</v>
      </c>
    </row>
    <row r="6639" customFormat="false" ht="13.8" hidden="true" customHeight="false" outlineLevel="0" collapsed="false">
      <c r="A6639" s="0" t="s">
        <v>897</v>
      </c>
      <c r="B6639" s="0" t="n">
        <v>1</v>
      </c>
      <c r="C6639" s="0" t="n">
        <v>2.4</v>
      </c>
      <c r="D6639" s="0" t="n">
        <v>0</v>
      </c>
    </row>
    <row r="6640" customFormat="false" ht="13.8" hidden="true" customHeight="false" outlineLevel="0" collapsed="false">
      <c r="A6640" s="0" t="s">
        <v>897</v>
      </c>
      <c r="B6640" s="0" t="n">
        <v>1</v>
      </c>
      <c r="C6640" s="0" t="n">
        <v>2.45</v>
      </c>
      <c r="D6640" s="0" t="n">
        <v>0</v>
      </c>
    </row>
    <row r="6641" customFormat="false" ht="13.8" hidden="true" customHeight="false" outlineLevel="0" collapsed="false">
      <c r="A6641" s="0" t="s">
        <v>897</v>
      </c>
      <c r="B6641" s="0" t="n">
        <v>1</v>
      </c>
      <c r="C6641" s="0" t="n">
        <v>2.5</v>
      </c>
      <c r="D6641" s="0" t="n">
        <v>0</v>
      </c>
    </row>
    <row r="6642" customFormat="false" ht="13.8" hidden="true" customHeight="false" outlineLevel="0" collapsed="false">
      <c r="A6642" s="0" t="s">
        <v>897</v>
      </c>
      <c r="B6642" s="0" t="n">
        <v>1</v>
      </c>
      <c r="C6642" s="0" t="n">
        <v>2.55</v>
      </c>
      <c r="D6642" s="0" t="n">
        <v>0</v>
      </c>
    </row>
    <row r="6643" customFormat="false" ht="13.8" hidden="true" customHeight="false" outlineLevel="0" collapsed="false">
      <c r="A6643" s="0" t="s">
        <v>897</v>
      </c>
      <c r="B6643" s="0" t="n">
        <v>1</v>
      </c>
      <c r="C6643" s="0" t="n">
        <v>2.6</v>
      </c>
      <c r="D6643" s="0" t="n">
        <v>0</v>
      </c>
    </row>
    <row r="6644" customFormat="false" ht="13.8" hidden="true" customHeight="false" outlineLevel="0" collapsed="false">
      <c r="A6644" s="0" t="s">
        <v>901</v>
      </c>
      <c r="B6644" s="0" t="n">
        <v>1</v>
      </c>
      <c r="C6644" s="0" t="n">
        <v>1.3</v>
      </c>
      <c r="D6644" s="0" t="n">
        <v>0</v>
      </c>
    </row>
    <row r="6645" customFormat="false" ht="13.8" hidden="true" customHeight="false" outlineLevel="0" collapsed="false">
      <c r="A6645" s="0" t="s">
        <v>901</v>
      </c>
      <c r="B6645" s="0" t="n">
        <v>1</v>
      </c>
      <c r="C6645" s="0" t="n">
        <v>1.35</v>
      </c>
      <c r="D6645" s="0" t="n">
        <v>0</v>
      </c>
    </row>
    <row r="6646" customFormat="false" ht="13.8" hidden="true" customHeight="false" outlineLevel="0" collapsed="false">
      <c r="A6646" s="0" t="s">
        <v>901</v>
      </c>
      <c r="B6646" s="0" t="n">
        <v>1</v>
      </c>
      <c r="C6646" s="0" t="n">
        <v>1.4</v>
      </c>
      <c r="D6646" s="0" t="n">
        <v>0</v>
      </c>
    </row>
    <row r="6647" customFormat="false" ht="13.8" hidden="true" customHeight="false" outlineLevel="0" collapsed="false">
      <c r="A6647" s="0" t="s">
        <v>901</v>
      </c>
      <c r="B6647" s="0" t="n">
        <v>1</v>
      </c>
      <c r="C6647" s="0" t="n">
        <v>1.45</v>
      </c>
      <c r="D6647" s="0" t="n">
        <v>0</v>
      </c>
    </row>
    <row r="6648" customFormat="false" ht="13.8" hidden="true" customHeight="false" outlineLevel="0" collapsed="false">
      <c r="A6648" s="0" t="s">
        <v>901</v>
      </c>
      <c r="B6648" s="0" t="n">
        <v>1</v>
      </c>
      <c r="C6648" s="0" t="n">
        <v>1.5</v>
      </c>
      <c r="D6648" s="0" t="n">
        <v>0</v>
      </c>
    </row>
    <row r="6649" customFormat="false" ht="13.8" hidden="true" customHeight="false" outlineLevel="0" collapsed="false">
      <c r="A6649" s="0" t="s">
        <v>901</v>
      </c>
      <c r="B6649" s="0" t="n">
        <v>1</v>
      </c>
      <c r="C6649" s="0" t="n">
        <v>1.55</v>
      </c>
      <c r="D6649" s="0" t="n">
        <v>0</v>
      </c>
    </row>
    <row r="6650" customFormat="false" ht="13.8" hidden="true" customHeight="false" outlineLevel="0" collapsed="false">
      <c r="A6650" s="0" t="s">
        <v>901</v>
      </c>
      <c r="B6650" s="0" t="n">
        <v>1</v>
      </c>
      <c r="C6650" s="0" t="n">
        <v>1.6</v>
      </c>
      <c r="D6650" s="0" t="n">
        <v>0</v>
      </c>
    </row>
    <row r="6651" customFormat="false" ht="13.8" hidden="true" customHeight="false" outlineLevel="0" collapsed="false">
      <c r="A6651" s="0" t="s">
        <v>901</v>
      </c>
      <c r="B6651" s="0" t="n">
        <v>1</v>
      </c>
      <c r="C6651" s="0" t="n">
        <v>1.65</v>
      </c>
      <c r="D6651" s="0" t="n">
        <v>0</v>
      </c>
    </row>
    <row r="6652" customFormat="false" ht="13.8" hidden="true" customHeight="false" outlineLevel="0" collapsed="false">
      <c r="A6652" s="0" t="s">
        <v>901</v>
      </c>
      <c r="B6652" s="0" t="n">
        <v>1</v>
      </c>
      <c r="C6652" s="0" t="n">
        <v>1.7</v>
      </c>
      <c r="D6652" s="0" t="n">
        <v>0</v>
      </c>
    </row>
    <row r="6653" customFormat="false" ht="13.8" hidden="true" customHeight="false" outlineLevel="0" collapsed="false">
      <c r="A6653" s="0" t="s">
        <v>901</v>
      </c>
      <c r="B6653" s="0" t="n">
        <v>1</v>
      </c>
      <c r="C6653" s="0" t="n">
        <v>1.75</v>
      </c>
      <c r="D6653" s="0" t="n">
        <v>1.181</v>
      </c>
    </row>
    <row r="6654" customFormat="false" ht="13.8" hidden="true" customHeight="false" outlineLevel="0" collapsed="false">
      <c r="A6654" s="0" t="s">
        <v>901</v>
      </c>
      <c r="B6654" s="0" t="n">
        <v>1</v>
      </c>
      <c r="C6654" s="0" t="n">
        <v>1.8</v>
      </c>
      <c r="D6654" s="0" t="n">
        <v>1.215</v>
      </c>
    </row>
    <row r="6655" customFormat="false" ht="13.8" hidden="true" customHeight="false" outlineLevel="0" collapsed="false">
      <c r="A6655" s="0" t="s">
        <v>901</v>
      </c>
      <c r="B6655" s="0" t="n">
        <v>1</v>
      </c>
      <c r="C6655" s="0" t="n">
        <v>1.85</v>
      </c>
      <c r="D6655" s="0" t="n">
        <v>1.249</v>
      </c>
    </row>
    <row r="6656" customFormat="false" ht="13.8" hidden="true" customHeight="false" outlineLevel="0" collapsed="false">
      <c r="A6656" s="0" t="s">
        <v>901</v>
      </c>
      <c r="B6656" s="0" t="n">
        <v>1</v>
      </c>
      <c r="C6656" s="0" t="n">
        <v>1.9</v>
      </c>
      <c r="D6656" s="0" t="n">
        <v>1.283</v>
      </c>
    </row>
    <row r="6657" customFormat="false" ht="13.8" hidden="true" customHeight="false" outlineLevel="0" collapsed="false">
      <c r="A6657" s="0" t="s">
        <v>901</v>
      </c>
      <c r="B6657" s="0" t="n">
        <v>1</v>
      </c>
      <c r="C6657" s="0" t="n">
        <v>1.95</v>
      </c>
      <c r="D6657" s="0" t="n">
        <v>0</v>
      </c>
    </row>
    <row r="6658" customFormat="false" ht="13.8" hidden="true" customHeight="false" outlineLevel="0" collapsed="false">
      <c r="A6658" s="0" t="s">
        <v>901</v>
      </c>
      <c r="B6658" s="0" t="n">
        <v>1</v>
      </c>
      <c r="C6658" s="0" t="n">
        <v>2</v>
      </c>
      <c r="D6658" s="0" t="n">
        <v>0</v>
      </c>
    </row>
    <row r="6659" customFormat="false" ht="13.8" hidden="true" customHeight="false" outlineLevel="0" collapsed="false">
      <c r="A6659" s="0" t="s">
        <v>901</v>
      </c>
      <c r="B6659" s="0" t="n">
        <v>1</v>
      </c>
      <c r="C6659" s="0" t="n">
        <v>2.05</v>
      </c>
      <c r="D6659" s="0" t="n">
        <v>0</v>
      </c>
    </row>
    <row r="6660" customFormat="false" ht="13.8" hidden="true" customHeight="false" outlineLevel="0" collapsed="false">
      <c r="A6660" s="0" t="s">
        <v>901</v>
      </c>
      <c r="B6660" s="0" t="n">
        <v>1</v>
      </c>
      <c r="C6660" s="0" t="n">
        <v>2.1</v>
      </c>
      <c r="D6660" s="0" t="n">
        <v>0</v>
      </c>
    </row>
    <row r="6661" customFormat="false" ht="13.8" hidden="true" customHeight="false" outlineLevel="0" collapsed="false">
      <c r="A6661" s="0" t="s">
        <v>901</v>
      </c>
      <c r="B6661" s="0" t="n">
        <v>1</v>
      </c>
      <c r="C6661" s="0" t="n">
        <v>2.15</v>
      </c>
      <c r="D6661" s="0" t="n">
        <v>0</v>
      </c>
    </row>
    <row r="6662" customFormat="false" ht="13.8" hidden="true" customHeight="false" outlineLevel="0" collapsed="false">
      <c r="A6662" s="0" t="s">
        <v>901</v>
      </c>
      <c r="B6662" s="0" t="n">
        <v>1</v>
      </c>
      <c r="C6662" s="0" t="n">
        <v>2.2</v>
      </c>
      <c r="D6662" s="0" t="n">
        <v>0</v>
      </c>
    </row>
    <row r="6663" customFormat="false" ht="13.8" hidden="true" customHeight="false" outlineLevel="0" collapsed="false">
      <c r="A6663" s="0" t="s">
        <v>901</v>
      </c>
      <c r="B6663" s="0" t="n">
        <v>1</v>
      </c>
      <c r="C6663" s="0" t="n">
        <v>2.25</v>
      </c>
      <c r="D6663" s="0" t="n">
        <v>0</v>
      </c>
    </row>
    <row r="6664" customFormat="false" ht="13.8" hidden="true" customHeight="false" outlineLevel="0" collapsed="false">
      <c r="A6664" s="0" t="s">
        <v>901</v>
      </c>
      <c r="B6664" s="0" t="n">
        <v>1</v>
      </c>
      <c r="C6664" s="0" t="n">
        <v>2.3</v>
      </c>
      <c r="D6664" s="0" t="n">
        <v>0</v>
      </c>
    </row>
    <row r="6665" customFormat="false" ht="13.8" hidden="true" customHeight="false" outlineLevel="0" collapsed="false">
      <c r="A6665" s="0" t="s">
        <v>901</v>
      </c>
      <c r="B6665" s="0" t="n">
        <v>1</v>
      </c>
      <c r="C6665" s="0" t="n">
        <v>2.35</v>
      </c>
      <c r="D6665" s="0" t="n">
        <v>0</v>
      </c>
    </row>
    <row r="6666" customFormat="false" ht="13.8" hidden="true" customHeight="false" outlineLevel="0" collapsed="false">
      <c r="A6666" s="0" t="s">
        <v>901</v>
      </c>
      <c r="B6666" s="0" t="n">
        <v>1</v>
      </c>
      <c r="C6666" s="0" t="n">
        <v>2.4</v>
      </c>
      <c r="D6666" s="0" t="n">
        <v>0</v>
      </c>
    </row>
    <row r="6667" customFormat="false" ht="13.8" hidden="true" customHeight="false" outlineLevel="0" collapsed="false">
      <c r="A6667" s="0" t="s">
        <v>901</v>
      </c>
      <c r="B6667" s="0" t="n">
        <v>1</v>
      </c>
      <c r="C6667" s="0" t="n">
        <v>2.45</v>
      </c>
      <c r="D6667" s="0" t="n">
        <v>0</v>
      </c>
    </row>
    <row r="6668" customFormat="false" ht="13.8" hidden="true" customHeight="false" outlineLevel="0" collapsed="false">
      <c r="A6668" s="0" t="s">
        <v>901</v>
      </c>
      <c r="B6668" s="0" t="n">
        <v>1</v>
      </c>
      <c r="C6668" s="0" t="n">
        <v>2.5</v>
      </c>
      <c r="D6668" s="0" t="n">
        <v>0</v>
      </c>
    </row>
    <row r="6669" customFormat="false" ht="13.8" hidden="true" customHeight="false" outlineLevel="0" collapsed="false">
      <c r="A6669" s="0" t="s">
        <v>901</v>
      </c>
      <c r="B6669" s="0" t="n">
        <v>1</v>
      </c>
      <c r="C6669" s="0" t="n">
        <v>2.55</v>
      </c>
      <c r="D6669" s="0" t="n">
        <v>0</v>
      </c>
    </row>
    <row r="6670" customFormat="false" ht="13.8" hidden="true" customHeight="false" outlineLevel="0" collapsed="false">
      <c r="A6670" s="0" t="s">
        <v>901</v>
      </c>
      <c r="B6670" s="0" t="n">
        <v>1</v>
      </c>
      <c r="C6670" s="0" t="n">
        <v>2.6</v>
      </c>
      <c r="D6670" s="0" t="n">
        <v>0</v>
      </c>
    </row>
    <row r="6671" customFormat="false" ht="13.8" hidden="true" customHeight="false" outlineLevel="0" collapsed="false">
      <c r="A6671" s="0" t="s">
        <v>248</v>
      </c>
      <c r="B6671" s="0" t="n">
        <v>1</v>
      </c>
      <c r="C6671" s="0" t="n">
        <v>1.3</v>
      </c>
      <c r="D6671" s="0" t="n">
        <v>0</v>
      </c>
    </row>
    <row r="6672" customFormat="false" ht="13.8" hidden="true" customHeight="false" outlineLevel="0" collapsed="false">
      <c r="A6672" s="0" t="s">
        <v>248</v>
      </c>
      <c r="B6672" s="0" t="n">
        <v>1</v>
      </c>
      <c r="C6672" s="0" t="n">
        <v>1.35</v>
      </c>
      <c r="D6672" s="0" t="n">
        <v>0</v>
      </c>
    </row>
    <row r="6673" customFormat="false" ht="13.8" hidden="true" customHeight="false" outlineLevel="0" collapsed="false">
      <c r="A6673" s="0" t="s">
        <v>248</v>
      </c>
      <c r="B6673" s="0" t="n">
        <v>1</v>
      </c>
      <c r="C6673" s="0" t="n">
        <v>1.4</v>
      </c>
      <c r="D6673" s="0" t="n">
        <v>0</v>
      </c>
    </row>
    <row r="6674" customFormat="false" ht="13.8" hidden="true" customHeight="false" outlineLevel="0" collapsed="false">
      <c r="A6674" s="0" t="s">
        <v>248</v>
      </c>
      <c r="B6674" s="0" t="n">
        <v>1</v>
      </c>
      <c r="C6674" s="0" t="n">
        <v>1.45</v>
      </c>
      <c r="D6674" s="0" t="n">
        <v>0</v>
      </c>
    </row>
    <row r="6675" customFormat="false" ht="13.8" hidden="true" customHeight="false" outlineLevel="0" collapsed="false">
      <c r="A6675" s="0" t="s">
        <v>248</v>
      </c>
      <c r="B6675" s="0" t="n">
        <v>1</v>
      </c>
      <c r="C6675" s="0" t="n">
        <v>1.5</v>
      </c>
      <c r="D6675" s="0" t="n">
        <v>0</v>
      </c>
    </row>
    <row r="6676" customFormat="false" ht="13.8" hidden="true" customHeight="false" outlineLevel="0" collapsed="false">
      <c r="A6676" s="0" t="s">
        <v>248</v>
      </c>
      <c r="B6676" s="0" t="n">
        <v>1</v>
      </c>
      <c r="C6676" s="0" t="n">
        <v>1.55</v>
      </c>
      <c r="D6676" s="0" t="n">
        <v>0</v>
      </c>
    </row>
    <row r="6677" customFormat="false" ht="13.8" hidden="true" customHeight="false" outlineLevel="0" collapsed="false">
      <c r="A6677" s="0" t="s">
        <v>248</v>
      </c>
      <c r="B6677" s="0" t="n">
        <v>1</v>
      </c>
      <c r="C6677" s="0" t="n">
        <v>1.6</v>
      </c>
      <c r="D6677" s="0" t="n">
        <v>0</v>
      </c>
    </row>
    <row r="6678" customFormat="false" ht="13.8" hidden="true" customHeight="false" outlineLevel="0" collapsed="false">
      <c r="A6678" s="0" t="s">
        <v>248</v>
      </c>
      <c r="B6678" s="0" t="n">
        <v>1</v>
      </c>
      <c r="C6678" s="0" t="n">
        <v>1.65</v>
      </c>
      <c r="D6678" s="0" t="n">
        <v>1.114</v>
      </c>
    </row>
    <row r="6679" customFormat="false" ht="13.8" hidden="true" customHeight="false" outlineLevel="0" collapsed="false">
      <c r="A6679" s="0" t="s">
        <v>248</v>
      </c>
      <c r="B6679" s="0" t="n">
        <v>1</v>
      </c>
      <c r="C6679" s="0" t="n">
        <v>1.7</v>
      </c>
      <c r="D6679" s="0" t="n">
        <v>1.1475</v>
      </c>
    </row>
    <row r="6680" customFormat="false" ht="13.8" hidden="true" customHeight="false" outlineLevel="0" collapsed="false">
      <c r="A6680" s="0" t="s">
        <v>248</v>
      </c>
      <c r="B6680" s="0" t="n">
        <v>1</v>
      </c>
      <c r="C6680" s="0" t="n">
        <v>1.75</v>
      </c>
      <c r="D6680" s="0" t="n">
        <v>1.18125</v>
      </c>
    </row>
    <row r="6681" customFormat="false" ht="13.8" hidden="true" customHeight="false" outlineLevel="0" collapsed="false">
      <c r="A6681" s="0" t="s">
        <v>248</v>
      </c>
      <c r="B6681" s="0" t="n">
        <v>1</v>
      </c>
      <c r="C6681" s="0" t="n">
        <v>1.8</v>
      </c>
      <c r="D6681" s="0" t="n">
        <v>1.215</v>
      </c>
    </row>
    <row r="6682" customFormat="false" ht="13.8" hidden="true" customHeight="false" outlineLevel="0" collapsed="false">
      <c r="A6682" s="0" t="s">
        <v>248</v>
      </c>
      <c r="B6682" s="0" t="n">
        <v>1</v>
      </c>
      <c r="C6682" s="0" t="n">
        <v>1.85</v>
      </c>
      <c r="D6682" s="0" t="n">
        <v>1.24875</v>
      </c>
    </row>
    <row r="6683" customFormat="false" ht="13.8" hidden="true" customHeight="false" outlineLevel="0" collapsed="false">
      <c r="A6683" s="0" t="s">
        <v>248</v>
      </c>
      <c r="B6683" s="0" t="n">
        <v>1</v>
      </c>
      <c r="C6683" s="0" t="n">
        <v>1.9</v>
      </c>
      <c r="D6683" s="0" t="n">
        <v>0</v>
      </c>
    </row>
    <row r="6684" customFormat="false" ht="13.8" hidden="true" customHeight="false" outlineLevel="0" collapsed="false">
      <c r="A6684" s="0" t="s">
        <v>248</v>
      </c>
      <c r="B6684" s="0" t="n">
        <v>1</v>
      </c>
      <c r="C6684" s="0" t="n">
        <v>1.95</v>
      </c>
      <c r="D6684" s="0" t="n">
        <v>0</v>
      </c>
    </row>
    <row r="6685" customFormat="false" ht="13.8" hidden="true" customHeight="false" outlineLevel="0" collapsed="false">
      <c r="A6685" s="0" t="s">
        <v>248</v>
      </c>
      <c r="B6685" s="0" t="n">
        <v>1</v>
      </c>
      <c r="C6685" s="0" t="n">
        <v>2</v>
      </c>
      <c r="D6685" s="0" t="n">
        <v>0</v>
      </c>
    </row>
    <row r="6686" customFormat="false" ht="13.8" hidden="true" customHeight="false" outlineLevel="0" collapsed="false">
      <c r="A6686" s="0" t="s">
        <v>248</v>
      </c>
      <c r="B6686" s="0" t="n">
        <v>1</v>
      </c>
      <c r="C6686" s="0" t="n">
        <v>2.05</v>
      </c>
      <c r="D6686" s="0" t="n">
        <v>0</v>
      </c>
    </row>
    <row r="6687" customFormat="false" ht="13.8" hidden="true" customHeight="false" outlineLevel="0" collapsed="false">
      <c r="A6687" s="0" t="s">
        <v>248</v>
      </c>
      <c r="B6687" s="0" t="n">
        <v>1</v>
      </c>
      <c r="C6687" s="0" t="n">
        <v>2.1</v>
      </c>
      <c r="D6687" s="0" t="n">
        <v>0</v>
      </c>
    </row>
    <row r="6688" customFormat="false" ht="13.8" hidden="true" customHeight="false" outlineLevel="0" collapsed="false">
      <c r="A6688" s="0" t="s">
        <v>248</v>
      </c>
      <c r="B6688" s="0" t="n">
        <v>1</v>
      </c>
      <c r="C6688" s="0" t="n">
        <v>2.15</v>
      </c>
      <c r="D6688" s="0" t="n">
        <v>0</v>
      </c>
    </row>
    <row r="6689" customFormat="false" ht="13.8" hidden="true" customHeight="false" outlineLevel="0" collapsed="false">
      <c r="A6689" s="0" t="s">
        <v>248</v>
      </c>
      <c r="B6689" s="0" t="n">
        <v>1</v>
      </c>
      <c r="C6689" s="0" t="n">
        <v>2.2</v>
      </c>
      <c r="D6689" s="0" t="n">
        <v>0</v>
      </c>
    </row>
    <row r="6690" customFormat="false" ht="13.8" hidden="true" customHeight="false" outlineLevel="0" collapsed="false">
      <c r="A6690" s="0" t="s">
        <v>248</v>
      </c>
      <c r="B6690" s="0" t="n">
        <v>1</v>
      </c>
      <c r="C6690" s="0" t="n">
        <v>2.25</v>
      </c>
      <c r="D6690" s="0" t="n">
        <v>0</v>
      </c>
    </row>
    <row r="6691" customFormat="false" ht="13.8" hidden="true" customHeight="false" outlineLevel="0" collapsed="false">
      <c r="A6691" s="0" t="s">
        <v>248</v>
      </c>
      <c r="B6691" s="0" t="n">
        <v>1</v>
      </c>
      <c r="C6691" s="0" t="n">
        <v>2.3</v>
      </c>
      <c r="D6691" s="0" t="n">
        <v>0</v>
      </c>
    </row>
    <row r="6692" customFormat="false" ht="13.8" hidden="true" customHeight="false" outlineLevel="0" collapsed="false">
      <c r="A6692" s="0" t="s">
        <v>248</v>
      </c>
      <c r="B6692" s="0" t="n">
        <v>1</v>
      </c>
      <c r="C6692" s="0" t="n">
        <v>2.35</v>
      </c>
      <c r="D6692" s="0" t="n">
        <v>0</v>
      </c>
    </row>
    <row r="6693" customFormat="false" ht="13.8" hidden="true" customHeight="false" outlineLevel="0" collapsed="false">
      <c r="A6693" s="0" t="s">
        <v>248</v>
      </c>
      <c r="B6693" s="0" t="n">
        <v>1</v>
      </c>
      <c r="C6693" s="0" t="n">
        <v>2.4</v>
      </c>
      <c r="D6693" s="0" t="n">
        <v>0</v>
      </c>
    </row>
    <row r="6694" customFormat="false" ht="13.8" hidden="true" customHeight="false" outlineLevel="0" collapsed="false">
      <c r="A6694" s="0" t="s">
        <v>248</v>
      </c>
      <c r="B6694" s="0" t="n">
        <v>1</v>
      </c>
      <c r="C6694" s="0" t="n">
        <v>2.45</v>
      </c>
      <c r="D6694" s="0" t="n">
        <v>0</v>
      </c>
    </row>
    <row r="6695" customFormat="false" ht="13.8" hidden="true" customHeight="false" outlineLevel="0" collapsed="false">
      <c r="A6695" s="0" t="s">
        <v>248</v>
      </c>
      <c r="B6695" s="0" t="n">
        <v>1</v>
      </c>
      <c r="C6695" s="0" t="n">
        <v>2.5</v>
      </c>
      <c r="D6695" s="0" t="n">
        <v>0</v>
      </c>
    </row>
    <row r="6696" customFormat="false" ht="13.8" hidden="true" customHeight="false" outlineLevel="0" collapsed="false">
      <c r="A6696" s="0" t="s">
        <v>248</v>
      </c>
      <c r="B6696" s="0" t="n">
        <v>1</v>
      </c>
      <c r="C6696" s="0" t="n">
        <v>2.55</v>
      </c>
      <c r="D6696" s="0" t="n">
        <v>0</v>
      </c>
    </row>
    <row r="6697" customFormat="false" ht="13.8" hidden="true" customHeight="false" outlineLevel="0" collapsed="false">
      <c r="A6697" s="0" t="s">
        <v>248</v>
      </c>
      <c r="B6697" s="0" t="n">
        <v>1</v>
      </c>
      <c r="C6697" s="0" t="n">
        <v>2.6</v>
      </c>
      <c r="D6697" s="0" t="n">
        <v>0</v>
      </c>
    </row>
    <row r="6698" customFormat="false" ht="13.8" hidden="true" customHeight="false" outlineLevel="0" collapsed="false">
      <c r="A6698" s="0" t="s">
        <v>906</v>
      </c>
      <c r="B6698" s="0" t="n">
        <v>1</v>
      </c>
      <c r="C6698" s="0" t="n">
        <v>1.3</v>
      </c>
      <c r="D6698" s="0" t="n">
        <v>0</v>
      </c>
    </row>
    <row r="6699" customFormat="false" ht="13.8" hidden="true" customHeight="false" outlineLevel="0" collapsed="false">
      <c r="A6699" s="0" t="s">
        <v>906</v>
      </c>
      <c r="B6699" s="0" t="n">
        <v>1</v>
      </c>
      <c r="C6699" s="0" t="n">
        <v>1.35</v>
      </c>
      <c r="D6699" s="0" t="n">
        <v>0</v>
      </c>
    </row>
    <row r="6700" customFormat="false" ht="13.8" hidden="true" customHeight="false" outlineLevel="0" collapsed="false">
      <c r="A6700" s="0" t="s">
        <v>906</v>
      </c>
      <c r="B6700" s="0" t="n">
        <v>1</v>
      </c>
      <c r="C6700" s="0" t="n">
        <v>1.4</v>
      </c>
      <c r="D6700" s="0" t="n">
        <v>0</v>
      </c>
    </row>
    <row r="6701" customFormat="false" ht="13.8" hidden="true" customHeight="false" outlineLevel="0" collapsed="false">
      <c r="A6701" s="0" t="s">
        <v>906</v>
      </c>
      <c r="B6701" s="0" t="n">
        <v>1</v>
      </c>
      <c r="C6701" s="0" t="n">
        <v>1.45</v>
      </c>
      <c r="D6701" s="0" t="n">
        <v>0</v>
      </c>
    </row>
    <row r="6702" customFormat="false" ht="13.8" hidden="true" customHeight="false" outlineLevel="0" collapsed="false">
      <c r="A6702" s="0" t="s">
        <v>906</v>
      </c>
      <c r="B6702" s="0" t="n">
        <v>1</v>
      </c>
      <c r="C6702" s="0" t="n">
        <v>1.5</v>
      </c>
      <c r="D6702" s="0" t="n">
        <v>0</v>
      </c>
    </row>
    <row r="6703" customFormat="false" ht="13.8" hidden="true" customHeight="false" outlineLevel="0" collapsed="false">
      <c r="A6703" s="0" t="s">
        <v>906</v>
      </c>
      <c r="B6703" s="0" t="n">
        <v>1</v>
      </c>
      <c r="C6703" s="0" t="n">
        <v>1.55</v>
      </c>
      <c r="D6703" s="0" t="n">
        <v>0</v>
      </c>
    </row>
    <row r="6704" customFormat="false" ht="13.8" hidden="true" customHeight="false" outlineLevel="0" collapsed="false">
      <c r="A6704" s="0" t="s">
        <v>906</v>
      </c>
      <c r="B6704" s="0" t="n">
        <v>1</v>
      </c>
      <c r="C6704" s="0" t="n">
        <v>1.6</v>
      </c>
      <c r="D6704" s="0" t="n">
        <v>1.08</v>
      </c>
    </row>
    <row r="6705" customFormat="false" ht="13.8" hidden="true" customHeight="false" outlineLevel="0" collapsed="false">
      <c r="A6705" s="0" t="s">
        <v>906</v>
      </c>
      <c r="B6705" s="0" t="n">
        <v>1</v>
      </c>
      <c r="C6705" s="0" t="n">
        <v>1.65</v>
      </c>
      <c r="D6705" s="0" t="n">
        <v>1.114</v>
      </c>
    </row>
    <row r="6706" customFormat="false" ht="13.8" hidden="true" customHeight="false" outlineLevel="0" collapsed="false">
      <c r="A6706" s="0" t="s">
        <v>906</v>
      </c>
      <c r="B6706" s="0" t="n">
        <v>1</v>
      </c>
      <c r="C6706" s="0" t="n">
        <v>1.7</v>
      </c>
      <c r="D6706" s="0" t="n">
        <v>1.148</v>
      </c>
    </row>
    <row r="6707" customFormat="false" ht="13.8" hidden="true" customHeight="false" outlineLevel="0" collapsed="false">
      <c r="A6707" s="0" t="s">
        <v>906</v>
      </c>
      <c r="B6707" s="0" t="n">
        <v>1</v>
      </c>
      <c r="C6707" s="0" t="n">
        <v>1.75</v>
      </c>
      <c r="D6707" s="0" t="n">
        <v>1.181</v>
      </c>
    </row>
    <row r="6708" customFormat="false" ht="13.8" hidden="true" customHeight="false" outlineLevel="0" collapsed="false">
      <c r="A6708" s="0" t="s">
        <v>906</v>
      </c>
      <c r="B6708" s="0" t="n">
        <v>1</v>
      </c>
      <c r="C6708" s="0" t="n">
        <v>1.8</v>
      </c>
      <c r="D6708" s="0" t="n">
        <v>1.215</v>
      </c>
    </row>
    <row r="6709" customFormat="false" ht="13.8" hidden="true" customHeight="false" outlineLevel="0" collapsed="false">
      <c r="A6709" s="0" t="s">
        <v>906</v>
      </c>
      <c r="B6709" s="0" t="n">
        <v>1</v>
      </c>
      <c r="C6709" s="0" t="n">
        <v>1.85</v>
      </c>
      <c r="D6709" s="0" t="n">
        <v>1.249</v>
      </c>
    </row>
    <row r="6710" customFormat="false" ht="13.8" hidden="true" customHeight="false" outlineLevel="0" collapsed="false">
      <c r="A6710" s="0" t="s">
        <v>906</v>
      </c>
      <c r="B6710" s="0" t="n">
        <v>1</v>
      </c>
      <c r="C6710" s="0" t="n">
        <v>1.9</v>
      </c>
      <c r="D6710" s="0" t="n">
        <v>0</v>
      </c>
    </row>
    <row r="6711" customFormat="false" ht="13.8" hidden="true" customHeight="false" outlineLevel="0" collapsed="false">
      <c r="A6711" s="0" t="s">
        <v>906</v>
      </c>
      <c r="B6711" s="0" t="n">
        <v>1</v>
      </c>
      <c r="C6711" s="0" t="n">
        <v>1.95</v>
      </c>
      <c r="D6711" s="0" t="n">
        <v>0</v>
      </c>
    </row>
    <row r="6712" customFormat="false" ht="13.8" hidden="true" customHeight="false" outlineLevel="0" collapsed="false">
      <c r="A6712" s="0" t="s">
        <v>906</v>
      </c>
      <c r="B6712" s="0" t="n">
        <v>1</v>
      </c>
      <c r="C6712" s="0" t="n">
        <v>2</v>
      </c>
      <c r="D6712" s="0" t="n">
        <v>0</v>
      </c>
    </row>
    <row r="6713" customFormat="false" ht="13.8" hidden="true" customHeight="false" outlineLevel="0" collapsed="false">
      <c r="A6713" s="0" t="s">
        <v>906</v>
      </c>
      <c r="B6713" s="0" t="n">
        <v>1</v>
      </c>
      <c r="C6713" s="0" t="n">
        <v>2.05</v>
      </c>
      <c r="D6713" s="0" t="n">
        <v>0</v>
      </c>
    </row>
    <row r="6714" customFormat="false" ht="13.8" hidden="true" customHeight="false" outlineLevel="0" collapsed="false">
      <c r="A6714" s="0" t="s">
        <v>906</v>
      </c>
      <c r="B6714" s="0" t="n">
        <v>1</v>
      </c>
      <c r="C6714" s="0" t="n">
        <v>2.1</v>
      </c>
      <c r="D6714" s="0" t="n">
        <v>0</v>
      </c>
    </row>
    <row r="6715" customFormat="false" ht="13.8" hidden="true" customHeight="false" outlineLevel="0" collapsed="false">
      <c r="A6715" s="0" t="s">
        <v>906</v>
      </c>
      <c r="B6715" s="0" t="n">
        <v>1</v>
      </c>
      <c r="C6715" s="0" t="n">
        <v>2.15</v>
      </c>
      <c r="D6715" s="0" t="n">
        <v>0</v>
      </c>
    </row>
    <row r="6716" customFormat="false" ht="13.8" hidden="true" customHeight="false" outlineLevel="0" collapsed="false">
      <c r="A6716" s="0" t="s">
        <v>906</v>
      </c>
      <c r="B6716" s="0" t="n">
        <v>1</v>
      </c>
      <c r="C6716" s="0" t="n">
        <v>2.2</v>
      </c>
      <c r="D6716" s="0" t="n">
        <v>0</v>
      </c>
    </row>
    <row r="6717" customFormat="false" ht="13.8" hidden="true" customHeight="false" outlineLevel="0" collapsed="false">
      <c r="A6717" s="0" t="s">
        <v>906</v>
      </c>
      <c r="B6717" s="0" t="n">
        <v>1</v>
      </c>
      <c r="C6717" s="0" t="n">
        <v>2.25</v>
      </c>
      <c r="D6717" s="0" t="n">
        <v>0</v>
      </c>
    </row>
    <row r="6718" customFormat="false" ht="13.8" hidden="true" customHeight="false" outlineLevel="0" collapsed="false">
      <c r="A6718" s="0" t="s">
        <v>906</v>
      </c>
      <c r="B6718" s="0" t="n">
        <v>1</v>
      </c>
      <c r="C6718" s="0" t="n">
        <v>2.3</v>
      </c>
      <c r="D6718" s="0" t="n">
        <v>0</v>
      </c>
    </row>
    <row r="6719" customFormat="false" ht="13.8" hidden="true" customHeight="false" outlineLevel="0" collapsed="false">
      <c r="A6719" s="0" t="s">
        <v>906</v>
      </c>
      <c r="B6719" s="0" t="n">
        <v>1</v>
      </c>
      <c r="C6719" s="0" t="n">
        <v>2.35</v>
      </c>
      <c r="D6719" s="0" t="n">
        <v>0</v>
      </c>
    </row>
    <row r="6720" customFormat="false" ht="13.8" hidden="true" customHeight="false" outlineLevel="0" collapsed="false">
      <c r="A6720" s="0" t="s">
        <v>906</v>
      </c>
      <c r="B6720" s="0" t="n">
        <v>1</v>
      </c>
      <c r="C6720" s="0" t="n">
        <v>2.4</v>
      </c>
      <c r="D6720" s="0" t="n">
        <v>0</v>
      </c>
    </row>
    <row r="6721" customFormat="false" ht="13.8" hidden="true" customHeight="false" outlineLevel="0" collapsed="false">
      <c r="A6721" s="0" t="s">
        <v>906</v>
      </c>
      <c r="B6721" s="0" t="n">
        <v>1</v>
      </c>
      <c r="C6721" s="0" t="n">
        <v>2.45</v>
      </c>
      <c r="D6721" s="0" t="n">
        <v>0</v>
      </c>
    </row>
    <row r="6722" customFormat="false" ht="13.8" hidden="true" customHeight="false" outlineLevel="0" collapsed="false">
      <c r="A6722" s="0" t="s">
        <v>906</v>
      </c>
      <c r="B6722" s="0" t="n">
        <v>1</v>
      </c>
      <c r="C6722" s="0" t="n">
        <v>2.5</v>
      </c>
      <c r="D6722" s="0" t="n">
        <v>0</v>
      </c>
    </row>
    <row r="6723" customFormat="false" ht="13.8" hidden="true" customHeight="false" outlineLevel="0" collapsed="false">
      <c r="A6723" s="0" t="s">
        <v>906</v>
      </c>
      <c r="B6723" s="0" t="n">
        <v>1</v>
      </c>
      <c r="C6723" s="0" t="n">
        <v>2.55</v>
      </c>
      <c r="D6723" s="0" t="n">
        <v>0</v>
      </c>
    </row>
    <row r="6724" customFormat="false" ht="13.8" hidden="true" customHeight="false" outlineLevel="0" collapsed="false">
      <c r="A6724" s="0" t="s">
        <v>906</v>
      </c>
      <c r="B6724" s="0" t="n">
        <v>1</v>
      </c>
      <c r="C6724" s="0" t="n">
        <v>2.6</v>
      </c>
      <c r="D6724" s="0" t="n">
        <v>0</v>
      </c>
    </row>
    <row r="6725" customFormat="false" ht="13.8" hidden="true" customHeight="false" outlineLevel="0" collapsed="false">
      <c r="A6725" s="0" t="s">
        <v>909</v>
      </c>
      <c r="B6725" s="0" t="n">
        <v>1</v>
      </c>
      <c r="C6725" s="0" t="n">
        <v>1.3</v>
      </c>
      <c r="D6725" s="0" t="n">
        <v>0</v>
      </c>
    </row>
    <row r="6726" customFormat="false" ht="13.8" hidden="true" customHeight="false" outlineLevel="0" collapsed="false">
      <c r="A6726" s="0" t="s">
        <v>909</v>
      </c>
      <c r="B6726" s="0" t="n">
        <v>1</v>
      </c>
      <c r="C6726" s="0" t="n">
        <v>1.35</v>
      </c>
      <c r="D6726" s="0" t="n">
        <v>0</v>
      </c>
    </row>
    <row r="6727" customFormat="false" ht="13.8" hidden="true" customHeight="false" outlineLevel="0" collapsed="false">
      <c r="A6727" s="0" t="s">
        <v>909</v>
      </c>
      <c r="B6727" s="0" t="n">
        <v>1</v>
      </c>
      <c r="C6727" s="0" t="n">
        <v>1.4</v>
      </c>
      <c r="D6727" s="0" t="n">
        <v>0</v>
      </c>
    </row>
    <row r="6728" customFormat="false" ht="13.8" hidden="true" customHeight="false" outlineLevel="0" collapsed="false">
      <c r="A6728" s="0" t="s">
        <v>909</v>
      </c>
      <c r="B6728" s="0" t="n">
        <v>1</v>
      </c>
      <c r="C6728" s="0" t="n">
        <v>1.45</v>
      </c>
      <c r="D6728" s="0" t="n">
        <v>0</v>
      </c>
    </row>
    <row r="6729" customFormat="false" ht="13.8" hidden="true" customHeight="false" outlineLevel="0" collapsed="false">
      <c r="A6729" s="0" t="s">
        <v>909</v>
      </c>
      <c r="B6729" s="0" t="n">
        <v>1</v>
      </c>
      <c r="C6729" s="0" t="n">
        <v>1.5</v>
      </c>
      <c r="D6729" s="0" t="n">
        <v>0</v>
      </c>
    </row>
    <row r="6730" customFormat="false" ht="13.8" hidden="true" customHeight="false" outlineLevel="0" collapsed="false">
      <c r="A6730" s="0" t="s">
        <v>909</v>
      </c>
      <c r="B6730" s="0" t="n">
        <v>1</v>
      </c>
      <c r="C6730" s="0" t="n">
        <v>1.55</v>
      </c>
      <c r="D6730" s="0" t="n">
        <v>0</v>
      </c>
    </row>
    <row r="6731" customFormat="false" ht="13.8" hidden="true" customHeight="false" outlineLevel="0" collapsed="false">
      <c r="A6731" s="0" t="s">
        <v>909</v>
      </c>
      <c r="B6731" s="0" t="n">
        <v>1</v>
      </c>
      <c r="C6731" s="0" t="n">
        <v>1.6</v>
      </c>
      <c r="D6731" s="0" t="n">
        <v>1.08</v>
      </c>
    </row>
    <row r="6732" customFormat="false" ht="13.8" hidden="true" customHeight="false" outlineLevel="0" collapsed="false">
      <c r="A6732" s="0" t="s">
        <v>909</v>
      </c>
      <c r="B6732" s="0" t="n">
        <v>1</v>
      </c>
      <c r="C6732" s="0" t="n">
        <v>1.65</v>
      </c>
      <c r="D6732" s="0" t="n">
        <v>1.114</v>
      </c>
    </row>
    <row r="6733" customFormat="false" ht="13.8" hidden="true" customHeight="false" outlineLevel="0" collapsed="false">
      <c r="A6733" s="0" t="s">
        <v>909</v>
      </c>
      <c r="B6733" s="0" t="n">
        <v>1</v>
      </c>
      <c r="C6733" s="0" t="n">
        <v>1.7</v>
      </c>
      <c r="D6733" s="0" t="n">
        <v>1.148</v>
      </c>
    </row>
    <row r="6734" customFormat="false" ht="13.8" hidden="true" customHeight="false" outlineLevel="0" collapsed="false">
      <c r="A6734" s="0" t="s">
        <v>909</v>
      </c>
      <c r="B6734" s="0" t="n">
        <v>1</v>
      </c>
      <c r="C6734" s="0" t="n">
        <v>1.75</v>
      </c>
      <c r="D6734" s="0" t="n">
        <v>1.181</v>
      </c>
    </row>
    <row r="6735" customFormat="false" ht="13.8" hidden="true" customHeight="false" outlineLevel="0" collapsed="false">
      <c r="A6735" s="0" t="s">
        <v>909</v>
      </c>
      <c r="B6735" s="0" t="n">
        <v>1</v>
      </c>
      <c r="C6735" s="0" t="n">
        <v>1.8</v>
      </c>
      <c r="D6735" s="0" t="n">
        <v>1.215</v>
      </c>
    </row>
    <row r="6736" customFormat="false" ht="13.8" hidden="true" customHeight="false" outlineLevel="0" collapsed="false">
      <c r="A6736" s="0" t="s">
        <v>909</v>
      </c>
      <c r="B6736" s="0" t="n">
        <v>1</v>
      </c>
      <c r="C6736" s="0" t="n">
        <v>1.85</v>
      </c>
      <c r="D6736" s="0" t="n">
        <v>1.249</v>
      </c>
    </row>
    <row r="6737" customFormat="false" ht="13.8" hidden="true" customHeight="false" outlineLevel="0" collapsed="false">
      <c r="A6737" s="0" t="s">
        <v>909</v>
      </c>
      <c r="B6737" s="0" t="n">
        <v>1</v>
      </c>
      <c r="C6737" s="0" t="n">
        <v>1.9</v>
      </c>
      <c r="D6737" s="0" t="n">
        <v>0</v>
      </c>
    </row>
    <row r="6738" customFormat="false" ht="13.8" hidden="true" customHeight="false" outlineLevel="0" collapsed="false">
      <c r="A6738" s="0" t="s">
        <v>909</v>
      </c>
      <c r="B6738" s="0" t="n">
        <v>1</v>
      </c>
      <c r="C6738" s="0" t="n">
        <v>1.95</v>
      </c>
      <c r="D6738" s="0" t="n">
        <v>0</v>
      </c>
    </row>
    <row r="6739" customFormat="false" ht="13.8" hidden="true" customHeight="false" outlineLevel="0" collapsed="false">
      <c r="A6739" s="0" t="s">
        <v>909</v>
      </c>
      <c r="B6739" s="0" t="n">
        <v>1</v>
      </c>
      <c r="C6739" s="0" t="n">
        <v>2</v>
      </c>
      <c r="D6739" s="0" t="n">
        <v>0</v>
      </c>
    </row>
    <row r="6740" customFormat="false" ht="13.8" hidden="true" customHeight="false" outlineLevel="0" collapsed="false">
      <c r="A6740" s="0" t="s">
        <v>909</v>
      </c>
      <c r="B6740" s="0" t="n">
        <v>1</v>
      </c>
      <c r="C6740" s="0" t="n">
        <v>2.05</v>
      </c>
      <c r="D6740" s="0" t="n">
        <v>0</v>
      </c>
    </row>
    <row r="6741" customFormat="false" ht="13.8" hidden="true" customHeight="false" outlineLevel="0" collapsed="false">
      <c r="A6741" s="0" t="s">
        <v>909</v>
      </c>
      <c r="B6741" s="0" t="n">
        <v>1</v>
      </c>
      <c r="C6741" s="0" t="n">
        <v>2.1</v>
      </c>
      <c r="D6741" s="0" t="n">
        <v>0</v>
      </c>
    </row>
    <row r="6742" customFormat="false" ht="13.8" hidden="true" customHeight="false" outlineLevel="0" collapsed="false">
      <c r="A6742" s="0" t="s">
        <v>909</v>
      </c>
      <c r="B6742" s="0" t="n">
        <v>1</v>
      </c>
      <c r="C6742" s="0" t="n">
        <v>2.15</v>
      </c>
      <c r="D6742" s="0" t="n">
        <v>0</v>
      </c>
    </row>
    <row r="6743" customFormat="false" ht="13.8" hidden="true" customHeight="false" outlineLevel="0" collapsed="false">
      <c r="A6743" s="0" t="s">
        <v>909</v>
      </c>
      <c r="B6743" s="0" t="n">
        <v>1</v>
      </c>
      <c r="C6743" s="0" t="n">
        <v>2.2</v>
      </c>
      <c r="D6743" s="0" t="n">
        <v>0</v>
      </c>
    </row>
    <row r="6744" customFormat="false" ht="13.8" hidden="true" customHeight="false" outlineLevel="0" collapsed="false">
      <c r="A6744" s="0" t="s">
        <v>909</v>
      </c>
      <c r="B6744" s="0" t="n">
        <v>1</v>
      </c>
      <c r="C6744" s="0" t="n">
        <v>2.25</v>
      </c>
      <c r="D6744" s="0" t="n">
        <v>0</v>
      </c>
    </row>
    <row r="6745" customFormat="false" ht="13.8" hidden="true" customHeight="false" outlineLevel="0" collapsed="false">
      <c r="A6745" s="0" t="s">
        <v>909</v>
      </c>
      <c r="B6745" s="0" t="n">
        <v>1</v>
      </c>
      <c r="C6745" s="0" t="n">
        <v>2.3</v>
      </c>
      <c r="D6745" s="0" t="n">
        <v>0</v>
      </c>
    </row>
    <row r="6746" customFormat="false" ht="13.8" hidden="true" customHeight="false" outlineLevel="0" collapsed="false">
      <c r="A6746" s="0" t="s">
        <v>909</v>
      </c>
      <c r="B6746" s="0" t="n">
        <v>1</v>
      </c>
      <c r="C6746" s="0" t="n">
        <v>2.35</v>
      </c>
      <c r="D6746" s="0" t="n">
        <v>0</v>
      </c>
    </row>
    <row r="6747" customFormat="false" ht="13.8" hidden="true" customHeight="false" outlineLevel="0" collapsed="false">
      <c r="A6747" s="0" t="s">
        <v>909</v>
      </c>
      <c r="B6747" s="0" t="n">
        <v>1</v>
      </c>
      <c r="C6747" s="0" t="n">
        <v>2.4</v>
      </c>
      <c r="D6747" s="0" t="n">
        <v>0</v>
      </c>
    </row>
    <row r="6748" customFormat="false" ht="13.8" hidden="true" customHeight="false" outlineLevel="0" collapsed="false">
      <c r="A6748" s="0" t="s">
        <v>909</v>
      </c>
      <c r="B6748" s="0" t="n">
        <v>1</v>
      </c>
      <c r="C6748" s="0" t="n">
        <v>2.45</v>
      </c>
      <c r="D6748" s="0" t="n">
        <v>0</v>
      </c>
    </row>
    <row r="6749" customFormat="false" ht="13.8" hidden="true" customHeight="false" outlineLevel="0" collapsed="false">
      <c r="A6749" s="0" t="s">
        <v>909</v>
      </c>
      <c r="B6749" s="0" t="n">
        <v>1</v>
      </c>
      <c r="C6749" s="0" t="n">
        <v>2.5</v>
      </c>
      <c r="D6749" s="0" t="n">
        <v>0</v>
      </c>
    </row>
    <row r="6750" customFormat="false" ht="13.8" hidden="true" customHeight="false" outlineLevel="0" collapsed="false">
      <c r="A6750" s="0" t="s">
        <v>909</v>
      </c>
      <c r="B6750" s="0" t="n">
        <v>1</v>
      </c>
      <c r="C6750" s="0" t="n">
        <v>2.55</v>
      </c>
      <c r="D6750" s="0" t="n">
        <v>0</v>
      </c>
    </row>
    <row r="6751" customFormat="false" ht="13.8" hidden="true" customHeight="false" outlineLevel="0" collapsed="false">
      <c r="A6751" s="0" t="s">
        <v>909</v>
      </c>
      <c r="B6751" s="0" t="n">
        <v>1</v>
      </c>
      <c r="C6751" s="0" t="n">
        <v>2.6</v>
      </c>
      <c r="D6751" s="0" t="n">
        <v>0</v>
      </c>
    </row>
    <row r="6752" customFormat="false" ht="13.8" hidden="true" customHeight="false" outlineLevel="0" collapsed="false">
      <c r="A6752" s="0" t="s">
        <v>912</v>
      </c>
      <c r="B6752" s="0" t="n">
        <v>1</v>
      </c>
      <c r="C6752" s="0" t="n">
        <v>1.3</v>
      </c>
      <c r="D6752" s="0" t="n">
        <v>0</v>
      </c>
    </row>
    <row r="6753" customFormat="false" ht="13.8" hidden="true" customHeight="false" outlineLevel="0" collapsed="false">
      <c r="A6753" s="0" t="s">
        <v>912</v>
      </c>
      <c r="B6753" s="0" t="n">
        <v>1</v>
      </c>
      <c r="C6753" s="0" t="n">
        <v>1.35</v>
      </c>
      <c r="D6753" s="0" t="n">
        <v>0</v>
      </c>
    </row>
    <row r="6754" customFormat="false" ht="13.8" hidden="true" customHeight="false" outlineLevel="0" collapsed="false">
      <c r="A6754" s="0" t="s">
        <v>912</v>
      </c>
      <c r="B6754" s="0" t="n">
        <v>1</v>
      </c>
      <c r="C6754" s="0" t="n">
        <v>1.4</v>
      </c>
      <c r="D6754" s="0" t="n">
        <v>0</v>
      </c>
    </row>
    <row r="6755" customFormat="false" ht="13.8" hidden="true" customHeight="false" outlineLevel="0" collapsed="false">
      <c r="A6755" s="0" t="s">
        <v>912</v>
      </c>
      <c r="B6755" s="0" t="n">
        <v>1</v>
      </c>
      <c r="C6755" s="0" t="n">
        <v>1.45</v>
      </c>
      <c r="D6755" s="0" t="n">
        <v>0</v>
      </c>
    </row>
    <row r="6756" customFormat="false" ht="13.8" hidden="true" customHeight="false" outlineLevel="0" collapsed="false">
      <c r="A6756" s="0" t="s">
        <v>912</v>
      </c>
      <c r="B6756" s="0" t="n">
        <v>1</v>
      </c>
      <c r="C6756" s="0" t="n">
        <v>1.5</v>
      </c>
      <c r="D6756" s="0" t="n">
        <v>0</v>
      </c>
    </row>
    <row r="6757" customFormat="false" ht="13.8" hidden="true" customHeight="false" outlineLevel="0" collapsed="false">
      <c r="A6757" s="0" t="s">
        <v>912</v>
      </c>
      <c r="B6757" s="0" t="n">
        <v>1</v>
      </c>
      <c r="C6757" s="0" t="n">
        <v>1.55</v>
      </c>
      <c r="D6757" s="0" t="n">
        <v>0</v>
      </c>
    </row>
    <row r="6758" customFormat="false" ht="13.8" hidden="true" customHeight="false" outlineLevel="0" collapsed="false">
      <c r="A6758" s="0" t="s">
        <v>912</v>
      </c>
      <c r="B6758" s="0" t="n">
        <v>1</v>
      </c>
      <c r="C6758" s="0" t="n">
        <v>1.6</v>
      </c>
      <c r="D6758" s="0" t="n">
        <v>1.08</v>
      </c>
    </row>
    <row r="6759" customFormat="false" ht="13.8" hidden="true" customHeight="false" outlineLevel="0" collapsed="false">
      <c r="A6759" s="0" t="s">
        <v>912</v>
      </c>
      <c r="B6759" s="0" t="n">
        <v>1</v>
      </c>
      <c r="C6759" s="0" t="n">
        <v>1.65</v>
      </c>
      <c r="D6759" s="0" t="n">
        <v>1.114</v>
      </c>
    </row>
    <row r="6760" customFormat="false" ht="13.8" hidden="true" customHeight="false" outlineLevel="0" collapsed="false">
      <c r="A6760" s="0" t="s">
        <v>912</v>
      </c>
      <c r="B6760" s="0" t="n">
        <v>1</v>
      </c>
      <c r="C6760" s="0" t="n">
        <v>1.7</v>
      </c>
      <c r="D6760" s="0" t="n">
        <v>1.148</v>
      </c>
    </row>
    <row r="6761" customFormat="false" ht="13.8" hidden="true" customHeight="false" outlineLevel="0" collapsed="false">
      <c r="A6761" s="0" t="s">
        <v>912</v>
      </c>
      <c r="B6761" s="0" t="n">
        <v>1</v>
      </c>
      <c r="C6761" s="0" t="n">
        <v>1.75</v>
      </c>
      <c r="D6761" s="0" t="n">
        <v>1.181</v>
      </c>
    </row>
    <row r="6762" customFormat="false" ht="13.8" hidden="true" customHeight="false" outlineLevel="0" collapsed="false">
      <c r="A6762" s="0" t="s">
        <v>912</v>
      </c>
      <c r="B6762" s="0" t="n">
        <v>1</v>
      </c>
      <c r="C6762" s="0" t="n">
        <v>1.8</v>
      </c>
      <c r="D6762" s="0" t="n">
        <v>1.215</v>
      </c>
    </row>
    <row r="6763" customFormat="false" ht="13.8" hidden="true" customHeight="false" outlineLevel="0" collapsed="false">
      <c r="A6763" s="0" t="s">
        <v>912</v>
      </c>
      <c r="B6763" s="0" t="n">
        <v>1</v>
      </c>
      <c r="C6763" s="0" t="n">
        <v>1.85</v>
      </c>
      <c r="D6763" s="0" t="n">
        <v>1.249</v>
      </c>
    </row>
    <row r="6764" customFormat="false" ht="13.8" hidden="true" customHeight="false" outlineLevel="0" collapsed="false">
      <c r="A6764" s="0" t="s">
        <v>912</v>
      </c>
      <c r="B6764" s="0" t="n">
        <v>1</v>
      </c>
      <c r="C6764" s="0" t="n">
        <v>1.9</v>
      </c>
      <c r="D6764" s="0" t="n">
        <v>0</v>
      </c>
    </row>
    <row r="6765" customFormat="false" ht="13.8" hidden="true" customHeight="false" outlineLevel="0" collapsed="false">
      <c r="A6765" s="0" t="s">
        <v>912</v>
      </c>
      <c r="B6765" s="0" t="n">
        <v>1</v>
      </c>
      <c r="C6765" s="0" t="n">
        <v>1.95</v>
      </c>
      <c r="D6765" s="0" t="n">
        <v>0</v>
      </c>
    </row>
    <row r="6766" customFormat="false" ht="13.8" hidden="true" customHeight="false" outlineLevel="0" collapsed="false">
      <c r="A6766" s="0" t="s">
        <v>912</v>
      </c>
      <c r="B6766" s="0" t="n">
        <v>1</v>
      </c>
      <c r="C6766" s="0" t="n">
        <v>2</v>
      </c>
      <c r="D6766" s="0" t="n">
        <v>0</v>
      </c>
    </row>
    <row r="6767" customFormat="false" ht="13.8" hidden="true" customHeight="false" outlineLevel="0" collapsed="false">
      <c r="A6767" s="0" t="s">
        <v>912</v>
      </c>
      <c r="B6767" s="0" t="n">
        <v>1</v>
      </c>
      <c r="C6767" s="0" t="n">
        <v>2.05</v>
      </c>
      <c r="D6767" s="0" t="n">
        <v>0</v>
      </c>
    </row>
    <row r="6768" customFormat="false" ht="13.8" hidden="true" customHeight="false" outlineLevel="0" collapsed="false">
      <c r="A6768" s="0" t="s">
        <v>912</v>
      </c>
      <c r="B6768" s="0" t="n">
        <v>1</v>
      </c>
      <c r="C6768" s="0" t="n">
        <v>2.1</v>
      </c>
      <c r="D6768" s="0" t="n">
        <v>0</v>
      </c>
    </row>
    <row r="6769" customFormat="false" ht="13.8" hidden="true" customHeight="false" outlineLevel="0" collapsed="false">
      <c r="A6769" s="0" t="s">
        <v>912</v>
      </c>
      <c r="B6769" s="0" t="n">
        <v>1</v>
      </c>
      <c r="C6769" s="0" t="n">
        <v>2.15</v>
      </c>
      <c r="D6769" s="0" t="n">
        <v>0</v>
      </c>
    </row>
    <row r="6770" customFormat="false" ht="13.8" hidden="true" customHeight="false" outlineLevel="0" collapsed="false">
      <c r="A6770" s="0" t="s">
        <v>912</v>
      </c>
      <c r="B6770" s="0" t="n">
        <v>1</v>
      </c>
      <c r="C6770" s="0" t="n">
        <v>2.2</v>
      </c>
      <c r="D6770" s="0" t="n">
        <v>0</v>
      </c>
    </row>
    <row r="6771" customFormat="false" ht="13.8" hidden="true" customHeight="false" outlineLevel="0" collapsed="false">
      <c r="A6771" s="0" t="s">
        <v>912</v>
      </c>
      <c r="B6771" s="0" t="n">
        <v>1</v>
      </c>
      <c r="C6771" s="0" t="n">
        <v>2.25</v>
      </c>
      <c r="D6771" s="0" t="n">
        <v>0</v>
      </c>
    </row>
    <row r="6772" customFormat="false" ht="13.8" hidden="true" customHeight="false" outlineLevel="0" collapsed="false">
      <c r="A6772" s="0" t="s">
        <v>912</v>
      </c>
      <c r="B6772" s="0" t="n">
        <v>1</v>
      </c>
      <c r="C6772" s="0" t="n">
        <v>2.3</v>
      </c>
      <c r="D6772" s="0" t="n">
        <v>0</v>
      </c>
    </row>
    <row r="6773" customFormat="false" ht="13.8" hidden="true" customHeight="false" outlineLevel="0" collapsed="false">
      <c r="A6773" s="0" t="s">
        <v>912</v>
      </c>
      <c r="B6773" s="0" t="n">
        <v>1</v>
      </c>
      <c r="C6773" s="0" t="n">
        <v>2.35</v>
      </c>
      <c r="D6773" s="0" t="n">
        <v>0</v>
      </c>
    </row>
    <row r="6774" customFormat="false" ht="13.8" hidden="true" customHeight="false" outlineLevel="0" collapsed="false">
      <c r="A6774" s="0" t="s">
        <v>912</v>
      </c>
      <c r="B6774" s="0" t="n">
        <v>1</v>
      </c>
      <c r="C6774" s="0" t="n">
        <v>2.4</v>
      </c>
      <c r="D6774" s="0" t="n">
        <v>0</v>
      </c>
    </row>
    <row r="6775" customFormat="false" ht="13.8" hidden="true" customHeight="false" outlineLevel="0" collapsed="false">
      <c r="A6775" s="0" t="s">
        <v>912</v>
      </c>
      <c r="B6775" s="0" t="n">
        <v>1</v>
      </c>
      <c r="C6775" s="0" t="n">
        <v>2.45</v>
      </c>
      <c r="D6775" s="0" t="n">
        <v>0</v>
      </c>
    </row>
    <row r="6776" customFormat="false" ht="13.8" hidden="true" customHeight="false" outlineLevel="0" collapsed="false">
      <c r="A6776" s="0" t="s">
        <v>912</v>
      </c>
      <c r="B6776" s="0" t="n">
        <v>1</v>
      </c>
      <c r="C6776" s="0" t="n">
        <v>2.5</v>
      </c>
      <c r="D6776" s="0" t="n">
        <v>0</v>
      </c>
    </row>
    <row r="6777" customFormat="false" ht="13.8" hidden="true" customHeight="false" outlineLevel="0" collapsed="false">
      <c r="A6777" s="0" t="s">
        <v>912</v>
      </c>
      <c r="B6777" s="0" t="n">
        <v>1</v>
      </c>
      <c r="C6777" s="0" t="n">
        <v>2.55</v>
      </c>
      <c r="D6777" s="0" t="n">
        <v>0</v>
      </c>
    </row>
    <row r="6778" customFormat="false" ht="13.8" hidden="true" customHeight="false" outlineLevel="0" collapsed="false">
      <c r="A6778" s="0" t="s">
        <v>912</v>
      </c>
      <c r="B6778" s="0" t="n">
        <v>1</v>
      </c>
      <c r="C6778" s="0" t="n">
        <v>2.6</v>
      </c>
      <c r="D6778" s="0" t="n">
        <v>0</v>
      </c>
    </row>
    <row r="6779" customFormat="false" ht="13.8" hidden="true" customHeight="false" outlineLevel="0" collapsed="false">
      <c r="A6779" s="0" t="s">
        <v>915</v>
      </c>
      <c r="B6779" s="0" t="n">
        <v>1</v>
      </c>
      <c r="C6779" s="0" t="n">
        <v>1.3</v>
      </c>
      <c r="D6779" s="0" t="n">
        <v>0</v>
      </c>
    </row>
    <row r="6780" customFormat="false" ht="13.8" hidden="true" customHeight="false" outlineLevel="0" collapsed="false">
      <c r="A6780" s="0" t="s">
        <v>915</v>
      </c>
      <c r="B6780" s="0" t="n">
        <v>1</v>
      </c>
      <c r="C6780" s="0" t="n">
        <v>1.35</v>
      </c>
      <c r="D6780" s="0" t="n">
        <v>0</v>
      </c>
    </row>
    <row r="6781" customFormat="false" ht="13.8" hidden="true" customHeight="false" outlineLevel="0" collapsed="false">
      <c r="A6781" s="0" t="s">
        <v>915</v>
      </c>
      <c r="B6781" s="0" t="n">
        <v>1</v>
      </c>
      <c r="C6781" s="0" t="n">
        <v>1.4</v>
      </c>
      <c r="D6781" s="0" t="n">
        <v>0</v>
      </c>
    </row>
    <row r="6782" customFormat="false" ht="13.8" hidden="true" customHeight="false" outlineLevel="0" collapsed="false">
      <c r="A6782" s="0" t="s">
        <v>915</v>
      </c>
      <c r="B6782" s="0" t="n">
        <v>1</v>
      </c>
      <c r="C6782" s="0" t="n">
        <v>1.45</v>
      </c>
      <c r="D6782" s="0" t="n">
        <v>0</v>
      </c>
    </row>
    <row r="6783" customFormat="false" ht="13.8" hidden="true" customHeight="false" outlineLevel="0" collapsed="false">
      <c r="A6783" s="0" t="s">
        <v>915</v>
      </c>
      <c r="B6783" s="0" t="n">
        <v>1</v>
      </c>
      <c r="C6783" s="0" t="n">
        <v>1.5</v>
      </c>
      <c r="D6783" s="0" t="n">
        <v>0</v>
      </c>
    </row>
    <row r="6784" customFormat="false" ht="13.8" hidden="true" customHeight="false" outlineLevel="0" collapsed="false">
      <c r="A6784" s="0" t="s">
        <v>915</v>
      </c>
      <c r="B6784" s="0" t="n">
        <v>1</v>
      </c>
      <c r="C6784" s="0" t="n">
        <v>1.55</v>
      </c>
      <c r="D6784" s="0" t="n">
        <v>0</v>
      </c>
    </row>
    <row r="6785" customFormat="false" ht="13.8" hidden="true" customHeight="false" outlineLevel="0" collapsed="false">
      <c r="A6785" s="0" t="s">
        <v>915</v>
      </c>
      <c r="B6785" s="0" t="n">
        <v>1</v>
      </c>
      <c r="C6785" s="0" t="n">
        <v>1.6</v>
      </c>
      <c r="D6785" s="0" t="n">
        <v>1.08</v>
      </c>
    </row>
    <row r="6786" customFormat="false" ht="13.8" hidden="true" customHeight="false" outlineLevel="0" collapsed="false">
      <c r="A6786" s="0" t="s">
        <v>915</v>
      </c>
      <c r="B6786" s="0" t="n">
        <v>1</v>
      </c>
      <c r="C6786" s="0" t="n">
        <v>1.65</v>
      </c>
      <c r="D6786" s="0" t="n">
        <v>1.114</v>
      </c>
    </row>
    <row r="6787" customFormat="false" ht="13.8" hidden="true" customHeight="false" outlineLevel="0" collapsed="false">
      <c r="A6787" s="0" t="s">
        <v>915</v>
      </c>
      <c r="B6787" s="0" t="n">
        <v>1</v>
      </c>
      <c r="C6787" s="0" t="n">
        <v>1.7</v>
      </c>
      <c r="D6787" s="0" t="n">
        <v>1.148</v>
      </c>
    </row>
    <row r="6788" customFormat="false" ht="13.8" hidden="true" customHeight="false" outlineLevel="0" collapsed="false">
      <c r="A6788" s="0" t="s">
        <v>915</v>
      </c>
      <c r="B6788" s="0" t="n">
        <v>1</v>
      </c>
      <c r="C6788" s="0" t="n">
        <v>1.75</v>
      </c>
      <c r="D6788" s="0" t="n">
        <v>1.181</v>
      </c>
    </row>
    <row r="6789" customFormat="false" ht="13.8" hidden="true" customHeight="false" outlineLevel="0" collapsed="false">
      <c r="A6789" s="0" t="s">
        <v>915</v>
      </c>
      <c r="B6789" s="0" t="n">
        <v>1</v>
      </c>
      <c r="C6789" s="0" t="n">
        <v>1.8</v>
      </c>
      <c r="D6789" s="0" t="n">
        <v>1.215</v>
      </c>
    </row>
    <row r="6790" customFormat="false" ht="13.8" hidden="true" customHeight="false" outlineLevel="0" collapsed="false">
      <c r="A6790" s="0" t="s">
        <v>915</v>
      </c>
      <c r="B6790" s="0" t="n">
        <v>1</v>
      </c>
      <c r="C6790" s="0" t="n">
        <v>1.85</v>
      </c>
      <c r="D6790" s="0" t="n">
        <v>1.249</v>
      </c>
    </row>
    <row r="6791" customFormat="false" ht="13.8" hidden="true" customHeight="false" outlineLevel="0" collapsed="false">
      <c r="A6791" s="0" t="s">
        <v>915</v>
      </c>
      <c r="B6791" s="0" t="n">
        <v>1</v>
      </c>
      <c r="C6791" s="0" t="n">
        <v>1.9</v>
      </c>
      <c r="D6791" s="0" t="n">
        <v>0</v>
      </c>
    </row>
    <row r="6792" customFormat="false" ht="13.8" hidden="true" customHeight="false" outlineLevel="0" collapsed="false">
      <c r="A6792" s="0" t="s">
        <v>915</v>
      </c>
      <c r="B6792" s="0" t="n">
        <v>1</v>
      </c>
      <c r="C6792" s="0" t="n">
        <v>1.95</v>
      </c>
      <c r="D6792" s="0" t="n">
        <v>0</v>
      </c>
    </row>
    <row r="6793" customFormat="false" ht="13.8" hidden="true" customHeight="false" outlineLevel="0" collapsed="false">
      <c r="A6793" s="0" t="s">
        <v>915</v>
      </c>
      <c r="B6793" s="0" t="n">
        <v>1</v>
      </c>
      <c r="C6793" s="0" t="n">
        <v>2</v>
      </c>
      <c r="D6793" s="0" t="n">
        <v>0</v>
      </c>
    </row>
    <row r="6794" customFormat="false" ht="13.8" hidden="true" customHeight="false" outlineLevel="0" collapsed="false">
      <c r="A6794" s="0" t="s">
        <v>915</v>
      </c>
      <c r="B6794" s="0" t="n">
        <v>1</v>
      </c>
      <c r="C6794" s="0" t="n">
        <v>2.05</v>
      </c>
      <c r="D6794" s="0" t="n">
        <v>0</v>
      </c>
    </row>
    <row r="6795" customFormat="false" ht="13.8" hidden="true" customHeight="false" outlineLevel="0" collapsed="false">
      <c r="A6795" s="0" t="s">
        <v>915</v>
      </c>
      <c r="B6795" s="0" t="n">
        <v>1</v>
      </c>
      <c r="C6795" s="0" t="n">
        <v>2.1</v>
      </c>
      <c r="D6795" s="0" t="n">
        <v>0</v>
      </c>
    </row>
    <row r="6796" customFormat="false" ht="13.8" hidden="true" customHeight="false" outlineLevel="0" collapsed="false">
      <c r="A6796" s="0" t="s">
        <v>915</v>
      </c>
      <c r="B6796" s="0" t="n">
        <v>1</v>
      </c>
      <c r="C6796" s="0" t="n">
        <v>2.15</v>
      </c>
      <c r="D6796" s="0" t="n">
        <v>0</v>
      </c>
    </row>
    <row r="6797" customFormat="false" ht="13.8" hidden="true" customHeight="false" outlineLevel="0" collapsed="false">
      <c r="A6797" s="0" t="s">
        <v>915</v>
      </c>
      <c r="B6797" s="0" t="n">
        <v>1</v>
      </c>
      <c r="C6797" s="0" t="n">
        <v>2.2</v>
      </c>
      <c r="D6797" s="0" t="n">
        <v>0</v>
      </c>
    </row>
    <row r="6798" customFormat="false" ht="13.8" hidden="true" customHeight="false" outlineLevel="0" collapsed="false">
      <c r="A6798" s="0" t="s">
        <v>915</v>
      </c>
      <c r="B6798" s="0" t="n">
        <v>1</v>
      </c>
      <c r="C6798" s="0" t="n">
        <v>2.25</v>
      </c>
      <c r="D6798" s="0" t="n">
        <v>0</v>
      </c>
    </row>
    <row r="6799" customFormat="false" ht="13.8" hidden="true" customHeight="false" outlineLevel="0" collapsed="false">
      <c r="A6799" s="0" t="s">
        <v>915</v>
      </c>
      <c r="B6799" s="0" t="n">
        <v>1</v>
      </c>
      <c r="C6799" s="0" t="n">
        <v>2.3</v>
      </c>
      <c r="D6799" s="0" t="n">
        <v>0</v>
      </c>
    </row>
    <row r="6800" customFormat="false" ht="13.8" hidden="true" customHeight="false" outlineLevel="0" collapsed="false">
      <c r="A6800" s="0" t="s">
        <v>915</v>
      </c>
      <c r="B6800" s="0" t="n">
        <v>1</v>
      </c>
      <c r="C6800" s="0" t="n">
        <v>2.35</v>
      </c>
      <c r="D6800" s="0" t="n">
        <v>0</v>
      </c>
    </row>
    <row r="6801" customFormat="false" ht="13.8" hidden="true" customHeight="false" outlineLevel="0" collapsed="false">
      <c r="A6801" s="0" t="s">
        <v>915</v>
      </c>
      <c r="B6801" s="0" t="n">
        <v>1</v>
      </c>
      <c r="C6801" s="0" t="n">
        <v>2.4</v>
      </c>
      <c r="D6801" s="0" t="n">
        <v>0</v>
      </c>
    </row>
    <row r="6802" customFormat="false" ht="13.8" hidden="true" customHeight="false" outlineLevel="0" collapsed="false">
      <c r="A6802" s="0" t="s">
        <v>915</v>
      </c>
      <c r="B6802" s="0" t="n">
        <v>1</v>
      </c>
      <c r="C6802" s="0" t="n">
        <v>2.45</v>
      </c>
      <c r="D6802" s="0" t="n">
        <v>0</v>
      </c>
    </row>
    <row r="6803" customFormat="false" ht="13.8" hidden="true" customHeight="false" outlineLevel="0" collapsed="false">
      <c r="A6803" s="0" t="s">
        <v>915</v>
      </c>
      <c r="B6803" s="0" t="n">
        <v>1</v>
      </c>
      <c r="C6803" s="0" t="n">
        <v>2.5</v>
      </c>
      <c r="D6803" s="0" t="n">
        <v>0</v>
      </c>
    </row>
    <row r="6804" customFormat="false" ht="13.8" hidden="true" customHeight="false" outlineLevel="0" collapsed="false">
      <c r="A6804" s="0" t="s">
        <v>915</v>
      </c>
      <c r="B6804" s="0" t="n">
        <v>1</v>
      </c>
      <c r="C6804" s="0" t="n">
        <v>2.55</v>
      </c>
      <c r="D6804" s="0" t="n">
        <v>0</v>
      </c>
    </row>
    <row r="6805" customFormat="false" ht="13.8" hidden="true" customHeight="false" outlineLevel="0" collapsed="false">
      <c r="A6805" s="0" t="s">
        <v>915</v>
      </c>
      <c r="B6805" s="0" t="n">
        <v>1</v>
      </c>
      <c r="C6805" s="0" t="n">
        <v>2.6</v>
      </c>
      <c r="D6805" s="0" t="n">
        <v>0</v>
      </c>
    </row>
    <row r="6806" customFormat="false" ht="13.8" hidden="true" customHeight="false" outlineLevel="0" collapsed="false">
      <c r="A6806" s="0" t="s">
        <v>136</v>
      </c>
      <c r="B6806" s="0" t="n">
        <v>1</v>
      </c>
      <c r="C6806" s="0" t="n">
        <v>1.3</v>
      </c>
      <c r="D6806" s="0" t="n">
        <v>0</v>
      </c>
    </row>
    <row r="6807" customFormat="false" ht="13.8" hidden="true" customHeight="false" outlineLevel="0" collapsed="false">
      <c r="A6807" s="0" t="s">
        <v>136</v>
      </c>
      <c r="B6807" s="0" t="n">
        <v>1</v>
      </c>
      <c r="C6807" s="0" t="n">
        <v>1.35</v>
      </c>
      <c r="D6807" s="0" t="n">
        <v>0</v>
      </c>
    </row>
    <row r="6808" customFormat="false" ht="13.8" hidden="true" customHeight="false" outlineLevel="0" collapsed="false">
      <c r="A6808" s="0" t="s">
        <v>136</v>
      </c>
      <c r="B6808" s="0" t="n">
        <v>1</v>
      </c>
      <c r="C6808" s="0" t="n">
        <v>1.4</v>
      </c>
      <c r="D6808" s="0" t="n">
        <v>0</v>
      </c>
    </row>
    <row r="6809" customFormat="false" ht="13.8" hidden="true" customHeight="false" outlineLevel="0" collapsed="false">
      <c r="A6809" s="0" t="s">
        <v>136</v>
      </c>
      <c r="B6809" s="0" t="n">
        <v>1</v>
      </c>
      <c r="C6809" s="0" t="n">
        <v>1.45</v>
      </c>
      <c r="D6809" s="0" t="n">
        <v>0</v>
      </c>
    </row>
    <row r="6810" customFormat="false" ht="13.8" hidden="true" customHeight="false" outlineLevel="0" collapsed="false">
      <c r="A6810" s="0" t="s">
        <v>136</v>
      </c>
      <c r="B6810" s="0" t="n">
        <v>1</v>
      </c>
      <c r="C6810" s="0" t="n">
        <v>1.5</v>
      </c>
      <c r="D6810" s="0" t="n">
        <v>0</v>
      </c>
    </row>
    <row r="6811" customFormat="false" ht="13.8" hidden="true" customHeight="false" outlineLevel="0" collapsed="false">
      <c r="A6811" s="0" t="s">
        <v>136</v>
      </c>
      <c r="B6811" s="0" t="n">
        <v>1</v>
      </c>
      <c r="C6811" s="0" t="n">
        <v>1.55</v>
      </c>
      <c r="D6811" s="0" t="n">
        <v>0</v>
      </c>
    </row>
    <row r="6812" customFormat="false" ht="13.8" hidden="true" customHeight="false" outlineLevel="0" collapsed="false">
      <c r="A6812" s="0" t="s">
        <v>136</v>
      </c>
      <c r="B6812" s="0" t="n">
        <v>1</v>
      </c>
      <c r="C6812" s="0" t="n">
        <v>1.6</v>
      </c>
      <c r="D6812" s="0" t="n">
        <v>0</v>
      </c>
    </row>
    <row r="6813" customFormat="false" ht="13.8" hidden="true" customHeight="false" outlineLevel="0" collapsed="false">
      <c r="A6813" s="0" t="s">
        <v>136</v>
      </c>
      <c r="B6813" s="0" t="n">
        <v>1</v>
      </c>
      <c r="C6813" s="0" t="n">
        <v>1.65</v>
      </c>
      <c r="D6813" s="0" t="n">
        <v>0</v>
      </c>
    </row>
    <row r="6814" customFormat="false" ht="13.8" hidden="true" customHeight="false" outlineLevel="0" collapsed="false">
      <c r="A6814" s="0" t="s">
        <v>136</v>
      </c>
      <c r="B6814" s="0" t="n">
        <v>1</v>
      </c>
      <c r="C6814" s="0" t="n">
        <v>1.7</v>
      </c>
      <c r="D6814" s="0" t="n">
        <v>0</v>
      </c>
    </row>
    <row r="6815" customFormat="false" ht="13.8" hidden="true" customHeight="false" outlineLevel="0" collapsed="false">
      <c r="A6815" s="0" t="s">
        <v>136</v>
      </c>
      <c r="B6815" s="0" t="n">
        <v>1</v>
      </c>
      <c r="C6815" s="0" t="n">
        <v>1.75</v>
      </c>
      <c r="D6815" s="0" t="n">
        <v>0</v>
      </c>
    </row>
    <row r="6816" customFormat="false" ht="13.8" hidden="true" customHeight="false" outlineLevel="0" collapsed="false">
      <c r="A6816" s="0" t="s">
        <v>136</v>
      </c>
      <c r="B6816" s="0" t="n">
        <v>1</v>
      </c>
      <c r="C6816" s="0" t="n">
        <v>1.8</v>
      </c>
      <c r="D6816" s="0" t="n">
        <v>1.215</v>
      </c>
    </row>
    <row r="6817" customFormat="false" ht="13.8" hidden="true" customHeight="false" outlineLevel="0" collapsed="false">
      <c r="A6817" s="0" t="s">
        <v>136</v>
      </c>
      <c r="B6817" s="0" t="n">
        <v>1</v>
      </c>
      <c r="C6817" s="0" t="n">
        <v>1.85</v>
      </c>
      <c r="D6817" s="0" t="n">
        <v>1.249</v>
      </c>
    </row>
    <row r="6818" customFormat="false" ht="13.8" hidden="true" customHeight="false" outlineLevel="0" collapsed="false">
      <c r="A6818" s="0" t="s">
        <v>136</v>
      </c>
      <c r="B6818" s="0" t="n">
        <v>1</v>
      </c>
      <c r="C6818" s="0" t="n">
        <v>1.9</v>
      </c>
      <c r="D6818" s="0" t="n">
        <v>1.283</v>
      </c>
    </row>
    <row r="6819" customFormat="false" ht="13.8" hidden="true" customHeight="false" outlineLevel="0" collapsed="false">
      <c r="A6819" s="0" t="s">
        <v>136</v>
      </c>
      <c r="B6819" s="0" t="n">
        <v>1</v>
      </c>
      <c r="C6819" s="0" t="n">
        <v>1.95</v>
      </c>
      <c r="D6819" s="0" t="n">
        <v>1.316</v>
      </c>
    </row>
    <row r="6820" customFormat="false" ht="13.8" hidden="true" customHeight="false" outlineLevel="0" collapsed="false">
      <c r="A6820" s="0" t="s">
        <v>136</v>
      </c>
      <c r="B6820" s="0" t="n">
        <v>1</v>
      </c>
      <c r="C6820" s="0" t="n">
        <v>2</v>
      </c>
      <c r="D6820" s="0" t="n">
        <v>1.35</v>
      </c>
    </row>
    <row r="6821" customFormat="false" ht="13.8" hidden="true" customHeight="false" outlineLevel="0" collapsed="false">
      <c r="A6821" s="0" t="s">
        <v>136</v>
      </c>
      <c r="B6821" s="0" t="n">
        <v>1</v>
      </c>
      <c r="C6821" s="0" t="n">
        <v>2.05</v>
      </c>
      <c r="D6821" s="0" t="n">
        <v>1.384</v>
      </c>
    </row>
    <row r="6822" customFormat="false" ht="13.8" hidden="true" customHeight="false" outlineLevel="0" collapsed="false">
      <c r="A6822" s="0" t="s">
        <v>136</v>
      </c>
      <c r="B6822" s="0" t="n">
        <v>1</v>
      </c>
      <c r="C6822" s="0" t="n">
        <v>2.1</v>
      </c>
      <c r="D6822" s="0" t="n">
        <v>1.418</v>
      </c>
    </row>
    <row r="6823" customFormat="false" ht="13.8" hidden="true" customHeight="false" outlineLevel="0" collapsed="false">
      <c r="A6823" s="0" t="s">
        <v>136</v>
      </c>
      <c r="B6823" s="0" t="n">
        <v>1</v>
      </c>
      <c r="C6823" s="0" t="n">
        <v>2.15</v>
      </c>
      <c r="D6823" s="0" t="n">
        <v>1.45125</v>
      </c>
    </row>
    <row r="6824" customFormat="false" ht="13.8" hidden="true" customHeight="false" outlineLevel="0" collapsed="false">
      <c r="A6824" s="0" t="s">
        <v>136</v>
      </c>
      <c r="B6824" s="0" t="n">
        <v>1</v>
      </c>
      <c r="C6824" s="0" t="n">
        <v>2.2</v>
      </c>
      <c r="D6824" s="0" t="n">
        <v>0</v>
      </c>
    </row>
    <row r="6825" customFormat="false" ht="13.8" hidden="true" customHeight="false" outlineLevel="0" collapsed="false">
      <c r="A6825" s="0" t="s">
        <v>136</v>
      </c>
      <c r="B6825" s="0" t="n">
        <v>1</v>
      </c>
      <c r="C6825" s="0" t="n">
        <v>2.25</v>
      </c>
      <c r="D6825" s="0" t="n">
        <v>0</v>
      </c>
    </row>
    <row r="6826" customFormat="false" ht="13.8" hidden="true" customHeight="false" outlineLevel="0" collapsed="false">
      <c r="A6826" s="0" t="s">
        <v>136</v>
      </c>
      <c r="B6826" s="0" t="n">
        <v>1</v>
      </c>
      <c r="C6826" s="0" t="n">
        <v>2.3</v>
      </c>
      <c r="D6826" s="0" t="n">
        <v>0</v>
      </c>
    </row>
    <row r="6827" customFormat="false" ht="13.8" hidden="true" customHeight="false" outlineLevel="0" collapsed="false">
      <c r="A6827" s="0" t="s">
        <v>136</v>
      </c>
      <c r="B6827" s="0" t="n">
        <v>1</v>
      </c>
      <c r="C6827" s="0" t="n">
        <v>2.35</v>
      </c>
      <c r="D6827" s="0" t="n">
        <v>0</v>
      </c>
    </row>
    <row r="6828" customFormat="false" ht="13.8" hidden="true" customHeight="false" outlineLevel="0" collapsed="false">
      <c r="A6828" s="0" t="s">
        <v>136</v>
      </c>
      <c r="B6828" s="0" t="n">
        <v>1</v>
      </c>
      <c r="C6828" s="0" t="n">
        <v>2.4</v>
      </c>
      <c r="D6828" s="0" t="n">
        <v>0</v>
      </c>
    </row>
    <row r="6829" customFormat="false" ht="13.8" hidden="true" customHeight="false" outlineLevel="0" collapsed="false">
      <c r="A6829" s="0" t="s">
        <v>136</v>
      </c>
      <c r="B6829" s="0" t="n">
        <v>1</v>
      </c>
      <c r="C6829" s="0" t="n">
        <v>2.45</v>
      </c>
      <c r="D6829" s="0" t="n">
        <v>0</v>
      </c>
    </row>
    <row r="6830" customFormat="false" ht="13.8" hidden="true" customHeight="false" outlineLevel="0" collapsed="false">
      <c r="A6830" s="0" t="s">
        <v>136</v>
      </c>
      <c r="B6830" s="0" t="n">
        <v>1</v>
      </c>
      <c r="C6830" s="0" t="n">
        <v>2.5</v>
      </c>
      <c r="D6830" s="0" t="n">
        <v>0</v>
      </c>
    </row>
    <row r="6831" customFormat="false" ht="13.8" hidden="true" customHeight="false" outlineLevel="0" collapsed="false">
      <c r="A6831" s="0" t="s">
        <v>136</v>
      </c>
      <c r="B6831" s="0" t="n">
        <v>1</v>
      </c>
      <c r="C6831" s="0" t="n">
        <v>2.55</v>
      </c>
      <c r="D6831" s="0" t="n">
        <v>0</v>
      </c>
    </row>
    <row r="6832" customFormat="false" ht="13.8" hidden="true" customHeight="false" outlineLevel="0" collapsed="false">
      <c r="A6832" s="0" t="s">
        <v>136</v>
      </c>
      <c r="B6832" s="0" t="n">
        <v>1</v>
      </c>
      <c r="C6832" s="0" t="n">
        <v>2.6</v>
      </c>
      <c r="D6832" s="0" t="n">
        <v>0</v>
      </c>
    </row>
    <row r="6833" customFormat="false" ht="13.8" hidden="true" customHeight="false" outlineLevel="0" collapsed="false">
      <c r="A6833" s="0" t="s">
        <v>250</v>
      </c>
      <c r="B6833" s="0" t="n">
        <v>1</v>
      </c>
      <c r="C6833" s="0" t="n">
        <v>1.3</v>
      </c>
      <c r="D6833" s="0" t="n">
        <v>0</v>
      </c>
    </row>
    <row r="6834" customFormat="false" ht="13.8" hidden="true" customHeight="false" outlineLevel="0" collapsed="false">
      <c r="A6834" s="0" t="s">
        <v>250</v>
      </c>
      <c r="B6834" s="0" t="n">
        <v>1</v>
      </c>
      <c r="C6834" s="0" t="n">
        <v>1.35</v>
      </c>
      <c r="D6834" s="0" t="n">
        <v>0</v>
      </c>
    </row>
    <row r="6835" customFormat="false" ht="13.8" hidden="true" customHeight="false" outlineLevel="0" collapsed="false">
      <c r="A6835" s="0" t="s">
        <v>250</v>
      </c>
      <c r="B6835" s="0" t="n">
        <v>1</v>
      </c>
      <c r="C6835" s="0" t="n">
        <v>1.4</v>
      </c>
      <c r="D6835" s="0" t="n">
        <v>0</v>
      </c>
    </row>
    <row r="6836" customFormat="false" ht="13.8" hidden="true" customHeight="false" outlineLevel="0" collapsed="false">
      <c r="A6836" s="0" t="s">
        <v>250</v>
      </c>
      <c r="B6836" s="0" t="n">
        <v>1</v>
      </c>
      <c r="C6836" s="0" t="n">
        <v>1.45</v>
      </c>
      <c r="D6836" s="0" t="n">
        <v>0</v>
      </c>
    </row>
    <row r="6837" customFormat="false" ht="13.8" hidden="true" customHeight="false" outlineLevel="0" collapsed="false">
      <c r="A6837" s="0" t="s">
        <v>250</v>
      </c>
      <c r="B6837" s="0" t="n">
        <v>1</v>
      </c>
      <c r="C6837" s="0" t="n">
        <v>1.5</v>
      </c>
      <c r="D6837" s="0" t="n">
        <v>0</v>
      </c>
    </row>
    <row r="6838" customFormat="false" ht="13.8" hidden="true" customHeight="false" outlineLevel="0" collapsed="false">
      <c r="A6838" s="0" t="s">
        <v>250</v>
      </c>
      <c r="B6838" s="0" t="n">
        <v>1</v>
      </c>
      <c r="C6838" s="0" t="n">
        <v>1.55</v>
      </c>
      <c r="D6838" s="0" t="n">
        <v>0</v>
      </c>
    </row>
    <row r="6839" customFormat="false" ht="13.8" hidden="true" customHeight="false" outlineLevel="0" collapsed="false">
      <c r="A6839" s="0" t="s">
        <v>250</v>
      </c>
      <c r="B6839" s="0" t="n">
        <v>1</v>
      </c>
      <c r="C6839" s="0" t="n">
        <v>1.6</v>
      </c>
      <c r="D6839" s="0" t="n">
        <v>0</v>
      </c>
    </row>
    <row r="6840" customFormat="false" ht="13.8" hidden="true" customHeight="false" outlineLevel="0" collapsed="false">
      <c r="A6840" s="0" t="s">
        <v>250</v>
      </c>
      <c r="B6840" s="0" t="n">
        <v>1</v>
      </c>
      <c r="C6840" s="0" t="n">
        <v>1.65</v>
      </c>
      <c r="D6840" s="0" t="n">
        <v>0</v>
      </c>
    </row>
    <row r="6841" customFormat="false" ht="13.8" hidden="true" customHeight="false" outlineLevel="0" collapsed="false">
      <c r="A6841" s="0" t="s">
        <v>250</v>
      </c>
      <c r="B6841" s="0" t="n">
        <v>1</v>
      </c>
      <c r="C6841" s="0" t="n">
        <v>1.7</v>
      </c>
      <c r="D6841" s="0" t="n">
        <v>0</v>
      </c>
    </row>
    <row r="6842" customFormat="false" ht="13.8" hidden="true" customHeight="false" outlineLevel="0" collapsed="false">
      <c r="A6842" s="0" t="s">
        <v>250</v>
      </c>
      <c r="B6842" s="0" t="n">
        <v>1</v>
      </c>
      <c r="C6842" s="0" t="n">
        <v>1.75</v>
      </c>
      <c r="D6842" s="0" t="n">
        <v>0</v>
      </c>
    </row>
    <row r="6843" customFormat="false" ht="13.8" hidden="true" customHeight="false" outlineLevel="0" collapsed="false">
      <c r="A6843" s="0" t="s">
        <v>250</v>
      </c>
      <c r="B6843" s="0" t="n">
        <v>1</v>
      </c>
      <c r="C6843" s="0" t="n">
        <v>1.8</v>
      </c>
      <c r="D6843" s="0" t="n">
        <v>1.215</v>
      </c>
    </row>
    <row r="6844" customFormat="false" ht="13.8" hidden="true" customHeight="false" outlineLevel="0" collapsed="false">
      <c r="A6844" s="0" t="s">
        <v>250</v>
      </c>
      <c r="B6844" s="0" t="n">
        <v>1</v>
      </c>
      <c r="C6844" s="0" t="n">
        <v>1.85</v>
      </c>
      <c r="D6844" s="0" t="n">
        <v>1.249</v>
      </c>
    </row>
    <row r="6845" customFormat="false" ht="13.8" hidden="true" customHeight="false" outlineLevel="0" collapsed="false">
      <c r="A6845" s="0" t="s">
        <v>250</v>
      </c>
      <c r="B6845" s="0" t="n">
        <v>1</v>
      </c>
      <c r="C6845" s="0" t="n">
        <v>1.9</v>
      </c>
      <c r="D6845" s="0" t="n">
        <v>1.283</v>
      </c>
    </row>
    <row r="6846" customFormat="false" ht="13.8" hidden="true" customHeight="false" outlineLevel="0" collapsed="false">
      <c r="A6846" s="0" t="s">
        <v>250</v>
      </c>
      <c r="B6846" s="0" t="n">
        <v>1</v>
      </c>
      <c r="C6846" s="0" t="n">
        <v>1.95</v>
      </c>
      <c r="D6846" s="0" t="n">
        <v>1.316</v>
      </c>
    </row>
    <row r="6847" customFormat="false" ht="13.8" hidden="true" customHeight="false" outlineLevel="0" collapsed="false">
      <c r="A6847" s="0" t="s">
        <v>250</v>
      </c>
      <c r="B6847" s="0" t="n">
        <v>1</v>
      </c>
      <c r="C6847" s="0" t="n">
        <v>2</v>
      </c>
      <c r="D6847" s="0" t="n">
        <v>1.35</v>
      </c>
    </row>
    <row r="6848" customFormat="false" ht="13.8" hidden="true" customHeight="false" outlineLevel="0" collapsed="false">
      <c r="A6848" s="0" t="s">
        <v>250</v>
      </c>
      <c r="B6848" s="0" t="n">
        <v>1</v>
      </c>
      <c r="C6848" s="0" t="n">
        <v>2.05</v>
      </c>
      <c r="D6848" s="0" t="n">
        <v>1.384</v>
      </c>
    </row>
    <row r="6849" customFormat="false" ht="13.8" hidden="true" customHeight="false" outlineLevel="0" collapsed="false">
      <c r="A6849" s="0" t="s">
        <v>250</v>
      </c>
      <c r="B6849" s="0" t="n">
        <v>1</v>
      </c>
      <c r="C6849" s="0" t="n">
        <v>2.1</v>
      </c>
      <c r="D6849" s="0" t="n">
        <v>1.418</v>
      </c>
    </row>
    <row r="6850" customFormat="false" ht="13.8" hidden="true" customHeight="false" outlineLevel="0" collapsed="false">
      <c r="A6850" s="0" t="s">
        <v>250</v>
      </c>
      <c r="B6850" s="0" t="n">
        <v>1</v>
      </c>
      <c r="C6850" s="0" t="n">
        <v>2.15</v>
      </c>
      <c r="D6850" s="0" t="n">
        <v>1.45125</v>
      </c>
    </row>
    <row r="6851" customFormat="false" ht="13.8" hidden="true" customHeight="false" outlineLevel="0" collapsed="false">
      <c r="A6851" s="0" t="s">
        <v>250</v>
      </c>
      <c r="B6851" s="0" t="n">
        <v>1</v>
      </c>
      <c r="C6851" s="0" t="n">
        <v>2.2</v>
      </c>
      <c r="D6851" s="0" t="n">
        <v>0</v>
      </c>
    </row>
    <row r="6852" customFormat="false" ht="13.8" hidden="true" customHeight="false" outlineLevel="0" collapsed="false">
      <c r="A6852" s="0" t="s">
        <v>250</v>
      </c>
      <c r="B6852" s="0" t="n">
        <v>1</v>
      </c>
      <c r="C6852" s="0" t="n">
        <v>2.25</v>
      </c>
      <c r="D6852" s="0" t="n">
        <v>0</v>
      </c>
    </row>
    <row r="6853" customFormat="false" ht="13.8" hidden="true" customHeight="false" outlineLevel="0" collapsed="false">
      <c r="A6853" s="0" t="s">
        <v>250</v>
      </c>
      <c r="B6853" s="0" t="n">
        <v>1</v>
      </c>
      <c r="C6853" s="0" t="n">
        <v>2.3</v>
      </c>
      <c r="D6853" s="0" t="n">
        <v>0</v>
      </c>
    </row>
    <row r="6854" customFormat="false" ht="13.8" hidden="true" customHeight="false" outlineLevel="0" collapsed="false">
      <c r="A6854" s="0" t="s">
        <v>250</v>
      </c>
      <c r="B6854" s="0" t="n">
        <v>1</v>
      </c>
      <c r="C6854" s="0" t="n">
        <v>2.35</v>
      </c>
      <c r="D6854" s="0" t="n">
        <v>0</v>
      </c>
    </row>
    <row r="6855" customFormat="false" ht="13.8" hidden="true" customHeight="false" outlineLevel="0" collapsed="false">
      <c r="A6855" s="0" t="s">
        <v>250</v>
      </c>
      <c r="B6855" s="0" t="n">
        <v>1</v>
      </c>
      <c r="C6855" s="0" t="n">
        <v>2.4</v>
      </c>
      <c r="D6855" s="0" t="n">
        <v>0</v>
      </c>
    </row>
    <row r="6856" customFormat="false" ht="13.8" hidden="true" customHeight="false" outlineLevel="0" collapsed="false">
      <c r="A6856" s="0" t="s">
        <v>250</v>
      </c>
      <c r="B6856" s="0" t="n">
        <v>1</v>
      </c>
      <c r="C6856" s="0" t="n">
        <v>2.45</v>
      </c>
      <c r="D6856" s="0" t="n">
        <v>0</v>
      </c>
    </row>
    <row r="6857" customFormat="false" ht="13.8" hidden="true" customHeight="false" outlineLevel="0" collapsed="false">
      <c r="A6857" s="0" t="s">
        <v>250</v>
      </c>
      <c r="B6857" s="0" t="n">
        <v>1</v>
      </c>
      <c r="C6857" s="0" t="n">
        <v>2.5</v>
      </c>
      <c r="D6857" s="0" t="n">
        <v>0</v>
      </c>
    </row>
    <row r="6858" customFormat="false" ht="13.8" hidden="true" customHeight="false" outlineLevel="0" collapsed="false">
      <c r="A6858" s="0" t="s">
        <v>250</v>
      </c>
      <c r="B6858" s="0" t="n">
        <v>1</v>
      </c>
      <c r="C6858" s="0" t="n">
        <v>2.55</v>
      </c>
      <c r="D6858" s="0" t="n">
        <v>0</v>
      </c>
    </row>
    <row r="6859" customFormat="false" ht="13.8" hidden="true" customHeight="false" outlineLevel="0" collapsed="false">
      <c r="A6859" s="0" t="s">
        <v>250</v>
      </c>
      <c r="B6859" s="0" t="n">
        <v>1</v>
      </c>
      <c r="C6859" s="0" t="n">
        <v>2.6</v>
      </c>
      <c r="D6859" s="0" t="n">
        <v>0</v>
      </c>
    </row>
    <row r="6860" customFormat="false" ht="13.8" hidden="true" customHeight="false" outlineLevel="0" collapsed="false">
      <c r="A6860" s="0" t="s">
        <v>922</v>
      </c>
      <c r="B6860" s="0" t="n">
        <v>23</v>
      </c>
      <c r="C6860" s="0" t="n">
        <v>1.3</v>
      </c>
      <c r="D6860" s="0" t="n">
        <v>0</v>
      </c>
    </row>
    <row r="6861" customFormat="false" ht="13.8" hidden="true" customHeight="false" outlineLevel="0" collapsed="false">
      <c r="A6861" s="0" t="s">
        <v>922</v>
      </c>
      <c r="B6861" s="0" t="n">
        <v>23</v>
      </c>
      <c r="C6861" s="0" t="n">
        <v>1.35</v>
      </c>
      <c r="D6861" s="0" t="n">
        <v>0</v>
      </c>
    </row>
    <row r="6862" customFormat="false" ht="13.8" hidden="true" customHeight="false" outlineLevel="0" collapsed="false">
      <c r="A6862" s="0" t="s">
        <v>922</v>
      </c>
      <c r="B6862" s="0" t="n">
        <v>23</v>
      </c>
      <c r="C6862" s="0" t="n">
        <v>1.4</v>
      </c>
      <c r="D6862" s="0" t="n">
        <v>0</v>
      </c>
    </row>
    <row r="6863" customFormat="false" ht="13.8" hidden="true" customHeight="false" outlineLevel="0" collapsed="false">
      <c r="A6863" s="0" t="s">
        <v>922</v>
      </c>
      <c r="B6863" s="0" t="n">
        <v>23</v>
      </c>
      <c r="C6863" s="0" t="n">
        <v>1.45</v>
      </c>
      <c r="D6863" s="0" t="n">
        <v>0</v>
      </c>
    </row>
    <row r="6864" customFormat="false" ht="13.8" hidden="true" customHeight="false" outlineLevel="0" collapsed="false">
      <c r="A6864" s="0" t="s">
        <v>922</v>
      </c>
      <c r="B6864" s="0" t="n">
        <v>23</v>
      </c>
      <c r="C6864" s="0" t="n">
        <v>1.5</v>
      </c>
      <c r="D6864" s="0" t="n">
        <v>0</v>
      </c>
    </row>
    <row r="6865" customFormat="false" ht="13.8" hidden="true" customHeight="false" outlineLevel="0" collapsed="false">
      <c r="A6865" s="0" t="s">
        <v>922</v>
      </c>
      <c r="B6865" s="0" t="n">
        <v>23</v>
      </c>
      <c r="C6865" s="0" t="n">
        <v>1.55</v>
      </c>
      <c r="D6865" s="0" t="n">
        <v>0</v>
      </c>
    </row>
    <row r="6866" customFormat="false" ht="13.8" hidden="true" customHeight="false" outlineLevel="0" collapsed="false">
      <c r="A6866" s="0" t="s">
        <v>922</v>
      </c>
      <c r="B6866" s="0" t="n">
        <v>23</v>
      </c>
      <c r="C6866" s="0" t="n">
        <v>1.6</v>
      </c>
      <c r="D6866" s="0" t="n">
        <v>0</v>
      </c>
    </row>
    <row r="6867" customFormat="false" ht="13.8" hidden="true" customHeight="false" outlineLevel="0" collapsed="false">
      <c r="A6867" s="0" t="s">
        <v>922</v>
      </c>
      <c r="B6867" s="0" t="n">
        <v>23</v>
      </c>
      <c r="C6867" s="0" t="n">
        <v>1.65</v>
      </c>
      <c r="D6867" s="0" t="n">
        <v>0</v>
      </c>
    </row>
    <row r="6868" customFormat="false" ht="13.8" hidden="true" customHeight="false" outlineLevel="0" collapsed="false">
      <c r="A6868" s="0" t="s">
        <v>922</v>
      </c>
      <c r="B6868" s="0" t="n">
        <v>23</v>
      </c>
      <c r="C6868" s="0" t="n">
        <v>1.7</v>
      </c>
      <c r="D6868" s="0" t="n">
        <v>0</v>
      </c>
    </row>
    <row r="6869" customFormat="false" ht="13.8" hidden="true" customHeight="false" outlineLevel="0" collapsed="false">
      <c r="A6869" s="0" t="s">
        <v>922</v>
      </c>
      <c r="B6869" s="0" t="n">
        <v>23</v>
      </c>
      <c r="C6869" s="0" t="n">
        <v>1.75</v>
      </c>
      <c r="D6869" s="0" t="n">
        <v>0</v>
      </c>
    </row>
    <row r="6870" customFormat="false" ht="13.8" hidden="true" customHeight="false" outlineLevel="0" collapsed="false">
      <c r="A6870" s="0" t="s">
        <v>922</v>
      </c>
      <c r="B6870" s="0" t="n">
        <v>23</v>
      </c>
      <c r="C6870" s="0" t="n">
        <v>1.8</v>
      </c>
      <c r="D6870" s="0" t="n">
        <v>0.554</v>
      </c>
    </row>
    <row r="6871" customFormat="false" ht="13.8" hidden="true" customHeight="false" outlineLevel="0" collapsed="false">
      <c r="A6871" s="0" t="s">
        <v>922</v>
      </c>
      <c r="B6871" s="0" t="n">
        <v>23</v>
      </c>
      <c r="C6871" s="0" t="n">
        <v>1.85</v>
      </c>
      <c r="D6871" s="0" t="n">
        <v>0.569</v>
      </c>
    </row>
    <row r="6872" customFormat="false" ht="13.8" hidden="true" customHeight="false" outlineLevel="0" collapsed="false">
      <c r="A6872" s="0" t="s">
        <v>922</v>
      </c>
      <c r="B6872" s="0" t="n">
        <v>23</v>
      </c>
      <c r="C6872" s="0" t="n">
        <v>1.9</v>
      </c>
      <c r="D6872" s="0" t="n">
        <v>0.584</v>
      </c>
    </row>
    <row r="6873" customFormat="false" ht="13.8" hidden="true" customHeight="false" outlineLevel="0" collapsed="false">
      <c r="A6873" s="0" t="s">
        <v>922</v>
      </c>
      <c r="B6873" s="0" t="n">
        <v>23</v>
      </c>
      <c r="C6873" s="0" t="n">
        <v>1.95</v>
      </c>
      <c r="D6873" s="0" t="n">
        <v>0.6</v>
      </c>
    </row>
    <row r="6874" customFormat="false" ht="13.8" hidden="true" customHeight="false" outlineLevel="0" collapsed="false">
      <c r="A6874" s="0" t="s">
        <v>922</v>
      </c>
      <c r="B6874" s="0" t="n">
        <v>23</v>
      </c>
      <c r="C6874" s="0" t="n">
        <v>2</v>
      </c>
      <c r="D6874" s="0" t="n">
        <v>0.615</v>
      </c>
    </row>
    <row r="6875" customFormat="false" ht="13.8" hidden="true" customHeight="false" outlineLevel="0" collapsed="false">
      <c r="A6875" s="0" t="s">
        <v>922</v>
      </c>
      <c r="B6875" s="0" t="n">
        <v>23</v>
      </c>
      <c r="C6875" s="0" t="n">
        <v>2.05</v>
      </c>
      <c r="D6875" s="0" t="n">
        <v>0.63</v>
      </c>
    </row>
    <row r="6876" customFormat="false" ht="13.8" hidden="true" customHeight="false" outlineLevel="0" collapsed="false">
      <c r="A6876" s="0" t="s">
        <v>922</v>
      </c>
      <c r="B6876" s="0" t="n">
        <v>23</v>
      </c>
      <c r="C6876" s="0" t="n">
        <v>2.1</v>
      </c>
      <c r="D6876" s="0" t="n">
        <v>0.646</v>
      </c>
    </row>
    <row r="6877" customFormat="false" ht="13.8" hidden="true" customHeight="false" outlineLevel="0" collapsed="false">
      <c r="A6877" s="0" t="s">
        <v>922</v>
      </c>
      <c r="B6877" s="0" t="n">
        <v>23</v>
      </c>
      <c r="C6877" s="0" t="n">
        <v>2.15</v>
      </c>
      <c r="D6877" s="0" t="n">
        <v>0.661125</v>
      </c>
    </row>
    <row r="6878" customFormat="false" ht="13.8" hidden="true" customHeight="false" outlineLevel="0" collapsed="false">
      <c r="A6878" s="0" t="s">
        <v>922</v>
      </c>
      <c r="B6878" s="0" t="n">
        <v>23</v>
      </c>
      <c r="C6878" s="0" t="n">
        <v>2.2</v>
      </c>
      <c r="D6878" s="0" t="n">
        <v>0.6765</v>
      </c>
    </row>
    <row r="6879" customFormat="false" ht="13.8" hidden="true" customHeight="false" outlineLevel="0" collapsed="false">
      <c r="A6879" s="0" t="s">
        <v>922</v>
      </c>
      <c r="B6879" s="0" t="n">
        <v>23</v>
      </c>
      <c r="C6879" s="0" t="n">
        <v>2.25</v>
      </c>
      <c r="D6879" s="0" t="n">
        <v>0.691875</v>
      </c>
    </row>
    <row r="6880" customFormat="false" ht="13.8" hidden="true" customHeight="false" outlineLevel="0" collapsed="false">
      <c r="A6880" s="0" t="s">
        <v>922</v>
      </c>
      <c r="B6880" s="0" t="n">
        <v>23</v>
      </c>
      <c r="C6880" s="0" t="n">
        <v>2.3</v>
      </c>
      <c r="D6880" s="0" t="n">
        <v>0</v>
      </c>
    </row>
    <row r="6881" customFormat="false" ht="13.8" hidden="true" customHeight="false" outlineLevel="0" collapsed="false">
      <c r="A6881" s="0" t="s">
        <v>922</v>
      </c>
      <c r="B6881" s="0" t="n">
        <v>23</v>
      </c>
      <c r="C6881" s="0" t="n">
        <v>2.35</v>
      </c>
      <c r="D6881" s="0" t="n">
        <v>0</v>
      </c>
    </row>
    <row r="6882" customFormat="false" ht="13.8" hidden="true" customHeight="false" outlineLevel="0" collapsed="false">
      <c r="A6882" s="0" t="s">
        <v>922</v>
      </c>
      <c r="B6882" s="0" t="n">
        <v>23</v>
      </c>
      <c r="C6882" s="0" t="n">
        <v>2.4</v>
      </c>
      <c r="D6882" s="0" t="n">
        <v>0</v>
      </c>
    </row>
    <row r="6883" customFormat="false" ht="13.8" hidden="true" customHeight="false" outlineLevel="0" collapsed="false">
      <c r="A6883" s="0" t="s">
        <v>922</v>
      </c>
      <c r="B6883" s="0" t="n">
        <v>23</v>
      </c>
      <c r="C6883" s="0" t="n">
        <v>2.45</v>
      </c>
      <c r="D6883" s="0" t="n">
        <v>0</v>
      </c>
    </row>
    <row r="6884" customFormat="false" ht="13.8" hidden="true" customHeight="false" outlineLevel="0" collapsed="false">
      <c r="A6884" s="0" t="s">
        <v>922</v>
      </c>
      <c r="B6884" s="0" t="n">
        <v>23</v>
      </c>
      <c r="C6884" s="0" t="n">
        <v>2.5</v>
      </c>
      <c r="D6884" s="0" t="n">
        <v>0</v>
      </c>
    </row>
    <row r="6885" customFormat="false" ht="13.8" hidden="true" customHeight="false" outlineLevel="0" collapsed="false">
      <c r="A6885" s="0" t="s">
        <v>922</v>
      </c>
      <c r="B6885" s="0" t="n">
        <v>23</v>
      </c>
      <c r="C6885" s="0" t="n">
        <v>2.55</v>
      </c>
      <c r="D6885" s="0" t="n">
        <v>0</v>
      </c>
    </row>
    <row r="6886" customFormat="false" ht="13.8" hidden="true" customHeight="false" outlineLevel="0" collapsed="false">
      <c r="A6886" s="0" t="s">
        <v>922</v>
      </c>
      <c r="B6886" s="0" t="n">
        <v>23</v>
      </c>
      <c r="C6886" s="0" t="n">
        <v>2.6</v>
      </c>
      <c r="D6886" s="0" t="n">
        <v>0</v>
      </c>
    </row>
    <row r="6887" customFormat="false" ht="13.8" hidden="true" customHeight="false" outlineLevel="0" collapsed="false">
      <c r="A6887" s="0" t="s">
        <v>925</v>
      </c>
      <c r="B6887" s="0" t="n">
        <v>23</v>
      </c>
      <c r="C6887" s="0" t="n">
        <v>1.3</v>
      </c>
      <c r="D6887" s="0" t="n">
        <v>0</v>
      </c>
    </row>
    <row r="6888" customFormat="false" ht="13.8" hidden="true" customHeight="false" outlineLevel="0" collapsed="false">
      <c r="A6888" s="0" t="s">
        <v>925</v>
      </c>
      <c r="B6888" s="0" t="n">
        <v>23</v>
      </c>
      <c r="C6888" s="0" t="n">
        <v>1.35</v>
      </c>
      <c r="D6888" s="0" t="n">
        <v>0</v>
      </c>
    </row>
    <row r="6889" customFormat="false" ht="13.8" hidden="true" customHeight="false" outlineLevel="0" collapsed="false">
      <c r="A6889" s="0" t="s">
        <v>925</v>
      </c>
      <c r="B6889" s="0" t="n">
        <v>23</v>
      </c>
      <c r="C6889" s="0" t="n">
        <v>1.4</v>
      </c>
      <c r="D6889" s="0" t="n">
        <v>0</v>
      </c>
    </row>
    <row r="6890" customFormat="false" ht="13.8" hidden="true" customHeight="false" outlineLevel="0" collapsed="false">
      <c r="A6890" s="0" t="s">
        <v>925</v>
      </c>
      <c r="B6890" s="0" t="n">
        <v>23</v>
      </c>
      <c r="C6890" s="0" t="n">
        <v>1.45</v>
      </c>
      <c r="D6890" s="0" t="n">
        <v>0</v>
      </c>
    </row>
    <row r="6891" customFormat="false" ht="13.8" hidden="true" customHeight="false" outlineLevel="0" collapsed="false">
      <c r="A6891" s="0" t="s">
        <v>925</v>
      </c>
      <c r="B6891" s="0" t="n">
        <v>23</v>
      </c>
      <c r="C6891" s="0" t="n">
        <v>1.5</v>
      </c>
      <c r="D6891" s="0" t="n">
        <v>0</v>
      </c>
    </row>
    <row r="6892" customFormat="false" ht="13.8" hidden="true" customHeight="false" outlineLevel="0" collapsed="false">
      <c r="A6892" s="0" t="s">
        <v>925</v>
      </c>
      <c r="B6892" s="0" t="n">
        <v>23</v>
      </c>
      <c r="C6892" s="0" t="n">
        <v>1.55</v>
      </c>
      <c r="D6892" s="0" t="n">
        <v>0</v>
      </c>
    </row>
    <row r="6893" customFormat="false" ht="13.8" hidden="true" customHeight="false" outlineLevel="0" collapsed="false">
      <c r="A6893" s="0" t="s">
        <v>925</v>
      </c>
      <c r="B6893" s="0" t="n">
        <v>23</v>
      </c>
      <c r="C6893" s="0" t="n">
        <v>1.6</v>
      </c>
      <c r="D6893" s="0" t="n">
        <v>0</v>
      </c>
    </row>
    <row r="6894" customFormat="false" ht="13.8" hidden="true" customHeight="false" outlineLevel="0" collapsed="false">
      <c r="A6894" s="0" t="s">
        <v>925</v>
      </c>
      <c r="B6894" s="0" t="n">
        <v>23</v>
      </c>
      <c r="C6894" s="0" t="n">
        <v>1.65</v>
      </c>
      <c r="D6894" s="0" t="n">
        <v>0</v>
      </c>
    </row>
    <row r="6895" customFormat="false" ht="13.8" hidden="true" customHeight="false" outlineLevel="0" collapsed="false">
      <c r="A6895" s="0" t="s">
        <v>925</v>
      </c>
      <c r="B6895" s="0" t="n">
        <v>23</v>
      </c>
      <c r="C6895" s="0" t="n">
        <v>1.7</v>
      </c>
      <c r="D6895" s="0" t="n">
        <v>0</v>
      </c>
    </row>
    <row r="6896" customFormat="false" ht="13.8" hidden="true" customHeight="false" outlineLevel="0" collapsed="false">
      <c r="A6896" s="0" t="s">
        <v>925</v>
      </c>
      <c r="B6896" s="0" t="n">
        <v>23</v>
      </c>
      <c r="C6896" s="0" t="n">
        <v>1.75</v>
      </c>
      <c r="D6896" s="0" t="n">
        <v>0</v>
      </c>
    </row>
    <row r="6897" customFormat="false" ht="13.8" hidden="true" customHeight="false" outlineLevel="0" collapsed="false">
      <c r="A6897" s="0" t="s">
        <v>925</v>
      </c>
      <c r="B6897" s="0" t="n">
        <v>23</v>
      </c>
      <c r="C6897" s="0" t="n">
        <v>1.8</v>
      </c>
      <c r="D6897" s="0" t="n">
        <v>0.554</v>
      </c>
    </row>
    <row r="6898" customFormat="false" ht="13.8" hidden="true" customHeight="false" outlineLevel="0" collapsed="false">
      <c r="A6898" s="0" t="s">
        <v>925</v>
      </c>
      <c r="B6898" s="0" t="n">
        <v>23</v>
      </c>
      <c r="C6898" s="0" t="n">
        <v>1.85</v>
      </c>
      <c r="D6898" s="0" t="n">
        <v>0.569</v>
      </c>
    </row>
    <row r="6899" customFormat="false" ht="13.8" hidden="true" customHeight="false" outlineLevel="0" collapsed="false">
      <c r="A6899" s="0" t="s">
        <v>925</v>
      </c>
      <c r="B6899" s="0" t="n">
        <v>23</v>
      </c>
      <c r="C6899" s="0" t="n">
        <v>1.9</v>
      </c>
      <c r="D6899" s="0" t="n">
        <v>0.584</v>
      </c>
    </row>
    <row r="6900" customFormat="false" ht="13.8" hidden="true" customHeight="false" outlineLevel="0" collapsed="false">
      <c r="A6900" s="0" t="s">
        <v>925</v>
      </c>
      <c r="B6900" s="0" t="n">
        <v>23</v>
      </c>
      <c r="C6900" s="0" t="n">
        <v>1.95</v>
      </c>
      <c r="D6900" s="0" t="n">
        <v>0.6</v>
      </c>
    </row>
    <row r="6901" customFormat="false" ht="13.8" hidden="true" customHeight="false" outlineLevel="0" collapsed="false">
      <c r="A6901" s="0" t="s">
        <v>925</v>
      </c>
      <c r="B6901" s="0" t="n">
        <v>23</v>
      </c>
      <c r="C6901" s="0" t="n">
        <v>2</v>
      </c>
      <c r="D6901" s="0" t="n">
        <v>0.615</v>
      </c>
    </row>
    <row r="6902" customFormat="false" ht="13.8" hidden="true" customHeight="false" outlineLevel="0" collapsed="false">
      <c r="A6902" s="0" t="s">
        <v>925</v>
      </c>
      <c r="B6902" s="0" t="n">
        <v>23</v>
      </c>
      <c r="C6902" s="0" t="n">
        <v>2.05</v>
      </c>
      <c r="D6902" s="0" t="n">
        <v>0.63</v>
      </c>
    </row>
    <row r="6903" customFormat="false" ht="13.8" hidden="true" customHeight="false" outlineLevel="0" collapsed="false">
      <c r="A6903" s="0" t="s">
        <v>925</v>
      </c>
      <c r="B6903" s="0" t="n">
        <v>23</v>
      </c>
      <c r="C6903" s="0" t="n">
        <v>2.1</v>
      </c>
      <c r="D6903" s="0" t="n">
        <v>0.646</v>
      </c>
    </row>
    <row r="6904" customFormat="false" ht="13.8" hidden="true" customHeight="false" outlineLevel="0" collapsed="false">
      <c r="A6904" s="0" t="s">
        <v>925</v>
      </c>
      <c r="B6904" s="0" t="n">
        <v>23</v>
      </c>
      <c r="C6904" s="0" t="n">
        <v>2.15</v>
      </c>
      <c r="D6904" s="0" t="n">
        <v>0.661125</v>
      </c>
    </row>
    <row r="6905" customFormat="false" ht="13.8" hidden="true" customHeight="false" outlineLevel="0" collapsed="false">
      <c r="A6905" s="0" t="s">
        <v>925</v>
      </c>
      <c r="B6905" s="0" t="n">
        <v>23</v>
      </c>
      <c r="C6905" s="0" t="n">
        <v>2.2</v>
      </c>
      <c r="D6905" s="0" t="n">
        <v>0.6765</v>
      </c>
    </row>
    <row r="6906" customFormat="false" ht="13.8" hidden="true" customHeight="false" outlineLevel="0" collapsed="false">
      <c r="A6906" s="0" t="s">
        <v>925</v>
      </c>
      <c r="B6906" s="0" t="n">
        <v>23</v>
      </c>
      <c r="C6906" s="0" t="n">
        <v>2.25</v>
      </c>
      <c r="D6906" s="0" t="n">
        <v>0.691875</v>
      </c>
    </row>
    <row r="6907" customFormat="false" ht="13.8" hidden="true" customHeight="false" outlineLevel="0" collapsed="false">
      <c r="A6907" s="0" t="s">
        <v>925</v>
      </c>
      <c r="B6907" s="0" t="n">
        <v>23</v>
      </c>
      <c r="C6907" s="0" t="n">
        <v>2.3</v>
      </c>
      <c r="D6907" s="0" t="n">
        <v>0</v>
      </c>
    </row>
    <row r="6908" customFormat="false" ht="13.8" hidden="true" customHeight="false" outlineLevel="0" collapsed="false">
      <c r="A6908" s="0" t="s">
        <v>925</v>
      </c>
      <c r="B6908" s="0" t="n">
        <v>23</v>
      </c>
      <c r="C6908" s="0" t="n">
        <v>2.35</v>
      </c>
      <c r="D6908" s="0" t="n">
        <v>0</v>
      </c>
    </row>
    <row r="6909" customFormat="false" ht="13.8" hidden="true" customHeight="false" outlineLevel="0" collapsed="false">
      <c r="A6909" s="0" t="s">
        <v>925</v>
      </c>
      <c r="B6909" s="0" t="n">
        <v>23</v>
      </c>
      <c r="C6909" s="0" t="n">
        <v>2.4</v>
      </c>
      <c r="D6909" s="0" t="n">
        <v>0</v>
      </c>
    </row>
    <row r="6910" customFormat="false" ht="13.8" hidden="true" customHeight="false" outlineLevel="0" collapsed="false">
      <c r="A6910" s="0" t="s">
        <v>925</v>
      </c>
      <c r="B6910" s="0" t="n">
        <v>23</v>
      </c>
      <c r="C6910" s="0" t="n">
        <v>2.45</v>
      </c>
      <c r="D6910" s="0" t="n">
        <v>0</v>
      </c>
    </row>
    <row r="6911" customFormat="false" ht="13.8" hidden="true" customHeight="false" outlineLevel="0" collapsed="false">
      <c r="A6911" s="0" t="s">
        <v>925</v>
      </c>
      <c r="B6911" s="0" t="n">
        <v>23</v>
      </c>
      <c r="C6911" s="0" t="n">
        <v>2.5</v>
      </c>
      <c r="D6911" s="0" t="n">
        <v>0</v>
      </c>
    </row>
    <row r="6912" customFormat="false" ht="13.8" hidden="true" customHeight="false" outlineLevel="0" collapsed="false">
      <c r="A6912" s="0" t="s">
        <v>925</v>
      </c>
      <c r="B6912" s="0" t="n">
        <v>23</v>
      </c>
      <c r="C6912" s="0" t="n">
        <v>2.55</v>
      </c>
      <c r="D6912" s="0" t="n">
        <v>0</v>
      </c>
    </row>
    <row r="6913" customFormat="false" ht="13.8" hidden="true" customHeight="false" outlineLevel="0" collapsed="false">
      <c r="A6913" s="0" t="s">
        <v>925</v>
      </c>
      <c r="B6913" s="0" t="n">
        <v>23</v>
      </c>
      <c r="C6913" s="0" t="n">
        <v>2.6</v>
      </c>
      <c r="D6913" s="0" t="n">
        <v>0</v>
      </c>
    </row>
    <row r="6914" customFormat="false" ht="13.8" hidden="true" customHeight="false" outlineLevel="0" collapsed="false">
      <c r="A6914" s="0" t="s">
        <v>137</v>
      </c>
      <c r="B6914" s="0" t="n">
        <v>23</v>
      </c>
      <c r="C6914" s="0" t="n">
        <v>1.3</v>
      </c>
      <c r="D6914" s="0" t="n">
        <v>0</v>
      </c>
    </row>
    <row r="6915" customFormat="false" ht="13.8" hidden="true" customHeight="false" outlineLevel="0" collapsed="false">
      <c r="A6915" s="0" t="s">
        <v>137</v>
      </c>
      <c r="B6915" s="0" t="n">
        <v>23</v>
      </c>
      <c r="C6915" s="0" t="n">
        <v>1.35</v>
      </c>
      <c r="D6915" s="0" t="n">
        <v>0</v>
      </c>
    </row>
    <row r="6916" customFormat="false" ht="13.8" hidden="true" customHeight="false" outlineLevel="0" collapsed="false">
      <c r="A6916" s="0" t="s">
        <v>137</v>
      </c>
      <c r="B6916" s="0" t="n">
        <v>23</v>
      </c>
      <c r="C6916" s="0" t="n">
        <v>1.4</v>
      </c>
      <c r="D6916" s="0" t="n">
        <v>0</v>
      </c>
    </row>
    <row r="6917" customFormat="false" ht="13.8" hidden="true" customHeight="false" outlineLevel="0" collapsed="false">
      <c r="A6917" s="0" t="s">
        <v>137</v>
      </c>
      <c r="B6917" s="0" t="n">
        <v>23</v>
      </c>
      <c r="C6917" s="0" t="n">
        <v>1.45</v>
      </c>
      <c r="D6917" s="0" t="n">
        <v>0</v>
      </c>
    </row>
    <row r="6918" customFormat="false" ht="13.8" hidden="true" customHeight="false" outlineLevel="0" collapsed="false">
      <c r="A6918" s="0" t="s">
        <v>137</v>
      </c>
      <c r="B6918" s="0" t="n">
        <v>23</v>
      </c>
      <c r="C6918" s="0" t="n">
        <v>1.5</v>
      </c>
      <c r="D6918" s="0" t="n">
        <v>0</v>
      </c>
    </row>
    <row r="6919" customFormat="false" ht="13.8" hidden="true" customHeight="false" outlineLevel="0" collapsed="false">
      <c r="A6919" s="0" t="s">
        <v>137</v>
      </c>
      <c r="B6919" s="0" t="n">
        <v>23</v>
      </c>
      <c r="C6919" s="0" t="n">
        <v>1.55</v>
      </c>
      <c r="D6919" s="0" t="n">
        <v>0</v>
      </c>
    </row>
    <row r="6920" customFormat="false" ht="13.8" hidden="true" customHeight="false" outlineLevel="0" collapsed="false">
      <c r="A6920" s="0" t="s">
        <v>137</v>
      </c>
      <c r="B6920" s="0" t="n">
        <v>23</v>
      </c>
      <c r="C6920" s="0" t="n">
        <v>1.6</v>
      </c>
      <c r="D6920" s="0" t="n">
        <v>0</v>
      </c>
    </row>
    <row r="6921" customFormat="false" ht="13.8" hidden="true" customHeight="false" outlineLevel="0" collapsed="false">
      <c r="A6921" s="0" t="s">
        <v>137</v>
      </c>
      <c r="B6921" s="0" t="n">
        <v>23</v>
      </c>
      <c r="C6921" s="0" t="n">
        <v>1.65</v>
      </c>
      <c r="D6921" s="0" t="n">
        <v>0</v>
      </c>
    </row>
    <row r="6922" customFormat="false" ht="13.8" hidden="true" customHeight="false" outlineLevel="0" collapsed="false">
      <c r="A6922" s="0" t="s">
        <v>137</v>
      </c>
      <c r="B6922" s="0" t="n">
        <v>23</v>
      </c>
      <c r="C6922" s="0" t="n">
        <v>1.7</v>
      </c>
      <c r="D6922" s="0" t="n">
        <v>0</v>
      </c>
    </row>
    <row r="6923" customFormat="false" ht="13.8" hidden="true" customHeight="false" outlineLevel="0" collapsed="false">
      <c r="A6923" s="0" t="s">
        <v>137</v>
      </c>
      <c r="B6923" s="0" t="n">
        <v>23</v>
      </c>
      <c r="C6923" s="0" t="n">
        <v>1.75</v>
      </c>
      <c r="D6923" s="0" t="n">
        <v>0</v>
      </c>
    </row>
    <row r="6924" customFormat="false" ht="13.8" hidden="true" customHeight="false" outlineLevel="0" collapsed="false">
      <c r="A6924" s="0" t="s">
        <v>137</v>
      </c>
      <c r="B6924" s="0" t="n">
        <v>23</v>
      </c>
      <c r="C6924" s="0" t="n">
        <v>1.8</v>
      </c>
      <c r="D6924" s="0" t="n">
        <v>0.554</v>
      </c>
    </row>
    <row r="6925" customFormat="false" ht="13.8" hidden="true" customHeight="false" outlineLevel="0" collapsed="false">
      <c r="A6925" s="0" t="s">
        <v>137</v>
      </c>
      <c r="B6925" s="0" t="n">
        <v>23</v>
      </c>
      <c r="C6925" s="0" t="n">
        <v>1.85</v>
      </c>
      <c r="D6925" s="0" t="n">
        <v>0.569</v>
      </c>
    </row>
    <row r="6926" customFormat="false" ht="13.8" hidden="true" customHeight="false" outlineLevel="0" collapsed="false">
      <c r="A6926" s="0" t="s">
        <v>137</v>
      </c>
      <c r="B6926" s="0" t="n">
        <v>23</v>
      </c>
      <c r="C6926" s="0" t="n">
        <v>1.9</v>
      </c>
      <c r="D6926" s="0" t="n">
        <v>0.584</v>
      </c>
    </row>
    <row r="6927" customFormat="false" ht="13.8" hidden="true" customHeight="false" outlineLevel="0" collapsed="false">
      <c r="A6927" s="0" t="s">
        <v>137</v>
      </c>
      <c r="B6927" s="0" t="n">
        <v>23</v>
      </c>
      <c r="C6927" s="0" t="n">
        <v>1.95</v>
      </c>
      <c r="D6927" s="0" t="n">
        <v>0.6</v>
      </c>
    </row>
    <row r="6928" customFormat="false" ht="13.8" hidden="true" customHeight="false" outlineLevel="0" collapsed="false">
      <c r="A6928" s="0" t="s">
        <v>137</v>
      </c>
      <c r="B6928" s="0" t="n">
        <v>23</v>
      </c>
      <c r="C6928" s="0" t="n">
        <v>2</v>
      </c>
      <c r="D6928" s="0" t="n">
        <v>0.615</v>
      </c>
    </row>
    <row r="6929" customFormat="false" ht="13.8" hidden="true" customHeight="false" outlineLevel="0" collapsed="false">
      <c r="A6929" s="0" t="s">
        <v>137</v>
      </c>
      <c r="B6929" s="0" t="n">
        <v>23</v>
      </c>
      <c r="C6929" s="0" t="n">
        <v>2.05</v>
      </c>
      <c r="D6929" s="0" t="n">
        <v>0.63</v>
      </c>
    </row>
    <row r="6930" customFormat="false" ht="13.8" hidden="true" customHeight="false" outlineLevel="0" collapsed="false">
      <c r="A6930" s="0" t="s">
        <v>137</v>
      </c>
      <c r="B6930" s="0" t="n">
        <v>23</v>
      </c>
      <c r="C6930" s="0" t="n">
        <v>2.1</v>
      </c>
      <c r="D6930" s="0" t="n">
        <v>0.646</v>
      </c>
    </row>
    <row r="6931" customFormat="false" ht="13.8" hidden="true" customHeight="false" outlineLevel="0" collapsed="false">
      <c r="A6931" s="0" t="s">
        <v>137</v>
      </c>
      <c r="B6931" s="0" t="n">
        <v>23</v>
      </c>
      <c r="C6931" s="0" t="n">
        <v>2.15</v>
      </c>
      <c r="D6931" s="0" t="n">
        <v>0.661125</v>
      </c>
    </row>
    <row r="6932" customFormat="false" ht="13.8" hidden="true" customHeight="false" outlineLevel="0" collapsed="false">
      <c r="A6932" s="0" t="s">
        <v>137</v>
      </c>
      <c r="B6932" s="0" t="n">
        <v>23</v>
      </c>
      <c r="C6932" s="0" t="n">
        <v>2.2</v>
      </c>
      <c r="D6932" s="0" t="n">
        <v>0.6765</v>
      </c>
    </row>
    <row r="6933" customFormat="false" ht="13.8" hidden="true" customHeight="false" outlineLevel="0" collapsed="false">
      <c r="A6933" s="0" t="s">
        <v>137</v>
      </c>
      <c r="B6933" s="0" t="n">
        <v>23</v>
      </c>
      <c r="C6933" s="0" t="n">
        <v>2.25</v>
      </c>
      <c r="D6933" s="0" t="n">
        <v>0.691875</v>
      </c>
    </row>
    <row r="6934" customFormat="false" ht="13.8" hidden="true" customHeight="false" outlineLevel="0" collapsed="false">
      <c r="A6934" s="0" t="s">
        <v>137</v>
      </c>
      <c r="B6934" s="0" t="n">
        <v>23</v>
      </c>
      <c r="C6934" s="0" t="n">
        <v>2.3</v>
      </c>
      <c r="D6934" s="0" t="n">
        <v>0</v>
      </c>
    </row>
    <row r="6935" customFormat="false" ht="13.8" hidden="true" customHeight="false" outlineLevel="0" collapsed="false">
      <c r="A6935" s="0" t="s">
        <v>137</v>
      </c>
      <c r="B6935" s="0" t="n">
        <v>23</v>
      </c>
      <c r="C6935" s="0" t="n">
        <v>2.35</v>
      </c>
      <c r="D6935" s="0" t="n">
        <v>0</v>
      </c>
    </row>
    <row r="6936" customFormat="false" ht="13.8" hidden="true" customHeight="false" outlineLevel="0" collapsed="false">
      <c r="A6936" s="0" t="s">
        <v>137</v>
      </c>
      <c r="B6936" s="0" t="n">
        <v>23</v>
      </c>
      <c r="C6936" s="0" t="n">
        <v>2.4</v>
      </c>
      <c r="D6936" s="0" t="n">
        <v>0</v>
      </c>
    </row>
    <row r="6937" customFormat="false" ht="13.8" hidden="true" customHeight="false" outlineLevel="0" collapsed="false">
      <c r="A6937" s="0" t="s">
        <v>137</v>
      </c>
      <c r="B6937" s="0" t="n">
        <v>23</v>
      </c>
      <c r="C6937" s="0" t="n">
        <v>2.45</v>
      </c>
      <c r="D6937" s="0" t="n">
        <v>0</v>
      </c>
    </row>
    <row r="6938" customFormat="false" ht="13.8" hidden="true" customHeight="false" outlineLevel="0" collapsed="false">
      <c r="A6938" s="0" t="s">
        <v>137</v>
      </c>
      <c r="B6938" s="0" t="n">
        <v>23</v>
      </c>
      <c r="C6938" s="0" t="n">
        <v>2.5</v>
      </c>
      <c r="D6938" s="0" t="n">
        <v>0</v>
      </c>
    </row>
    <row r="6939" customFormat="false" ht="13.8" hidden="true" customHeight="false" outlineLevel="0" collapsed="false">
      <c r="A6939" s="0" t="s">
        <v>137</v>
      </c>
      <c r="B6939" s="0" t="n">
        <v>23</v>
      </c>
      <c r="C6939" s="0" t="n">
        <v>2.55</v>
      </c>
      <c r="D6939" s="0" t="n">
        <v>0</v>
      </c>
    </row>
    <row r="6940" customFormat="false" ht="13.8" hidden="true" customHeight="false" outlineLevel="0" collapsed="false">
      <c r="A6940" s="0" t="s">
        <v>137</v>
      </c>
      <c r="B6940" s="0" t="n">
        <v>23</v>
      </c>
      <c r="C6940" s="0" t="n">
        <v>2.6</v>
      </c>
      <c r="D6940" s="0" t="n">
        <v>0</v>
      </c>
    </row>
    <row r="6941" customFormat="false" ht="13.8" hidden="true" customHeight="false" outlineLevel="0" collapsed="false">
      <c r="A6941" s="0" t="s">
        <v>251</v>
      </c>
      <c r="B6941" s="0" t="n">
        <v>23</v>
      </c>
      <c r="C6941" s="0" t="n">
        <v>1.3</v>
      </c>
      <c r="D6941" s="0" t="n">
        <v>0</v>
      </c>
    </row>
    <row r="6942" customFormat="false" ht="13.8" hidden="true" customHeight="false" outlineLevel="0" collapsed="false">
      <c r="A6942" s="0" t="s">
        <v>251</v>
      </c>
      <c r="B6942" s="0" t="n">
        <v>23</v>
      </c>
      <c r="C6942" s="0" t="n">
        <v>1.35</v>
      </c>
      <c r="D6942" s="0" t="n">
        <v>0</v>
      </c>
    </row>
    <row r="6943" customFormat="false" ht="13.8" hidden="true" customHeight="false" outlineLevel="0" collapsed="false">
      <c r="A6943" s="0" t="s">
        <v>251</v>
      </c>
      <c r="B6943" s="0" t="n">
        <v>23</v>
      </c>
      <c r="C6943" s="0" t="n">
        <v>1.4</v>
      </c>
      <c r="D6943" s="0" t="n">
        <v>0</v>
      </c>
    </row>
    <row r="6944" customFormat="false" ht="13.8" hidden="true" customHeight="false" outlineLevel="0" collapsed="false">
      <c r="A6944" s="0" t="s">
        <v>251</v>
      </c>
      <c r="B6944" s="0" t="n">
        <v>23</v>
      </c>
      <c r="C6944" s="0" t="n">
        <v>1.45</v>
      </c>
      <c r="D6944" s="0" t="n">
        <v>0</v>
      </c>
    </row>
    <row r="6945" customFormat="false" ht="13.8" hidden="true" customHeight="false" outlineLevel="0" collapsed="false">
      <c r="A6945" s="0" t="s">
        <v>251</v>
      </c>
      <c r="B6945" s="0" t="n">
        <v>23</v>
      </c>
      <c r="C6945" s="0" t="n">
        <v>1.5</v>
      </c>
      <c r="D6945" s="0" t="n">
        <v>0</v>
      </c>
    </row>
    <row r="6946" customFormat="false" ht="13.8" hidden="true" customHeight="false" outlineLevel="0" collapsed="false">
      <c r="A6946" s="0" t="s">
        <v>251</v>
      </c>
      <c r="B6946" s="0" t="n">
        <v>23</v>
      </c>
      <c r="C6946" s="0" t="n">
        <v>1.55</v>
      </c>
      <c r="D6946" s="0" t="n">
        <v>0</v>
      </c>
    </row>
    <row r="6947" customFormat="false" ht="13.8" hidden="true" customHeight="false" outlineLevel="0" collapsed="false">
      <c r="A6947" s="0" t="s">
        <v>251</v>
      </c>
      <c r="B6947" s="0" t="n">
        <v>23</v>
      </c>
      <c r="C6947" s="0" t="n">
        <v>1.6</v>
      </c>
      <c r="D6947" s="0" t="n">
        <v>0</v>
      </c>
    </row>
    <row r="6948" customFormat="false" ht="13.8" hidden="true" customHeight="false" outlineLevel="0" collapsed="false">
      <c r="A6948" s="0" t="s">
        <v>251</v>
      </c>
      <c r="B6948" s="0" t="n">
        <v>23</v>
      </c>
      <c r="C6948" s="0" t="n">
        <v>1.65</v>
      </c>
      <c r="D6948" s="0" t="n">
        <v>0</v>
      </c>
    </row>
    <row r="6949" customFormat="false" ht="13.8" hidden="true" customHeight="false" outlineLevel="0" collapsed="false">
      <c r="A6949" s="0" t="s">
        <v>251</v>
      </c>
      <c r="B6949" s="0" t="n">
        <v>23</v>
      </c>
      <c r="C6949" s="0" t="n">
        <v>1.7</v>
      </c>
      <c r="D6949" s="0" t="n">
        <v>0</v>
      </c>
    </row>
    <row r="6950" customFormat="false" ht="13.8" hidden="true" customHeight="false" outlineLevel="0" collapsed="false">
      <c r="A6950" s="0" t="s">
        <v>251</v>
      </c>
      <c r="B6950" s="0" t="n">
        <v>23</v>
      </c>
      <c r="C6950" s="0" t="n">
        <v>1.75</v>
      </c>
      <c r="D6950" s="0" t="n">
        <v>0</v>
      </c>
    </row>
    <row r="6951" customFormat="false" ht="13.8" hidden="true" customHeight="false" outlineLevel="0" collapsed="false">
      <c r="A6951" s="0" t="s">
        <v>251</v>
      </c>
      <c r="B6951" s="0" t="n">
        <v>23</v>
      </c>
      <c r="C6951" s="0" t="n">
        <v>1.8</v>
      </c>
      <c r="D6951" s="0" t="n">
        <v>0.554</v>
      </c>
    </row>
    <row r="6952" customFormat="false" ht="13.8" hidden="true" customHeight="false" outlineLevel="0" collapsed="false">
      <c r="A6952" s="0" t="s">
        <v>251</v>
      </c>
      <c r="B6952" s="0" t="n">
        <v>23</v>
      </c>
      <c r="C6952" s="0" t="n">
        <v>1.85</v>
      </c>
      <c r="D6952" s="0" t="n">
        <v>0.569</v>
      </c>
    </row>
    <row r="6953" customFormat="false" ht="13.8" hidden="true" customHeight="false" outlineLevel="0" collapsed="false">
      <c r="A6953" s="0" t="s">
        <v>251</v>
      </c>
      <c r="B6953" s="0" t="n">
        <v>23</v>
      </c>
      <c r="C6953" s="0" t="n">
        <v>1.9</v>
      </c>
      <c r="D6953" s="0" t="n">
        <v>0.584</v>
      </c>
    </row>
    <row r="6954" customFormat="false" ht="13.8" hidden="true" customHeight="false" outlineLevel="0" collapsed="false">
      <c r="A6954" s="0" t="s">
        <v>251</v>
      </c>
      <c r="B6954" s="0" t="n">
        <v>23</v>
      </c>
      <c r="C6954" s="0" t="n">
        <v>1.95</v>
      </c>
      <c r="D6954" s="0" t="n">
        <v>0.6</v>
      </c>
    </row>
    <row r="6955" customFormat="false" ht="13.8" hidden="true" customHeight="false" outlineLevel="0" collapsed="false">
      <c r="A6955" s="0" t="s">
        <v>251</v>
      </c>
      <c r="B6955" s="0" t="n">
        <v>23</v>
      </c>
      <c r="C6955" s="0" t="n">
        <v>2</v>
      </c>
      <c r="D6955" s="0" t="n">
        <v>0.615</v>
      </c>
    </row>
    <row r="6956" customFormat="false" ht="13.8" hidden="true" customHeight="false" outlineLevel="0" collapsed="false">
      <c r="A6956" s="0" t="s">
        <v>251</v>
      </c>
      <c r="B6956" s="0" t="n">
        <v>23</v>
      </c>
      <c r="C6956" s="0" t="n">
        <v>2.05</v>
      </c>
      <c r="D6956" s="0" t="n">
        <v>0.63</v>
      </c>
    </row>
    <row r="6957" customFormat="false" ht="13.8" hidden="true" customHeight="false" outlineLevel="0" collapsed="false">
      <c r="A6957" s="0" t="s">
        <v>251</v>
      </c>
      <c r="B6957" s="0" t="n">
        <v>23</v>
      </c>
      <c r="C6957" s="0" t="n">
        <v>2.1</v>
      </c>
      <c r="D6957" s="0" t="n">
        <v>0.646</v>
      </c>
    </row>
    <row r="6958" customFormat="false" ht="13.8" hidden="true" customHeight="false" outlineLevel="0" collapsed="false">
      <c r="A6958" s="0" t="s">
        <v>251</v>
      </c>
      <c r="B6958" s="0" t="n">
        <v>23</v>
      </c>
      <c r="C6958" s="0" t="n">
        <v>2.15</v>
      </c>
      <c r="D6958" s="0" t="n">
        <v>0.661125</v>
      </c>
    </row>
    <row r="6959" customFormat="false" ht="13.8" hidden="true" customHeight="false" outlineLevel="0" collapsed="false">
      <c r="A6959" s="0" t="s">
        <v>251</v>
      </c>
      <c r="B6959" s="0" t="n">
        <v>23</v>
      </c>
      <c r="C6959" s="0" t="n">
        <v>2.2</v>
      </c>
      <c r="D6959" s="0" t="n">
        <v>0.6765</v>
      </c>
    </row>
    <row r="6960" customFormat="false" ht="13.8" hidden="true" customHeight="false" outlineLevel="0" collapsed="false">
      <c r="A6960" s="0" t="s">
        <v>251</v>
      </c>
      <c r="B6960" s="0" t="n">
        <v>23</v>
      </c>
      <c r="C6960" s="0" t="n">
        <v>2.25</v>
      </c>
      <c r="D6960" s="0" t="n">
        <v>0.691875</v>
      </c>
    </row>
    <row r="6961" customFormat="false" ht="13.8" hidden="true" customHeight="false" outlineLevel="0" collapsed="false">
      <c r="A6961" s="0" t="s">
        <v>251</v>
      </c>
      <c r="B6961" s="0" t="n">
        <v>23</v>
      </c>
      <c r="C6961" s="0" t="n">
        <v>2.3</v>
      </c>
      <c r="D6961" s="0" t="n">
        <v>0</v>
      </c>
    </row>
    <row r="6962" customFormat="false" ht="13.8" hidden="true" customHeight="false" outlineLevel="0" collapsed="false">
      <c r="A6962" s="0" t="s">
        <v>251</v>
      </c>
      <c r="B6962" s="0" t="n">
        <v>23</v>
      </c>
      <c r="C6962" s="0" t="n">
        <v>2.35</v>
      </c>
      <c r="D6962" s="0" t="n">
        <v>0</v>
      </c>
    </row>
    <row r="6963" customFormat="false" ht="13.8" hidden="true" customHeight="false" outlineLevel="0" collapsed="false">
      <c r="A6963" s="0" t="s">
        <v>251</v>
      </c>
      <c r="B6963" s="0" t="n">
        <v>23</v>
      </c>
      <c r="C6963" s="0" t="n">
        <v>2.4</v>
      </c>
      <c r="D6963" s="0" t="n">
        <v>0</v>
      </c>
    </row>
    <row r="6964" customFormat="false" ht="13.8" hidden="true" customHeight="false" outlineLevel="0" collapsed="false">
      <c r="A6964" s="0" t="s">
        <v>251</v>
      </c>
      <c r="B6964" s="0" t="n">
        <v>23</v>
      </c>
      <c r="C6964" s="0" t="n">
        <v>2.45</v>
      </c>
      <c r="D6964" s="0" t="n">
        <v>0</v>
      </c>
    </row>
    <row r="6965" customFormat="false" ht="13.8" hidden="true" customHeight="false" outlineLevel="0" collapsed="false">
      <c r="A6965" s="0" t="s">
        <v>251</v>
      </c>
      <c r="B6965" s="0" t="n">
        <v>23</v>
      </c>
      <c r="C6965" s="0" t="n">
        <v>2.5</v>
      </c>
      <c r="D6965" s="0" t="n">
        <v>0</v>
      </c>
    </row>
    <row r="6966" customFormat="false" ht="13.8" hidden="true" customHeight="false" outlineLevel="0" collapsed="false">
      <c r="A6966" s="0" t="s">
        <v>251</v>
      </c>
      <c r="B6966" s="0" t="n">
        <v>23</v>
      </c>
      <c r="C6966" s="0" t="n">
        <v>2.55</v>
      </c>
      <c r="D6966" s="0" t="n">
        <v>0</v>
      </c>
    </row>
    <row r="6967" customFormat="false" ht="13.8" hidden="true" customHeight="false" outlineLevel="0" collapsed="false">
      <c r="A6967" s="0" t="s">
        <v>251</v>
      </c>
      <c r="B6967" s="0" t="n">
        <v>23</v>
      </c>
      <c r="C6967" s="0" t="n">
        <v>2.6</v>
      </c>
      <c r="D6967" s="0" t="n">
        <v>0</v>
      </c>
    </row>
    <row r="6968" customFormat="false" ht="13.8" hidden="true" customHeight="false" outlineLevel="0" collapsed="false">
      <c r="A6968" s="0" t="s">
        <v>933</v>
      </c>
      <c r="B6968" s="0" t="n">
        <v>23</v>
      </c>
      <c r="C6968" s="0" t="n">
        <v>1.3</v>
      </c>
      <c r="D6968" s="0" t="n">
        <v>0</v>
      </c>
    </row>
    <row r="6969" customFormat="false" ht="13.8" hidden="true" customHeight="false" outlineLevel="0" collapsed="false">
      <c r="A6969" s="0" t="s">
        <v>933</v>
      </c>
      <c r="B6969" s="0" t="n">
        <v>23</v>
      </c>
      <c r="C6969" s="0" t="n">
        <v>1.35</v>
      </c>
      <c r="D6969" s="0" t="n">
        <v>0</v>
      </c>
    </row>
    <row r="6970" customFormat="false" ht="13.8" hidden="true" customHeight="false" outlineLevel="0" collapsed="false">
      <c r="A6970" s="0" t="s">
        <v>933</v>
      </c>
      <c r="B6970" s="0" t="n">
        <v>23</v>
      </c>
      <c r="C6970" s="0" t="n">
        <v>1.4</v>
      </c>
      <c r="D6970" s="0" t="n">
        <v>0</v>
      </c>
    </row>
    <row r="6971" customFormat="false" ht="13.8" hidden="true" customHeight="false" outlineLevel="0" collapsed="false">
      <c r="A6971" s="0" t="s">
        <v>933</v>
      </c>
      <c r="B6971" s="0" t="n">
        <v>23</v>
      </c>
      <c r="C6971" s="0" t="n">
        <v>1.45</v>
      </c>
      <c r="D6971" s="0" t="n">
        <v>0</v>
      </c>
    </row>
    <row r="6972" customFormat="false" ht="13.8" hidden="true" customHeight="false" outlineLevel="0" collapsed="false">
      <c r="A6972" s="0" t="s">
        <v>933</v>
      </c>
      <c r="B6972" s="0" t="n">
        <v>23</v>
      </c>
      <c r="C6972" s="0" t="n">
        <v>1.5</v>
      </c>
      <c r="D6972" s="0" t="n">
        <v>0</v>
      </c>
    </row>
    <row r="6973" customFormat="false" ht="13.8" hidden="true" customHeight="false" outlineLevel="0" collapsed="false">
      <c r="A6973" s="0" t="s">
        <v>933</v>
      </c>
      <c r="B6973" s="0" t="n">
        <v>23</v>
      </c>
      <c r="C6973" s="0" t="n">
        <v>1.55</v>
      </c>
      <c r="D6973" s="0" t="n">
        <v>0</v>
      </c>
    </row>
    <row r="6974" customFormat="false" ht="13.8" hidden="true" customHeight="false" outlineLevel="0" collapsed="false">
      <c r="A6974" s="0" t="s">
        <v>933</v>
      </c>
      <c r="B6974" s="0" t="n">
        <v>23</v>
      </c>
      <c r="C6974" s="0" t="n">
        <v>1.6</v>
      </c>
      <c r="D6974" s="0" t="n">
        <v>0</v>
      </c>
    </row>
    <row r="6975" customFormat="false" ht="13.8" hidden="true" customHeight="false" outlineLevel="0" collapsed="false">
      <c r="A6975" s="0" t="s">
        <v>933</v>
      </c>
      <c r="B6975" s="0" t="n">
        <v>23</v>
      </c>
      <c r="C6975" s="0" t="n">
        <v>1.65</v>
      </c>
      <c r="D6975" s="0" t="n">
        <v>0</v>
      </c>
    </row>
    <row r="6976" customFormat="false" ht="13.8" hidden="true" customHeight="false" outlineLevel="0" collapsed="false">
      <c r="A6976" s="0" t="s">
        <v>933</v>
      </c>
      <c r="B6976" s="0" t="n">
        <v>23</v>
      </c>
      <c r="C6976" s="0" t="n">
        <v>1.7</v>
      </c>
      <c r="D6976" s="0" t="n">
        <v>0</v>
      </c>
    </row>
    <row r="6977" customFormat="false" ht="13.8" hidden="true" customHeight="false" outlineLevel="0" collapsed="false">
      <c r="A6977" s="0" t="s">
        <v>933</v>
      </c>
      <c r="B6977" s="0" t="n">
        <v>23</v>
      </c>
      <c r="C6977" s="0" t="n">
        <v>1.75</v>
      </c>
      <c r="D6977" s="0" t="n">
        <v>0</v>
      </c>
    </row>
    <row r="6978" customFormat="false" ht="13.8" hidden="true" customHeight="false" outlineLevel="0" collapsed="false">
      <c r="A6978" s="0" t="s">
        <v>933</v>
      </c>
      <c r="B6978" s="0" t="n">
        <v>23</v>
      </c>
      <c r="C6978" s="0" t="n">
        <v>1.8</v>
      </c>
      <c r="D6978" s="0" t="n">
        <v>0.554</v>
      </c>
    </row>
    <row r="6979" customFormat="false" ht="13.8" hidden="true" customHeight="false" outlineLevel="0" collapsed="false">
      <c r="A6979" s="0" t="s">
        <v>933</v>
      </c>
      <c r="B6979" s="0" t="n">
        <v>23</v>
      </c>
      <c r="C6979" s="0" t="n">
        <v>1.85</v>
      </c>
      <c r="D6979" s="0" t="n">
        <v>0.569</v>
      </c>
    </row>
    <row r="6980" customFormat="false" ht="13.8" hidden="true" customHeight="false" outlineLevel="0" collapsed="false">
      <c r="A6980" s="0" t="s">
        <v>933</v>
      </c>
      <c r="B6980" s="0" t="n">
        <v>23</v>
      </c>
      <c r="C6980" s="0" t="n">
        <v>1.9</v>
      </c>
      <c r="D6980" s="0" t="n">
        <v>0.584</v>
      </c>
    </row>
    <row r="6981" customFormat="false" ht="13.8" hidden="true" customHeight="false" outlineLevel="0" collapsed="false">
      <c r="A6981" s="0" t="s">
        <v>933</v>
      </c>
      <c r="B6981" s="0" t="n">
        <v>23</v>
      </c>
      <c r="C6981" s="0" t="n">
        <v>1.95</v>
      </c>
      <c r="D6981" s="0" t="n">
        <v>0.6</v>
      </c>
    </row>
    <row r="6982" customFormat="false" ht="13.8" hidden="true" customHeight="false" outlineLevel="0" collapsed="false">
      <c r="A6982" s="0" t="s">
        <v>933</v>
      </c>
      <c r="B6982" s="0" t="n">
        <v>23</v>
      </c>
      <c r="C6982" s="0" t="n">
        <v>2</v>
      </c>
      <c r="D6982" s="0" t="n">
        <v>0.615</v>
      </c>
    </row>
    <row r="6983" customFormat="false" ht="13.8" hidden="true" customHeight="false" outlineLevel="0" collapsed="false">
      <c r="A6983" s="0" t="s">
        <v>933</v>
      </c>
      <c r="B6983" s="0" t="n">
        <v>23</v>
      </c>
      <c r="C6983" s="0" t="n">
        <v>2.05</v>
      </c>
      <c r="D6983" s="0" t="n">
        <v>0.63</v>
      </c>
    </row>
    <row r="6984" customFormat="false" ht="13.8" hidden="true" customHeight="false" outlineLevel="0" collapsed="false">
      <c r="A6984" s="0" t="s">
        <v>933</v>
      </c>
      <c r="B6984" s="0" t="n">
        <v>23</v>
      </c>
      <c r="C6984" s="0" t="n">
        <v>2.1</v>
      </c>
      <c r="D6984" s="0" t="n">
        <v>0.646</v>
      </c>
    </row>
    <row r="6985" customFormat="false" ht="13.8" hidden="true" customHeight="false" outlineLevel="0" collapsed="false">
      <c r="A6985" s="0" t="s">
        <v>933</v>
      </c>
      <c r="B6985" s="0" t="n">
        <v>23</v>
      </c>
      <c r="C6985" s="0" t="n">
        <v>2.15</v>
      </c>
      <c r="D6985" s="0" t="n">
        <v>0.661125</v>
      </c>
    </row>
    <row r="6986" customFormat="false" ht="13.8" hidden="true" customHeight="false" outlineLevel="0" collapsed="false">
      <c r="A6986" s="0" t="s">
        <v>933</v>
      </c>
      <c r="B6986" s="0" t="n">
        <v>23</v>
      </c>
      <c r="C6986" s="0" t="n">
        <v>2.2</v>
      </c>
      <c r="D6986" s="0" t="n">
        <v>0.6765</v>
      </c>
    </row>
    <row r="6987" customFormat="false" ht="13.8" hidden="true" customHeight="false" outlineLevel="0" collapsed="false">
      <c r="A6987" s="0" t="s">
        <v>933</v>
      </c>
      <c r="B6987" s="0" t="n">
        <v>23</v>
      </c>
      <c r="C6987" s="0" t="n">
        <v>2.25</v>
      </c>
      <c r="D6987" s="0" t="n">
        <v>0.691875</v>
      </c>
    </row>
    <row r="6988" customFormat="false" ht="13.8" hidden="true" customHeight="false" outlineLevel="0" collapsed="false">
      <c r="A6988" s="0" t="s">
        <v>933</v>
      </c>
      <c r="B6988" s="0" t="n">
        <v>23</v>
      </c>
      <c r="C6988" s="0" t="n">
        <v>2.3</v>
      </c>
      <c r="D6988" s="0" t="n">
        <v>0</v>
      </c>
    </row>
    <row r="6989" customFormat="false" ht="13.8" hidden="true" customHeight="false" outlineLevel="0" collapsed="false">
      <c r="A6989" s="0" t="s">
        <v>933</v>
      </c>
      <c r="B6989" s="0" t="n">
        <v>23</v>
      </c>
      <c r="C6989" s="0" t="n">
        <v>2.35</v>
      </c>
      <c r="D6989" s="0" t="n">
        <v>0</v>
      </c>
    </row>
    <row r="6990" customFormat="false" ht="13.8" hidden="true" customHeight="false" outlineLevel="0" collapsed="false">
      <c r="A6990" s="0" t="s">
        <v>933</v>
      </c>
      <c r="B6990" s="0" t="n">
        <v>23</v>
      </c>
      <c r="C6990" s="0" t="n">
        <v>2.4</v>
      </c>
      <c r="D6990" s="0" t="n">
        <v>0</v>
      </c>
    </row>
    <row r="6991" customFormat="false" ht="13.8" hidden="true" customHeight="false" outlineLevel="0" collapsed="false">
      <c r="A6991" s="0" t="s">
        <v>933</v>
      </c>
      <c r="B6991" s="0" t="n">
        <v>23</v>
      </c>
      <c r="C6991" s="0" t="n">
        <v>2.45</v>
      </c>
      <c r="D6991" s="0" t="n">
        <v>0</v>
      </c>
    </row>
    <row r="6992" customFormat="false" ht="13.8" hidden="true" customHeight="false" outlineLevel="0" collapsed="false">
      <c r="A6992" s="0" t="s">
        <v>933</v>
      </c>
      <c r="B6992" s="0" t="n">
        <v>23</v>
      </c>
      <c r="C6992" s="0" t="n">
        <v>2.5</v>
      </c>
      <c r="D6992" s="0" t="n">
        <v>0</v>
      </c>
    </row>
    <row r="6993" customFormat="false" ht="13.8" hidden="true" customHeight="false" outlineLevel="0" collapsed="false">
      <c r="A6993" s="0" t="s">
        <v>933</v>
      </c>
      <c r="B6993" s="0" t="n">
        <v>23</v>
      </c>
      <c r="C6993" s="0" t="n">
        <v>2.55</v>
      </c>
      <c r="D6993" s="0" t="n">
        <v>0</v>
      </c>
    </row>
    <row r="6994" customFormat="false" ht="13.8" hidden="true" customHeight="false" outlineLevel="0" collapsed="false">
      <c r="A6994" s="0" t="s">
        <v>933</v>
      </c>
      <c r="B6994" s="0" t="n">
        <v>23</v>
      </c>
      <c r="C6994" s="0" t="n">
        <v>2.6</v>
      </c>
      <c r="D6994" s="0" t="n">
        <v>0</v>
      </c>
    </row>
    <row r="6995" customFormat="false" ht="13.8" hidden="true" customHeight="false" outlineLevel="0" collapsed="false">
      <c r="A6995" s="0" t="s">
        <v>935</v>
      </c>
      <c r="B6995" s="0" t="n">
        <v>3</v>
      </c>
      <c r="C6995" s="0" t="n">
        <v>1.3</v>
      </c>
      <c r="D6995" s="0" t="n">
        <v>0</v>
      </c>
    </row>
    <row r="6996" customFormat="false" ht="13.8" hidden="true" customHeight="false" outlineLevel="0" collapsed="false">
      <c r="A6996" s="0" t="s">
        <v>935</v>
      </c>
      <c r="B6996" s="0" t="n">
        <v>3</v>
      </c>
      <c r="C6996" s="0" t="n">
        <v>1.35</v>
      </c>
      <c r="D6996" s="0" t="n">
        <v>0</v>
      </c>
    </row>
    <row r="6997" customFormat="false" ht="13.8" hidden="true" customHeight="false" outlineLevel="0" collapsed="false">
      <c r="A6997" s="0" t="s">
        <v>935</v>
      </c>
      <c r="B6997" s="0" t="n">
        <v>3</v>
      </c>
      <c r="C6997" s="0" t="n">
        <v>1.4</v>
      </c>
      <c r="D6997" s="0" t="n">
        <v>0.945</v>
      </c>
    </row>
    <row r="6998" customFormat="false" ht="13.8" hidden="true" customHeight="false" outlineLevel="0" collapsed="false">
      <c r="A6998" s="0" t="s">
        <v>935</v>
      </c>
      <c r="B6998" s="0" t="n">
        <v>3</v>
      </c>
      <c r="C6998" s="0" t="n">
        <v>1.45</v>
      </c>
      <c r="D6998" s="0" t="n">
        <v>0.979</v>
      </c>
    </row>
    <row r="6999" customFormat="false" ht="13.8" hidden="true" customHeight="false" outlineLevel="0" collapsed="false">
      <c r="A6999" s="0" t="s">
        <v>935</v>
      </c>
      <c r="B6999" s="0" t="n">
        <v>3</v>
      </c>
      <c r="C6999" s="0" t="n">
        <v>1.5</v>
      </c>
      <c r="D6999" s="0" t="n">
        <v>1.013</v>
      </c>
    </row>
    <row r="7000" customFormat="false" ht="13.8" hidden="true" customHeight="false" outlineLevel="0" collapsed="false">
      <c r="A7000" s="0" t="s">
        <v>935</v>
      </c>
      <c r="B7000" s="0" t="n">
        <v>3</v>
      </c>
      <c r="C7000" s="0" t="n">
        <v>1.55</v>
      </c>
      <c r="D7000" s="0" t="n">
        <v>1.046</v>
      </c>
    </row>
    <row r="7001" customFormat="false" ht="13.8" hidden="true" customHeight="false" outlineLevel="0" collapsed="false">
      <c r="A7001" s="0" t="s">
        <v>935</v>
      </c>
      <c r="B7001" s="0" t="n">
        <v>3</v>
      </c>
      <c r="C7001" s="0" t="n">
        <v>1.6</v>
      </c>
      <c r="D7001" s="0" t="n">
        <v>1.08</v>
      </c>
    </row>
    <row r="7002" customFormat="false" ht="13.8" hidden="true" customHeight="false" outlineLevel="0" collapsed="false">
      <c r="A7002" s="0" t="s">
        <v>935</v>
      </c>
      <c r="B7002" s="0" t="n">
        <v>3</v>
      </c>
      <c r="C7002" s="0" t="n">
        <v>1.65</v>
      </c>
      <c r="D7002" s="0" t="n">
        <v>1.114</v>
      </c>
    </row>
    <row r="7003" customFormat="false" ht="13.8" hidden="true" customHeight="false" outlineLevel="0" collapsed="false">
      <c r="A7003" s="0" t="s">
        <v>935</v>
      </c>
      <c r="B7003" s="0" t="n">
        <v>3</v>
      </c>
      <c r="C7003" s="0" t="n">
        <v>1.7</v>
      </c>
      <c r="D7003" s="0" t="n">
        <v>1.148</v>
      </c>
    </row>
    <row r="7004" customFormat="false" ht="13.8" hidden="true" customHeight="false" outlineLevel="0" collapsed="false">
      <c r="A7004" s="0" t="s">
        <v>935</v>
      </c>
      <c r="B7004" s="0" t="n">
        <v>3</v>
      </c>
      <c r="C7004" s="0" t="n">
        <v>1.75</v>
      </c>
      <c r="D7004" s="0" t="n">
        <v>1.181</v>
      </c>
    </row>
    <row r="7005" customFormat="false" ht="13.8" hidden="true" customHeight="false" outlineLevel="0" collapsed="false">
      <c r="A7005" s="0" t="s">
        <v>935</v>
      </c>
      <c r="B7005" s="0" t="n">
        <v>3</v>
      </c>
      <c r="C7005" s="0" t="n">
        <v>1.8</v>
      </c>
      <c r="D7005" s="0" t="n">
        <v>1.215</v>
      </c>
    </row>
    <row r="7006" customFormat="false" ht="13.8" hidden="true" customHeight="false" outlineLevel="0" collapsed="false">
      <c r="A7006" s="0" t="s">
        <v>935</v>
      </c>
      <c r="B7006" s="0" t="n">
        <v>3</v>
      </c>
      <c r="C7006" s="0" t="n">
        <v>1.85</v>
      </c>
      <c r="D7006" s="0" t="n">
        <v>1.249</v>
      </c>
    </row>
    <row r="7007" customFormat="false" ht="13.8" hidden="true" customHeight="false" outlineLevel="0" collapsed="false">
      <c r="A7007" s="0" t="s">
        <v>935</v>
      </c>
      <c r="B7007" s="0" t="n">
        <v>3</v>
      </c>
      <c r="C7007" s="0" t="n">
        <v>1.9</v>
      </c>
      <c r="D7007" s="0" t="n">
        <v>1.283</v>
      </c>
    </row>
    <row r="7008" customFormat="false" ht="13.8" hidden="true" customHeight="false" outlineLevel="0" collapsed="false">
      <c r="A7008" s="0" t="s">
        <v>935</v>
      </c>
      <c r="B7008" s="0" t="n">
        <v>3</v>
      </c>
      <c r="C7008" s="0" t="n">
        <v>1.95</v>
      </c>
      <c r="D7008" s="0" t="n">
        <v>1.316</v>
      </c>
    </row>
    <row r="7009" customFormat="false" ht="13.8" hidden="true" customHeight="false" outlineLevel="0" collapsed="false">
      <c r="A7009" s="0" t="s">
        <v>935</v>
      </c>
      <c r="B7009" s="0" t="n">
        <v>3</v>
      </c>
      <c r="C7009" s="0" t="n">
        <v>2</v>
      </c>
      <c r="D7009" s="0" t="n">
        <v>1.35</v>
      </c>
    </row>
    <row r="7010" customFormat="false" ht="13.8" hidden="true" customHeight="false" outlineLevel="0" collapsed="false">
      <c r="A7010" s="0" t="s">
        <v>935</v>
      </c>
      <c r="B7010" s="0" t="n">
        <v>3</v>
      </c>
      <c r="C7010" s="0" t="n">
        <v>2.05</v>
      </c>
      <c r="D7010" s="0" t="n">
        <v>1.384</v>
      </c>
    </row>
    <row r="7011" customFormat="false" ht="13.8" hidden="true" customHeight="false" outlineLevel="0" collapsed="false">
      <c r="A7011" s="0" t="s">
        <v>935</v>
      </c>
      <c r="B7011" s="0" t="n">
        <v>3</v>
      </c>
      <c r="C7011" s="0" t="n">
        <v>2.1</v>
      </c>
      <c r="D7011" s="0" t="n">
        <v>1.418</v>
      </c>
    </row>
    <row r="7012" customFormat="false" ht="13.8" hidden="true" customHeight="false" outlineLevel="0" collapsed="false">
      <c r="A7012" s="0" t="s">
        <v>935</v>
      </c>
      <c r="B7012" s="0" t="n">
        <v>3</v>
      </c>
      <c r="C7012" s="0" t="n">
        <v>2.15</v>
      </c>
      <c r="D7012" s="0" t="n">
        <v>1.45125</v>
      </c>
    </row>
    <row r="7013" customFormat="false" ht="13.8" hidden="true" customHeight="false" outlineLevel="0" collapsed="false">
      <c r="A7013" s="0" t="s">
        <v>935</v>
      </c>
      <c r="B7013" s="0" t="n">
        <v>3</v>
      </c>
      <c r="C7013" s="0" t="n">
        <v>2.2</v>
      </c>
      <c r="D7013" s="0" t="n">
        <v>0</v>
      </c>
    </row>
    <row r="7014" customFormat="false" ht="13.8" hidden="true" customHeight="false" outlineLevel="0" collapsed="false">
      <c r="A7014" s="0" t="s">
        <v>935</v>
      </c>
      <c r="B7014" s="0" t="n">
        <v>3</v>
      </c>
      <c r="C7014" s="0" t="n">
        <v>2.25</v>
      </c>
      <c r="D7014" s="0" t="n">
        <v>0</v>
      </c>
    </row>
    <row r="7015" customFormat="false" ht="13.8" hidden="true" customHeight="false" outlineLevel="0" collapsed="false">
      <c r="A7015" s="0" t="s">
        <v>935</v>
      </c>
      <c r="B7015" s="0" t="n">
        <v>3</v>
      </c>
      <c r="C7015" s="0" t="n">
        <v>2.3</v>
      </c>
      <c r="D7015" s="0" t="n">
        <v>0</v>
      </c>
    </row>
    <row r="7016" customFormat="false" ht="13.8" hidden="true" customHeight="false" outlineLevel="0" collapsed="false">
      <c r="A7016" s="0" t="s">
        <v>935</v>
      </c>
      <c r="B7016" s="0" t="n">
        <v>3</v>
      </c>
      <c r="C7016" s="0" t="n">
        <v>2.35</v>
      </c>
      <c r="D7016" s="0" t="n">
        <v>0</v>
      </c>
    </row>
    <row r="7017" customFormat="false" ht="13.8" hidden="true" customHeight="false" outlineLevel="0" collapsed="false">
      <c r="A7017" s="0" t="s">
        <v>935</v>
      </c>
      <c r="B7017" s="0" t="n">
        <v>3</v>
      </c>
      <c r="C7017" s="0" t="n">
        <v>2.4</v>
      </c>
      <c r="D7017" s="0" t="n">
        <v>0</v>
      </c>
    </row>
    <row r="7018" customFormat="false" ht="13.8" hidden="true" customHeight="false" outlineLevel="0" collapsed="false">
      <c r="A7018" s="0" t="s">
        <v>935</v>
      </c>
      <c r="B7018" s="0" t="n">
        <v>3</v>
      </c>
      <c r="C7018" s="0" t="n">
        <v>2.45</v>
      </c>
      <c r="D7018" s="0" t="n">
        <v>0</v>
      </c>
    </row>
    <row r="7019" customFormat="false" ht="13.8" hidden="true" customHeight="false" outlineLevel="0" collapsed="false">
      <c r="A7019" s="0" t="s">
        <v>935</v>
      </c>
      <c r="B7019" s="0" t="n">
        <v>3</v>
      </c>
      <c r="C7019" s="0" t="n">
        <v>2.5</v>
      </c>
      <c r="D7019" s="0" t="n">
        <v>0</v>
      </c>
    </row>
    <row r="7020" customFormat="false" ht="13.8" hidden="true" customHeight="false" outlineLevel="0" collapsed="false">
      <c r="A7020" s="0" t="s">
        <v>935</v>
      </c>
      <c r="B7020" s="0" t="n">
        <v>3</v>
      </c>
      <c r="C7020" s="0" t="n">
        <v>2.55</v>
      </c>
      <c r="D7020" s="0" t="n">
        <v>0</v>
      </c>
    </row>
    <row r="7021" customFormat="false" ht="13.8" hidden="true" customHeight="false" outlineLevel="0" collapsed="false">
      <c r="A7021" s="0" t="s">
        <v>935</v>
      </c>
      <c r="B7021" s="0" t="n">
        <v>3</v>
      </c>
      <c r="C7021" s="0" t="n">
        <v>2.6</v>
      </c>
      <c r="D7021" s="0" t="n">
        <v>0</v>
      </c>
    </row>
    <row r="7022" customFormat="false" ht="13.8" hidden="true" customHeight="false" outlineLevel="0" collapsed="false">
      <c r="A7022" s="0" t="s">
        <v>138</v>
      </c>
      <c r="B7022" s="0" t="n">
        <v>3</v>
      </c>
      <c r="C7022" s="0" t="n">
        <v>1.3</v>
      </c>
      <c r="D7022" s="0" t="n">
        <v>0</v>
      </c>
    </row>
    <row r="7023" customFormat="false" ht="13.8" hidden="true" customHeight="false" outlineLevel="0" collapsed="false">
      <c r="A7023" s="0" t="s">
        <v>138</v>
      </c>
      <c r="B7023" s="0" t="n">
        <v>3</v>
      </c>
      <c r="C7023" s="0" t="n">
        <v>1.35</v>
      </c>
      <c r="D7023" s="0" t="n">
        <v>0</v>
      </c>
    </row>
    <row r="7024" customFormat="false" ht="13.8" hidden="true" customHeight="false" outlineLevel="0" collapsed="false">
      <c r="A7024" s="0" t="s">
        <v>138</v>
      </c>
      <c r="B7024" s="0" t="n">
        <v>3</v>
      </c>
      <c r="C7024" s="0" t="n">
        <v>1.4</v>
      </c>
      <c r="D7024" s="0" t="n">
        <v>0.945</v>
      </c>
    </row>
    <row r="7025" customFormat="false" ht="13.8" hidden="true" customHeight="false" outlineLevel="0" collapsed="false">
      <c r="A7025" s="0" t="s">
        <v>138</v>
      </c>
      <c r="B7025" s="0" t="n">
        <v>3</v>
      </c>
      <c r="C7025" s="0" t="n">
        <v>1.45</v>
      </c>
      <c r="D7025" s="0" t="n">
        <v>0.979</v>
      </c>
    </row>
    <row r="7026" customFormat="false" ht="13.8" hidden="true" customHeight="false" outlineLevel="0" collapsed="false">
      <c r="A7026" s="0" t="s">
        <v>138</v>
      </c>
      <c r="B7026" s="0" t="n">
        <v>3</v>
      </c>
      <c r="C7026" s="0" t="n">
        <v>1.5</v>
      </c>
      <c r="D7026" s="0" t="n">
        <v>1.013</v>
      </c>
    </row>
    <row r="7027" customFormat="false" ht="13.8" hidden="true" customHeight="false" outlineLevel="0" collapsed="false">
      <c r="A7027" s="0" t="s">
        <v>138</v>
      </c>
      <c r="B7027" s="0" t="n">
        <v>3</v>
      </c>
      <c r="C7027" s="0" t="n">
        <v>1.55</v>
      </c>
      <c r="D7027" s="0" t="n">
        <v>1.046</v>
      </c>
    </row>
    <row r="7028" customFormat="false" ht="13.8" hidden="true" customHeight="false" outlineLevel="0" collapsed="false">
      <c r="A7028" s="0" t="s">
        <v>138</v>
      </c>
      <c r="B7028" s="0" t="n">
        <v>3</v>
      </c>
      <c r="C7028" s="0" t="n">
        <v>1.6</v>
      </c>
      <c r="D7028" s="0" t="n">
        <v>1.08</v>
      </c>
    </row>
    <row r="7029" customFormat="false" ht="13.8" hidden="true" customHeight="false" outlineLevel="0" collapsed="false">
      <c r="A7029" s="0" t="s">
        <v>138</v>
      </c>
      <c r="B7029" s="0" t="n">
        <v>3</v>
      </c>
      <c r="C7029" s="0" t="n">
        <v>1.65</v>
      </c>
      <c r="D7029" s="0" t="n">
        <v>1.114</v>
      </c>
    </row>
    <row r="7030" customFormat="false" ht="13.8" hidden="true" customHeight="false" outlineLevel="0" collapsed="false">
      <c r="A7030" s="0" t="s">
        <v>138</v>
      </c>
      <c r="B7030" s="0" t="n">
        <v>3</v>
      </c>
      <c r="C7030" s="0" t="n">
        <v>1.7</v>
      </c>
      <c r="D7030" s="0" t="n">
        <v>1.148</v>
      </c>
    </row>
    <row r="7031" customFormat="false" ht="13.8" hidden="true" customHeight="false" outlineLevel="0" collapsed="false">
      <c r="A7031" s="0" t="s">
        <v>138</v>
      </c>
      <c r="B7031" s="0" t="n">
        <v>3</v>
      </c>
      <c r="C7031" s="0" t="n">
        <v>1.75</v>
      </c>
      <c r="D7031" s="0" t="n">
        <v>1.181</v>
      </c>
    </row>
    <row r="7032" customFormat="false" ht="13.8" hidden="true" customHeight="false" outlineLevel="0" collapsed="false">
      <c r="A7032" s="0" t="s">
        <v>138</v>
      </c>
      <c r="B7032" s="0" t="n">
        <v>3</v>
      </c>
      <c r="C7032" s="0" t="n">
        <v>1.8</v>
      </c>
      <c r="D7032" s="0" t="n">
        <v>1.215</v>
      </c>
    </row>
    <row r="7033" customFormat="false" ht="13.8" hidden="true" customHeight="false" outlineLevel="0" collapsed="false">
      <c r="A7033" s="0" t="s">
        <v>138</v>
      </c>
      <c r="B7033" s="0" t="n">
        <v>3</v>
      </c>
      <c r="C7033" s="0" t="n">
        <v>1.85</v>
      </c>
      <c r="D7033" s="0" t="n">
        <v>1.249</v>
      </c>
    </row>
    <row r="7034" customFormat="false" ht="13.8" hidden="true" customHeight="false" outlineLevel="0" collapsed="false">
      <c r="A7034" s="0" t="s">
        <v>138</v>
      </c>
      <c r="B7034" s="0" t="n">
        <v>3</v>
      </c>
      <c r="C7034" s="0" t="n">
        <v>1.9</v>
      </c>
      <c r="D7034" s="0" t="n">
        <v>1.283</v>
      </c>
    </row>
    <row r="7035" customFormat="false" ht="13.8" hidden="true" customHeight="false" outlineLevel="0" collapsed="false">
      <c r="A7035" s="0" t="s">
        <v>138</v>
      </c>
      <c r="B7035" s="0" t="n">
        <v>3</v>
      </c>
      <c r="C7035" s="0" t="n">
        <v>1.95</v>
      </c>
      <c r="D7035" s="0" t="n">
        <v>1.316</v>
      </c>
    </row>
    <row r="7036" customFormat="false" ht="13.8" hidden="true" customHeight="false" outlineLevel="0" collapsed="false">
      <c r="A7036" s="0" t="s">
        <v>138</v>
      </c>
      <c r="B7036" s="0" t="n">
        <v>3</v>
      </c>
      <c r="C7036" s="0" t="n">
        <v>2</v>
      </c>
      <c r="D7036" s="0" t="n">
        <v>1.35</v>
      </c>
    </row>
    <row r="7037" customFormat="false" ht="13.8" hidden="true" customHeight="false" outlineLevel="0" collapsed="false">
      <c r="A7037" s="0" t="s">
        <v>138</v>
      </c>
      <c r="B7037" s="0" t="n">
        <v>3</v>
      </c>
      <c r="C7037" s="0" t="n">
        <v>2.05</v>
      </c>
      <c r="D7037" s="0" t="n">
        <v>1.384</v>
      </c>
    </row>
    <row r="7038" customFormat="false" ht="13.8" hidden="true" customHeight="false" outlineLevel="0" collapsed="false">
      <c r="A7038" s="0" t="s">
        <v>138</v>
      </c>
      <c r="B7038" s="0" t="n">
        <v>3</v>
      </c>
      <c r="C7038" s="0" t="n">
        <v>2.1</v>
      </c>
      <c r="D7038" s="0" t="n">
        <v>1.418</v>
      </c>
    </row>
    <row r="7039" customFormat="false" ht="13.8" hidden="true" customHeight="false" outlineLevel="0" collapsed="false">
      <c r="A7039" s="0" t="s">
        <v>138</v>
      </c>
      <c r="B7039" s="0" t="n">
        <v>3</v>
      </c>
      <c r="C7039" s="0" t="n">
        <v>2.15</v>
      </c>
      <c r="D7039" s="0" t="n">
        <v>1.45125</v>
      </c>
    </row>
    <row r="7040" customFormat="false" ht="13.8" hidden="true" customHeight="false" outlineLevel="0" collapsed="false">
      <c r="A7040" s="0" t="s">
        <v>138</v>
      </c>
      <c r="B7040" s="0" t="n">
        <v>3</v>
      </c>
      <c r="C7040" s="0" t="n">
        <v>2.2</v>
      </c>
      <c r="D7040" s="0" t="n">
        <v>0</v>
      </c>
    </row>
    <row r="7041" customFormat="false" ht="13.8" hidden="true" customHeight="false" outlineLevel="0" collapsed="false">
      <c r="A7041" s="0" t="s">
        <v>138</v>
      </c>
      <c r="B7041" s="0" t="n">
        <v>3</v>
      </c>
      <c r="C7041" s="0" t="n">
        <v>2.25</v>
      </c>
      <c r="D7041" s="0" t="n">
        <v>0</v>
      </c>
    </row>
    <row r="7042" customFormat="false" ht="13.8" hidden="true" customHeight="false" outlineLevel="0" collapsed="false">
      <c r="A7042" s="0" t="s">
        <v>138</v>
      </c>
      <c r="B7042" s="0" t="n">
        <v>3</v>
      </c>
      <c r="C7042" s="0" t="n">
        <v>2.3</v>
      </c>
      <c r="D7042" s="0" t="n">
        <v>0</v>
      </c>
    </row>
    <row r="7043" customFormat="false" ht="13.8" hidden="true" customHeight="false" outlineLevel="0" collapsed="false">
      <c r="A7043" s="0" t="s">
        <v>138</v>
      </c>
      <c r="B7043" s="0" t="n">
        <v>3</v>
      </c>
      <c r="C7043" s="0" t="n">
        <v>2.35</v>
      </c>
      <c r="D7043" s="0" t="n">
        <v>0</v>
      </c>
    </row>
    <row r="7044" customFormat="false" ht="13.8" hidden="true" customHeight="false" outlineLevel="0" collapsed="false">
      <c r="A7044" s="0" t="s">
        <v>138</v>
      </c>
      <c r="B7044" s="0" t="n">
        <v>3</v>
      </c>
      <c r="C7044" s="0" t="n">
        <v>2.4</v>
      </c>
      <c r="D7044" s="0" t="n">
        <v>0</v>
      </c>
    </row>
    <row r="7045" customFormat="false" ht="13.8" hidden="true" customHeight="false" outlineLevel="0" collapsed="false">
      <c r="A7045" s="0" t="s">
        <v>138</v>
      </c>
      <c r="B7045" s="0" t="n">
        <v>3</v>
      </c>
      <c r="C7045" s="0" t="n">
        <v>2.45</v>
      </c>
      <c r="D7045" s="0" t="n">
        <v>0</v>
      </c>
    </row>
    <row r="7046" customFormat="false" ht="13.8" hidden="true" customHeight="false" outlineLevel="0" collapsed="false">
      <c r="A7046" s="0" t="s">
        <v>138</v>
      </c>
      <c r="B7046" s="0" t="n">
        <v>3</v>
      </c>
      <c r="C7046" s="0" t="n">
        <v>2.5</v>
      </c>
      <c r="D7046" s="0" t="n">
        <v>0</v>
      </c>
    </row>
    <row r="7047" customFormat="false" ht="13.8" hidden="true" customHeight="false" outlineLevel="0" collapsed="false">
      <c r="A7047" s="0" t="s">
        <v>138</v>
      </c>
      <c r="B7047" s="0" t="n">
        <v>3</v>
      </c>
      <c r="C7047" s="0" t="n">
        <v>2.55</v>
      </c>
      <c r="D7047" s="0" t="n">
        <v>0</v>
      </c>
    </row>
    <row r="7048" customFormat="false" ht="13.8" hidden="true" customHeight="false" outlineLevel="0" collapsed="false">
      <c r="A7048" s="0" t="s">
        <v>138</v>
      </c>
      <c r="B7048" s="0" t="n">
        <v>3</v>
      </c>
      <c r="C7048" s="0" t="n">
        <v>2.6</v>
      </c>
      <c r="D7048" s="0" t="n">
        <v>0</v>
      </c>
    </row>
    <row r="7049" customFormat="false" ht="13.8" hidden="true" customHeight="false" outlineLevel="0" collapsed="false">
      <c r="A7049" s="0" t="s">
        <v>139</v>
      </c>
      <c r="B7049" s="0" t="n">
        <v>3</v>
      </c>
      <c r="C7049" s="0" t="n">
        <v>1.3</v>
      </c>
      <c r="D7049" s="0" t="n">
        <v>0</v>
      </c>
    </row>
    <row r="7050" customFormat="false" ht="13.8" hidden="true" customHeight="false" outlineLevel="0" collapsed="false">
      <c r="A7050" s="0" t="s">
        <v>139</v>
      </c>
      <c r="B7050" s="0" t="n">
        <v>3</v>
      </c>
      <c r="C7050" s="0" t="n">
        <v>1.35</v>
      </c>
      <c r="D7050" s="0" t="n">
        <v>0</v>
      </c>
    </row>
    <row r="7051" customFormat="false" ht="13.8" hidden="true" customHeight="false" outlineLevel="0" collapsed="false">
      <c r="A7051" s="0" t="s">
        <v>139</v>
      </c>
      <c r="B7051" s="0" t="n">
        <v>3</v>
      </c>
      <c r="C7051" s="0" t="n">
        <v>1.4</v>
      </c>
      <c r="D7051" s="0" t="n">
        <v>0.945</v>
      </c>
    </row>
    <row r="7052" customFormat="false" ht="13.8" hidden="true" customHeight="false" outlineLevel="0" collapsed="false">
      <c r="A7052" s="0" t="s">
        <v>139</v>
      </c>
      <c r="B7052" s="0" t="n">
        <v>3</v>
      </c>
      <c r="C7052" s="0" t="n">
        <v>1.45</v>
      </c>
      <c r="D7052" s="0" t="n">
        <v>0.979</v>
      </c>
    </row>
    <row r="7053" customFormat="false" ht="13.8" hidden="true" customHeight="false" outlineLevel="0" collapsed="false">
      <c r="A7053" s="0" t="s">
        <v>139</v>
      </c>
      <c r="B7053" s="0" t="n">
        <v>3</v>
      </c>
      <c r="C7053" s="0" t="n">
        <v>1.5</v>
      </c>
      <c r="D7053" s="0" t="n">
        <v>1.013</v>
      </c>
    </row>
    <row r="7054" customFormat="false" ht="13.8" hidden="true" customHeight="false" outlineLevel="0" collapsed="false">
      <c r="A7054" s="0" t="s">
        <v>139</v>
      </c>
      <c r="B7054" s="0" t="n">
        <v>3</v>
      </c>
      <c r="C7054" s="0" t="n">
        <v>1.55</v>
      </c>
      <c r="D7054" s="0" t="n">
        <v>1.046</v>
      </c>
    </row>
    <row r="7055" customFormat="false" ht="13.8" hidden="true" customHeight="false" outlineLevel="0" collapsed="false">
      <c r="A7055" s="0" t="s">
        <v>139</v>
      </c>
      <c r="B7055" s="0" t="n">
        <v>3</v>
      </c>
      <c r="C7055" s="0" t="n">
        <v>1.6</v>
      </c>
      <c r="D7055" s="0" t="n">
        <v>1.08</v>
      </c>
    </row>
    <row r="7056" customFormat="false" ht="13.8" hidden="true" customHeight="false" outlineLevel="0" collapsed="false">
      <c r="A7056" s="0" t="s">
        <v>139</v>
      </c>
      <c r="B7056" s="0" t="n">
        <v>3</v>
      </c>
      <c r="C7056" s="0" t="n">
        <v>1.65</v>
      </c>
      <c r="D7056" s="0" t="n">
        <v>1.114</v>
      </c>
    </row>
    <row r="7057" customFormat="false" ht="13.8" hidden="true" customHeight="false" outlineLevel="0" collapsed="false">
      <c r="A7057" s="0" t="s">
        <v>139</v>
      </c>
      <c r="B7057" s="0" t="n">
        <v>3</v>
      </c>
      <c r="C7057" s="0" t="n">
        <v>1.7</v>
      </c>
      <c r="D7057" s="0" t="n">
        <v>1.148</v>
      </c>
    </row>
    <row r="7058" customFormat="false" ht="13.8" hidden="true" customHeight="false" outlineLevel="0" collapsed="false">
      <c r="A7058" s="0" t="s">
        <v>139</v>
      </c>
      <c r="B7058" s="0" t="n">
        <v>3</v>
      </c>
      <c r="C7058" s="0" t="n">
        <v>1.75</v>
      </c>
      <c r="D7058" s="0" t="n">
        <v>1.181</v>
      </c>
    </row>
    <row r="7059" customFormat="false" ht="13.8" hidden="true" customHeight="false" outlineLevel="0" collapsed="false">
      <c r="A7059" s="0" t="s">
        <v>139</v>
      </c>
      <c r="B7059" s="0" t="n">
        <v>3</v>
      </c>
      <c r="C7059" s="0" t="n">
        <v>1.8</v>
      </c>
      <c r="D7059" s="0" t="n">
        <v>1.215</v>
      </c>
    </row>
    <row r="7060" customFormat="false" ht="13.8" hidden="true" customHeight="false" outlineLevel="0" collapsed="false">
      <c r="A7060" s="0" t="s">
        <v>139</v>
      </c>
      <c r="B7060" s="0" t="n">
        <v>3</v>
      </c>
      <c r="C7060" s="0" t="n">
        <v>1.85</v>
      </c>
      <c r="D7060" s="0" t="n">
        <v>1.249</v>
      </c>
    </row>
    <row r="7061" customFormat="false" ht="13.8" hidden="true" customHeight="false" outlineLevel="0" collapsed="false">
      <c r="A7061" s="0" t="s">
        <v>139</v>
      </c>
      <c r="B7061" s="0" t="n">
        <v>3</v>
      </c>
      <c r="C7061" s="0" t="n">
        <v>1.9</v>
      </c>
      <c r="D7061" s="0" t="n">
        <v>1.283</v>
      </c>
    </row>
    <row r="7062" customFormat="false" ht="13.8" hidden="true" customHeight="false" outlineLevel="0" collapsed="false">
      <c r="A7062" s="0" t="s">
        <v>139</v>
      </c>
      <c r="B7062" s="0" t="n">
        <v>3</v>
      </c>
      <c r="C7062" s="0" t="n">
        <v>1.95</v>
      </c>
      <c r="D7062" s="0" t="n">
        <v>1.316</v>
      </c>
    </row>
    <row r="7063" customFormat="false" ht="13.8" hidden="true" customHeight="false" outlineLevel="0" collapsed="false">
      <c r="A7063" s="0" t="s">
        <v>139</v>
      </c>
      <c r="B7063" s="0" t="n">
        <v>3</v>
      </c>
      <c r="C7063" s="0" t="n">
        <v>2</v>
      </c>
      <c r="D7063" s="0" t="n">
        <v>1.35</v>
      </c>
    </row>
    <row r="7064" customFormat="false" ht="13.8" hidden="true" customHeight="false" outlineLevel="0" collapsed="false">
      <c r="A7064" s="0" t="s">
        <v>139</v>
      </c>
      <c r="B7064" s="0" t="n">
        <v>3</v>
      </c>
      <c r="C7064" s="0" t="n">
        <v>2.05</v>
      </c>
      <c r="D7064" s="0" t="n">
        <v>1.384</v>
      </c>
    </row>
    <row r="7065" customFormat="false" ht="13.8" hidden="true" customHeight="false" outlineLevel="0" collapsed="false">
      <c r="A7065" s="0" t="s">
        <v>139</v>
      </c>
      <c r="B7065" s="0" t="n">
        <v>3</v>
      </c>
      <c r="C7065" s="0" t="n">
        <v>2.1</v>
      </c>
      <c r="D7065" s="0" t="n">
        <v>1.418</v>
      </c>
    </row>
    <row r="7066" customFormat="false" ht="13.8" hidden="true" customHeight="false" outlineLevel="0" collapsed="false">
      <c r="A7066" s="0" t="s">
        <v>139</v>
      </c>
      <c r="B7066" s="0" t="n">
        <v>3</v>
      </c>
      <c r="C7066" s="0" t="n">
        <v>2.15</v>
      </c>
      <c r="D7066" s="0" t="n">
        <v>1.45125</v>
      </c>
    </row>
    <row r="7067" customFormat="false" ht="13.8" hidden="true" customHeight="false" outlineLevel="0" collapsed="false">
      <c r="A7067" s="0" t="s">
        <v>139</v>
      </c>
      <c r="B7067" s="0" t="n">
        <v>3</v>
      </c>
      <c r="C7067" s="0" t="n">
        <v>2.2</v>
      </c>
      <c r="D7067" s="0" t="n">
        <v>0</v>
      </c>
    </row>
    <row r="7068" customFormat="false" ht="13.8" hidden="true" customHeight="false" outlineLevel="0" collapsed="false">
      <c r="A7068" s="0" t="s">
        <v>139</v>
      </c>
      <c r="B7068" s="0" t="n">
        <v>3</v>
      </c>
      <c r="C7068" s="0" t="n">
        <v>2.25</v>
      </c>
      <c r="D7068" s="0" t="n">
        <v>0</v>
      </c>
    </row>
    <row r="7069" customFormat="false" ht="13.8" hidden="true" customHeight="false" outlineLevel="0" collapsed="false">
      <c r="A7069" s="0" t="s">
        <v>139</v>
      </c>
      <c r="B7069" s="0" t="n">
        <v>3</v>
      </c>
      <c r="C7069" s="0" t="n">
        <v>2.3</v>
      </c>
      <c r="D7069" s="0" t="n">
        <v>0</v>
      </c>
    </row>
    <row r="7070" customFormat="false" ht="13.8" hidden="true" customHeight="false" outlineLevel="0" collapsed="false">
      <c r="A7070" s="0" t="s">
        <v>139</v>
      </c>
      <c r="B7070" s="0" t="n">
        <v>3</v>
      </c>
      <c r="C7070" s="0" t="n">
        <v>2.35</v>
      </c>
      <c r="D7070" s="0" t="n">
        <v>0</v>
      </c>
    </row>
    <row r="7071" customFormat="false" ht="13.8" hidden="true" customHeight="false" outlineLevel="0" collapsed="false">
      <c r="A7071" s="0" t="s">
        <v>139</v>
      </c>
      <c r="B7071" s="0" t="n">
        <v>3</v>
      </c>
      <c r="C7071" s="0" t="n">
        <v>2.4</v>
      </c>
      <c r="D7071" s="0" t="n">
        <v>0</v>
      </c>
    </row>
    <row r="7072" customFormat="false" ht="13.8" hidden="true" customHeight="false" outlineLevel="0" collapsed="false">
      <c r="A7072" s="0" t="s">
        <v>139</v>
      </c>
      <c r="B7072" s="0" t="n">
        <v>3</v>
      </c>
      <c r="C7072" s="0" t="n">
        <v>2.45</v>
      </c>
      <c r="D7072" s="0" t="n">
        <v>0</v>
      </c>
    </row>
    <row r="7073" customFormat="false" ht="13.8" hidden="true" customHeight="false" outlineLevel="0" collapsed="false">
      <c r="A7073" s="0" t="s">
        <v>139</v>
      </c>
      <c r="B7073" s="0" t="n">
        <v>3</v>
      </c>
      <c r="C7073" s="0" t="n">
        <v>2.5</v>
      </c>
      <c r="D7073" s="0" t="n">
        <v>0</v>
      </c>
    </row>
    <row r="7074" customFormat="false" ht="13.8" hidden="true" customHeight="false" outlineLevel="0" collapsed="false">
      <c r="A7074" s="0" t="s">
        <v>139</v>
      </c>
      <c r="B7074" s="0" t="n">
        <v>3</v>
      </c>
      <c r="C7074" s="0" t="n">
        <v>2.55</v>
      </c>
      <c r="D7074" s="0" t="n">
        <v>0</v>
      </c>
    </row>
    <row r="7075" customFormat="false" ht="13.8" hidden="true" customHeight="false" outlineLevel="0" collapsed="false">
      <c r="A7075" s="0" t="s">
        <v>139</v>
      </c>
      <c r="B7075" s="0" t="n">
        <v>3</v>
      </c>
      <c r="C7075" s="0" t="n">
        <v>2.6</v>
      </c>
      <c r="D7075" s="0" t="n">
        <v>0</v>
      </c>
    </row>
    <row r="7076" customFormat="false" ht="13.8" hidden="true" customHeight="false" outlineLevel="0" collapsed="false">
      <c r="A7076" s="0" t="s">
        <v>252</v>
      </c>
      <c r="B7076" s="0" t="n">
        <v>3</v>
      </c>
      <c r="C7076" s="0" t="n">
        <v>1.3</v>
      </c>
      <c r="D7076" s="0" t="n">
        <v>0</v>
      </c>
    </row>
    <row r="7077" customFormat="false" ht="13.8" hidden="true" customHeight="false" outlineLevel="0" collapsed="false">
      <c r="A7077" s="0" t="s">
        <v>252</v>
      </c>
      <c r="B7077" s="0" t="n">
        <v>3</v>
      </c>
      <c r="C7077" s="0" t="n">
        <v>1.35</v>
      </c>
      <c r="D7077" s="0" t="n">
        <v>0</v>
      </c>
    </row>
    <row r="7078" customFormat="false" ht="13.8" hidden="true" customHeight="false" outlineLevel="0" collapsed="false">
      <c r="A7078" s="0" t="s">
        <v>252</v>
      </c>
      <c r="B7078" s="0" t="n">
        <v>3</v>
      </c>
      <c r="C7078" s="0" t="n">
        <v>1.4</v>
      </c>
      <c r="D7078" s="0" t="n">
        <v>0.945</v>
      </c>
    </row>
    <row r="7079" customFormat="false" ht="13.8" hidden="true" customHeight="false" outlineLevel="0" collapsed="false">
      <c r="A7079" s="0" t="s">
        <v>252</v>
      </c>
      <c r="B7079" s="0" t="n">
        <v>3</v>
      </c>
      <c r="C7079" s="0" t="n">
        <v>1.45</v>
      </c>
      <c r="D7079" s="0" t="n">
        <v>0.979</v>
      </c>
    </row>
    <row r="7080" customFormat="false" ht="13.8" hidden="true" customHeight="false" outlineLevel="0" collapsed="false">
      <c r="A7080" s="0" t="s">
        <v>252</v>
      </c>
      <c r="B7080" s="0" t="n">
        <v>3</v>
      </c>
      <c r="C7080" s="0" t="n">
        <v>1.5</v>
      </c>
      <c r="D7080" s="0" t="n">
        <v>1.013</v>
      </c>
    </row>
    <row r="7081" customFormat="false" ht="13.8" hidden="true" customHeight="false" outlineLevel="0" collapsed="false">
      <c r="A7081" s="0" t="s">
        <v>252</v>
      </c>
      <c r="B7081" s="0" t="n">
        <v>3</v>
      </c>
      <c r="C7081" s="0" t="n">
        <v>1.55</v>
      </c>
      <c r="D7081" s="0" t="n">
        <v>1.046</v>
      </c>
    </row>
    <row r="7082" customFormat="false" ht="13.8" hidden="true" customHeight="false" outlineLevel="0" collapsed="false">
      <c r="A7082" s="0" t="s">
        <v>252</v>
      </c>
      <c r="B7082" s="0" t="n">
        <v>3</v>
      </c>
      <c r="C7082" s="0" t="n">
        <v>1.6</v>
      </c>
      <c r="D7082" s="0" t="n">
        <v>1.08</v>
      </c>
    </row>
    <row r="7083" customFormat="false" ht="13.8" hidden="true" customHeight="false" outlineLevel="0" collapsed="false">
      <c r="A7083" s="0" t="s">
        <v>252</v>
      </c>
      <c r="B7083" s="0" t="n">
        <v>3</v>
      </c>
      <c r="C7083" s="0" t="n">
        <v>1.65</v>
      </c>
      <c r="D7083" s="0" t="n">
        <v>1.114</v>
      </c>
    </row>
    <row r="7084" customFormat="false" ht="13.8" hidden="true" customHeight="false" outlineLevel="0" collapsed="false">
      <c r="A7084" s="0" t="s">
        <v>252</v>
      </c>
      <c r="B7084" s="0" t="n">
        <v>3</v>
      </c>
      <c r="C7084" s="0" t="n">
        <v>1.7</v>
      </c>
      <c r="D7084" s="0" t="n">
        <v>1.148</v>
      </c>
    </row>
    <row r="7085" customFormat="false" ht="13.8" hidden="true" customHeight="false" outlineLevel="0" collapsed="false">
      <c r="A7085" s="0" t="s">
        <v>252</v>
      </c>
      <c r="B7085" s="0" t="n">
        <v>3</v>
      </c>
      <c r="C7085" s="0" t="n">
        <v>1.75</v>
      </c>
      <c r="D7085" s="0" t="n">
        <v>1.181</v>
      </c>
    </row>
    <row r="7086" customFormat="false" ht="13.8" hidden="true" customHeight="false" outlineLevel="0" collapsed="false">
      <c r="A7086" s="0" t="s">
        <v>252</v>
      </c>
      <c r="B7086" s="0" t="n">
        <v>3</v>
      </c>
      <c r="C7086" s="0" t="n">
        <v>1.8</v>
      </c>
      <c r="D7086" s="0" t="n">
        <v>1.215</v>
      </c>
    </row>
    <row r="7087" customFormat="false" ht="13.8" hidden="true" customHeight="false" outlineLevel="0" collapsed="false">
      <c r="A7087" s="0" t="s">
        <v>252</v>
      </c>
      <c r="B7087" s="0" t="n">
        <v>3</v>
      </c>
      <c r="C7087" s="0" t="n">
        <v>1.85</v>
      </c>
      <c r="D7087" s="0" t="n">
        <v>1.249</v>
      </c>
    </row>
    <row r="7088" customFormat="false" ht="13.8" hidden="true" customHeight="false" outlineLevel="0" collapsed="false">
      <c r="A7088" s="0" t="s">
        <v>252</v>
      </c>
      <c r="B7088" s="0" t="n">
        <v>3</v>
      </c>
      <c r="C7088" s="0" t="n">
        <v>1.9</v>
      </c>
      <c r="D7088" s="0" t="n">
        <v>1.283</v>
      </c>
    </row>
    <row r="7089" customFormat="false" ht="13.8" hidden="true" customHeight="false" outlineLevel="0" collapsed="false">
      <c r="A7089" s="0" t="s">
        <v>252</v>
      </c>
      <c r="B7089" s="0" t="n">
        <v>3</v>
      </c>
      <c r="C7089" s="0" t="n">
        <v>1.95</v>
      </c>
      <c r="D7089" s="0" t="n">
        <v>1.316</v>
      </c>
    </row>
    <row r="7090" customFormat="false" ht="13.8" hidden="true" customHeight="false" outlineLevel="0" collapsed="false">
      <c r="A7090" s="0" t="s">
        <v>252</v>
      </c>
      <c r="B7090" s="0" t="n">
        <v>3</v>
      </c>
      <c r="C7090" s="0" t="n">
        <v>2</v>
      </c>
      <c r="D7090" s="0" t="n">
        <v>1.35</v>
      </c>
    </row>
    <row r="7091" customFormat="false" ht="13.8" hidden="true" customHeight="false" outlineLevel="0" collapsed="false">
      <c r="A7091" s="0" t="s">
        <v>252</v>
      </c>
      <c r="B7091" s="0" t="n">
        <v>3</v>
      </c>
      <c r="C7091" s="0" t="n">
        <v>2.05</v>
      </c>
      <c r="D7091" s="0" t="n">
        <v>1.384</v>
      </c>
    </row>
    <row r="7092" customFormat="false" ht="13.8" hidden="true" customHeight="false" outlineLevel="0" collapsed="false">
      <c r="A7092" s="0" t="s">
        <v>252</v>
      </c>
      <c r="B7092" s="0" t="n">
        <v>3</v>
      </c>
      <c r="C7092" s="0" t="n">
        <v>2.1</v>
      </c>
      <c r="D7092" s="0" t="n">
        <v>1.418</v>
      </c>
    </row>
    <row r="7093" customFormat="false" ht="13.8" hidden="true" customHeight="false" outlineLevel="0" collapsed="false">
      <c r="A7093" s="0" t="s">
        <v>252</v>
      </c>
      <c r="B7093" s="0" t="n">
        <v>3</v>
      </c>
      <c r="C7093" s="0" t="n">
        <v>2.15</v>
      </c>
      <c r="D7093" s="0" t="n">
        <v>1.45125</v>
      </c>
    </row>
    <row r="7094" customFormat="false" ht="13.8" hidden="true" customHeight="false" outlineLevel="0" collapsed="false">
      <c r="A7094" s="0" t="s">
        <v>252</v>
      </c>
      <c r="B7094" s="0" t="n">
        <v>3</v>
      </c>
      <c r="C7094" s="0" t="n">
        <v>2.2</v>
      </c>
      <c r="D7094" s="0" t="n">
        <v>0</v>
      </c>
    </row>
    <row r="7095" customFormat="false" ht="13.8" hidden="true" customHeight="false" outlineLevel="0" collapsed="false">
      <c r="A7095" s="0" t="s">
        <v>252</v>
      </c>
      <c r="B7095" s="0" t="n">
        <v>3</v>
      </c>
      <c r="C7095" s="0" t="n">
        <v>2.25</v>
      </c>
      <c r="D7095" s="0" t="n">
        <v>0</v>
      </c>
    </row>
    <row r="7096" customFormat="false" ht="13.8" hidden="true" customHeight="false" outlineLevel="0" collapsed="false">
      <c r="A7096" s="0" t="s">
        <v>252</v>
      </c>
      <c r="B7096" s="0" t="n">
        <v>3</v>
      </c>
      <c r="C7096" s="0" t="n">
        <v>2.3</v>
      </c>
      <c r="D7096" s="0" t="n">
        <v>0</v>
      </c>
    </row>
    <row r="7097" customFormat="false" ht="13.8" hidden="true" customHeight="false" outlineLevel="0" collapsed="false">
      <c r="A7097" s="0" t="s">
        <v>252</v>
      </c>
      <c r="B7097" s="0" t="n">
        <v>3</v>
      </c>
      <c r="C7097" s="0" t="n">
        <v>2.35</v>
      </c>
      <c r="D7097" s="0" t="n">
        <v>0</v>
      </c>
    </row>
    <row r="7098" customFormat="false" ht="13.8" hidden="true" customHeight="false" outlineLevel="0" collapsed="false">
      <c r="A7098" s="0" t="s">
        <v>252</v>
      </c>
      <c r="B7098" s="0" t="n">
        <v>3</v>
      </c>
      <c r="C7098" s="0" t="n">
        <v>2.4</v>
      </c>
      <c r="D7098" s="0" t="n">
        <v>0</v>
      </c>
    </row>
    <row r="7099" customFormat="false" ht="13.8" hidden="true" customHeight="false" outlineLevel="0" collapsed="false">
      <c r="A7099" s="0" t="s">
        <v>252</v>
      </c>
      <c r="B7099" s="0" t="n">
        <v>3</v>
      </c>
      <c r="C7099" s="0" t="n">
        <v>2.45</v>
      </c>
      <c r="D7099" s="0" t="n">
        <v>0</v>
      </c>
    </row>
    <row r="7100" customFormat="false" ht="13.8" hidden="true" customHeight="false" outlineLevel="0" collapsed="false">
      <c r="A7100" s="0" t="s">
        <v>252</v>
      </c>
      <c r="B7100" s="0" t="n">
        <v>3</v>
      </c>
      <c r="C7100" s="0" t="n">
        <v>2.5</v>
      </c>
      <c r="D7100" s="0" t="n">
        <v>0</v>
      </c>
    </row>
    <row r="7101" customFormat="false" ht="13.8" hidden="true" customHeight="false" outlineLevel="0" collapsed="false">
      <c r="A7101" s="0" t="s">
        <v>252</v>
      </c>
      <c r="B7101" s="0" t="n">
        <v>3</v>
      </c>
      <c r="C7101" s="0" t="n">
        <v>2.55</v>
      </c>
      <c r="D7101" s="0" t="n">
        <v>0</v>
      </c>
    </row>
    <row r="7102" customFormat="false" ht="13.8" hidden="true" customHeight="false" outlineLevel="0" collapsed="false">
      <c r="A7102" s="0" t="s">
        <v>252</v>
      </c>
      <c r="B7102" s="0" t="n">
        <v>3</v>
      </c>
      <c r="C7102" s="0" t="n">
        <v>2.6</v>
      </c>
      <c r="D7102" s="0" t="n">
        <v>0</v>
      </c>
    </row>
    <row r="7103" customFormat="false" ht="13.8" hidden="true" customHeight="false" outlineLevel="0" collapsed="false">
      <c r="A7103" s="0" t="s">
        <v>946</v>
      </c>
      <c r="B7103" s="0" t="n">
        <v>3</v>
      </c>
      <c r="C7103" s="0" t="n">
        <v>1.3</v>
      </c>
      <c r="D7103" s="0" t="n">
        <v>0</v>
      </c>
    </row>
    <row r="7104" customFormat="false" ht="13.8" hidden="true" customHeight="false" outlineLevel="0" collapsed="false">
      <c r="A7104" s="0" t="s">
        <v>946</v>
      </c>
      <c r="B7104" s="0" t="n">
        <v>3</v>
      </c>
      <c r="C7104" s="0" t="n">
        <v>1.35</v>
      </c>
      <c r="D7104" s="0" t="n">
        <v>0</v>
      </c>
    </row>
    <row r="7105" customFormat="false" ht="13.8" hidden="true" customHeight="false" outlineLevel="0" collapsed="false">
      <c r="A7105" s="0" t="s">
        <v>946</v>
      </c>
      <c r="B7105" s="0" t="n">
        <v>3</v>
      </c>
      <c r="C7105" s="0" t="n">
        <v>1.4</v>
      </c>
      <c r="D7105" s="0" t="n">
        <v>0.945</v>
      </c>
    </row>
    <row r="7106" customFormat="false" ht="13.8" hidden="true" customHeight="false" outlineLevel="0" collapsed="false">
      <c r="A7106" s="0" t="s">
        <v>946</v>
      </c>
      <c r="B7106" s="0" t="n">
        <v>3</v>
      </c>
      <c r="C7106" s="0" t="n">
        <v>1.45</v>
      </c>
      <c r="D7106" s="0" t="n">
        <v>0.979</v>
      </c>
    </row>
    <row r="7107" customFormat="false" ht="13.8" hidden="true" customHeight="false" outlineLevel="0" collapsed="false">
      <c r="A7107" s="0" t="s">
        <v>946</v>
      </c>
      <c r="B7107" s="0" t="n">
        <v>3</v>
      </c>
      <c r="C7107" s="0" t="n">
        <v>1.5</v>
      </c>
      <c r="D7107" s="0" t="n">
        <v>1.013</v>
      </c>
    </row>
    <row r="7108" customFormat="false" ht="13.8" hidden="true" customHeight="false" outlineLevel="0" collapsed="false">
      <c r="A7108" s="0" t="s">
        <v>946</v>
      </c>
      <c r="B7108" s="0" t="n">
        <v>3</v>
      </c>
      <c r="C7108" s="0" t="n">
        <v>1.55</v>
      </c>
      <c r="D7108" s="0" t="n">
        <v>1.046</v>
      </c>
    </row>
    <row r="7109" customFormat="false" ht="13.8" hidden="true" customHeight="false" outlineLevel="0" collapsed="false">
      <c r="A7109" s="0" t="s">
        <v>946</v>
      </c>
      <c r="B7109" s="0" t="n">
        <v>3</v>
      </c>
      <c r="C7109" s="0" t="n">
        <v>1.6</v>
      </c>
      <c r="D7109" s="0" t="n">
        <v>1.08</v>
      </c>
    </row>
    <row r="7110" customFormat="false" ht="13.8" hidden="true" customHeight="false" outlineLevel="0" collapsed="false">
      <c r="A7110" s="0" t="s">
        <v>946</v>
      </c>
      <c r="B7110" s="0" t="n">
        <v>3</v>
      </c>
      <c r="C7110" s="0" t="n">
        <v>1.65</v>
      </c>
      <c r="D7110" s="0" t="n">
        <v>1.114</v>
      </c>
    </row>
    <row r="7111" customFormat="false" ht="13.8" hidden="true" customHeight="false" outlineLevel="0" collapsed="false">
      <c r="A7111" s="0" t="s">
        <v>946</v>
      </c>
      <c r="B7111" s="0" t="n">
        <v>3</v>
      </c>
      <c r="C7111" s="0" t="n">
        <v>1.7</v>
      </c>
      <c r="D7111" s="0" t="n">
        <v>1.148</v>
      </c>
    </row>
    <row r="7112" customFormat="false" ht="13.8" hidden="true" customHeight="false" outlineLevel="0" collapsed="false">
      <c r="A7112" s="0" t="s">
        <v>946</v>
      </c>
      <c r="B7112" s="0" t="n">
        <v>3</v>
      </c>
      <c r="C7112" s="0" t="n">
        <v>1.75</v>
      </c>
      <c r="D7112" s="0" t="n">
        <v>1.181</v>
      </c>
    </row>
    <row r="7113" customFormat="false" ht="13.8" hidden="true" customHeight="false" outlineLevel="0" collapsed="false">
      <c r="A7113" s="0" t="s">
        <v>946</v>
      </c>
      <c r="B7113" s="0" t="n">
        <v>3</v>
      </c>
      <c r="C7113" s="0" t="n">
        <v>1.8</v>
      </c>
      <c r="D7113" s="0" t="n">
        <v>1.215</v>
      </c>
    </row>
    <row r="7114" customFormat="false" ht="13.8" hidden="true" customHeight="false" outlineLevel="0" collapsed="false">
      <c r="A7114" s="0" t="s">
        <v>946</v>
      </c>
      <c r="B7114" s="0" t="n">
        <v>3</v>
      </c>
      <c r="C7114" s="0" t="n">
        <v>1.85</v>
      </c>
      <c r="D7114" s="0" t="n">
        <v>1.249</v>
      </c>
    </row>
    <row r="7115" customFormat="false" ht="13.8" hidden="true" customHeight="false" outlineLevel="0" collapsed="false">
      <c r="A7115" s="0" t="s">
        <v>946</v>
      </c>
      <c r="B7115" s="0" t="n">
        <v>3</v>
      </c>
      <c r="C7115" s="0" t="n">
        <v>1.9</v>
      </c>
      <c r="D7115" s="0" t="n">
        <v>1.283</v>
      </c>
    </row>
    <row r="7116" customFormat="false" ht="13.8" hidden="true" customHeight="false" outlineLevel="0" collapsed="false">
      <c r="A7116" s="0" t="s">
        <v>946</v>
      </c>
      <c r="B7116" s="0" t="n">
        <v>3</v>
      </c>
      <c r="C7116" s="0" t="n">
        <v>1.95</v>
      </c>
      <c r="D7116" s="0" t="n">
        <v>1.316</v>
      </c>
    </row>
    <row r="7117" customFormat="false" ht="13.8" hidden="true" customHeight="false" outlineLevel="0" collapsed="false">
      <c r="A7117" s="0" t="s">
        <v>946</v>
      </c>
      <c r="B7117" s="0" t="n">
        <v>3</v>
      </c>
      <c r="C7117" s="0" t="n">
        <v>2</v>
      </c>
      <c r="D7117" s="0" t="n">
        <v>1.35</v>
      </c>
    </row>
    <row r="7118" customFormat="false" ht="13.8" hidden="true" customHeight="false" outlineLevel="0" collapsed="false">
      <c r="A7118" s="0" t="s">
        <v>946</v>
      </c>
      <c r="B7118" s="0" t="n">
        <v>3</v>
      </c>
      <c r="C7118" s="0" t="n">
        <v>2.05</v>
      </c>
      <c r="D7118" s="0" t="n">
        <v>1.384</v>
      </c>
    </row>
    <row r="7119" customFormat="false" ht="13.8" hidden="true" customHeight="false" outlineLevel="0" collapsed="false">
      <c r="A7119" s="0" t="s">
        <v>946</v>
      </c>
      <c r="B7119" s="0" t="n">
        <v>3</v>
      </c>
      <c r="C7119" s="0" t="n">
        <v>2.1</v>
      </c>
      <c r="D7119" s="0" t="n">
        <v>1.418</v>
      </c>
    </row>
    <row r="7120" customFormat="false" ht="13.8" hidden="true" customHeight="false" outlineLevel="0" collapsed="false">
      <c r="A7120" s="0" t="s">
        <v>946</v>
      </c>
      <c r="B7120" s="0" t="n">
        <v>3</v>
      </c>
      <c r="C7120" s="0" t="n">
        <v>2.15</v>
      </c>
      <c r="D7120" s="0" t="n">
        <v>1.45125</v>
      </c>
    </row>
    <row r="7121" customFormat="false" ht="13.8" hidden="true" customHeight="false" outlineLevel="0" collapsed="false">
      <c r="A7121" s="0" t="s">
        <v>946</v>
      </c>
      <c r="B7121" s="0" t="n">
        <v>3</v>
      </c>
      <c r="C7121" s="0" t="n">
        <v>2.2</v>
      </c>
      <c r="D7121" s="0" t="n">
        <v>0</v>
      </c>
    </row>
    <row r="7122" customFormat="false" ht="13.8" hidden="true" customHeight="false" outlineLevel="0" collapsed="false">
      <c r="A7122" s="0" t="s">
        <v>946</v>
      </c>
      <c r="B7122" s="0" t="n">
        <v>3</v>
      </c>
      <c r="C7122" s="0" t="n">
        <v>2.25</v>
      </c>
      <c r="D7122" s="0" t="n">
        <v>0</v>
      </c>
    </row>
    <row r="7123" customFormat="false" ht="13.8" hidden="true" customHeight="false" outlineLevel="0" collapsed="false">
      <c r="A7123" s="0" t="s">
        <v>946</v>
      </c>
      <c r="B7123" s="0" t="n">
        <v>3</v>
      </c>
      <c r="C7123" s="0" t="n">
        <v>2.3</v>
      </c>
      <c r="D7123" s="0" t="n">
        <v>0</v>
      </c>
    </row>
    <row r="7124" customFormat="false" ht="13.8" hidden="true" customHeight="false" outlineLevel="0" collapsed="false">
      <c r="A7124" s="0" t="s">
        <v>946</v>
      </c>
      <c r="B7124" s="0" t="n">
        <v>3</v>
      </c>
      <c r="C7124" s="0" t="n">
        <v>2.35</v>
      </c>
      <c r="D7124" s="0" t="n">
        <v>0</v>
      </c>
    </row>
    <row r="7125" customFormat="false" ht="13.8" hidden="true" customHeight="false" outlineLevel="0" collapsed="false">
      <c r="A7125" s="0" t="s">
        <v>946</v>
      </c>
      <c r="B7125" s="0" t="n">
        <v>3</v>
      </c>
      <c r="C7125" s="0" t="n">
        <v>2.4</v>
      </c>
      <c r="D7125" s="0" t="n">
        <v>0</v>
      </c>
    </row>
    <row r="7126" customFormat="false" ht="13.8" hidden="true" customHeight="false" outlineLevel="0" collapsed="false">
      <c r="A7126" s="0" t="s">
        <v>946</v>
      </c>
      <c r="B7126" s="0" t="n">
        <v>3</v>
      </c>
      <c r="C7126" s="0" t="n">
        <v>2.45</v>
      </c>
      <c r="D7126" s="0" t="n">
        <v>0</v>
      </c>
    </row>
    <row r="7127" customFormat="false" ht="13.8" hidden="true" customHeight="false" outlineLevel="0" collapsed="false">
      <c r="A7127" s="0" t="s">
        <v>946</v>
      </c>
      <c r="B7127" s="0" t="n">
        <v>3</v>
      </c>
      <c r="C7127" s="0" t="n">
        <v>2.5</v>
      </c>
      <c r="D7127" s="0" t="n">
        <v>0</v>
      </c>
    </row>
    <row r="7128" customFormat="false" ht="13.8" hidden="true" customHeight="false" outlineLevel="0" collapsed="false">
      <c r="A7128" s="0" t="s">
        <v>946</v>
      </c>
      <c r="B7128" s="0" t="n">
        <v>3</v>
      </c>
      <c r="C7128" s="0" t="n">
        <v>2.55</v>
      </c>
      <c r="D7128" s="0" t="n">
        <v>0</v>
      </c>
    </row>
    <row r="7129" customFormat="false" ht="13.8" hidden="true" customHeight="false" outlineLevel="0" collapsed="false">
      <c r="A7129" s="0" t="s">
        <v>946</v>
      </c>
      <c r="B7129" s="0" t="n">
        <v>3</v>
      </c>
      <c r="C7129" s="0" t="n">
        <v>2.6</v>
      </c>
      <c r="D7129" s="0" t="n">
        <v>0</v>
      </c>
    </row>
    <row r="7130" customFormat="false" ht="13.8" hidden="true" customHeight="false" outlineLevel="0" collapsed="false">
      <c r="A7130" s="0" t="s">
        <v>949</v>
      </c>
      <c r="B7130" s="0" t="n">
        <v>3</v>
      </c>
      <c r="C7130" s="0" t="n">
        <v>1.3</v>
      </c>
      <c r="D7130" s="0" t="n">
        <v>0</v>
      </c>
    </row>
    <row r="7131" customFormat="false" ht="13.8" hidden="true" customHeight="false" outlineLevel="0" collapsed="false">
      <c r="A7131" s="0" t="s">
        <v>949</v>
      </c>
      <c r="B7131" s="0" t="n">
        <v>3</v>
      </c>
      <c r="C7131" s="0" t="n">
        <v>1.35</v>
      </c>
      <c r="D7131" s="0" t="n">
        <v>0</v>
      </c>
    </row>
    <row r="7132" customFormat="false" ht="13.8" hidden="true" customHeight="false" outlineLevel="0" collapsed="false">
      <c r="A7132" s="0" t="s">
        <v>949</v>
      </c>
      <c r="B7132" s="0" t="n">
        <v>3</v>
      </c>
      <c r="C7132" s="0" t="n">
        <v>1.4</v>
      </c>
      <c r="D7132" s="0" t="n">
        <v>0.945</v>
      </c>
    </row>
    <row r="7133" customFormat="false" ht="13.8" hidden="true" customHeight="false" outlineLevel="0" collapsed="false">
      <c r="A7133" s="0" t="s">
        <v>949</v>
      </c>
      <c r="B7133" s="0" t="n">
        <v>3</v>
      </c>
      <c r="C7133" s="0" t="n">
        <v>1.45</v>
      </c>
      <c r="D7133" s="0" t="n">
        <v>0.979</v>
      </c>
    </row>
    <row r="7134" customFormat="false" ht="13.8" hidden="true" customHeight="false" outlineLevel="0" collapsed="false">
      <c r="A7134" s="0" t="s">
        <v>949</v>
      </c>
      <c r="B7134" s="0" t="n">
        <v>3</v>
      </c>
      <c r="C7134" s="0" t="n">
        <v>1.5</v>
      </c>
      <c r="D7134" s="0" t="n">
        <v>1.013</v>
      </c>
    </row>
    <row r="7135" customFormat="false" ht="13.8" hidden="true" customHeight="false" outlineLevel="0" collapsed="false">
      <c r="A7135" s="0" t="s">
        <v>949</v>
      </c>
      <c r="B7135" s="0" t="n">
        <v>3</v>
      </c>
      <c r="C7135" s="0" t="n">
        <v>1.55</v>
      </c>
      <c r="D7135" s="0" t="n">
        <v>1.046</v>
      </c>
    </row>
    <row r="7136" customFormat="false" ht="13.8" hidden="true" customHeight="false" outlineLevel="0" collapsed="false">
      <c r="A7136" s="0" t="s">
        <v>949</v>
      </c>
      <c r="B7136" s="0" t="n">
        <v>3</v>
      </c>
      <c r="C7136" s="0" t="n">
        <v>1.6</v>
      </c>
      <c r="D7136" s="0" t="n">
        <v>1.08</v>
      </c>
    </row>
    <row r="7137" customFormat="false" ht="13.8" hidden="true" customHeight="false" outlineLevel="0" collapsed="false">
      <c r="A7137" s="0" t="s">
        <v>949</v>
      </c>
      <c r="B7137" s="0" t="n">
        <v>3</v>
      </c>
      <c r="C7137" s="0" t="n">
        <v>1.65</v>
      </c>
      <c r="D7137" s="0" t="n">
        <v>1.114</v>
      </c>
    </row>
    <row r="7138" customFormat="false" ht="13.8" hidden="true" customHeight="false" outlineLevel="0" collapsed="false">
      <c r="A7138" s="0" t="s">
        <v>949</v>
      </c>
      <c r="B7138" s="0" t="n">
        <v>3</v>
      </c>
      <c r="C7138" s="0" t="n">
        <v>1.7</v>
      </c>
      <c r="D7138" s="0" t="n">
        <v>1.148</v>
      </c>
    </row>
    <row r="7139" customFormat="false" ht="13.8" hidden="true" customHeight="false" outlineLevel="0" collapsed="false">
      <c r="A7139" s="0" t="s">
        <v>949</v>
      </c>
      <c r="B7139" s="0" t="n">
        <v>3</v>
      </c>
      <c r="C7139" s="0" t="n">
        <v>1.75</v>
      </c>
      <c r="D7139" s="0" t="n">
        <v>1.181</v>
      </c>
    </row>
    <row r="7140" customFormat="false" ht="13.8" hidden="true" customHeight="false" outlineLevel="0" collapsed="false">
      <c r="A7140" s="0" t="s">
        <v>949</v>
      </c>
      <c r="B7140" s="0" t="n">
        <v>3</v>
      </c>
      <c r="C7140" s="0" t="n">
        <v>1.8</v>
      </c>
      <c r="D7140" s="0" t="n">
        <v>1.215</v>
      </c>
    </row>
    <row r="7141" customFormat="false" ht="13.8" hidden="true" customHeight="false" outlineLevel="0" collapsed="false">
      <c r="A7141" s="0" t="s">
        <v>949</v>
      </c>
      <c r="B7141" s="0" t="n">
        <v>3</v>
      </c>
      <c r="C7141" s="0" t="n">
        <v>1.85</v>
      </c>
      <c r="D7141" s="0" t="n">
        <v>1.249</v>
      </c>
    </row>
    <row r="7142" customFormat="false" ht="13.8" hidden="true" customHeight="false" outlineLevel="0" collapsed="false">
      <c r="A7142" s="0" t="s">
        <v>949</v>
      </c>
      <c r="B7142" s="0" t="n">
        <v>3</v>
      </c>
      <c r="C7142" s="0" t="n">
        <v>1.9</v>
      </c>
      <c r="D7142" s="0" t="n">
        <v>1.283</v>
      </c>
    </row>
    <row r="7143" customFormat="false" ht="13.8" hidden="true" customHeight="false" outlineLevel="0" collapsed="false">
      <c r="A7143" s="0" t="s">
        <v>949</v>
      </c>
      <c r="B7143" s="0" t="n">
        <v>3</v>
      </c>
      <c r="C7143" s="0" t="n">
        <v>1.95</v>
      </c>
      <c r="D7143" s="0" t="n">
        <v>1.316</v>
      </c>
    </row>
    <row r="7144" customFormat="false" ht="13.8" hidden="true" customHeight="false" outlineLevel="0" collapsed="false">
      <c r="A7144" s="0" t="s">
        <v>949</v>
      </c>
      <c r="B7144" s="0" t="n">
        <v>3</v>
      </c>
      <c r="C7144" s="0" t="n">
        <v>2</v>
      </c>
      <c r="D7144" s="0" t="n">
        <v>1.35</v>
      </c>
    </row>
    <row r="7145" customFormat="false" ht="13.8" hidden="true" customHeight="false" outlineLevel="0" collapsed="false">
      <c r="A7145" s="0" t="s">
        <v>949</v>
      </c>
      <c r="B7145" s="0" t="n">
        <v>3</v>
      </c>
      <c r="C7145" s="0" t="n">
        <v>2.05</v>
      </c>
      <c r="D7145" s="0" t="n">
        <v>1.384</v>
      </c>
    </row>
    <row r="7146" customFormat="false" ht="13.8" hidden="true" customHeight="false" outlineLevel="0" collapsed="false">
      <c r="A7146" s="0" t="s">
        <v>949</v>
      </c>
      <c r="B7146" s="0" t="n">
        <v>3</v>
      </c>
      <c r="C7146" s="0" t="n">
        <v>2.1</v>
      </c>
      <c r="D7146" s="0" t="n">
        <v>1.418</v>
      </c>
    </row>
    <row r="7147" customFormat="false" ht="13.8" hidden="true" customHeight="false" outlineLevel="0" collapsed="false">
      <c r="A7147" s="0" t="s">
        <v>949</v>
      </c>
      <c r="B7147" s="0" t="n">
        <v>3</v>
      </c>
      <c r="C7147" s="0" t="n">
        <v>2.15</v>
      </c>
      <c r="D7147" s="0" t="n">
        <v>1.45125</v>
      </c>
    </row>
    <row r="7148" customFormat="false" ht="13.8" hidden="true" customHeight="false" outlineLevel="0" collapsed="false">
      <c r="A7148" s="0" t="s">
        <v>949</v>
      </c>
      <c r="B7148" s="0" t="n">
        <v>3</v>
      </c>
      <c r="C7148" s="0" t="n">
        <v>2.2</v>
      </c>
      <c r="D7148" s="0" t="n">
        <v>0</v>
      </c>
    </row>
    <row r="7149" customFormat="false" ht="13.8" hidden="true" customHeight="false" outlineLevel="0" collapsed="false">
      <c r="A7149" s="0" t="s">
        <v>949</v>
      </c>
      <c r="B7149" s="0" t="n">
        <v>3</v>
      </c>
      <c r="C7149" s="0" t="n">
        <v>2.25</v>
      </c>
      <c r="D7149" s="0" t="n">
        <v>0</v>
      </c>
    </row>
    <row r="7150" customFormat="false" ht="13.8" hidden="true" customHeight="false" outlineLevel="0" collapsed="false">
      <c r="A7150" s="0" t="s">
        <v>949</v>
      </c>
      <c r="B7150" s="0" t="n">
        <v>3</v>
      </c>
      <c r="C7150" s="0" t="n">
        <v>2.3</v>
      </c>
      <c r="D7150" s="0" t="n">
        <v>0</v>
      </c>
    </row>
    <row r="7151" customFormat="false" ht="13.8" hidden="true" customHeight="false" outlineLevel="0" collapsed="false">
      <c r="A7151" s="0" t="s">
        <v>949</v>
      </c>
      <c r="B7151" s="0" t="n">
        <v>3</v>
      </c>
      <c r="C7151" s="0" t="n">
        <v>2.35</v>
      </c>
      <c r="D7151" s="0" t="n">
        <v>0</v>
      </c>
    </row>
    <row r="7152" customFormat="false" ht="13.8" hidden="true" customHeight="false" outlineLevel="0" collapsed="false">
      <c r="A7152" s="0" t="s">
        <v>949</v>
      </c>
      <c r="B7152" s="0" t="n">
        <v>3</v>
      </c>
      <c r="C7152" s="0" t="n">
        <v>2.4</v>
      </c>
      <c r="D7152" s="0" t="n">
        <v>0</v>
      </c>
    </row>
    <row r="7153" customFormat="false" ht="13.8" hidden="true" customHeight="false" outlineLevel="0" collapsed="false">
      <c r="A7153" s="0" t="s">
        <v>949</v>
      </c>
      <c r="B7153" s="0" t="n">
        <v>3</v>
      </c>
      <c r="C7153" s="0" t="n">
        <v>2.45</v>
      </c>
      <c r="D7153" s="0" t="n">
        <v>0</v>
      </c>
    </row>
    <row r="7154" customFormat="false" ht="13.8" hidden="true" customHeight="false" outlineLevel="0" collapsed="false">
      <c r="A7154" s="0" t="s">
        <v>949</v>
      </c>
      <c r="B7154" s="0" t="n">
        <v>3</v>
      </c>
      <c r="C7154" s="0" t="n">
        <v>2.5</v>
      </c>
      <c r="D7154" s="0" t="n">
        <v>0</v>
      </c>
    </row>
    <row r="7155" customFormat="false" ht="13.8" hidden="true" customHeight="false" outlineLevel="0" collapsed="false">
      <c r="A7155" s="0" t="s">
        <v>949</v>
      </c>
      <c r="B7155" s="0" t="n">
        <v>3</v>
      </c>
      <c r="C7155" s="0" t="n">
        <v>2.55</v>
      </c>
      <c r="D7155" s="0" t="n">
        <v>0</v>
      </c>
    </row>
    <row r="7156" customFormat="false" ht="13.8" hidden="true" customHeight="false" outlineLevel="0" collapsed="false">
      <c r="A7156" s="0" t="s">
        <v>949</v>
      </c>
      <c r="B7156" s="0" t="n">
        <v>3</v>
      </c>
      <c r="C7156" s="0" t="n">
        <v>2.6</v>
      </c>
      <c r="D7156" s="0" t="n">
        <v>0</v>
      </c>
    </row>
    <row r="7157" customFormat="false" ht="13.8" hidden="true" customHeight="false" outlineLevel="0" collapsed="false">
      <c r="A7157" s="0" t="s">
        <v>140</v>
      </c>
      <c r="B7157" s="0" t="n">
        <v>26</v>
      </c>
      <c r="C7157" s="0" t="n">
        <v>1.3</v>
      </c>
      <c r="D7157" s="0" t="n">
        <v>0</v>
      </c>
    </row>
    <row r="7158" customFormat="false" ht="13.8" hidden="true" customHeight="false" outlineLevel="0" collapsed="false">
      <c r="A7158" s="0" t="s">
        <v>140</v>
      </c>
      <c r="B7158" s="0" t="n">
        <v>26</v>
      </c>
      <c r="C7158" s="0" t="n">
        <v>1.35</v>
      </c>
      <c r="D7158" s="0" t="n">
        <v>0</v>
      </c>
    </row>
    <row r="7159" customFormat="false" ht="13.8" hidden="true" customHeight="false" outlineLevel="0" collapsed="false">
      <c r="A7159" s="0" t="s">
        <v>140</v>
      </c>
      <c r="B7159" s="0" t="n">
        <v>26</v>
      </c>
      <c r="C7159" s="0" t="n">
        <v>1.4</v>
      </c>
      <c r="D7159" s="0" t="n">
        <v>0</v>
      </c>
    </row>
    <row r="7160" customFormat="false" ht="13.8" hidden="true" customHeight="false" outlineLevel="0" collapsed="false">
      <c r="A7160" s="0" t="s">
        <v>140</v>
      </c>
      <c r="B7160" s="0" t="n">
        <v>26</v>
      </c>
      <c r="C7160" s="0" t="n">
        <v>1.45</v>
      </c>
      <c r="D7160" s="0" t="n">
        <v>0</v>
      </c>
    </row>
    <row r="7161" customFormat="false" ht="13.8" hidden="true" customHeight="false" outlineLevel="0" collapsed="false">
      <c r="A7161" s="0" t="s">
        <v>140</v>
      </c>
      <c r="B7161" s="0" t="n">
        <v>26</v>
      </c>
      <c r="C7161" s="0" t="n">
        <v>1.5</v>
      </c>
      <c r="D7161" s="0" t="n">
        <v>0</v>
      </c>
    </row>
    <row r="7162" customFormat="false" ht="13.8" hidden="true" customHeight="false" outlineLevel="0" collapsed="false">
      <c r="A7162" s="0" t="s">
        <v>140</v>
      </c>
      <c r="B7162" s="0" t="n">
        <v>26</v>
      </c>
      <c r="C7162" s="0" t="n">
        <v>1.55</v>
      </c>
      <c r="D7162" s="0" t="n">
        <v>0</v>
      </c>
    </row>
    <row r="7163" customFormat="false" ht="13.8" hidden="true" customHeight="false" outlineLevel="0" collapsed="false">
      <c r="A7163" s="0" t="s">
        <v>140</v>
      </c>
      <c r="B7163" s="0" t="n">
        <v>26</v>
      </c>
      <c r="C7163" s="0" t="n">
        <v>1.6</v>
      </c>
      <c r="D7163" s="0" t="n">
        <v>0.178</v>
      </c>
    </row>
    <row r="7164" customFormat="false" ht="13.8" hidden="true" customHeight="false" outlineLevel="0" collapsed="false">
      <c r="A7164" s="0" t="s">
        <v>140</v>
      </c>
      <c r="B7164" s="0" t="n">
        <v>26</v>
      </c>
      <c r="C7164" s="0" t="n">
        <v>1.65</v>
      </c>
      <c r="D7164" s="0" t="n">
        <v>0.183</v>
      </c>
    </row>
    <row r="7165" customFormat="false" ht="13.8" hidden="true" customHeight="false" outlineLevel="0" collapsed="false">
      <c r="A7165" s="0" t="s">
        <v>140</v>
      </c>
      <c r="B7165" s="0" t="n">
        <v>26</v>
      </c>
      <c r="C7165" s="0" t="n">
        <v>1.7</v>
      </c>
      <c r="D7165" s="0" t="n">
        <v>0.189</v>
      </c>
    </row>
    <row r="7166" customFormat="false" ht="13.8" hidden="true" customHeight="false" outlineLevel="0" collapsed="false">
      <c r="A7166" s="0" t="s">
        <v>140</v>
      </c>
      <c r="B7166" s="0" t="n">
        <v>26</v>
      </c>
      <c r="C7166" s="0" t="n">
        <v>1.75</v>
      </c>
      <c r="D7166" s="0" t="n">
        <v>0.194</v>
      </c>
    </row>
    <row r="7167" customFormat="false" ht="13.8" hidden="true" customHeight="false" outlineLevel="0" collapsed="false">
      <c r="A7167" s="0" t="s">
        <v>140</v>
      </c>
      <c r="B7167" s="0" t="n">
        <v>26</v>
      </c>
      <c r="C7167" s="0" t="n">
        <v>1.8</v>
      </c>
      <c r="D7167" s="0" t="n">
        <v>0.2</v>
      </c>
    </row>
    <row r="7168" customFormat="false" ht="13.8" hidden="true" customHeight="false" outlineLevel="0" collapsed="false">
      <c r="A7168" s="0" t="s">
        <v>140</v>
      </c>
      <c r="B7168" s="0" t="n">
        <v>26</v>
      </c>
      <c r="C7168" s="0" t="n">
        <v>1.85</v>
      </c>
      <c r="D7168" s="0" t="n">
        <v>0.206</v>
      </c>
    </row>
    <row r="7169" customFormat="false" ht="13.8" hidden="true" customHeight="false" outlineLevel="0" collapsed="false">
      <c r="A7169" s="0" t="s">
        <v>140</v>
      </c>
      <c r="B7169" s="0" t="n">
        <v>26</v>
      </c>
      <c r="C7169" s="0" t="n">
        <v>1.9</v>
      </c>
      <c r="D7169" s="0" t="n">
        <v>0.211</v>
      </c>
    </row>
    <row r="7170" customFormat="false" ht="13.8" hidden="true" customHeight="false" outlineLevel="0" collapsed="false">
      <c r="A7170" s="0" t="s">
        <v>140</v>
      </c>
      <c r="B7170" s="0" t="n">
        <v>26</v>
      </c>
      <c r="C7170" s="0" t="n">
        <v>1.95</v>
      </c>
      <c r="D7170" s="0" t="n">
        <v>0.217</v>
      </c>
    </row>
    <row r="7171" customFormat="false" ht="13.8" hidden="true" customHeight="false" outlineLevel="0" collapsed="false">
      <c r="A7171" s="0" t="s">
        <v>140</v>
      </c>
      <c r="B7171" s="0" t="n">
        <v>26</v>
      </c>
      <c r="C7171" s="0" t="n">
        <v>2</v>
      </c>
      <c r="D7171" s="0" t="n">
        <v>0</v>
      </c>
    </row>
    <row r="7172" customFormat="false" ht="13.8" hidden="true" customHeight="false" outlineLevel="0" collapsed="false">
      <c r="A7172" s="0" t="s">
        <v>140</v>
      </c>
      <c r="B7172" s="0" t="n">
        <v>26</v>
      </c>
      <c r="C7172" s="0" t="n">
        <v>2.05</v>
      </c>
      <c r="D7172" s="0" t="n">
        <v>0</v>
      </c>
    </row>
    <row r="7173" customFormat="false" ht="13.8" hidden="true" customHeight="false" outlineLevel="0" collapsed="false">
      <c r="A7173" s="0" t="s">
        <v>140</v>
      </c>
      <c r="B7173" s="0" t="n">
        <v>26</v>
      </c>
      <c r="C7173" s="0" t="n">
        <v>2.1</v>
      </c>
      <c r="D7173" s="0" t="n">
        <v>0</v>
      </c>
    </row>
    <row r="7174" customFormat="false" ht="13.8" hidden="true" customHeight="false" outlineLevel="0" collapsed="false">
      <c r="A7174" s="0" t="s">
        <v>140</v>
      </c>
      <c r="B7174" s="0" t="n">
        <v>26</v>
      </c>
      <c r="C7174" s="0" t="n">
        <v>2.15</v>
      </c>
      <c r="D7174" s="0" t="n">
        <v>0</v>
      </c>
    </row>
    <row r="7175" customFormat="false" ht="13.8" hidden="true" customHeight="false" outlineLevel="0" collapsed="false">
      <c r="A7175" s="0" t="s">
        <v>140</v>
      </c>
      <c r="B7175" s="0" t="n">
        <v>26</v>
      </c>
      <c r="C7175" s="0" t="n">
        <v>2.2</v>
      </c>
      <c r="D7175" s="0" t="n">
        <v>0</v>
      </c>
    </row>
    <row r="7176" customFormat="false" ht="13.8" hidden="true" customHeight="false" outlineLevel="0" collapsed="false">
      <c r="A7176" s="0" t="s">
        <v>140</v>
      </c>
      <c r="B7176" s="0" t="n">
        <v>26</v>
      </c>
      <c r="C7176" s="0" t="n">
        <v>2.25</v>
      </c>
      <c r="D7176" s="0" t="n">
        <v>0</v>
      </c>
    </row>
    <row r="7177" customFormat="false" ht="13.8" hidden="true" customHeight="false" outlineLevel="0" collapsed="false">
      <c r="A7177" s="0" t="s">
        <v>140</v>
      </c>
      <c r="B7177" s="0" t="n">
        <v>26</v>
      </c>
      <c r="C7177" s="0" t="n">
        <v>2.3</v>
      </c>
      <c r="D7177" s="0" t="n">
        <v>0</v>
      </c>
    </row>
    <row r="7178" customFormat="false" ht="13.8" hidden="true" customHeight="false" outlineLevel="0" collapsed="false">
      <c r="A7178" s="0" t="s">
        <v>140</v>
      </c>
      <c r="B7178" s="0" t="n">
        <v>26</v>
      </c>
      <c r="C7178" s="0" t="n">
        <v>2.35</v>
      </c>
      <c r="D7178" s="0" t="n">
        <v>0</v>
      </c>
    </row>
    <row r="7179" customFormat="false" ht="13.8" hidden="true" customHeight="false" outlineLevel="0" collapsed="false">
      <c r="A7179" s="0" t="s">
        <v>140</v>
      </c>
      <c r="B7179" s="0" t="n">
        <v>26</v>
      </c>
      <c r="C7179" s="0" t="n">
        <v>2.4</v>
      </c>
      <c r="D7179" s="0" t="n">
        <v>0</v>
      </c>
    </row>
    <row r="7180" customFormat="false" ht="13.8" hidden="true" customHeight="false" outlineLevel="0" collapsed="false">
      <c r="A7180" s="0" t="s">
        <v>140</v>
      </c>
      <c r="B7180" s="0" t="n">
        <v>26</v>
      </c>
      <c r="C7180" s="0" t="n">
        <v>2.45</v>
      </c>
      <c r="D7180" s="0" t="n">
        <v>0</v>
      </c>
    </row>
    <row r="7181" customFormat="false" ht="13.8" hidden="true" customHeight="false" outlineLevel="0" collapsed="false">
      <c r="A7181" s="0" t="s">
        <v>140</v>
      </c>
      <c r="B7181" s="0" t="n">
        <v>26</v>
      </c>
      <c r="C7181" s="0" t="n">
        <v>2.5</v>
      </c>
      <c r="D7181" s="0" t="n">
        <v>0</v>
      </c>
    </row>
    <row r="7182" customFormat="false" ht="13.8" hidden="true" customHeight="false" outlineLevel="0" collapsed="false">
      <c r="A7182" s="0" t="s">
        <v>140</v>
      </c>
      <c r="B7182" s="0" t="n">
        <v>26</v>
      </c>
      <c r="C7182" s="0" t="n">
        <v>2.55</v>
      </c>
      <c r="D7182" s="0" t="n">
        <v>0</v>
      </c>
    </row>
    <row r="7183" customFormat="false" ht="13.8" hidden="true" customHeight="false" outlineLevel="0" collapsed="false">
      <c r="A7183" s="0" t="s">
        <v>140</v>
      </c>
      <c r="B7183" s="0" t="n">
        <v>26</v>
      </c>
      <c r="C7183" s="0" t="n">
        <v>2.6</v>
      </c>
      <c r="D7183" s="0" t="n">
        <v>0</v>
      </c>
    </row>
    <row r="7184" customFormat="false" ht="13.8" hidden="true" customHeight="false" outlineLevel="0" collapsed="false">
      <c r="A7184" s="0" t="s">
        <v>140</v>
      </c>
      <c r="B7184" s="0" t="n">
        <v>30</v>
      </c>
      <c r="C7184" s="0" t="n">
        <v>1.3</v>
      </c>
      <c r="D7184" s="0" t="n">
        <v>0</v>
      </c>
    </row>
    <row r="7185" customFormat="false" ht="13.8" hidden="true" customHeight="false" outlineLevel="0" collapsed="false">
      <c r="A7185" s="0" t="s">
        <v>140</v>
      </c>
      <c r="B7185" s="0" t="n">
        <v>30</v>
      </c>
      <c r="C7185" s="0" t="n">
        <v>1.35</v>
      </c>
      <c r="D7185" s="0" t="n">
        <v>0</v>
      </c>
    </row>
    <row r="7186" customFormat="false" ht="13.8" hidden="true" customHeight="false" outlineLevel="0" collapsed="false">
      <c r="A7186" s="0" t="s">
        <v>140</v>
      </c>
      <c r="B7186" s="0" t="n">
        <v>30</v>
      </c>
      <c r="C7186" s="0" t="n">
        <v>1.4</v>
      </c>
      <c r="D7186" s="0" t="n">
        <v>0</v>
      </c>
    </row>
    <row r="7187" customFormat="false" ht="13.8" hidden="true" customHeight="false" outlineLevel="0" collapsed="false">
      <c r="A7187" s="0" t="s">
        <v>140</v>
      </c>
      <c r="B7187" s="0" t="n">
        <v>30</v>
      </c>
      <c r="C7187" s="0" t="n">
        <v>1.45</v>
      </c>
      <c r="D7187" s="0" t="n">
        <v>0</v>
      </c>
    </row>
    <row r="7188" customFormat="false" ht="13.8" hidden="true" customHeight="false" outlineLevel="0" collapsed="false">
      <c r="A7188" s="0" t="s">
        <v>140</v>
      </c>
      <c r="B7188" s="0" t="n">
        <v>30</v>
      </c>
      <c r="C7188" s="0" t="n">
        <v>1.5</v>
      </c>
      <c r="D7188" s="0" t="n">
        <v>0</v>
      </c>
    </row>
    <row r="7189" customFormat="false" ht="13.8" hidden="true" customHeight="false" outlineLevel="0" collapsed="false">
      <c r="A7189" s="0" t="s">
        <v>140</v>
      </c>
      <c r="B7189" s="0" t="n">
        <v>30</v>
      </c>
      <c r="C7189" s="0" t="n">
        <v>1.55</v>
      </c>
      <c r="D7189" s="0" t="n">
        <v>0</v>
      </c>
    </row>
    <row r="7190" customFormat="false" ht="13.8" hidden="true" customHeight="false" outlineLevel="0" collapsed="false">
      <c r="A7190" s="0" t="s">
        <v>140</v>
      </c>
      <c r="B7190" s="0" t="n">
        <v>30</v>
      </c>
      <c r="C7190" s="0" t="n">
        <v>1.6</v>
      </c>
      <c r="D7190" s="0" t="n">
        <v>0.178</v>
      </c>
    </row>
    <row r="7191" customFormat="false" ht="13.8" hidden="true" customHeight="false" outlineLevel="0" collapsed="false">
      <c r="A7191" s="0" t="s">
        <v>140</v>
      </c>
      <c r="B7191" s="0" t="n">
        <v>30</v>
      </c>
      <c r="C7191" s="0" t="n">
        <v>1.65</v>
      </c>
      <c r="D7191" s="0" t="n">
        <v>0.183</v>
      </c>
    </row>
    <row r="7192" customFormat="false" ht="13.8" hidden="true" customHeight="false" outlineLevel="0" collapsed="false">
      <c r="A7192" s="0" t="s">
        <v>140</v>
      </c>
      <c r="B7192" s="0" t="n">
        <v>30</v>
      </c>
      <c r="C7192" s="0" t="n">
        <v>1.7</v>
      </c>
      <c r="D7192" s="0" t="n">
        <v>0.189</v>
      </c>
    </row>
    <row r="7193" customFormat="false" ht="13.8" hidden="true" customHeight="false" outlineLevel="0" collapsed="false">
      <c r="A7193" s="0" t="s">
        <v>140</v>
      </c>
      <c r="B7193" s="0" t="n">
        <v>30</v>
      </c>
      <c r="C7193" s="0" t="n">
        <v>1.75</v>
      </c>
      <c r="D7193" s="0" t="n">
        <v>0.194</v>
      </c>
    </row>
    <row r="7194" customFormat="false" ht="13.8" hidden="true" customHeight="false" outlineLevel="0" collapsed="false">
      <c r="A7194" s="0" t="s">
        <v>140</v>
      </c>
      <c r="B7194" s="0" t="n">
        <v>30</v>
      </c>
      <c r="C7194" s="0" t="n">
        <v>1.8</v>
      </c>
      <c r="D7194" s="0" t="n">
        <v>0.2</v>
      </c>
    </row>
    <row r="7195" customFormat="false" ht="13.8" hidden="true" customHeight="false" outlineLevel="0" collapsed="false">
      <c r="A7195" s="0" t="s">
        <v>140</v>
      </c>
      <c r="B7195" s="0" t="n">
        <v>30</v>
      </c>
      <c r="C7195" s="0" t="n">
        <v>1.85</v>
      </c>
      <c r="D7195" s="0" t="n">
        <v>0.206</v>
      </c>
    </row>
    <row r="7196" customFormat="false" ht="13.8" hidden="true" customHeight="false" outlineLevel="0" collapsed="false">
      <c r="A7196" s="0" t="s">
        <v>140</v>
      </c>
      <c r="B7196" s="0" t="n">
        <v>30</v>
      </c>
      <c r="C7196" s="0" t="n">
        <v>1.9</v>
      </c>
      <c r="D7196" s="0" t="n">
        <v>0.211</v>
      </c>
    </row>
    <row r="7197" customFormat="false" ht="13.8" hidden="true" customHeight="false" outlineLevel="0" collapsed="false">
      <c r="A7197" s="0" t="s">
        <v>140</v>
      </c>
      <c r="B7197" s="0" t="n">
        <v>30</v>
      </c>
      <c r="C7197" s="0" t="n">
        <v>1.95</v>
      </c>
      <c r="D7197" s="0" t="n">
        <v>0.217</v>
      </c>
    </row>
    <row r="7198" customFormat="false" ht="13.8" hidden="true" customHeight="false" outlineLevel="0" collapsed="false">
      <c r="A7198" s="0" t="s">
        <v>140</v>
      </c>
      <c r="B7198" s="0" t="n">
        <v>30</v>
      </c>
      <c r="C7198" s="0" t="n">
        <v>2</v>
      </c>
      <c r="D7198" s="0" t="n">
        <v>0</v>
      </c>
    </row>
    <row r="7199" customFormat="false" ht="13.8" hidden="true" customHeight="false" outlineLevel="0" collapsed="false">
      <c r="A7199" s="0" t="s">
        <v>140</v>
      </c>
      <c r="B7199" s="0" t="n">
        <v>30</v>
      </c>
      <c r="C7199" s="0" t="n">
        <v>2.05</v>
      </c>
      <c r="D7199" s="0" t="n">
        <v>0</v>
      </c>
    </row>
    <row r="7200" customFormat="false" ht="13.8" hidden="true" customHeight="false" outlineLevel="0" collapsed="false">
      <c r="A7200" s="0" t="s">
        <v>140</v>
      </c>
      <c r="B7200" s="0" t="n">
        <v>30</v>
      </c>
      <c r="C7200" s="0" t="n">
        <v>2.1</v>
      </c>
      <c r="D7200" s="0" t="n">
        <v>0</v>
      </c>
    </row>
    <row r="7201" customFormat="false" ht="13.8" hidden="true" customHeight="false" outlineLevel="0" collapsed="false">
      <c r="A7201" s="0" t="s">
        <v>140</v>
      </c>
      <c r="B7201" s="0" t="n">
        <v>30</v>
      </c>
      <c r="C7201" s="0" t="n">
        <v>2.15</v>
      </c>
      <c r="D7201" s="0" t="n">
        <v>0</v>
      </c>
    </row>
    <row r="7202" customFormat="false" ht="13.8" hidden="true" customHeight="false" outlineLevel="0" collapsed="false">
      <c r="A7202" s="0" t="s">
        <v>140</v>
      </c>
      <c r="B7202" s="0" t="n">
        <v>30</v>
      </c>
      <c r="C7202" s="0" t="n">
        <v>2.2</v>
      </c>
      <c r="D7202" s="0" t="n">
        <v>0</v>
      </c>
    </row>
    <row r="7203" customFormat="false" ht="13.8" hidden="true" customHeight="false" outlineLevel="0" collapsed="false">
      <c r="A7203" s="0" t="s">
        <v>140</v>
      </c>
      <c r="B7203" s="0" t="n">
        <v>30</v>
      </c>
      <c r="C7203" s="0" t="n">
        <v>2.25</v>
      </c>
      <c r="D7203" s="0" t="n">
        <v>0</v>
      </c>
    </row>
    <row r="7204" customFormat="false" ht="13.8" hidden="true" customHeight="false" outlineLevel="0" collapsed="false">
      <c r="A7204" s="0" t="s">
        <v>140</v>
      </c>
      <c r="B7204" s="0" t="n">
        <v>30</v>
      </c>
      <c r="C7204" s="0" t="n">
        <v>2.3</v>
      </c>
      <c r="D7204" s="0" t="n">
        <v>0</v>
      </c>
    </row>
    <row r="7205" customFormat="false" ht="13.8" hidden="true" customHeight="false" outlineLevel="0" collapsed="false">
      <c r="A7205" s="0" t="s">
        <v>140</v>
      </c>
      <c r="B7205" s="0" t="n">
        <v>30</v>
      </c>
      <c r="C7205" s="0" t="n">
        <v>2.35</v>
      </c>
      <c r="D7205" s="0" t="n">
        <v>0</v>
      </c>
    </row>
    <row r="7206" customFormat="false" ht="13.8" hidden="true" customHeight="false" outlineLevel="0" collapsed="false">
      <c r="A7206" s="0" t="s">
        <v>140</v>
      </c>
      <c r="B7206" s="0" t="n">
        <v>30</v>
      </c>
      <c r="C7206" s="0" t="n">
        <v>2.4</v>
      </c>
      <c r="D7206" s="0" t="n">
        <v>0</v>
      </c>
    </row>
    <row r="7207" customFormat="false" ht="13.8" hidden="true" customHeight="false" outlineLevel="0" collapsed="false">
      <c r="A7207" s="0" t="s">
        <v>140</v>
      </c>
      <c r="B7207" s="0" t="n">
        <v>30</v>
      </c>
      <c r="C7207" s="0" t="n">
        <v>2.45</v>
      </c>
      <c r="D7207" s="0" t="n">
        <v>0</v>
      </c>
    </row>
    <row r="7208" customFormat="false" ht="13.8" hidden="true" customHeight="false" outlineLevel="0" collapsed="false">
      <c r="A7208" s="0" t="s">
        <v>140</v>
      </c>
      <c r="B7208" s="0" t="n">
        <v>30</v>
      </c>
      <c r="C7208" s="0" t="n">
        <v>2.5</v>
      </c>
      <c r="D7208" s="0" t="n">
        <v>0</v>
      </c>
    </row>
    <row r="7209" customFormat="false" ht="13.8" hidden="true" customHeight="false" outlineLevel="0" collapsed="false">
      <c r="A7209" s="0" t="s">
        <v>140</v>
      </c>
      <c r="B7209" s="0" t="n">
        <v>30</v>
      </c>
      <c r="C7209" s="0" t="n">
        <v>2.55</v>
      </c>
      <c r="D7209" s="0" t="n">
        <v>0</v>
      </c>
    </row>
    <row r="7210" customFormat="false" ht="13.8" hidden="true" customHeight="false" outlineLevel="0" collapsed="false">
      <c r="A7210" s="0" t="s">
        <v>140</v>
      </c>
      <c r="B7210" s="0" t="n">
        <v>30</v>
      </c>
      <c r="C7210" s="0" t="n">
        <v>2.6</v>
      </c>
      <c r="D7210" s="0" t="n">
        <v>0</v>
      </c>
    </row>
    <row r="7211" customFormat="false" ht="13.8" hidden="true" customHeight="false" outlineLevel="0" collapsed="false">
      <c r="A7211" s="0" t="s">
        <v>140</v>
      </c>
      <c r="B7211" s="0" t="n">
        <v>31</v>
      </c>
      <c r="C7211" s="0" t="n">
        <v>1.3</v>
      </c>
      <c r="D7211" s="0" t="n">
        <v>0</v>
      </c>
    </row>
    <row r="7212" customFormat="false" ht="13.8" hidden="true" customHeight="false" outlineLevel="0" collapsed="false">
      <c r="A7212" s="0" t="s">
        <v>140</v>
      </c>
      <c r="B7212" s="0" t="n">
        <v>31</v>
      </c>
      <c r="C7212" s="0" t="n">
        <v>1.35</v>
      </c>
      <c r="D7212" s="0" t="n">
        <v>0</v>
      </c>
    </row>
    <row r="7213" customFormat="false" ht="13.8" hidden="true" customHeight="false" outlineLevel="0" collapsed="false">
      <c r="A7213" s="0" t="s">
        <v>140</v>
      </c>
      <c r="B7213" s="0" t="n">
        <v>31</v>
      </c>
      <c r="C7213" s="0" t="n">
        <v>1.4</v>
      </c>
      <c r="D7213" s="0" t="n">
        <v>0</v>
      </c>
    </row>
    <row r="7214" customFormat="false" ht="13.8" hidden="true" customHeight="false" outlineLevel="0" collapsed="false">
      <c r="A7214" s="0" t="s">
        <v>140</v>
      </c>
      <c r="B7214" s="0" t="n">
        <v>31</v>
      </c>
      <c r="C7214" s="0" t="n">
        <v>1.45</v>
      </c>
      <c r="D7214" s="0" t="n">
        <v>0</v>
      </c>
    </row>
    <row r="7215" customFormat="false" ht="13.8" hidden="true" customHeight="false" outlineLevel="0" collapsed="false">
      <c r="A7215" s="0" t="s">
        <v>140</v>
      </c>
      <c r="B7215" s="0" t="n">
        <v>31</v>
      </c>
      <c r="C7215" s="0" t="n">
        <v>1.5</v>
      </c>
      <c r="D7215" s="0" t="n">
        <v>0</v>
      </c>
    </row>
    <row r="7216" customFormat="false" ht="13.8" hidden="true" customHeight="false" outlineLevel="0" collapsed="false">
      <c r="A7216" s="0" t="s">
        <v>140</v>
      </c>
      <c r="B7216" s="0" t="n">
        <v>31</v>
      </c>
      <c r="C7216" s="0" t="n">
        <v>1.55</v>
      </c>
      <c r="D7216" s="0" t="n">
        <v>0</v>
      </c>
    </row>
    <row r="7217" customFormat="false" ht="13.8" hidden="true" customHeight="false" outlineLevel="0" collapsed="false">
      <c r="A7217" s="0" t="s">
        <v>140</v>
      </c>
      <c r="B7217" s="0" t="n">
        <v>31</v>
      </c>
      <c r="C7217" s="0" t="n">
        <v>1.6</v>
      </c>
      <c r="D7217" s="0" t="n">
        <v>0.178</v>
      </c>
    </row>
    <row r="7218" customFormat="false" ht="13.8" hidden="true" customHeight="false" outlineLevel="0" collapsed="false">
      <c r="A7218" s="0" t="s">
        <v>140</v>
      </c>
      <c r="B7218" s="0" t="n">
        <v>31</v>
      </c>
      <c r="C7218" s="0" t="n">
        <v>1.65</v>
      </c>
      <c r="D7218" s="0" t="n">
        <v>0.183</v>
      </c>
    </row>
    <row r="7219" customFormat="false" ht="13.8" hidden="true" customHeight="false" outlineLevel="0" collapsed="false">
      <c r="A7219" s="0" t="s">
        <v>140</v>
      </c>
      <c r="B7219" s="0" t="n">
        <v>31</v>
      </c>
      <c r="C7219" s="0" t="n">
        <v>1.7</v>
      </c>
      <c r="D7219" s="0" t="n">
        <v>0.189</v>
      </c>
    </row>
    <row r="7220" customFormat="false" ht="13.8" hidden="true" customHeight="false" outlineLevel="0" collapsed="false">
      <c r="A7220" s="0" t="s">
        <v>140</v>
      </c>
      <c r="B7220" s="0" t="n">
        <v>31</v>
      </c>
      <c r="C7220" s="0" t="n">
        <v>1.75</v>
      </c>
      <c r="D7220" s="0" t="n">
        <v>0.194</v>
      </c>
    </row>
    <row r="7221" customFormat="false" ht="13.8" hidden="true" customHeight="false" outlineLevel="0" collapsed="false">
      <c r="A7221" s="0" t="s">
        <v>140</v>
      </c>
      <c r="B7221" s="0" t="n">
        <v>31</v>
      </c>
      <c r="C7221" s="0" t="n">
        <v>1.8</v>
      </c>
      <c r="D7221" s="0" t="n">
        <v>0.2</v>
      </c>
    </row>
    <row r="7222" customFormat="false" ht="13.8" hidden="true" customHeight="false" outlineLevel="0" collapsed="false">
      <c r="A7222" s="0" t="s">
        <v>140</v>
      </c>
      <c r="B7222" s="0" t="n">
        <v>31</v>
      </c>
      <c r="C7222" s="0" t="n">
        <v>1.85</v>
      </c>
      <c r="D7222" s="0" t="n">
        <v>0.206</v>
      </c>
    </row>
    <row r="7223" customFormat="false" ht="13.8" hidden="true" customHeight="false" outlineLevel="0" collapsed="false">
      <c r="A7223" s="0" t="s">
        <v>140</v>
      </c>
      <c r="B7223" s="0" t="n">
        <v>31</v>
      </c>
      <c r="C7223" s="0" t="n">
        <v>1.9</v>
      </c>
      <c r="D7223" s="0" t="n">
        <v>0.211</v>
      </c>
    </row>
    <row r="7224" customFormat="false" ht="13.8" hidden="true" customHeight="false" outlineLevel="0" collapsed="false">
      <c r="A7224" s="0" t="s">
        <v>140</v>
      </c>
      <c r="B7224" s="0" t="n">
        <v>31</v>
      </c>
      <c r="C7224" s="0" t="n">
        <v>1.95</v>
      </c>
      <c r="D7224" s="0" t="n">
        <v>0.217</v>
      </c>
    </row>
    <row r="7225" customFormat="false" ht="13.8" hidden="true" customHeight="false" outlineLevel="0" collapsed="false">
      <c r="A7225" s="0" t="s">
        <v>140</v>
      </c>
      <c r="B7225" s="0" t="n">
        <v>31</v>
      </c>
      <c r="C7225" s="0" t="n">
        <v>2</v>
      </c>
      <c r="D7225" s="0" t="n">
        <v>0</v>
      </c>
    </row>
    <row r="7226" customFormat="false" ht="13.8" hidden="true" customHeight="false" outlineLevel="0" collapsed="false">
      <c r="A7226" s="0" t="s">
        <v>140</v>
      </c>
      <c r="B7226" s="0" t="n">
        <v>31</v>
      </c>
      <c r="C7226" s="0" t="n">
        <v>2.05</v>
      </c>
      <c r="D7226" s="0" t="n">
        <v>0</v>
      </c>
    </row>
    <row r="7227" customFormat="false" ht="13.8" hidden="true" customHeight="false" outlineLevel="0" collapsed="false">
      <c r="A7227" s="0" t="s">
        <v>140</v>
      </c>
      <c r="B7227" s="0" t="n">
        <v>31</v>
      </c>
      <c r="C7227" s="0" t="n">
        <v>2.1</v>
      </c>
      <c r="D7227" s="0" t="n">
        <v>0</v>
      </c>
    </row>
    <row r="7228" customFormat="false" ht="13.8" hidden="true" customHeight="false" outlineLevel="0" collapsed="false">
      <c r="A7228" s="0" t="s">
        <v>140</v>
      </c>
      <c r="B7228" s="0" t="n">
        <v>31</v>
      </c>
      <c r="C7228" s="0" t="n">
        <v>2.15</v>
      </c>
      <c r="D7228" s="0" t="n">
        <v>0</v>
      </c>
    </row>
    <row r="7229" customFormat="false" ht="13.8" hidden="true" customHeight="false" outlineLevel="0" collapsed="false">
      <c r="A7229" s="0" t="s">
        <v>140</v>
      </c>
      <c r="B7229" s="0" t="n">
        <v>31</v>
      </c>
      <c r="C7229" s="0" t="n">
        <v>2.2</v>
      </c>
      <c r="D7229" s="0" t="n">
        <v>0</v>
      </c>
    </row>
    <row r="7230" customFormat="false" ht="13.8" hidden="true" customHeight="false" outlineLevel="0" collapsed="false">
      <c r="A7230" s="0" t="s">
        <v>140</v>
      </c>
      <c r="B7230" s="0" t="n">
        <v>31</v>
      </c>
      <c r="C7230" s="0" t="n">
        <v>2.25</v>
      </c>
      <c r="D7230" s="0" t="n">
        <v>0</v>
      </c>
    </row>
    <row r="7231" customFormat="false" ht="13.8" hidden="true" customHeight="false" outlineLevel="0" collapsed="false">
      <c r="A7231" s="0" t="s">
        <v>140</v>
      </c>
      <c r="B7231" s="0" t="n">
        <v>31</v>
      </c>
      <c r="C7231" s="0" t="n">
        <v>2.3</v>
      </c>
      <c r="D7231" s="0" t="n">
        <v>0</v>
      </c>
    </row>
    <row r="7232" customFormat="false" ht="13.8" hidden="true" customHeight="false" outlineLevel="0" collapsed="false">
      <c r="A7232" s="0" t="s">
        <v>140</v>
      </c>
      <c r="B7232" s="0" t="n">
        <v>31</v>
      </c>
      <c r="C7232" s="0" t="n">
        <v>2.35</v>
      </c>
      <c r="D7232" s="0" t="n">
        <v>0</v>
      </c>
    </row>
    <row r="7233" customFormat="false" ht="13.8" hidden="true" customHeight="false" outlineLevel="0" collapsed="false">
      <c r="A7233" s="0" t="s">
        <v>140</v>
      </c>
      <c r="B7233" s="0" t="n">
        <v>31</v>
      </c>
      <c r="C7233" s="0" t="n">
        <v>2.4</v>
      </c>
      <c r="D7233" s="0" t="n">
        <v>0</v>
      </c>
    </row>
    <row r="7234" customFormat="false" ht="13.8" hidden="true" customHeight="false" outlineLevel="0" collapsed="false">
      <c r="A7234" s="0" t="s">
        <v>140</v>
      </c>
      <c r="B7234" s="0" t="n">
        <v>31</v>
      </c>
      <c r="C7234" s="0" t="n">
        <v>2.45</v>
      </c>
      <c r="D7234" s="0" t="n">
        <v>0</v>
      </c>
    </row>
    <row r="7235" customFormat="false" ht="13.8" hidden="true" customHeight="false" outlineLevel="0" collapsed="false">
      <c r="A7235" s="0" t="s">
        <v>140</v>
      </c>
      <c r="B7235" s="0" t="n">
        <v>31</v>
      </c>
      <c r="C7235" s="0" t="n">
        <v>2.5</v>
      </c>
      <c r="D7235" s="0" t="n">
        <v>0</v>
      </c>
    </row>
    <row r="7236" customFormat="false" ht="13.8" hidden="true" customHeight="false" outlineLevel="0" collapsed="false">
      <c r="A7236" s="0" t="s">
        <v>140</v>
      </c>
      <c r="B7236" s="0" t="n">
        <v>31</v>
      </c>
      <c r="C7236" s="0" t="n">
        <v>2.55</v>
      </c>
      <c r="D7236" s="0" t="n">
        <v>0</v>
      </c>
    </row>
    <row r="7237" customFormat="false" ht="13.8" hidden="true" customHeight="false" outlineLevel="0" collapsed="false">
      <c r="A7237" s="0" t="s">
        <v>140</v>
      </c>
      <c r="B7237" s="0" t="n">
        <v>31</v>
      </c>
      <c r="C7237" s="0" t="n">
        <v>2.6</v>
      </c>
      <c r="D7237" s="0" t="n">
        <v>0</v>
      </c>
    </row>
    <row r="7238" customFormat="false" ht="13.8" hidden="true" customHeight="false" outlineLevel="0" collapsed="false">
      <c r="A7238" s="0" t="s">
        <v>253</v>
      </c>
      <c r="B7238" s="0" t="n">
        <v>26</v>
      </c>
      <c r="C7238" s="0" t="n">
        <v>1.3</v>
      </c>
      <c r="D7238" s="0" t="n">
        <v>0</v>
      </c>
    </row>
    <row r="7239" customFormat="false" ht="13.8" hidden="true" customHeight="false" outlineLevel="0" collapsed="false">
      <c r="A7239" s="0" t="s">
        <v>253</v>
      </c>
      <c r="B7239" s="0" t="n">
        <v>26</v>
      </c>
      <c r="C7239" s="0" t="n">
        <v>1.35</v>
      </c>
      <c r="D7239" s="0" t="n">
        <v>0</v>
      </c>
    </row>
    <row r="7240" customFormat="false" ht="13.8" hidden="true" customHeight="false" outlineLevel="0" collapsed="false">
      <c r="A7240" s="0" t="s">
        <v>253</v>
      </c>
      <c r="B7240" s="0" t="n">
        <v>26</v>
      </c>
      <c r="C7240" s="0" t="n">
        <v>1.4</v>
      </c>
      <c r="D7240" s="0" t="n">
        <v>0</v>
      </c>
    </row>
    <row r="7241" customFormat="false" ht="13.8" hidden="true" customHeight="false" outlineLevel="0" collapsed="false">
      <c r="A7241" s="0" t="s">
        <v>253</v>
      </c>
      <c r="B7241" s="0" t="n">
        <v>26</v>
      </c>
      <c r="C7241" s="0" t="n">
        <v>1.45</v>
      </c>
      <c r="D7241" s="0" t="n">
        <v>0</v>
      </c>
    </row>
    <row r="7242" customFormat="false" ht="13.8" hidden="true" customHeight="false" outlineLevel="0" collapsed="false">
      <c r="A7242" s="0" t="s">
        <v>253</v>
      </c>
      <c r="B7242" s="0" t="n">
        <v>26</v>
      </c>
      <c r="C7242" s="0" t="n">
        <v>1.5</v>
      </c>
      <c r="D7242" s="0" t="n">
        <v>0</v>
      </c>
    </row>
    <row r="7243" customFormat="false" ht="13.8" hidden="true" customHeight="false" outlineLevel="0" collapsed="false">
      <c r="A7243" s="0" t="s">
        <v>253</v>
      </c>
      <c r="B7243" s="0" t="n">
        <v>26</v>
      </c>
      <c r="C7243" s="0" t="n">
        <v>1.55</v>
      </c>
      <c r="D7243" s="0" t="n">
        <v>0</v>
      </c>
    </row>
    <row r="7244" customFormat="false" ht="13.8" hidden="true" customHeight="false" outlineLevel="0" collapsed="false">
      <c r="A7244" s="0" t="s">
        <v>253</v>
      </c>
      <c r="B7244" s="0" t="n">
        <v>26</v>
      </c>
      <c r="C7244" s="0" t="n">
        <v>1.6</v>
      </c>
      <c r="D7244" s="0" t="n">
        <v>0.178</v>
      </c>
    </row>
    <row r="7245" customFormat="false" ht="13.8" hidden="true" customHeight="false" outlineLevel="0" collapsed="false">
      <c r="A7245" s="0" t="s">
        <v>253</v>
      </c>
      <c r="B7245" s="0" t="n">
        <v>26</v>
      </c>
      <c r="C7245" s="0" t="n">
        <v>1.65</v>
      </c>
      <c r="D7245" s="0" t="n">
        <v>0.183</v>
      </c>
    </row>
    <row r="7246" customFormat="false" ht="13.8" hidden="true" customHeight="false" outlineLevel="0" collapsed="false">
      <c r="A7246" s="0" t="s">
        <v>253</v>
      </c>
      <c r="B7246" s="0" t="n">
        <v>26</v>
      </c>
      <c r="C7246" s="0" t="n">
        <v>1.7</v>
      </c>
      <c r="D7246" s="0" t="n">
        <v>0.189</v>
      </c>
    </row>
    <row r="7247" customFormat="false" ht="13.8" hidden="true" customHeight="false" outlineLevel="0" collapsed="false">
      <c r="A7247" s="0" t="s">
        <v>253</v>
      </c>
      <c r="B7247" s="0" t="n">
        <v>26</v>
      </c>
      <c r="C7247" s="0" t="n">
        <v>1.75</v>
      </c>
      <c r="D7247" s="0" t="n">
        <v>0.194</v>
      </c>
    </row>
    <row r="7248" customFormat="false" ht="13.8" hidden="true" customHeight="false" outlineLevel="0" collapsed="false">
      <c r="A7248" s="0" t="s">
        <v>253</v>
      </c>
      <c r="B7248" s="0" t="n">
        <v>26</v>
      </c>
      <c r="C7248" s="0" t="n">
        <v>1.8</v>
      </c>
      <c r="D7248" s="0" t="n">
        <v>0.2</v>
      </c>
    </row>
    <row r="7249" customFormat="false" ht="13.8" hidden="true" customHeight="false" outlineLevel="0" collapsed="false">
      <c r="A7249" s="0" t="s">
        <v>253</v>
      </c>
      <c r="B7249" s="0" t="n">
        <v>26</v>
      </c>
      <c r="C7249" s="0" t="n">
        <v>1.85</v>
      </c>
      <c r="D7249" s="0" t="n">
        <v>0.206</v>
      </c>
    </row>
    <row r="7250" customFormat="false" ht="13.8" hidden="true" customHeight="false" outlineLevel="0" collapsed="false">
      <c r="A7250" s="0" t="s">
        <v>253</v>
      </c>
      <c r="B7250" s="0" t="n">
        <v>26</v>
      </c>
      <c r="C7250" s="0" t="n">
        <v>1.9</v>
      </c>
      <c r="D7250" s="0" t="n">
        <v>0.211</v>
      </c>
    </row>
    <row r="7251" customFormat="false" ht="13.8" hidden="true" customHeight="false" outlineLevel="0" collapsed="false">
      <c r="A7251" s="0" t="s">
        <v>253</v>
      </c>
      <c r="B7251" s="0" t="n">
        <v>26</v>
      </c>
      <c r="C7251" s="0" t="n">
        <v>1.95</v>
      </c>
      <c r="D7251" s="0" t="n">
        <v>0.217</v>
      </c>
    </row>
    <row r="7252" customFormat="false" ht="13.8" hidden="true" customHeight="false" outlineLevel="0" collapsed="false">
      <c r="A7252" s="0" t="s">
        <v>253</v>
      </c>
      <c r="B7252" s="0" t="n">
        <v>26</v>
      </c>
      <c r="C7252" s="0" t="n">
        <v>2</v>
      </c>
      <c r="D7252" s="0" t="n">
        <v>0</v>
      </c>
    </row>
    <row r="7253" customFormat="false" ht="13.8" hidden="true" customHeight="false" outlineLevel="0" collapsed="false">
      <c r="A7253" s="0" t="s">
        <v>253</v>
      </c>
      <c r="B7253" s="0" t="n">
        <v>26</v>
      </c>
      <c r="C7253" s="0" t="n">
        <v>2.05</v>
      </c>
      <c r="D7253" s="0" t="n">
        <v>0</v>
      </c>
    </row>
    <row r="7254" customFormat="false" ht="13.8" hidden="true" customHeight="false" outlineLevel="0" collapsed="false">
      <c r="A7254" s="0" t="s">
        <v>253</v>
      </c>
      <c r="B7254" s="0" t="n">
        <v>26</v>
      </c>
      <c r="C7254" s="0" t="n">
        <v>2.1</v>
      </c>
      <c r="D7254" s="0" t="n">
        <v>0</v>
      </c>
    </row>
    <row r="7255" customFormat="false" ht="13.8" hidden="true" customHeight="false" outlineLevel="0" collapsed="false">
      <c r="A7255" s="0" t="s">
        <v>253</v>
      </c>
      <c r="B7255" s="0" t="n">
        <v>26</v>
      </c>
      <c r="C7255" s="0" t="n">
        <v>2.15</v>
      </c>
      <c r="D7255" s="0" t="n">
        <v>0</v>
      </c>
    </row>
    <row r="7256" customFormat="false" ht="13.8" hidden="true" customHeight="false" outlineLevel="0" collapsed="false">
      <c r="A7256" s="0" t="s">
        <v>253</v>
      </c>
      <c r="B7256" s="0" t="n">
        <v>26</v>
      </c>
      <c r="C7256" s="0" t="n">
        <v>2.2</v>
      </c>
      <c r="D7256" s="0" t="n">
        <v>0</v>
      </c>
    </row>
    <row r="7257" customFormat="false" ht="13.8" hidden="true" customHeight="false" outlineLevel="0" collapsed="false">
      <c r="A7257" s="0" t="s">
        <v>253</v>
      </c>
      <c r="B7257" s="0" t="n">
        <v>26</v>
      </c>
      <c r="C7257" s="0" t="n">
        <v>2.25</v>
      </c>
      <c r="D7257" s="0" t="n">
        <v>0</v>
      </c>
    </row>
    <row r="7258" customFormat="false" ht="13.8" hidden="true" customHeight="false" outlineLevel="0" collapsed="false">
      <c r="A7258" s="0" t="s">
        <v>253</v>
      </c>
      <c r="B7258" s="0" t="n">
        <v>26</v>
      </c>
      <c r="C7258" s="0" t="n">
        <v>2.3</v>
      </c>
      <c r="D7258" s="0" t="n">
        <v>0</v>
      </c>
    </row>
    <row r="7259" customFormat="false" ht="13.8" hidden="true" customHeight="false" outlineLevel="0" collapsed="false">
      <c r="A7259" s="0" t="s">
        <v>253</v>
      </c>
      <c r="B7259" s="0" t="n">
        <v>26</v>
      </c>
      <c r="C7259" s="0" t="n">
        <v>2.35</v>
      </c>
      <c r="D7259" s="0" t="n">
        <v>0</v>
      </c>
    </row>
    <row r="7260" customFormat="false" ht="13.8" hidden="true" customHeight="false" outlineLevel="0" collapsed="false">
      <c r="A7260" s="0" t="s">
        <v>253</v>
      </c>
      <c r="B7260" s="0" t="n">
        <v>26</v>
      </c>
      <c r="C7260" s="0" t="n">
        <v>2.4</v>
      </c>
      <c r="D7260" s="0" t="n">
        <v>0</v>
      </c>
    </row>
    <row r="7261" customFormat="false" ht="13.8" hidden="true" customHeight="false" outlineLevel="0" collapsed="false">
      <c r="A7261" s="0" t="s">
        <v>253</v>
      </c>
      <c r="B7261" s="0" t="n">
        <v>26</v>
      </c>
      <c r="C7261" s="0" t="n">
        <v>2.45</v>
      </c>
      <c r="D7261" s="0" t="n">
        <v>0</v>
      </c>
    </row>
    <row r="7262" customFormat="false" ht="13.8" hidden="true" customHeight="false" outlineLevel="0" collapsed="false">
      <c r="A7262" s="0" t="s">
        <v>253</v>
      </c>
      <c r="B7262" s="0" t="n">
        <v>26</v>
      </c>
      <c r="C7262" s="0" t="n">
        <v>2.5</v>
      </c>
      <c r="D7262" s="0" t="n">
        <v>0</v>
      </c>
    </row>
    <row r="7263" customFormat="false" ht="13.8" hidden="true" customHeight="false" outlineLevel="0" collapsed="false">
      <c r="A7263" s="0" t="s">
        <v>253</v>
      </c>
      <c r="B7263" s="0" t="n">
        <v>26</v>
      </c>
      <c r="C7263" s="0" t="n">
        <v>2.55</v>
      </c>
      <c r="D7263" s="0" t="n">
        <v>0</v>
      </c>
    </row>
    <row r="7264" customFormat="false" ht="13.8" hidden="true" customHeight="false" outlineLevel="0" collapsed="false">
      <c r="A7264" s="0" t="s">
        <v>253</v>
      </c>
      <c r="B7264" s="0" t="n">
        <v>26</v>
      </c>
      <c r="C7264" s="0" t="n">
        <v>2.6</v>
      </c>
      <c r="D7264" s="0" t="n">
        <v>0</v>
      </c>
    </row>
    <row r="7265" customFormat="false" ht="13.8" hidden="true" customHeight="false" outlineLevel="0" collapsed="false">
      <c r="A7265" s="0" t="s">
        <v>253</v>
      </c>
      <c r="B7265" s="0" t="n">
        <v>30</v>
      </c>
      <c r="C7265" s="0" t="n">
        <v>1.3</v>
      </c>
      <c r="D7265" s="0" t="n">
        <v>0</v>
      </c>
    </row>
    <row r="7266" customFormat="false" ht="13.8" hidden="true" customHeight="false" outlineLevel="0" collapsed="false">
      <c r="A7266" s="0" t="s">
        <v>253</v>
      </c>
      <c r="B7266" s="0" t="n">
        <v>30</v>
      </c>
      <c r="C7266" s="0" t="n">
        <v>1.35</v>
      </c>
      <c r="D7266" s="0" t="n">
        <v>0</v>
      </c>
    </row>
    <row r="7267" customFormat="false" ht="13.8" hidden="true" customHeight="false" outlineLevel="0" collapsed="false">
      <c r="A7267" s="0" t="s">
        <v>253</v>
      </c>
      <c r="B7267" s="0" t="n">
        <v>30</v>
      </c>
      <c r="C7267" s="0" t="n">
        <v>1.4</v>
      </c>
      <c r="D7267" s="0" t="n">
        <v>0</v>
      </c>
    </row>
    <row r="7268" customFormat="false" ht="13.8" hidden="true" customHeight="false" outlineLevel="0" collapsed="false">
      <c r="A7268" s="0" t="s">
        <v>253</v>
      </c>
      <c r="B7268" s="0" t="n">
        <v>30</v>
      </c>
      <c r="C7268" s="0" t="n">
        <v>1.45</v>
      </c>
      <c r="D7268" s="0" t="n">
        <v>0</v>
      </c>
    </row>
    <row r="7269" customFormat="false" ht="13.8" hidden="true" customHeight="false" outlineLevel="0" collapsed="false">
      <c r="A7269" s="0" t="s">
        <v>253</v>
      </c>
      <c r="B7269" s="0" t="n">
        <v>30</v>
      </c>
      <c r="C7269" s="0" t="n">
        <v>1.5</v>
      </c>
      <c r="D7269" s="0" t="n">
        <v>0</v>
      </c>
    </row>
    <row r="7270" customFormat="false" ht="13.8" hidden="true" customHeight="false" outlineLevel="0" collapsed="false">
      <c r="A7270" s="0" t="s">
        <v>253</v>
      </c>
      <c r="B7270" s="0" t="n">
        <v>30</v>
      </c>
      <c r="C7270" s="0" t="n">
        <v>1.55</v>
      </c>
      <c r="D7270" s="0" t="n">
        <v>0</v>
      </c>
    </row>
    <row r="7271" customFormat="false" ht="13.8" hidden="true" customHeight="false" outlineLevel="0" collapsed="false">
      <c r="A7271" s="0" t="s">
        <v>253</v>
      </c>
      <c r="B7271" s="0" t="n">
        <v>30</v>
      </c>
      <c r="C7271" s="0" t="n">
        <v>1.6</v>
      </c>
      <c r="D7271" s="0" t="n">
        <v>0.178</v>
      </c>
    </row>
    <row r="7272" customFormat="false" ht="13.8" hidden="true" customHeight="false" outlineLevel="0" collapsed="false">
      <c r="A7272" s="0" t="s">
        <v>253</v>
      </c>
      <c r="B7272" s="0" t="n">
        <v>30</v>
      </c>
      <c r="C7272" s="0" t="n">
        <v>1.65</v>
      </c>
      <c r="D7272" s="0" t="n">
        <v>0.183</v>
      </c>
    </row>
    <row r="7273" customFormat="false" ht="13.8" hidden="true" customHeight="false" outlineLevel="0" collapsed="false">
      <c r="A7273" s="0" t="s">
        <v>253</v>
      </c>
      <c r="B7273" s="0" t="n">
        <v>30</v>
      </c>
      <c r="C7273" s="0" t="n">
        <v>1.7</v>
      </c>
      <c r="D7273" s="0" t="n">
        <v>0.189</v>
      </c>
    </row>
    <row r="7274" customFormat="false" ht="13.8" hidden="true" customHeight="false" outlineLevel="0" collapsed="false">
      <c r="A7274" s="0" t="s">
        <v>253</v>
      </c>
      <c r="B7274" s="0" t="n">
        <v>30</v>
      </c>
      <c r="C7274" s="0" t="n">
        <v>1.75</v>
      </c>
      <c r="D7274" s="0" t="n">
        <v>0.194</v>
      </c>
    </row>
    <row r="7275" customFormat="false" ht="13.8" hidden="true" customHeight="false" outlineLevel="0" collapsed="false">
      <c r="A7275" s="0" t="s">
        <v>253</v>
      </c>
      <c r="B7275" s="0" t="n">
        <v>30</v>
      </c>
      <c r="C7275" s="0" t="n">
        <v>1.8</v>
      </c>
      <c r="D7275" s="0" t="n">
        <v>0.2</v>
      </c>
    </row>
    <row r="7276" customFormat="false" ht="13.8" hidden="true" customHeight="false" outlineLevel="0" collapsed="false">
      <c r="A7276" s="0" t="s">
        <v>253</v>
      </c>
      <c r="B7276" s="0" t="n">
        <v>30</v>
      </c>
      <c r="C7276" s="0" t="n">
        <v>1.85</v>
      </c>
      <c r="D7276" s="0" t="n">
        <v>0.206</v>
      </c>
    </row>
    <row r="7277" customFormat="false" ht="13.8" hidden="true" customHeight="false" outlineLevel="0" collapsed="false">
      <c r="A7277" s="0" t="s">
        <v>253</v>
      </c>
      <c r="B7277" s="0" t="n">
        <v>30</v>
      </c>
      <c r="C7277" s="0" t="n">
        <v>1.9</v>
      </c>
      <c r="D7277" s="0" t="n">
        <v>0.211</v>
      </c>
    </row>
    <row r="7278" customFormat="false" ht="13.8" hidden="true" customHeight="false" outlineLevel="0" collapsed="false">
      <c r="A7278" s="0" t="s">
        <v>253</v>
      </c>
      <c r="B7278" s="0" t="n">
        <v>30</v>
      </c>
      <c r="C7278" s="0" t="n">
        <v>1.95</v>
      </c>
      <c r="D7278" s="0" t="n">
        <v>0.217</v>
      </c>
    </row>
    <row r="7279" customFormat="false" ht="13.8" hidden="true" customHeight="false" outlineLevel="0" collapsed="false">
      <c r="A7279" s="0" t="s">
        <v>253</v>
      </c>
      <c r="B7279" s="0" t="n">
        <v>30</v>
      </c>
      <c r="C7279" s="0" t="n">
        <v>2</v>
      </c>
      <c r="D7279" s="0" t="n">
        <v>0</v>
      </c>
    </row>
    <row r="7280" customFormat="false" ht="13.8" hidden="true" customHeight="false" outlineLevel="0" collapsed="false">
      <c r="A7280" s="0" t="s">
        <v>253</v>
      </c>
      <c r="B7280" s="0" t="n">
        <v>30</v>
      </c>
      <c r="C7280" s="0" t="n">
        <v>2.05</v>
      </c>
      <c r="D7280" s="0" t="n">
        <v>0</v>
      </c>
    </row>
    <row r="7281" customFormat="false" ht="13.8" hidden="true" customHeight="false" outlineLevel="0" collapsed="false">
      <c r="A7281" s="0" t="s">
        <v>253</v>
      </c>
      <c r="B7281" s="0" t="n">
        <v>30</v>
      </c>
      <c r="C7281" s="0" t="n">
        <v>2.1</v>
      </c>
      <c r="D7281" s="0" t="n">
        <v>0</v>
      </c>
    </row>
    <row r="7282" customFormat="false" ht="13.8" hidden="true" customHeight="false" outlineLevel="0" collapsed="false">
      <c r="A7282" s="0" t="s">
        <v>253</v>
      </c>
      <c r="B7282" s="0" t="n">
        <v>30</v>
      </c>
      <c r="C7282" s="0" t="n">
        <v>2.15</v>
      </c>
      <c r="D7282" s="0" t="n">
        <v>0</v>
      </c>
    </row>
    <row r="7283" customFormat="false" ht="13.8" hidden="true" customHeight="false" outlineLevel="0" collapsed="false">
      <c r="A7283" s="0" t="s">
        <v>253</v>
      </c>
      <c r="B7283" s="0" t="n">
        <v>30</v>
      </c>
      <c r="C7283" s="0" t="n">
        <v>2.2</v>
      </c>
      <c r="D7283" s="0" t="n">
        <v>0</v>
      </c>
    </row>
    <row r="7284" customFormat="false" ht="13.8" hidden="true" customHeight="false" outlineLevel="0" collapsed="false">
      <c r="A7284" s="0" t="s">
        <v>253</v>
      </c>
      <c r="B7284" s="0" t="n">
        <v>30</v>
      </c>
      <c r="C7284" s="0" t="n">
        <v>2.25</v>
      </c>
      <c r="D7284" s="0" t="n">
        <v>0</v>
      </c>
    </row>
    <row r="7285" customFormat="false" ht="13.8" hidden="true" customHeight="false" outlineLevel="0" collapsed="false">
      <c r="A7285" s="0" t="s">
        <v>253</v>
      </c>
      <c r="B7285" s="0" t="n">
        <v>30</v>
      </c>
      <c r="C7285" s="0" t="n">
        <v>2.3</v>
      </c>
      <c r="D7285" s="0" t="n">
        <v>0</v>
      </c>
    </row>
    <row r="7286" customFormat="false" ht="13.8" hidden="true" customHeight="false" outlineLevel="0" collapsed="false">
      <c r="A7286" s="0" t="s">
        <v>253</v>
      </c>
      <c r="B7286" s="0" t="n">
        <v>30</v>
      </c>
      <c r="C7286" s="0" t="n">
        <v>2.35</v>
      </c>
      <c r="D7286" s="0" t="n">
        <v>0</v>
      </c>
    </row>
    <row r="7287" customFormat="false" ht="13.8" hidden="true" customHeight="false" outlineLevel="0" collapsed="false">
      <c r="A7287" s="0" t="s">
        <v>253</v>
      </c>
      <c r="B7287" s="0" t="n">
        <v>30</v>
      </c>
      <c r="C7287" s="0" t="n">
        <v>2.4</v>
      </c>
      <c r="D7287" s="0" t="n">
        <v>0</v>
      </c>
    </row>
    <row r="7288" customFormat="false" ht="13.8" hidden="true" customHeight="false" outlineLevel="0" collapsed="false">
      <c r="A7288" s="0" t="s">
        <v>253</v>
      </c>
      <c r="B7288" s="0" t="n">
        <v>30</v>
      </c>
      <c r="C7288" s="0" t="n">
        <v>2.45</v>
      </c>
      <c r="D7288" s="0" t="n">
        <v>0</v>
      </c>
    </row>
    <row r="7289" customFormat="false" ht="13.8" hidden="true" customHeight="false" outlineLevel="0" collapsed="false">
      <c r="A7289" s="0" t="s">
        <v>253</v>
      </c>
      <c r="B7289" s="0" t="n">
        <v>30</v>
      </c>
      <c r="C7289" s="0" t="n">
        <v>2.5</v>
      </c>
      <c r="D7289" s="0" t="n">
        <v>0</v>
      </c>
    </row>
    <row r="7290" customFormat="false" ht="13.8" hidden="true" customHeight="false" outlineLevel="0" collapsed="false">
      <c r="A7290" s="0" t="s">
        <v>253</v>
      </c>
      <c r="B7290" s="0" t="n">
        <v>30</v>
      </c>
      <c r="C7290" s="0" t="n">
        <v>2.55</v>
      </c>
      <c r="D7290" s="0" t="n">
        <v>0</v>
      </c>
    </row>
    <row r="7291" customFormat="false" ht="13.8" hidden="true" customHeight="false" outlineLevel="0" collapsed="false">
      <c r="A7291" s="0" t="s">
        <v>253</v>
      </c>
      <c r="B7291" s="0" t="n">
        <v>30</v>
      </c>
      <c r="C7291" s="0" t="n">
        <v>2.6</v>
      </c>
      <c r="D7291" s="0" t="n">
        <v>0</v>
      </c>
    </row>
    <row r="7292" customFormat="false" ht="13.8" hidden="true" customHeight="false" outlineLevel="0" collapsed="false">
      <c r="A7292" s="0" t="s">
        <v>253</v>
      </c>
      <c r="B7292" s="0" t="n">
        <v>31</v>
      </c>
      <c r="C7292" s="0" t="n">
        <v>1.3</v>
      </c>
      <c r="D7292" s="0" t="n">
        <v>0</v>
      </c>
    </row>
    <row r="7293" customFormat="false" ht="13.8" hidden="true" customHeight="false" outlineLevel="0" collapsed="false">
      <c r="A7293" s="0" t="s">
        <v>253</v>
      </c>
      <c r="B7293" s="0" t="n">
        <v>31</v>
      </c>
      <c r="C7293" s="0" t="n">
        <v>1.35</v>
      </c>
      <c r="D7293" s="0" t="n">
        <v>0</v>
      </c>
    </row>
    <row r="7294" customFormat="false" ht="13.8" hidden="true" customHeight="false" outlineLevel="0" collapsed="false">
      <c r="A7294" s="0" t="s">
        <v>253</v>
      </c>
      <c r="B7294" s="0" t="n">
        <v>31</v>
      </c>
      <c r="C7294" s="0" t="n">
        <v>1.4</v>
      </c>
      <c r="D7294" s="0" t="n">
        <v>0</v>
      </c>
    </row>
    <row r="7295" customFormat="false" ht="13.8" hidden="true" customHeight="false" outlineLevel="0" collapsed="false">
      <c r="A7295" s="0" t="s">
        <v>253</v>
      </c>
      <c r="B7295" s="0" t="n">
        <v>31</v>
      </c>
      <c r="C7295" s="0" t="n">
        <v>1.45</v>
      </c>
      <c r="D7295" s="0" t="n">
        <v>0</v>
      </c>
    </row>
    <row r="7296" customFormat="false" ht="13.8" hidden="true" customHeight="false" outlineLevel="0" collapsed="false">
      <c r="A7296" s="0" t="s">
        <v>253</v>
      </c>
      <c r="B7296" s="0" t="n">
        <v>31</v>
      </c>
      <c r="C7296" s="0" t="n">
        <v>1.5</v>
      </c>
      <c r="D7296" s="0" t="n">
        <v>0</v>
      </c>
    </row>
    <row r="7297" customFormat="false" ht="13.8" hidden="true" customHeight="false" outlineLevel="0" collapsed="false">
      <c r="A7297" s="0" t="s">
        <v>253</v>
      </c>
      <c r="B7297" s="0" t="n">
        <v>31</v>
      </c>
      <c r="C7297" s="0" t="n">
        <v>1.55</v>
      </c>
      <c r="D7297" s="0" t="n">
        <v>0</v>
      </c>
    </row>
    <row r="7298" customFormat="false" ht="13.8" hidden="true" customHeight="false" outlineLevel="0" collapsed="false">
      <c r="A7298" s="0" t="s">
        <v>253</v>
      </c>
      <c r="B7298" s="0" t="n">
        <v>31</v>
      </c>
      <c r="C7298" s="0" t="n">
        <v>1.6</v>
      </c>
      <c r="D7298" s="0" t="n">
        <v>0.178</v>
      </c>
    </row>
    <row r="7299" customFormat="false" ht="13.8" hidden="true" customHeight="false" outlineLevel="0" collapsed="false">
      <c r="A7299" s="0" t="s">
        <v>253</v>
      </c>
      <c r="B7299" s="0" t="n">
        <v>31</v>
      </c>
      <c r="C7299" s="0" t="n">
        <v>1.65</v>
      </c>
      <c r="D7299" s="0" t="n">
        <v>0.183</v>
      </c>
    </row>
    <row r="7300" customFormat="false" ht="13.8" hidden="true" customHeight="false" outlineLevel="0" collapsed="false">
      <c r="A7300" s="0" t="s">
        <v>253</v>
      </c>
      <c r="B7300" s="0" t="n">
        <v>31</v>
      </c>
      <c r="C7300" s="0" t="n">
        <v>1.7</v>
      </c>
      <c r="D7300" s="0" t="n">
        <v>0.189</v>
      </c>
    </row>
    <row r="7301" customFormat="false" ht="13.8" hidden="true" customHeight="false" outlineLevel="0" collapsed="false">
      <c r="A7301" s="0" t="s">
        <v>253</v>
      </c>
      <c r="B7301" s="0" t="n">
        <v>31</v>
      </c>
      <c r="C7301" s="0" t="n">
        <v>1.75</v>
      </c>
      <c r="D7301" s="0" t="n">
        <v>0.194</v>
      </c>
    </row>
    <row r="7302" customFormat="false" ht="13.8" hidden="true" customHeight="false" outlineLevel="0" collapsed="false">
      <c r="A7302" s="0" t="s">
        <v>253</v>
      </c>
      <c r="B7302" s="0" t="n">
        <v>31</v>
      </c>
      <c r="C7302" s="0" t="n">
        <v>1.8</v>
      </c>
      <c r="D7302" s="0" t="n">
        <v>0.2</v>
      </c>
    </row>
    <row r="7303" customFormat="false" ht="13.8" hidden="true" customHeight="false" outlineLevel="0" collapsed="false">
      <c r="A7303" s="0" t="s">
        <v>253</v>
      </c>
      <c r="B7303" s="0" t="n">
        <v>31</v>
      </c>
      <c r="C7303" s="0" t="n">
        <v>1.85</v>
      </c>
      <c r="D7303" s="0" t="n">
        <v>0.206</v>
      </c>
    </row>
    <row r="7304" customFormat="false" ht="13.8" hidden="true" customHeight="false" outlineLevel="0" collapsed="false">
      <c r="A7304" s="0" t="s">
        <v>253</v>
      </c>
      <c r="B7304" s="0" t="n">
        <v>31</v>
      </c>
      <c r="C7304" s="0" t="n">
        <v>1.9</v>
      </c>
      <c r="D7304" s="0" t="n">
        <v>0.211</v>
      </c>
    </row>
    <row r="7305" customFormat="false" ht="13.8" hidden="true" customHeight="false" outlineLevel="0" collapsed="false">
      <c r="A7305" s="0" t="s">
        <v>253</v>
      </c>
      <c r="B7305" s="0" t="n">
        <v>31</v>
      </c>
      <c r="C7305" s="0" t="n">
        <v>1.95</v>
      </c>
      <c r="D7305" s="0" t="n">
        <v>0.217</v>
      </c>
    </row>
    <row r="7306" customFormat="false" ht="13.8" hidden="true" customHeight="false" outlineLevel="0" collapsed="false">
      <c r="A7306" s="0" t="s">
        <v>253</v>
      </c>
      <c r="B7306" s="0" t="n">
        <v>31</v>
      </c>
      <c r="C7306" s="0" t="n">
        <v>2</v>
      </c>
      <c r="D7306" s="0" t="n">
        <v>0</v>
      </c>
    </row>
    <row r="7307" customFormat="false" ht="13.8" hidden="true" customHeight="false" outlineLevel="0" collapsed="false">
      <c r="A7307" s="0" t="s">
        <v>253</v>
      </c>
      <c r="B7307" s="0" t="n">
        <v>31</v>
      </c>
      <c r="C7307" s="0" t="n">
        <v>2.05</v>
      </c>
      <c r="D7307" s="0" t="n">
        <v>0</v>
      </c>
    </row>
    <row r="7308" customFormat="false" ht="13.8" hidden="true" customHeight="false" outlineLevel="0" collapsed="false">
      <c r="A7308" s="0" t="s">
        <v>253</v>
      </c>
      <c r="B7308" s="0" t="n">
        <v>31</v>
      </c>
      <c r="C7308" s="0" t="n">
        <v>2.1</v>
      </c>
      <c r="D7308" s="0" t="n">
        <v>0</v>
      </c>
    </row>
    <row r="7309" customFormat="false" ht="13.8" hidden="true" customHeight="false" outlineLevel="0" collapsed="false">
      <c r="A7309" s="0" t="s">
        <v>253</v>
      </c>
      <c r="B7309" s="0" t="n">
        <v>31</v>
      </c>
      <c r="C7309" s="0" t="n">
        <v>2.15</v>
      </c>
      <c r="D7309" s="0" t="n">
        <v>0</v>
      </c>
    </row>
    <row r="7310" customFormat="false" ht="13.8" hidden="true" customHeight="false" outlineLevel="0" collapsed="false">
      <c r="A7310" s="0" t="s">
        <v>253</v>
      </c>
      <c r="B7310" s="0" t="n">
        <v>31</v>
      </c>
      <c r="C7310" s="0" t="n">
        <v>2.2</v>
      </c>
      <c r="D7310" s="0" t="n">
        <v>0</v>
      </c>
    </row>
    <row r="7311" customFormat="false" ht="13.8" hidden="true" customHeight="false" outlineLevel="0" collapsed="false">
      <c r="A7311" s="0" t="s">
        <v>253</v>
      </c>
      <c r="B7311" s="0" t="n">
        <v>31</v>
      </c>
      <c r="C7311" s="0" t="n">
        <v>2.25</v>
      </c>
      <c r="D7311" s="0" t="n">
        <v>0</v>
      </c>
    </row>
    <row r="7312" customFormat="false" ht="13.8" hidden="true" customHeight="false" outlineLevel="0" collapsed="false">
      <c r="A7312" s="0" t="s">
        <v>253</v>
      </c>
      <c r="B7312" s="0" t="n">
        <v>31</v>
      </c>
      <c r="C7312" s="0" t="n">
        <v>2.3</v>
      </c>
      <c r="D7312" s="0" t="n">
        <v>0</v>
      </c>
    </row>
    <row r="7313" customFormat="false" ht="13.8" hidden="true" customHeight="false" outlineLevel="0" collapsed="false">
      <c r="A7313" s="0" t="s">
        <v>253</v>
      </c>
      <c r="B7313" s="0" t="n">
        <v>31</v>
      </c>
      <c r="C7313" s="0" t="n">
        <v>2.35</v>
      </c>
      <c r="D7313" s="0" t="n">
        <v>0</v>
      </c>
    </row>
    <row r="7314" customFormat="false" ht="13.8" hidden="true" customHeight="false" outlineLevel="0" collapsed="false">
      <c r="A7314" s="0" t="s">
        <v>253</v>
      </c>
      <c r="B7314" s="0" t="n">
        <v>31</v>
      </c>
      <c r="C7314" s="0" t="n">
        <v>2.4</v>
      </c>
      <c r="D7314" s="0" t="n">
        <v>0</v>
      </c>
    </row>
    <row r="7315" customFormat="false" ht="13.8" hidden="true" customHeight="false" outlineLevel="0" collapsed="false">
      <c r="A7315" s="0" t="s">
        <v>253</v>
      </c>
      <c r="B7315" s="0" t="n">
        <v>31</v>
      </c>
      <c r="C7315" s="0" t="n">
        <v>2.45</v>
      </c>
      <c r="D7315" s="0" t="n">
        <v>0</v>
      </c>
    </row>
    <row r="7316" customFormat="false" ht="13.8" hidden="true" customHeight="false" outlineLevel="0" collapsed="false">
      <c r="A7316" s="0" t="s">
        <v>253</v>
      </c>
      <c r="B7316" s="0" t="n">
        <v>31</v>
      </c>
      <c r="C7316" s="0" t="n">
        <v>2.5</v>
      </c>
      <c r="D7316" s="0" t="n">
        <v>0</v>
      </c>
    </row>
    <row r="7317" customFormat="false" ht="13.8" hidden="true" customHeight="false" outlineLevel="0" collapsed="false">
      <c r="A7317" s="0" t="s">
        <v>253</v>
      </c>
      <c r="B7317" s="0" t="n">
        <v>31</v>
      </c>
      <c r="C7317" s="0" t="n">
        <v>2.55</v>
      </c>
      <c r="D7317" s="0" t="n">
        <v>0</v>
      </c>
    </row>
    <row r="7318" customFormat="false" ht="13.8" hidden="true" customHeight="false" outlineLevel="0" collapsed="false">
      <c r="A7318" s="0" t="s">
        <v>253</v>
      </c>
      <c r="B7318" s="0" t="n">
        <v>31</v>
      </c>
      <c r="C7318" s="0" t="n">
        <v>2.6</v>
      </c>
      <c r="D7318" s="0" t="n">
        <v>0</v>
      </c>
    </row>
    <row r="7319" customFormat="false" ht="13.8" hidden="true" customHeight="false" outlineLevel="0" collapsed="false">
      <c r="A7319" s="0" t="s">
        <v>955</v>
      </c>
      <c r="B7319" s="0" t="n">
        <v>26</v>
      </c>
      <c r="C7319" s="0" t="n">
        <v>1.3</v>
      </c>
      <c r="D7319" s="0" t="n">
        <v>0</v>
      </c>
    </row>
    <row r="7320" customFormat="false" ht="13.8" hidden="true" customHeight="false" outlineLevel="0" collapsed="false">
      <c r="A7320" s="0" t="s">
        <v>955</v>
      </c>
      <c r="B7320" s="0" t="n">
        <v>26</v>
      </c>
      <c r="C7320" s="0" t="n">
        <v>1.35</v>
      </c>
      <c r="D7320" s="0" t="n">
        <v>0</v>
      </c>
    </row>
    <row r="7321" customFormat="false" ht="13.8" hidden="true" customHeight="false" outlineLevel="0" collapsed="false">
      <c r="A7321" s="0" t="s">
        <v>955</v>
      </c>
      <c r="B7321" s="0" t="n">
        <v>26</v>
      </c>
      <c r="C7321" s="0" t="n">
        <v>1.4</v>
      </c>
      <c r="D7321" s="0" t="n">
        <v>0</v>
      </c>
    </row>
    <row r="7322" customFormat="false" ht="13.8" hidden="true" customHeight="false" outlineLevel="0" collapsed="false">
      <c r="A7322" s="0" t="s">
        <v>955</v>
      </c>
      <c r="B7322" s="0" t="n">
        <v>26</v>
      </c>
      <c r="C7322" s="0" t="n">
        <v>1.45</v>
      </c>
      <c r="D7322" s="0" t="n">
        <v>0</v>
      </c>
    </row>
    <row r="7323" customFormat="false" ht="13.8" hidden="true" customHeight="false" outlineLevel="0" collapsed="false">
      <c r="A7323" s="0" t="s">
        <v>955</v>
      </c>
      <c r="B7323" s="0" t="n">
        <v>26</v>
      </c>
      <c r="C7323" s="0" t="n">
        <v>1.5</v>
      </c>
      <c r="D7323" s="0" t="n">
        <v>0</v>
      </c>
    </row>
    <row r="7324" customFormat="false" ht="13.8" hidden="true" customHeight="false" outlineLevel="0" collapsed="false">
      <c r="A7324" s="0" t="s">
        <v>955</v>
      </c>
      <c r="B7324" s="0" t="n">
        <v>26</v>
      </c>
      <c r="C7324" s="0" t="n">
        <v>1.55</v>
      </c>
      <c r="D7324" s="0" t="n">
        <v>0</v>
      </c>
    </row>
    <row r="7325" customFormat="false" ht="13.8" hidden="true" customHeight="false" outlineLevel="0" collapsed="false">
      <c r="A7325" s="0" t="s">
        <v>955</v>
      </c>
      <c r="B7325" s="0" t="n">
        <v>26</v>
      </c>
      <c r="C7325" s="0" t="n">
        <v>1.6</v>
      </c>
      <c r="D7325" s="0" t="n">
        <v>0.085</v>
      </c>
    </row>
    <row r="7326" customFormat="false" ht="13.8" hidden="true" customHeight="false" outlineLevel="0" collapsed="false">
      <c r="A7326" s="0" t="s">
        <v>955</v>
      </c>
      <c r="B7326" s="0" t="n">
        <v>26</v>
      </c>
      <c r="C7326" s="0" t="n">
        <v>1.65</v>
      </c>
      <c r="D7326" s="0" t="n">
        <v>0.088</v>
      </c>
    </row>
    <row r="7327" customFormat="false" ht="13.8" hidden="true" customHeight="false" outlineLevel="0" collapsed="false">
      <c r="A7327" s="0" t="s">
        <v>955</v>
      </c>
      <c r="B7327" s="0" t="n">
        <v>26</v>
      </c>
      <c r="C7327" s="0" t="n">
        <v>1.7</v>
      </c>
      <c r="D7327" s="0" t="n">
        <v>0.091</v>
      </c>
    </row>
    <row r="7328" customFormat="false" ht="13.8" hidden="true" customHeight="false" outlineLevel="0" collapsed="false">
      <c r="A7328" s="0" t="s">
        <v>955</v>
      </c>
      <c r="B7328" s="0" t="n">
        <v>26</v>
      </c>
      <c r="C7328" s="0" t="n">
        <v>1.75</v>
      </c>
      <c r="D7328" s="0" t="n">
        <v>0.093</v>
      </c>
    </row>
    <row r="7329" customFormat="false" ht="13.8" hidden="true" customHeight="false" outlineLevel="0" collapsed="false">
      <c r="A7329" s="0" t="s">
        <v>955</v>
      </c>
      <c r="B7329" s="0" t="n">
        <v>26</v>
      </c>
      <c r="C7329" s="0" t="n">
        <v>1.8</v>
      </c>
      <c r="D7329" s="0" t="n">
        <v>0.093</v>
      </c>
    </row>
    <row r="7330" customFormat="false" ht="13.8" hidden="true" customHeight="false" outlineLevel="0" collapsed="false">
      <c r="A7330" s="0" t="s">
        <v>955</v>
      </c>
      <c r="B7330" s="0" t="n">
        <v>26</v>
      </c>
      <c r="C7330" s="0" t="n">
        <v>1.85</v>
      </c>
      <c r="D7330" s="0" t="n">
        <v>0.096</v>
      </c>
    </row>
    <row r="7331" customFormat="false" ht="13.8" hidden="true" customHeight="false" outlineLevel="0" collapsed="false">
      <c r="A7331" s="0" t="s">
        <v>955</v>
      </c>
      <c r="B7331" s="0" t="n">
        <v>26</v>
      </c>
      <c r="C7331" s="0" t="n">
        <v>1.9</v>
      </c>
      <c r="D7331" s="0" t="n">
        <v>0.098</v>
      </c>
    </row>
    <row r="7332" customFormat="false" ht="13.8" hidden="true" customHeight="false" outlineLevel="0" collapsed="false">
      <c r="A7332" s="0" t="s">
        <v>955</v>
      </c>
      <c r="B7332" s="0" t="n">
        <v>26</v>
      </c>
      <c r="C7332" s="0" t="n">
        <v>1.95</v>
      </c>
      <c r="D7332" s="0" t="n">
        <v>0.101</v>
      </c>
    </row>
    <row r="7333" customFormat="false" ht="13.8" hidden="true" customHeight="false" outlineLevel="0" collapsed="false">
      <c r="A7333" s="0" t="s">
        <v>955</v>
      </c>
      <c r="B7333" s="0" t="n">
        <v>26</v>
      </c>
      <c r="C7333" s="0" t="n">
        <v>2</v>
      </c>
      <c r="D7333" s="0" t="n">
        <v>0.1</v>
      </c>
    </row>
    <row r="7334" customFormat="false" ht="13.8" hidden="true" customHeight="false" outlineLevel="0" collapsed="false">
      <c r="A7334" s="0" t="s">
        <v>955</v>
      </c>
      <c r="B7334" s="0" t="n">
        <v>26</v>
      </c>
      <c r="C7334" s="0" t="n">
        <v>2.05</v>
      </c>
      <c r="D7334" s="0" t="n">
        <v>0.103</v>
      </c>
    </row>
    <row r="7335" customFormat="false" ht="13.8" hidden="true" customHeight="false" outlineLevel="0" collapsed="false">
      <c r="A7335" s="0" t="s">
        <v>955</v>
      </c>
      <c r="B7335" s="0" t="n">
        <v>26</v>
      </c>
      <c r="C7335" s="0" t="n">
        <v>2.1</v>
      </c>
      <c r="D7335" s="0" t="n">
        <v>0.105</v>
      </c>
    </row>
    <row r="7336" customFormat="false" ht="13.8" hidden="true" customHeight="false" outlineLevel="0" collapsed="false">
      <c r="A7336" s="0" t="s">
        <v>955</v>
      </c>
      <c r="B7336" s="0" t="n">
        <v>26</v>
      </c>
      <c r="C7336" s="0" t="n">
        <v>2.15</v>
      </c>
      <c r="D7336" s="0" t="n">
        <v>0.107937556</v>
      </c>
    </row>
    <row r="7337" customFormat="false" ht="13.8" hidden="true" customHeight="false" outlineLevel="0" collapsed="false">
      <c r="A7337" s="0" t="s">
        <v>955</v>
      </c>
      <c r="B7337" s="0" t="n">
        <v>26</v>
      </c>
      <c r="C7337" s="0" t="n">
        <v>2.2</v>
      </c>
      <c r="D7337" s="0" t="n">
        <v>0.112687139</v>
      </c>
    </row>
    <row r="7338" customFormat="false" ht="13.8" hidden="true" customHeight="false" outlineLevel="0" collapsed="false">
      <c r="A7338" s="0" t="s">
        <v>955</v>
      </c>
      <c r="B7338" s="0" t="n">
        <v>26</v>
      </c>
      <c r="C7338" s="0" t="n">
        <v>2.25</v>
      </c>
      <c r="D7338" s="0" t="n">
        <v>0.11524821</v>
      </c>
    </row>
    <row r="7339" customFormat="false" ht="13.8" hidden="true" customHeight="false" outlineLevel="0" collapsed="false">
      <c r="A7339" s="0" t="s">
        <v>955</v>
      </c>
      <c r="B7339" s="0" t="n">
        <v>26</v>
      </c>
      <c r="C7339" s="0" t="n">
        <v>2.3</v>
      </c>
      <c r="D7339" s="0" t="n">
        <v>0.117809281</v>
      </c>
    </row>
    <row r="7340" customFormat="false" ht="13.8" hidden="true" customHeight="false" outlineLevel="0" collapsed="false">
      <c r="A7340" s="0" t="s">
        <v>955</v>
      </c>
      <c r="B7340" s="0" t="n">
        <v>26</v>
      </c>
      <c r="C7340" s="0" t="n">
        <v>2.35</v>
      </c>
      <c r="D7340" s="0" t="n">
        <v>0.120370353</v>
      </c>
    </row>
    <row r="7341" customFormat="false" ht="13.8" hidden="true" customHeight="false" outlineLevel="0" collapsed="false">
      <c r="A7341" s="0" t="s">
        <v>955</v>
      </c>
      <c r="B7341" s="0" t="n">
        <v>26</v>
      </c>
      <c r="C7341" s="0" t="n">
        <v>2.4</v>
      </c>
      <c r="D7341" s="0" t="n">
        <v>0.122931424</v>
      </c>
    </row>
    <row r="7342" customFormat="false" ht="13.8" hidden="true" customHeight="false" outlineLevel="0" collapsed="false">
      <c r="A7342" s="0" t="s">
        <v>955</v>
      </c>
      <c r="B7342" s="0" t="n">
        <v>26</v>
      </c>
      <c r="C7342" s="0" t="n">
        <v>2.45</v>
      </c>
      <c r="D7342" s="0" t="n">
        <v>0.125492495</v>
      </c>
    </row>
    <row r="7343" customFormat="false" ht="13.8" hidden="true" customHeight="false" outlineLevel="0" collapsed="false">
      <c r="A7343" s="0" t="s">
        <v>955</v>
      </c>
      <c r="B7343" s="0" t="n">
        <v>26</v>
      </c>
      <c r="C7343" s="0" t="n">
        <v>2.5</v>
      </c>
      <c r="D7343" s="0" t="n">
        <v>0.128053567</v>
      </c>
    </row>
    <row r="7344" customFormat="false" ht="13.8" hidden="true" customHeight="false" outlineLevel="0" collapsed="false">
      <c r="A7344" s="0" t="s">
        <v>955</v>
      </c>
      <c r="B7344" s="0" t="n">
        <v>26</v>
      </c>
      <c r="C7344" s="0" t="n">
        <v>2.55</v>
      </c>
      <c r="D7344" s="0" t="n">
        <v>0.130614638</v>
      </c>
    </row>
    <row r="7345" customFormat="false" ht="13.8" hidden="true" customHeight="false" outlineLevel="0" collapsed="false">
      <c r="A7345" s="0" t="s">
        <v>955</v>
      </c>
      <c r="B7345" s="0" t="n">
        <v>26</v>
      </c>
      <c r="C7345" s="0" t="n">
        <v>2.6</v>
      </c>
      <c r="D7345" s="0" t="n">
        <v>0.133175709</v>
      </c>
    </row>
    <row r="7346" customFormat="false" ht="13.8" hidden="true" customHeight="false" outlineLevel="0" collapsed="false">
      <c r="A7346" s="0" t="s">
        <v>955</v>
      </c>
      <c r="B7346" s="0" t="n">
        <v>30</v>
      </c>
      <c r="C7346" s="0" t="n">
        <v>1.3</v>
      </c>
      <c r="D7346" s="0" t="n">
        <v>0</v>
      </c>
    </row>
    <row r="7347" customFormat="false" ht="13.8" hidden="true" customHeight="false" outlineLevel="0" collapsed="false">
      <c r="A7347" s="0" t="s">
        <v>955</v>
      </c>
      <c r="B7347" s="0" t="n">
        <v>30</v>
      </c>
      <c r="C7347" s="0" t="n">
        <v>1.35</v>
      </c>
      <c r="D7347" s="0" t="n">
        <v>0</v>
      </c>
    </row>
    <row r="7348" customFormat="false" ht="13.8" hidden="true" customHeight="false" outlineLevel="0" collapsed="false">
      <c r="A7348" s="0" t="s">
        <v>955</v>
      </c>
      <c r="B7348" s="0" t="n">
        <v>30</v>
      </c>
      <c r="C7348" s="0" t="n">
        <v>1.4</v>
      </c>
      <c r="D7348" s="0" t="n">
        <v>0</v>
      </c>
    </row>
    <row r="7349" customFormat="false" ht="13.8" hidden="true" customHeight="false" outlineLevel="0" collapsed="false">
      <c r="A7349" s="0" t="s">
        <v>955</v>
      </c>
      <c r="B7349" s="0" t="n">
        <v>30</v>
      </c>
      <c r="C7349" s="0" t="n">
        <v>1.45</v>
      </c>
      <c r="D7349" s="0" t="n">
        <v>0</v>
      </c>
    </row>
    <row r="7350" customFormat="false" ht="13.8" hidden="true" customHeight="false" outlineLevel="0" collapsed="false">
      <c r="A7350" s="0" t="s">
        <v>955</v>
      </c>
      <c r="B7350" s="0" t="n">
        <v>30</v>
      </c>
      <c r="C7350" s="0" t="n">
        <v>1.5</v>
      </c>
      <c r="D7350" s="0" t="n">
        <v>0</v>
      </c>
    </row>
    <row r="7351" customFormat="false" ht="13.8" hidden="true" customHeight="false" outlineLevel="0" collapsed="false">
      <c r="A7351" s="0" t="s">
        <v>955</v>
      </c>
      <c r="B7351" s="0" t="n">
        <v>30</v>
      </c>
      <c r="C7351" s="0" t="n">
        <v>1.55</v>
      </c>
      <c r="D7351" s="0" t="n">
        <v>0</v>
      </c>
    </row>
    <row r="7352" customFormat="false" ht="13.8" hidden="true" customHeight="false" outlineLevel="0" collapsed="false">
      <c r="A7352" s="0" t="s">
        <v>955</v>
      </c>
      <c r="B7352" s="0" t="n">
        <v>30</v>
      </c>
      <c r="C7352" s="0" t="n">
        <v>1.6</v>
      </c>
      <c r="D7352" s="0" t="n">
        <v>0.085</v>
      </c>
    </row>
    <row r="7353" customFormat="false" ht="13.8" hidden="true" customHeight="false" outlineLevel="0" collapsed="false">
      <c r="A7353" s="0" t="s">
        <v>955</v>
      </c>
      <c r="B7353" s="0" t="n">
        <v>30</v>
      </c>
      <c r="C7353" s="0" t="n">
        <v>1.65</v>
      </c>
      <c r="D7353" s="0" t="n">
        <v>0.088</v>
      </c>
    </row>
    <row r="7354" customFormat="false" ht="13.8" hidden="true" customHeight="false" outlineLevel="0" collapsed="false">
      <c r="A7354" s="0" t="s">
        <v>955</v>
      </c>
      <c r="B7354" s="0" t="n">
        <v>30</v>
      </c>
      <c r="C7354" s="0" t="n">
        <v>1.7</v>
      </c>
      <c r="D7354" s="0" t="n">
        <v>0.091</v>
      </c>
    </row>
    <row r="7355" customFormat="false" ht="13.8" hidden="true" customHeight="false" outlineLevel="0" collapsed="false">
      <c r="A7355" s="0" t="s">
        <v>955</v>
      </c>
      <c r="B7355" s="0" t="n">
        <v>30</v>
      </c>
      <c r="C7355" s="0" t="n">
        <v>1.75</v>
      </c>
      <c r="D7355" s="0" t="n">
        <v>0.093</v>
      </c>
    </row>
    <row r="7356" customFormat="false" ht="13.8" hidden="true" customHeight="false" outlineLevel="0" collapsed="false">
      <c r="A7356" s="0" t="s">
        <v>955</v>
      </c>
      <c r="B7356" s="0" t="n">
        <v>30</v>
      </c>
      <c r="C7356" s="0" t="n">
        <v>1.8</v>
      </c>
      <c r="D7356" s="0" t="n">
        <v>0.093</v>
      </c>
    </row>
    <row r="7357" customFormat="false" ht="13.8" hidden="true" customHeight="false" outlineLevel="0" collapsed="false">
      <c r="A7357" s="0" t="s">
        <v>955</v>
      </c>
      <c r="B7357" s="0" t="n">
        <v>30</v>
      </c>
      <c r="C7357" s="0" t="n">
        <v>1.85</v>
      </c>
      <c r="D7357" s="0" t="n">
        <v>0.096</v>
      </c>
    </row>
    <row r="7358" customFormat="false" ht="13.8" hidden="true" customHeight="false" outlineLevel="0" collapsed="false">
      <c r="A7358" s="0" t="s">
        <v>955</v>
      </c>
      <c r="B7358" s="0" t="n">
        <v>30</v>
      </c>
      <c r="C7358" s="0" t="n">
        <v>1.9</v>
      </c>
      <c r="D7358" s="0" t="n">
        <v>0.098</v>
      </c>
    </row>
    <row r="7359" customFormat="false" ht="13.8" hidden="true" customHeight="false" outlineLevel="0" collapsed="false">
      <c r="A7359" s="0" t="s">
        <v>955</v>
      </c>
      <c r="B7359" s="0" t="n">
        <v>30</v>
      </c>
      <c r="C7359" s="0" t="n">
        <v>1.95</v>
      </c>
      <c r="D7359" s="0" t="n">
        <v>0.101</v>
      </c>
    </row>
    <row r="7360" customFormat="false" ht="13.8" hidden="true" customHeight="false" outlineLevel="0" collapsed="false">
      <c r="A7360" s="0" t="s">
        <v>955</v>
      </c>
      <c r="B7360" s="0" t="n">
        <v>30</v>
      </c>
      <c r="C7360" s="0" t="n">
        <v>2</v>
      </c>
      <c r="D7360" s="0" t="n">
        <v>0.1</v>
      </c>
    </row>
    <row r="7361" customFormat="false" ht="13.8" hidden="true" customHeight="false" outlineLevel="0" collapsed="false">
      <c r="A7361" s="0" t="s">
        <v>955</v>
      </c>
      <c r="B7361" s="0" t="n">
        <v>30</v>
      </c>
      <c r="C7361" s="0" t="n">
        <v>2.05</v>
      </c>
      <c r="D7361" s="0" t="n">
        <v>0.103</v>
      </c>
    </row>
    <row r="7362" customFormat="false" ht="13.8" hidden="true" customHeight="false" outlineLevel="0" collapsed="false">
      <c r="A7362" s="0" t="s">
        <v>955</v>
      </c>
      <c r="B7362" s="0" t="n">
        <v>30</v>
      </c>
      <c r="C7362" s="0" t="n">
        <v>2.1</v>
      </c>
      <c r="D7362" s="0" t="n">
        <v>0.105</v>
      </c>
    </row>
    <row r="7363" customFormat="false" ht="13.8" hidden="true" customHeight="false" outlineLevel="0" collapsed="false">
      <c r="A7363" s="0" t="s">
        <v>955</v>
      </c>
      <c r="B7363" s="0" t="n">
        <v>30</v>
      </c>
      <c r="C7363" s="0" t="n">
        <v>2.15</v>
      </c>
      <c r="D7363" s="0" t="n">
        <v>0.107937556</v>
      </c>
    </row>
    <row r="7364" customFormat="false" ht="13.8" hidden="true" customHeight="false" outlineLevel="0" collapsed="false">
      <c r="A7364" s="0" t="s">
        <v>955</v>
      </c>
      <c r="B7364" s="0" t="n">
        <v>30</v>
      </c>
      <c r="C7364" s="0" t="n">
        <v>2.2</v>
      </c>
      <c r="D7364" s="0" t="n">
        <v>0.112687139</v>
      </c>
    </row>
    <row r="7365" customFormat="false" ht="13.8" hidden="true" customHeight="false" outlineLevel="0" collapsed="false">
      <c r="A7365" s="0" t="s">
        <v>955</v>
      </c>
      <c r="B7365" s="0" t="n">
        <v>30</v>
      </c>
      <c r="C7365" s="0" t="n">
        <v>2.25</v>
      </c>
      <c r="D7365" s="0" t="n">
        <v>0.11524821</v>
      </c>
    </row>
    <row r="7366" customFormat="false" ht="13.8" hidden="true" customHeight="false" outlineLevel="0" collapsed="false">
      <c r="A7366" s="0" t="s">
        <v>955</v>
      </c>
      <c r="B7366" s="0" t="n">
        <v>30</v>
      </c>
      <c r="C7366" s="0" t="n">
        <v>2.3</v>
      </c>
      <c r="D7366" s="0" t="n">
        <v>0.117809281</v>
      </c>
    </row>
    <row r="7367" customFormat="false" ht="13.8" hidden="true" customHeight="false" outlineLevel="0" collapsed="false">
      <c r="A7367" s="0" t="s">
        <v>955</v>
      </c>
      <c r="B7367" s="0" t="n">
        <v>30</v>
      </c>
      <c r="C7367" s="0" t="n">
        <v>2.35</v>
      </c>
      <c r="D7367" s="0" t="n">
        <v>0.120370353</v>
      </c>
    </row>
    <row r="7368" customFormat="false" ht="13.8" hidden="true" customHeight="false" outlineLevel="0" collapsed="false">
      <c r="A7368" s="0" t="s">
        <v>955</v>
      </c>
      <c r="B7368" s="0" t="n">
        <v>30</v>
      </c>
      <c r="C7368" s="0" t="n">
        <v>2.4</v>
      </c>
      <c r="D7368" s="0" t="n">
        <v>0.122931424</v>
      </c>
    </row>
    <row r="7369" customFormat="false" ht="13.8" hidden="true" customHeight="false" outlineLevel="0" collapsed="false">
      <c r="A7369" s="0" t="s">
        <v>955</v>
      </c>
      <c r="B7369" s="0" t="n">
        <v>30</v>
      </c>
      <c r="C7369" s="0" t="n">
        <v>2.45</v>
      </c>
      <c r="D7369" s="0" t="n">
        <v>0.125492495</v>
      </c>
    </row>
    <row r="7370" customFormat="false" ht="13.8" hidden="true" customHeight="false" outlineLevel="0" collapsed="false">
      <c r="A7370" s="0" t="s">
        <v>955</v>
      </c>
      <c r="B7370" s="0" t="n">
        <v>30</v>
      </c>
      <c r="C7370" s="0" t="n">
        <v>2.5</v>
      </c>
      <c r="D7370" s="0" t="n">
        <v>0.128053567</v>
      </c>
    </row>
    <row r="7371" customFormat="false" ht="13.8" hidden="true" customHeight="false" outlineLevel="0" collapsed="false">
      <c r="A7371" s="0" t="s">
        <v>955</v>
      </c>
      <c r="B7371" s="0" t="n">
        <v>30</v>
      </c>
      <c r="C7371" s="0" t="n">
        <v>2.55</v>
      </c>
      <c r="D7371" s="0" t="n">
        <v>0.130614638</v>
      </c>
    </row>
    <row r="7372" customFormat="false" ht="13.8" hidden="true" customHeight="false" outlineLevel="0" collapsed="false">
      <c r="A7372" s="0" t="s">
        <v>955</v>
      </c>
      <c r="B7372" s="0" t="n">
        <v>30</v>
      </c>
      <c r="C7372" s="0" t="n">
        <v>2.6</v>
      </c>
      <c r="D7372" s="0" t="n">
        <v>0.133175709</v>
      </c>
    </row>
    <row r="7373" customFormat="false" ht="13.8" hidden="true" customHeight="false" outlineLevel="0" collapsed="false">
      <c r="A7373" s="0" t="s">
        <v>955</v>
      </c>
      <c r="B7373" s="0" t="n">
        <v>31</v>
      </c>
      <c r="C7373" s="0" t="n">
        <v>1.3</v>
      </c>
      <c r="D7373" s="0" t="n">
        <v>0</v>
      </c>
    </row>
    <row r="7374" customFormat="false" ht="13.8" hidden="true" customHeight="false" outlineLevel="0" collapsed="false">
      <c r="A7374" s="0" t="s">
        <v>955</v>
      </c>
      <c r="B7374" s="0" t="n">
        <v>31</v>
      </c>
      <c r="C7374" s="0" t="n">
        <v>1.35</v>
      </c>
      <c r="D7374" s="0" t="n">
        <v>0</v>
      </c>
    </row>
    <row r="7375" customFormat="false" ht="13.8" hidden="true" customHeight="false" outlineLevel="0" collapsed="false">
      <c r="A7375" s="0" t="s">
        <v>955</v>
      </c>
      <c r="B7375" s="0" t="n">
        <v>31</v>
      </c>
      <c r="C7375" s="0" t="n">
        <v>1.4</v>
      </c>
      <c r="D7375" s="0" t="n">
        <v>0</v>
      </c>
    </row>
    <row r="7376" customFormat="false" ht="13.8" hidden="true" customHeight="false" outlineLevel="0" collapsed="false">
      <c r="A7376" s="0" t="s">
        <v>955</v>
      </c>
      <c r="B7376" s="0" t="n">
        <v>31</v>
      </c>
      <c r="C7376" s="0" t="n">
        <v>1.45</v>
      </c>
      <c r="D7376" s="0" t="n">
        <v>0</v>
      </c>
    </row>
    <row r="7377" customFormat="false" ht="13.8" hidden="true" customHeight="false" outlineLevel="0" collapsed="false">
      <c r="A7377" s="0" t="s">
        <v>955</v>
      </c>
      <c r="B7377" s="0" t="n">
        <v>31</v>
      </c>
      <c r="C7377" s="0" t="n">
        <v>1.5</v>
      </c>
      <c r="D7377" s="0" t="n">
        <v>0</v>
      </c>
    </row>
    <row r="7378" customFormat="false" ht="13.8" hidden="true" customHeight="false" outlineLevel="0" collapsed="false">
      <c r="A7378" s="0" t="s">
        <v>955</v>
      </c>
      <c r="B7378" s="0" t="n">
        <v>31</v>
      </c>
      <c r="C7378" s="0" t="n">
        <v>1.55</v>
      </c>
      <c r="D7378" s="0" t="n">
        <v>0</v>
      </c>
    </row>
    <row r="7379" customFormat="false" ht="13.8" hidden="true" customHeight="false" outlineLevel="0" collapsed="false">
      <c r="A7379" s="0" t="s">
        <v>955</v>
      </c>
      <c r="B7379" s="0" t="n">
        <v>31</v>
      </c>
      <c r="C7379" s="0" t="n">
        <v>1.6</v>
      </c>
      <c r="D7379" s="0" t="n">
        <v>0.085</v>
      </c>
    </row>
    <row r="7380" customFormat="false" ht="13.8" hidden="true" customHeight="false" outlineLevel="0" collapsed="false">
      <c r="A7380" s="0" t="s">
        <v>955</v>
      </c>
      <c r="B7380" s="0" t="n">
        <v>31</v>
      </c>
      <c r="C7380" s="0" t="n">
        <v>1.65</v>
      </c>
      <c r="D7380" s="0" t="n">
        <v>0.088</v>
      </c>
    </row>
    <row r="7381" customFormat="false" ht="13.8" hidden="true" customHeight="false" outlineLevel="0" collapsed="false">
      <c r="A7381" s="0" t="s">
        <v>955</v>
      </c>
      <c r="B7381" s="0" t="n">
        <v>31</v>
      </c>
      <c r="C7381" s="0" t="n">
        <v>1.7</v>
      </c>
      <c r="D7381" s="0" t="n">
        <v>0.091</v>
      </c>
    </row>
    <row r="7382" customFormat="false" ht="13.8" hidden="true" customHeight="false" outlineLevel="0" collapsed="false">
      <c r="A7382" s="0" t="s">
        <v>955</v>
      </c>
      <c r="B7382" s="0" t="n">
        <v>31</v>
      </c>
      <c r="C7382" s="0" t="n">
        <v>1.75</v>
      </c>
      <c r="D7382" s="0" t="n">
        <v>0.093</v>
      </c>
    </row>
    <row r="7383" customFormat="false" ht="13.8" hidden="true" customHeight="false" outlineLevel="0" collapsed="false">
      <c r="A7383" s="0" t="s">
        <v>955</v>
      </c>
      <c r="B7383" s="0" t="n">
        <v>31</v>
      </c>
      <c r="C7383" s="0" t="n">
        <v>1.8</v>
      </c>
      <c r="D7383" s="0" t="n">
        <v>0.093</v>
      </c>
    </row>
    <row r="7384" customFormat="false" ht="13.8" hidden="true" customHeight="false" outlineLevel="0" collapsed="false">
      <c r="A7384" s="0" t="s">
        <v>955</v>
      </c>
      <c r="B7384" s="0" t="n">
        <v>31</v>
      </c>
      <c r="C7384" s="0" t="n">
        <v>1.85</v>
      </c>
      <c r="D7384" s="0" t="n">
        <v>0.096</v>
      </c>
    </row>
    <row r="7385" customFormat="false" ht="13.8" hidden="true" customHeight="false" outlineLevel="0" collapsed="false">
      <c r="A7385" s="0" t="s">
        <v>955</v>
      </c>
      <c r="B7385" s="0" t="n">
        <v>31</v>
      </c>
      <c r="C7385" s="0" t="n">
        <v>1.9</v>
      </c>
      <c r="D7385" s="0" t="n">
        <v>0.098</v>
      </c>
    </row>
    <row r="7386" customFormat="false" ht="13.8" hidden="true" customHeight="false" outlineLevel="0" collapsed="false">
      <c r="A7386" s="0" t="s">
        <v>955</v>
      </c>
      <c r="B7386" s="0" t="n">
        <v>31</v>
      </c>
      <c r="C7386" s="0" t="n">
        <v>1.95</v>
      </c>
      <c r="D7386" s="0" t="n">
        <v>0.101</v>
      </c>
    </row>
    <row r="7387" customFormat="false" ht="13.8" hidden="true" customHeight="false" outlineLevel="0" collapsed="false">
      <c r="A7387" s="0" t="s">
        <v>955</v>
      </c>
      <c r="B7387" s="0" t="n">
        <v>31</v>
      </c>
      <c r="C7387" s="0" t="n">
        <v>2</v>
      </c>
      <c r="D7387" s="0" t="n">
        <v>0.1</v>
      </c>
    </row>
    <row r="7388" customFormat="false" ht="13.8" hidden="true" customHeight="false" outlineLevel="0" collapsed="false">
      <c r="A7388" s="0" t="s">
        <v>955</v>
      </c>
      <c r="B7388" s="0" t="n">
        <v>31</v>
      </c>
      <c r="C7388" s="0" t="n">
        <v>2.05</v>
      </c>
      <c r="D7388" s="0" t="n">
        <v>0.103</v>
      </c>
    </row>
    <row r="7389" customFormat="false" ht="13.8" hidden="true" customHeight="false" outlineLevel="0" collapsed="false">
      <c r="A7389" s="0" t="s">
        <v>955</v>
      </c>
      <c r="B7389" s="0" t="n">
        <v>31</v>
      </c>
      <c r="C7389" s="0" t="n">
        <v>2.1</v>
      </c>
      <c r="D7389" s="0" t="n">
        <v>0.105</v>
      </c>
    </row>
    <row r="7390" customFormat="false" ht="13.8" hidden="true" customHeight="false" outlineLevel="0" collapsed="false">
      <c r="A7390" s="0" t="s">
        <v>955</v>
      </c>
      <c r="B7390" s="0" t="n">
        <v>31</v>
      </c>
      <c r="C7390" s="0" t="n">
        <v>2.15</v>
      </c>
      <c r="D7390" s="0" t="n">
        <v>0.107937556</v>
      </c>
    </row>
    <row r="7391" customFormat="false" ht="13.8" hidden="true" customHeight="false" outlineLevel="0" collapsed="false">
      <c r="A7391" s="0" t="s">
        <v>955</v>
      </c>
      <c r="B7391" s="0" t="n">
        <v>31</v>
      </c>
      <c r="C7391" s="0" t="n">
        <v>2.2</v>
      </c>
      <c r="D7391" s="0" t="n">
        <v>0.112687139</v>
      </c>
    </row>
    <row r="7392" customFormat="false" ht="13.8" hidden="true" customHeight="false" outlineLevel="0" collapsed="false">
      <c r="A7392" s="0" t="s">
        <v>955</v>
      </c>
      <c r="B7392" s="0" t="n">
        <v>31</v>
      </c>
      <c r="C7392" s="0" t="n">
        <v>2.25</v>
      </c>
      <c r="D7392" s="0" t="n">
        <v>0.11524821</v>
      </c>
    </row>
    <row r="7393" customFormat="false" ht="13.8" hidden="true" customHeight="false" outlineLevel="0" collapsed="false">
      <c r="A7393" s="0" t="s">
        <v>955</v>
      </c>
      <c r="B7393" s="0" t="n">
        <v>31</v>
      </c>
      <c r="C7393" s="0" t="n">
        <v>2.3</v>
      </c>
      <c r="D7393" s="0" t="n">
        <v>0.117809281</v>
      </c>
    </row>
    <row r="7394" customFormat="false" ht="13.8" hidden="true" customHeight="false" outlineLevel="0" collapsed="false">
      <c r="A7394" s="0" t="s">
        <v>955</v>
      </c>
      <c r="B7394" s="0" t="n">
        <v>31</v>
      </c>
      <c r="C7394" s="0" t="n">
        <v>2.35</v>
      </c>
      <c r="D7394" s="0" t="n">
        <v>0.120370353</v>
      </c>
    </row>
    <row r="7395" customFormat="false" ht="13.8" hidden="true" customHeight="false" outlineLevel="0" collapsed="false">
      <c r="A7395" s="0" t="s">
        <v>955</v>
      </c>
      <c r="B7395" s="0" t="n">
        <v>31</v>
      </c>
      <c r="C7395" s="0" t="n">
        <v>2.4</v>
      </c>
      <c r="D7395" s="0" t="n">
        <v>0.122931424</v>
      </c>
    </row>
    <row r="7396" customFormat="false" ht="13.8" hidden="true" customHeight="false" outlineLevel="0" collapsed="false">
      <c r="A7396" s="0" t="s">
        <v>955</v>
      </c>
      <c r="B7396" s="0" t="n">
        <v>31</v>
      </c>
      <c r="C7396" s="0" t="n">
        <v>2.45</v>
      </c>
      <c r="D7396" s="0" t="n">
        <v>0.125492495</v>
      </c>
    </row>
    <row r="7397" customFormat="false" ht="13.8" hidden="true" customHeight="false" outlineLevel="0" collapsed="false">
      <c r="A7397" s="0" t="s">
        <v>955</v>
      </c>
      <c r="B7397" s="0" t="n">
        <v>31</v>
      </c>
      <c r="C7397" s="0" t="n">
        <v>2.5</v>
      </c>
      <c r="D7397" s="0" t="n">
        <v>0.128053567</v>
      </c>
    </row>
    <row r="7398" customFormat="false" ht="13.8" hidden="true" customHeight="false" outlineLevel="0" collapsed="false">
      <c r="A7398" s="0" t="s">
        <v>955</v>
      </c>
      <c r="B7398" s="0" t="n">
        <v>31</v>
      </c>
      <c r="C7398" s="0" t="n">
        <v>2.55</v>
      </c>
      <c r="D7398" s="0" t="n">
        <v>0.130614638</v>
      </c>
    </row>
    <row r="7399" customFormat="false" ht="13.8" hidden="true" customHeight="false" outlineLevel="0" collapsed="false">
      <c r="A7399" s="0" t="s">
        <v>955</v>
      </c>
      <c r="B7399" s="0" t="n">
        <v>31</v>
      </c>
      <c r="C7399" s="0" t="n">
        <v>2.6</v>
      </c>
      <c r="D7399" s="0" t="n">
        <v>0.133175709</v>
      </c>
    </row>
    <row r="7400" customFormat="false" ht="13.8" hidden="true" customHeight="false" outlineLevel="0" collapsed="false">
      <c r="A7400" s="0" t="s">
        <v>958</v>
      </c>
      <c r="B7400" s="0" t="n">
        <v>26</v>
      </c>
      <c r="C7400" s="0" t="n">
        <v>1.3</v>
      </c>
      <c r="D7400" s="0" t="n">
        <v>0</v>
      </c>
    </row>
    <row r="7401" customFormat="false" ht="13.8" hidden="true" customHeight="false" outlineLevel="0" collapsed="false">
      <c r="A7401" s="0" t="s">
        <v>958</v>
      </c>
      <c r="B7401" s="0" t="n">
        <v>26</v>
      </c>
      <c r="C7401" s="0" t="n">
        <v>1.35</v>
      </c>
      <c r="D7401" s="0" t="n">
        <v>0</v>
      </c>
    </row>
    <row r="7402" customFormat="false" ht="13.8" hidden="true" customHeight="false" outlineLevel="0" collapsed="false">
      <c r="A7402" s="0" t="s">
        <v>958</v>
      </c>
      <c r="B7402" s="0" t="n">
        <v>26</v>
      </c>
      <c r="C7402" s="0" t="n">
        <v>1.4</v>
      </c>
      <c r="D7402" s="0" t="n">
        <v>0</v>
      </c>
    </row>
    <row r="7403" customFormat="false" ht="13.8" hidden="true" customHeight="false" outlineLevel="0" collapsed="false">
      <c r="A7403" s="0" t="s">
        <v>958</v>
      </c>
      <c r="B7403" s="0" t="n">
        <v>26</v>
      </c>
      <c r="C7403" s="0" t="n">
        <v>1.45</v>
      </c>
      <c r="D7403" s="0" t="n">
        <v>0</v>
      </c>
    </row>
    <row r="7404" customFormat="false" ht="13.8" hidden="true" customHeight="false" outlineLevel="0" collapsed="false">
      <c r="A7404" s="0" t="s">
        <v>958</v>
      </c>
      <c r="B7404" s="0" t="n">
        <v>26</v>
      </c>
      <c r="C7404" s="0" t="n">
        <v>1.5</v>
      </c>
      <c r="D7404" s="0" t="n">
        <v>0</v>
      </c>
    </row>
    <row r="7405" customFormat="false" ht="13.8" hidden="true" customHeight="false" outlineLevel="0" collapsed="false">
      <c r="A7405" s="0" t="s">
        <v>958</v>
      </c>
      <c r="B7405" s="0" t="n">
        <v>26</v>
      </c>
      <c r="C7405" s="0" t="n">
        <v>1.55</v>
      </c>
      <c r="D7405" s="0" t="n">
        <v>0</v>
      </c>
    </row>
    <row r="7406" customFormat="false" ht="13.8" hidden="true" customHeight="false" outlineLevel="0" collapsed="false">
      <c r="A7406" s="0" t="s">
        <v>958</v>
      </c>
      <c r="B7406" s="0" t="n">
        <v>26</v>
      </c>
      <c r="C7406" s="0" t="n">
        <v>1.6</v>
      </c>
      <c r="D7406" s="0" t="n">
        <v>0.178</v>
      </c>
    </row>
    <row r="7407" customFormat="false" ht="13.8" hidden="true" customHeight="false" outlineLevel="0" collapsed="false">
      <c r="A7407" s="0" t="s">
        <v>958</v>
      </c>
      <c r="B7407" s="0" t="n">
        <v>26</v>
      </c>
      <c r="C7407" s="0" t="n">
        <v>1.65</v>
      </c>
      <c r="D7407" s="0" t="n">
        <v>0.183</v>
      </c>
    </row>
    <row r="7408" customFormat="false" ht="13.8" hidden="true" customHeight="false" outlineLevel="0" collapsed="false">
      <c r="A7408" s="0" t="s">
        <v>958</v>
      </c>
      <c r="B7408" s="0" t="n">
        <v>26</v>
      </c>
      <c r="C7408" s="0" t="n">
        <v>1.7</v>
      </c>
      <c r="D7408" s="0" t="n">
        <v>0.189</v>
      </c>
    </row>
    <row r="7409" customFormat="false" ht="13.8" hidden="true" customHeight="false" outlineLevel="0" collapsed="false">
      <c r="A7409" s="0" t="s">
        <v>958</v>
      </c>
      <c r="B7409" s="0" t="n">
        <v>26</v>
      </c>
      <c r="C7409" s="0" t="n">
        <v>1.75</v>
      </c>
      <c r="D7409" s="0" t="n">
        <v>0.194</v>
      </c>
    </row>
    <row r="7410" customFormat="false" ht="13.8" hidden="true" customHeight="false" outlineLevel="0" collapsed="false">
      <c r="A7410" s="0" t="s">
        <v>958</v>
      </c>
      <c r="B7410" s="0" t="n">
        <v>26</v>
      </c>
      <c r="C7410" s="0" t="n">
        <v>1.8</v>
      </c>
      <c r="D7410" s="0" t="n">
        <v>0.2</v>
      </c>
    </row>
    <row r="7411" customFormat="false" ht="13.8" hidden="true" customHeight="false" outlineLevel="0" collapsed="false">
      <c r="A7411" s="0" t="s">
        <v>958</v>
      </c>
      <c r="B7411" s="0" t="n">
        <v>26</v>
      </c>
      <c r="C7411" s="0" t="n">
        <v>1.85</v>
      </c>
      <c r="D7411" s="0" t="n">
        <v>0.206</v>
      </c>
    </row>
    <row r="7412" customFormat="false" ht="13.8" hidden="true" customHeight="false" outlineLevel="0" collapsed="false">
      <c r="A7412" s="0" t="s">
        <v>958</v>
      </c>
      <c r="B7412" s="0" t="n">
        <v>26</v>
      </c>
      <c r="C7412" s="0" t="n">
        <v>1.9</v>
      </c>
      <c r="D7412" s="0" t="n">
        <v>0.211</v>
      </c>
    </row>
    <row r="7413" customFormat="false" ht="13.8" hidden="true" customHeight="false" outlineLevel="0" collapsed="false">
      <c r="A7413" s="0" t="s">
        <v>958</v>
      </c>
      <c r="B7413" s="0" t="n">
        <v>26</v>
      </c>
      <c r="C7413" s="0" t="n">
        <v>1.95</v>
      </c>
      <c r="D7413" s="0" t="n">
        <v>0.217</v>
      </c>
    </row>
    <row r="7414" customFormat="false" ht="13.8" hidden="true" customHeight="false" outlineLevel="0" collapsed="false">
      <c r="A7414" s="0" t="s">
        <v>958</v>
      </c>
      <c r="B7414" s="0" t="n">
        <v>26</v>
      </c>
      <c r="C7414" s="0" t="n">
        <v>2</v>
      </c>
      <c r="D7414" s="0" t="n">
        <v>0.231</v>
      </c>
    </row>
    <row r="7415" customFormat="false" ht="13.8" hidden="true" customHeight="false" outlineLevel="0" collapsed="false">
      <c r="A7415" s="0" t="s">
        <v>958</v>
      </c>
      <c r="B7415" s="0" t="n">
        <v>26</v>
      </c>
      <c r="C7415" s="0" t="n">
        <v>2.05</v>
      </c>
      <c r="D7415" s="0" t="n">
        <v>0.237</v>
      </c>
    </row>
    <row r="7416" customFormat="false" ht="13.8" hidden="true" customHeight="false" outlineLevel="0" collapsed="false">
      <c r="A7416" s="0" t="s">
        <v>958</v>
      </c>
      <c r="B7416" s="0" t="n">
        <v>26</v>
      </c>
      <c r="C7416" s="0" t="n">
        <v>2.1</v>
      </c>
      <c r="D7416" s="0" t="n">
        <v>0.243</v>
      </c>
    </row>
    <row r="7417" customFormat="false" ht="13.8" hidden="true" customHeight="false" outlineLevel="0" collapsed="false">
      <c r="A7417" s="0" t="s">
        <v>958</v>
      </c>
      <c r="B7417" s="0" t="n">
        <v>26</v>
      </c>
      <c r="C7417" s="0" t="n">
        <v>2.15</v>
      </c>
      <c r="D7417" s="0" t="n">
        <v>0.248416097</v>
      </c>
    </row>
    <row r="7418" customFormat="false" ht="13.8" hidden="true" customHeight="false" outlineLevel="0" collapsed="false">
      <c r="A7418" s="0" t="s">
        <v>958</v>
      </c>
      <c r="B7418" s="0" t="n">
        <v>26</v>
      </c>
      <c r="C7418" s="0" t="n">
        <v>2.2</v>
      </c>
      <c r="D7418" s="0" t="n">
        <v>0.254193216</v>
      </c>
    </row>
    <row r="7419" customFormat="false" ht="13.8" hidden="true" customHeight="false" outlineLevel="0" collapsed="false">
      <c r="A7419" s="0" t="s">
        <v>958</v>
      </c>
      <c r="B7419" s="0" t="n">
        <v>26</v>
      </c>
      <c r="C7419" s="0" t="n">
        <v>2.25</v>
      </c>
      <c r="D7419" s="0" t="n">
        <v>0.259970334</v>
      </c>
    </row>
    <row r="7420" customFormat="false" ht="13.8" hidden="true" customHeight="false" outlineLevel="0" collapsed="false">
      <c r="A7420" s="0" t="s">
        <v>958</v>
      </c>
      <c r="B7420" s="0" t="n">
        <v>26</v>
      </c>
      <c r="C7420" s="0" t="n">
        <v>2.3</v>
      </c>
      <c r="D7420" s="0" t="n">
        <v>0</v>
      </c>
    </row>
    <row r="7421" customFormat="false" ht="13.8" hidden="true" customHeight="false" outlineLevel="0" collapsed="false">
      <c r="A7421" s="0" t="s">
        <v>958</v>
      </c>
      <c r="B7421" s="0" t="n">
        <v>26</v>
      </c>
      <c r="C7421" s="0" t="n">
        <v>2.35</v>
      </c>
      <c r="D7421" s="0" t="n">
        <v>0</v>
      </c>
    </row>
    <row r="7422" customFormat="false" ht="13.8" hidden="true" customHeight="false" outlineLevel="0" collapsed="false">
      <c r="A7422" s="0" t="s">
        <v>958</v>
      </c>
      <c r="B7422" s="0" t="n">
        <v>26</v>
      </c>
      <c r="C7422" s="0" t="n">
        <v>2.4</v>
      </c>
      <c r="D7422" s="0" t="n">
        <v>0</v>
      </c>
    </row>
    <row r="7423" customFormat="false" ht="13.8" hidden="true" customHeight="false" outlineLevel="0" collapsed="false">
      <c r="A7423" s="0" t="s">
        <v>958</v>
      </c>
      <c r="B7423" s="0" t="n">
        <v>26</v>
      </c>
      <c r="C7423" s="0" t="n">
        <v>2.45</v>
      </c>
      <c r="D7423" s="0" t="n">
        <v>0</v>
      </c>
    </row>
    <row r="7424" customFormat="false" ht="13.8" hidden="true" customHeight="false" outlineLevel="0" collapsed="false">
      <c r="A7424" s="0" t="s">
        <v>958</v>
      </c>
      <c r="B7424" s="0" t="n">
        <v>26</v>
      </c>
      <c r="C7424" s="0" t="n">
        <v>2.5</v>
      </c>
      <c r="D7424" s="0" t="n">
        <v>0</v>
      </c>
    </row>
    <row r="7425" customFormat="false" ht="13.8" hidden="true" customHeight="false" outlineLevel="0" collapsed="false">
      <c r="A7425" s="0" t="s">
        <v>958</v>
      </c>
      <c r="B7425" s="0" t="n">
        <v>26</v>
      </c>
      <c r="C7425" s="0" t="n">
        <v>2.55</v>
      </c>
      <c r="D7425" s="0" t="n">
        <v>0</v>
      </c>
    </row>
    <row r="7426" customFormat="false" ht="13.8" hidden="true" customHeight="false" outlineLevel="0" collapsed="false">
      <c r="A7426" s="0" t="s">
        <v>958</v>
      </c>
      <c r="B7426" s="0" t="n">
        <v>26</v>
      </c>
      <c r="C7426" s="0" t="n">
        <v>2.6</v>
      </c>
      <c r="D7426" s="0" t="n">
        <v>0</v>
      </c>
    </row>
    <row r="7427" customFormat="false" ht="13.8" hidden="true" customHeight="false" outlineLevel="0" collapsed="false">
      <c r="A7427" s="0" t="s">
        <v>958</v>
      </c>
      <c r="B7427" s="0" t="n">
        <v>30</v>
      </c>
      <c r="C7427" s="0" t="n">
        <v>1.3</v>
      </c>
      <c r="D7427" s="0" t="n">
        <v>0</v>
      </c>
    </row>
    <row r="7428" customFormat="false" ht="13.8" hidden="true" customHeight="false" outlineLevel="0" collapsed="false">
      <c r="A7428" s="0" t="s">
        <v>958</v>
      </c>
      <c r="B7428" s="0" t="n">
        <v>30</v>
      </c>
      <c r="C7428" s="0" t="n">
        <v>1.35</v>
      </c>
      <c r="D7428" s="0" t="n">
        <v>0</v>
      </c>
    </row>
    <row r="7429" customFormat="false" ht="13.8" hidden="true" customHeight="false" outlineLevel="0" collapsed="false">
      <c r="A7429" s="0" t="s">
        <v>958</v>
      </c>
      <c r="B7429" s="0" t="n">
        <v>30</v>
      </c>
      <c r="C7429" s="0" t="n">
        <v>1.4</v>
      </c>
      <c r="D7429" s="0" t="n">
        <v>0</v>
      </c>
    </row>
    <row r="7430" customFormat="false" ht="13.8" hidden="true" customHeight="false" outlineLevel="0" collapsed="false">
      <c r="A7430" s="0" t="s">
        <v>958</v>
      </c>
      <c r="B7430" s="0" t="n">
        <v>30</v>
      </c>
      <c r="C7430" s="0" t="n">
        <v>1.45</v>
      </c>
      <c r="D7430" s="0" t="n">
        <v>0</v>
      </c>
    </row>
    <row r="7431" customFormat="false" ht="13.8" hidden="true" customHeight="false" outlineLevel="0" collapsed="false">
      <c r="A7431" s="0" t="s">
        <v>958</v>
      </c>
      <c r="B7431" s="0" t="n">
        <v>30</v>
      </c>
      <c r="C7431" s="0" t="n">
        <v>1.5</v>
      </c>
      <c r="D7431" s="0" t="n">
        <v>0</v>
      </c>
    </row>
    <row r="7432" customFormat="false" ht="13.8" hidden="true" customHeight="false" outlineLevel="0" collapsed="false">
      <c r="A7432" s="0" t="s">
        <v>958</v>
      </c>
      <c r="B7432" s="0" t="n">
        <v>30</v>
      </c>
      <c r="C7432" s="0" t="n">
        <v>1.55</v>
      </c>
      <c r="D7432" s="0" t="n">
        <v>0</v>
      </c>
    </row>
    <row r="7433" customFormat="false" ht="13.8" hidden="true" customHeight="false" outlineLevel="0" collapsed="false">
      <c r="A7433" s="0" t="s">
        <v>958</v>
      </c>
      <c r="B7433" s="0" t="n">
        <v>30</v>
      </c>
      <c r="C7433" s="0" t="n">
        <v>1.6</v>
      </c>
      <c r="D7433" s="0" t="n">
        <v>0.178</v>
      </c>
    </row>
    <row r="7434" customFormat="false" ht="13.8" hidden="true" customHeight="false" outlineLevel="0" collapsed="false">
      <c r="A7434" s="0" t="s">
        <v>958</v>
      </c>
      <c r="B7434" s="0" t="n">
        <v>30</v>
      </c>
      <c r="C7434" s="0" t="n">
        <v>1.65</v>
      </c>
      <c r="D7434" s="0" t="n">
        <v>0.183</v>
      </c>
    </row>
    <row r="7435" customFormat="false" ht="13.8" hidden="true" customHeight="false" outlineLevel="0" collapsed="false">
      <c r="A7435" s="0" t="s">
        <v>958</v>
      </c>
      <c r="B7435" s="0" t="n">
        <v>30</v>
      </c>
      <c r="C7435" s="0" t="n">
        <v>1.7</v>
      </c>
      <c r="D7435" s="0" t="n">
        <v>0.189</v>
      </c>
    </row>
    <row r="7436" customFormat="false" ht="13.8" hidden="true" customHeight="false" outlineLevel="0" collapsed="false">
      <c r="A7436" s="0" t="s">
        <v>958</v>
      </c>
      <c r="B7436" s="0" t="n">
        <v>30</v>
      </c>
      <c r="C7436" s="0" t="n">
        <v>1.75</v>
      </c>
      <c r="D7436" s="0" t="n">
        <v>0.194</v>
      </c>
    </row>
    <row r="7437" customFormat="false" ht="13.8" hidden="true" customHeight="false" outlineLevel="0" collapsed="false">
      <c r="A7437" s="0" t="s">
        <v>958</v>
      </c>
      <c r="B7437" s="0" t="n">
        <v>30</v>
      </c>
      <c r="C7437" s="0" t="n">
        <v>1.8</v>
      </c>
      <c r="D7437" s="0" t="n">
        <v>0.2</v>
      </c>
    </row>
    <row r="7438" customFormat="false" ht="13.8" hidden="true" customHeight="false" outlineLevel="0" collapsed="false">
      <c r="A7438" s="0" t="s">
        <v>958</v>
      </c>
      <c r="B7438" s="0" t="n">
        <v>30</v>
      </c>
      <c r="C7438" s="0" t="n">
        <v>1.85</v>
      </c>
      <c r="D7438" s="0" t="n">
        <v>0.206</v>
      </c>
    </row>
    <row r="7439" customFormat="false" ht="13.8" hidden="true" customHeight="false" outlineLevel="0" collapsed="false">
      <c r="A7439" s="0" t="s">
        <v>958</v>
      </c>
      <c r="B7439" s="0" t="n">
        <v>30</v>
      </c>
      <c r="C7439" s="0" t="n">
        <v>1.9</v>
      </c>
      <c r="D7439" s="0" t="n">
        <v>0.211</v>
      </c>
    </row>
    <row r="7440" customFormat="false" ht="13.8" hidden="true" customHeight="false" outlineLevel="0" collapsed="false">
      <c r="A7440" s="0" t="s">
        <v>958</v>
      </c>
      <c r="B7440" s="0" t="n">
        <v>30</v>
      </c>
      <c r="C7440" s="0" t="n">
        <v>1.95</v>
      </c>
      <c r="D7440" s="0" t="n">
        <v>0.217</v>
      </c>
    </row>
    <row r="7441" customFormat="false" ht="13.8" hidden="true" customHeight="false" outlineLevel="0" collapsed="false">
      <c r="A7441" s="0" t="s">
        <v>958</v>
      </c>
      <c r="B7441" s="0" t="n">
        <v>30</v>
      </c>
      <c r="C7441" s="0" t="n">
        <v>2</v>
      </c>
      <c r="D7441" s="0" t="n">
        <v>0.231</v>
      </c>
    </row>
    <row r="7442" customFormat="false" ht="13.8" hidden="true" customHeight="false" outlineLevel="0" collapsed="false">
      <c r="A7442" s="0" t="s">
        <v>958</v>
      </c>
      <c r="B7442" s="0" t="n">
        <v>30</v>
      </c>
      <c r="C7442" s="0" t="n">
        <v>2.05</v>
      </c>
      <c r="D7442" s="0" t="n">
        <v>0.237</v>
      </c>
    </row>
    <row r="7443" customFormat="false" ht="13.8" hidden="true" customHeight="false" outlineLevel="0" collapsed="false">
      <c r="A7443" s="0" t="s">
        <v>958</v>
      </c>
      <c r="B7443" s="0" t="n">
        <v>30</v>
      </c>
      <c r="C7443" s="0" t="n">
        <v>2.1</v>
      </c>
      <c r="D7443" s="0" t="n">
        <v>0.243</v>
      </c>
    </row>
    <row r="7444" customFormat="false" ht="13.8" hidden="true" customHeight="false" outlineLevel="0" collapsed="false">
      <c r="A7444" s="0" t="s">
        <v>958</v>
      </c>
      <c r="B7444" s="0" t="n">
        <v>30</v>
      </c>
      <c r="C7444" s="0" t="n">
        <v>2.15</v>
      </c>
      <c r="D7444" s="0" t="n">
        <v>0.248416097</v>
      </c>
    </row>
    <row r="7445" customFormat="false" ht="13.8" hidden="true" customHeight="false" outlineLevel="0" collapsed="false">
      <c r="A7445" s="0" t="s">
        <v>958</v>
      </c>
      <c r="B7445" s="0" t="n">
        <v>30</v>
      </c>
      <c r="C7445" s="0" t="n">
        <v>2.2</v>
      </c>
      <c r="D7445" s="0" t="n">
        <v>0.254193216</v>
      </c>
    </row>
    <row r="7446" customFormat="false" ht="13.8" hidden="true" customHeight="false" outlineLevel="0" collapsed="false">
      <c r="A7446" s="0" t="s">
        <v>958</v>
      </c>
      <c r="B7446" s="0" t="n">
        <v>30</v>
      </c>
      <c r="C7446" s="0" t="n">
        <v>2.25</v>
      </c>
      <c r="D7446" s="0" t="n">
        <v>0.259970334</v>
      </c>
    </row>
    <row r="7447" customFormat="false" ht="13.8" hidden="true" customHeight="false" outlineLevel="0" collapsed="false">
      <c r="A7447" s="0" t="s">
        <v>958</v>
      </c>
      <c r="B7447" s="0" t="n">
        <v>30</v>
      </c>
      <c r="C7447" s="0" t="n">
        <v>2.3</v>
      </c>
      <c r="D7447" s="0" t="n">
        <v>0</v>
      </c>
    </row>
    <row r="7448" customFormat="false" ht="13.8" hidden="true" customHeight="false" outlineLevel="0" collapsed="false">
      <c r="A7448" s="0" t="s">
        <v>958</v>
      </c>
      <c r="B7448" s="0" t="n">
        <v>30</v>
      </c>
      <c r="C7448" s="0" t="n">
        <v>2.35</v>
      </c>
      <c r="D7448" s="0" t="n">
        <v>0</v>
      </c>
    </row>
    <row r="7449" customFormat="false" ht="13.8" hidden="true" customHeight="false" outlineLevel="0" collapsed="false">
      <c r="A7449" s="0" t="s">
        <v>958</v>
      </c>
      <c r="B7449" s="0" t="n">
        <v>30</v>
      </c>
      <c r="C7449" s="0" t="n">
        <v>2.4</v>
      </c>
      <c r="D7449" s="0" t="n">
        <v>0</v>
      </c>
    </row>
    <row r="7450" customFormat="false" ht="13.8" hidden="true" customHeight="false" outlineLevel="0" collapsed="false">
      <c r="A7450" s="0" t="s">
        <v>958</v>
      </c>
      <c r="B7450" s="0" t="n">
        <v>30</v>
      </c>
      <c r="C7450" s="0" t="n">
        <v>2.45</v>
      </c>
      <c r="D7450" s="0" t="n">
        <v>0</v>
      </c>
    </row>
    <row r="7451" customFormat="false" ht="13.8" hidden="true" customHeight="false" outlineLevel="0" collapsed="false">
      <c r="A7451" s="0" t="s">
        <v>958</v>
      </c>
      <c r="B7451" s="0" t="n">
        <v>30</v>
      </c>
      <c r="C7451" s="0" t="n">
        <v>2.5</v>
      </c>
      <c r="D7451" s="0" t="n">
        <v>0</v>
      </c>
    </row>
    <row r="7452" customFormat="false" ht="13.8" hidden="true" customHeight="false" outlineLevel="0" collapsed="false">
      <c r="A7452" s="0" t="s">
        <v>958</v>
      </c>
      <c r="B7452" s="0" t="n">
        <v>30</v>
      </c>
      <c r="C7452" s="0" t="n">
        <v>2.55</v>
      </c>
      <c r="D7452" s="0" t="n">
        <v>0</v>
      </c>
    </row>
    <row r="7453" customFormat="false" ht="13.8" hidden="true" customHeight="false" outlineLevel="0" collapsed="false">
      <c r="A7453" s="0" t="s">
        <v>958</v>
      </c>
      <c r="B7453" s="0" t="n">
        <v>30</v>
      </c>
      <c r="C7453" s="0" t="n">
        <v>2.6</v>
      </c>
      <c r="D7453" s="0" t="n">
        <v>0</v>
      </c>
    </row>
    <row r="7454" customFormat="false" ht="13.8" hidden="true" customHeight="false" outlineLevel="0" collapsed="false">
      <c r="A7454" s="0" t="s">
        <v>958</v>
      </c>
      <c r="B7454" s="0" t="n">
        <v>31</v>
      </c>
      <c r="C7454" s="0" t="n">
        <v>1.3</v>
      </c>
      <c r="D7454" s="0" t="n">
        <v>0</v>
      </c>
    </row>
    <row r="7455" customFormat="false" ht="13.8" hidden="true" customHeight="false" outlineLevel="0" collapsed="false">
      <c r="A7455" s="0" t="s">
        <v>958</v>
      </c>
      <c r="B7455" s="0" t="n">
        <v>31</v>
      </c>
      <c r="C7455" s="0" t="n">
        <v>1.35</v>
      </c>
      <c r="D7455" s="0" t="n">
        <v>0</v>
      </c>
    </row>
    <row r="7456" customFormat="false" ht="13.8" hidden="true" customHeight="false" outlineLevel="0" collapsed="false">
      <c r="A7456" s="0" t="s">
        <v>958</v>
      </c>
      <c r="B7456" s="0" t="n">
        <v>31</v>
      </c>
      <c r="C7456" s="0" t="n">
        <v>1.4</v>
      </c>
      <c r="D7456" s="0" t="n">
        <v>0</v>
      </c>
    </row>
    <row r="7457" customFormat="false" ht="13.8" hidden="true" customHeight="false" outlineLevel="0" collapsed="false">
      <c r="A7457" s="0" t="s">
        <v>958</v>
      </c>
      <c r="B7457" s="0" t="n">
        <v>31</v>
      </c>
      <c r="C7457" s="0" t="n">
        <v>1.45</v>
      </c>
      <c r="D7457" s="0" t="n">
        <v>0</v>
      </c>
    </row>
    <row r="7458" customFormat="false" ht="13.8" hidden="true" customHeight="false" outlineLevel="0" collapsed="false">
      <c r="A7458" s="0" t="s">
        <v>958</v>
      </c>
      <c r="B7458" s="0" t="n">
        <v>31</v>
      </c>
      <c r="C7458" s="0" t="n">
        <v>1.5</v>
      </c>
      <c r="D7458" s="0" t="n">
        <v>0</v>
      </c>
    </row>
    <row r="7459" customFormat="false" ht="13.8" hidden="true" customHeight="false" outlineLevel="0" collapsed="false">
      <c r="A7459" s="0" t="s">
        <v>958</v>
      </c>
      <c r="B7459" s="0" t="n">
        <v>31</v>
      </c>
      <c r="C7459" s="0" t="n">
        <v>1.55</v>
      </c>
      <c r="D7459" s="0" t="n">
        <v>0</v>
      </c>
    </row>
    <row r="7460" customFormat="false" ht="13.8" hidden="true" customHeight="false" outlineLevel="0" collapsed="false">
      <c r="A7460" s="0" t="s">
        <v>958</v>
      </c>
      <c r="B7460" s="0" t="n">
        <v>31</v>
      </c>
      <c r="C7460" s="0" t="n">
        <v>1.6</v>
      </c>
      <c r="D7460" s="0" t="n">
        <v>0.089</v>
      </c>
    </row>
    <row r="7461" customFormat="false" ht="13.8" hidden="true" customHeight="false" outlineLevel="0" collapsed="false">
      <c r="A7461" s="0" t="s">
        <v>958</v>
      </c>
      <c r="B7461" s="0" t="n">
        <v>31</v>
      </c>
      <c r="C7461" s="0" t="n">
        <v>1.65</v>
      </c>
      <c r="D7461" s="0" t="n">
        <v>0.092</v>
      </c>
    </row>
    <row r="7462" customFormat="false" ht="13.8" hidden="true" customHeight="false" outlineLevel="0" collapsed="false">
      <c r="A7462" s="0" t="s">
        <v>958</v>
      </c>
      <c r="B7462" s="0" t="n">
        <v>31</v>
      </c>
      <c r="C7462" s="0" t="n">
        <v>1.7</v>
      </c>
      <c r="D7462" s="0" t="n">
        <v>0.094</v>
      </c>
    </row>
    <row r="7463" customFormat="false" ht="13.8" hidden="true" customHeight="false" outlineLevel="0" collapsed="false">
      <c r="A7463" s="0" t="s">
        <v>958</v>
      </c>
      <c r="B7463" s="0" t="n">
        <v>31</v>
      </c>
      <c r="C7463" s="0" t="n">
        <v>1.75</v>
      </c>
      <c r="D7463" s="0" t="n">
        <v>0.097</v>
      </c>
    </row>
    <row r="7464" customFormat="false" ht="13.8" hidden="true" customHeight="false" outlineLevel="0" collapsed="false">
      <c r="A7464" s="0" t="s">
        <v>958</v>
      </c>
      <c r="B7464" s="0" t="n">
        <v>31</v>
      </c>
      <c r="C7464" s="0" t="n">
        <v>1.8</v>
      </c>
      <c r="D7464" s="0" t="n">
        <v>0.1</v>
      </c>
    </row>
    <row r="7465" customFormat="false" ht="13.8" hidden="true" customHeight="false" outlineLevel="0" collapsed="false">
      <c r="A7465" s="0" t="s">
        <v>958</v>
      </c>
      <c r="B7465" s="0" t="n">
        <v>31</v>
      </c>
      <c r="C7465" s="0" t="n">
        <v>1.85</v>
      </c>
      <c r="D7465" s="0" t="n">
        <v>0.103</v>
      </c>
    </row>
    <row r="7466" customFormat="false" ht="13.8" hidden="true" customHeight="false" outlineLevel="0" collapsed="false">
      <c r="A7466" s="0" t="s">
        <v>958</v>
      </c>
      <c r="B7466" s="0" t="n">
        <v>31</v>
      </c>
      <c r="C7466" s="0" t="n">
        <v>1.9</v>
      </c>
      <c r="D7466" s="0" t="n">
        <v>0.106</v>
      </c>
    </row>
    <row r="7467" customFormat="false" ht="13.8" hidden="true" customHeight="false" outlineLevel="0" collapsed="false">
      <c r="A7467" s="0" t="s">
        <v>958</v>
      </c>
      <c r="B7467" s="0" t="n">
        <v>31</v>
      </c>
      <c r="C7467" s="0" t="n">
        <v>1.95</v>
      </c>
      <c r="D7467" s="0" t="n">
        <v>0.108</v>
      </c>
    </row>
    <row r="7468" customFormat="false" ht="13.8" hidden="true" customHeight="false" outlineLevel="0" collapsed="false">
      <c r="A7468" s="0" t="s">
        <v>958</v>
      </c>
      <c r="B7468" s="0" t="n">
        <v>31</v>
      </c>
      <c r="C7468" s="0" t="n">
        <v>2</v>
      </c>
      <c r="D7468" s="0" t="n">
        <v>0.116</v>
      </c>
    </row>
    <row r="7469" customFormat="false" ht="13.8" hidden="true" customHeight="false" outlineLevel="0" collapsed="false">
      <c r="A7469" s="0" t="s">
        <v>958</v>
      </c>
      <c r="B7469" s="0" t="n">
        <v>31</v>
      </c>
      <c r="C7469" s="0" t="n">
        <v>2.05</v>
      </c>
      <c r="D7469" s="0" t="n">
        <v>0.118</v>
      </c>
    </row>
    <row r="7470" customFormat="false" ht="13.8" hidden="true" customHeight="false" outlineLevel="0" collapsed="false">
      <c r="A7470" s="0" t="s">
        <v>958</v>
      </c>
      <c r="B7470" s="0" t="n">
        <v>31</v>
      </c>
      <c r="C7470" s="0" t="n">
        <v>2.1</v>
      </c>
      <c r="D7470" s="0" t="n">
        <v>0.121</v>
      </c>
    </row>
    <row r="7471" customFormat="false" ht="13.8" hidden="true" customHeight="false" outlineLevel="0" collapsed="false">
      <c r="A7471" s="0" t="s">
        <v>958</v>
      </c>
      <c r="B7471" s="0" t="n">
        <v>31</v>
      </c>
      <c r="C7471" s="0" t="n">
        <v>2.15</v>
      </c>
      <c r="D7471" s="0" t="n">
        <v>0.124208049</v>
      </c>
    </row>
    <row r="7472" customFormat="false" ht="13.8" hidden="true" customHeight="false" outlineLevel="0" collapsed="false">
      <c r="A7472" s="0" t="s">
        <v>958</v>
      </c>
      <c r="B7472" s="0" t="n">
        <v>31</v>
      </c>
      <c r="C7472" s="0" t="n">
        <v>2.2</v>
      </c>
      <c r="D7472" s="0" t="n">
        <v>0.127096608</v>
      </c>
    </row>
    <row r="7473" customFormat="false" ht="13.8" hidden="true" customHeight="false" outlineLevel="0" collapsed="false">
      <c r="A7473" s="0" t="s">
        <v>958</v>
      </c>
      <c r="B7473" s="0" t="n">
        <v>31</v>
      </c>
      <c r="C7473" s="0" t="n">
        <v>2.25</v>
      </c>
      <c r="D7473" s="0" t="n">
        <v>0.129985167</v>
      </c>
    </row>
    <row r="7474" customFormat="false" ht="13.8" hidden="true" customHeight="false" outlineLevel="0" collapsed="false">
      <c r="A7474" s="0" t="s">
        <v>958</v>
      </c>
      <c r="B7474" s="0" t="n">
        <v>31</v>
      </c>
      <c r="C7474" s="0" t="n">
        <v>2.3</v>
      </c>
      <c r="D7474" s="0" t="n">
        <v>0.132873727</v>
      </c>
    </row>
    <row r="7475" customFormat="false" ht="13.8" hidden="true" customHeight="false" outlineLevel="0" collapsed="false">
      <c r="A7475" s="0" t="s">
        <v>958</v>
      </c>
      <c r="B7475" s="0" t="n">
        <v>31</v>
      </c>
      <c r="C7475" s="0" t="n">
        <v>2.35</v>
      </c>
      <c r="D7475" s="0" t="n">
        <v>0.135762286</v>
      </c>
    </row>
    <row r="7476" customFormat="false" ht="13.8" hidden="true" customHeight="false" outlineLevel="0" collapsed="false">
      <c r="A7476" s="0" t="s">
        <v>958</v>
      </c>
      <c r="B7476" s="0" t="n">
        <v>31</v>
      </c>
      <c r="C7476" s="0" t="n">
        <v>2.4</v>
      </c>
      <c r="D7476" s="0" t="n">
        <v>0.138650845</v>
      </c>
    </row>
    <row r="7477" customFormat="false" ht="13.8" hidden="true" customHeight="false" outlineLevel="0" collapsed="false">
      <c r="A7477" s="0" t="s">
        <v>958</v>
      </c>
      <c r="B7477" s="0" t="n">
        <v>31</v>
      </c>
      <c r="C7477" s="0" t="n">
        <v>2.45</v>
      </c>
      <c r="D7477" s="0" t="n">
        <v>0.141539404</v>
      </c>
    </row>
    <row r="7478" customFormat="false" ht="13.8" hidden="true" customHeight="false" outlineLevel="0" collapsed="false">
      <c r="A7478" s="0" t="s">
        <v>958</v>
      </c>
      <c r="B7478" s="0" t="n">
        <v>31</v>
      </c>
      <c r="C7478" s="0" t="n">
        <v>2.5</v>
      </c>
      <c r="D7478" s="0" t="n">
        <v>0.144427964</v>
      </c>
    </row>
    <row r="7479" customFormat="false" ht="13.8" hidden="true" customHeight="false" outlineLevel="0" collapsed="false">
      <c r="A7479" s="0" t="s">
        <v>958</v>
      </c>
      <c r="B7479" s="0" t="n">
        <v>31</v>
      </c>
      <c r="C7479" s="0" t="n">
        <v>2.55</v>
      </c>
      <c r="D7479" s="0" t="n">
        <v>0.147316523</v>
      </c>
    </row>
    <row r="7480" customFormat="false" ht="13.8" hidden="true" customHeight="false" outlineLevel="0" collapsed="false">
      <c r="A7480" s="0" t="s">
        <v>958</v>
      </c>
      <c r="B7480" s="0" t="n">
        <v>31</v>
      </c>
      <c r="C7480" s="0" t="n">
        <v>2.6</v>
      </c>
      <c r="D7480" s="0" t="n">
        <v>0.150205082</v>
      </c>
    </row>
    <row r="7481" customFormat="false" ht="13.8" hidden="true" customHeight="false" outlineLevel="0" collapsed="false">
      <c r="A7481" s="0" t="s">
        <v>141</v>
      </c>
      <c r="B7481" s="0" t="n">
        <v>26</v>
      </c>
      <c r="C7481" s="0" t="n">
        <v>1.3</v>
      </c>
      <c r="D7481" s="0" t="n">
        <v>0</v>
      </c>
    </row>
    <row r="7482" customFormat="false" ht="13.8" hidden="true" customHeight="false" outlineLevel="0" collapsed="false">
      <c r="A7482" s="0" t="s">
        <v>141</v>
      </c>
      <c r="B7482" s="0" t="n">
        <v>26</v>
      </c>
      <c r="C7482" s="0" t="n">
        <v>1.35</v>
      </c>
      <c r="D7482" s="0" t="n">
        <v>0</v>
      </c>
    </row>
    <row r="7483" customFormat="false" ht="13.8" hidden="true" customHeight="false" outlineLevel="0" collapsed="false">
      <c r="A7483" s="0" t="s">
        <v>141</v>
      </c>
      <c r="B7483" s="0" t="n">
        <v>26</v>
      </c>
      <c r="C7483" s="0" t="n">
        <v>1.4</v>
      </c>
      <c r="D7483" s="0" t="n">
        <v>0</v>
      </c>
    </row>
    <row r="7484" customFormat="false" ht="13.8" hidden="true" customHeight="false" outlineLevel="0" collapsed="false">
      <c r="A7484" s="0" t="s">
        <v>141</v>
      </c>
      <c r="B7484" s="0" t="n">
        <v>26</v>
      </c>
      <c r="C7484" s="0" t="n">
        <v>1.45</v>
      </c>
      <c r="D7484" s="0" t="n">
        <v>0</v>
      </c>
    </row>
    <row r="7485" customFormat="false" ht="13.8" hidden="true" customHeight="false" outlineLevel="0" collapsed="false">
      <c r="A7485" s="0" t="s">
        <v>141</v>
      </c>
      <c r="B7485" s="0" t="n">
        <v>26</v>
      </c>
      <c r="C7485" s="0" t="n">
        <v>1.5</v>
      </c>
      <c r="D7485" s="0" t="n">
        <v>0</v>
      </c>
    </row>
    <row r="7486" customFormat="false" ht="13.8" hidden="true" customHeight="false" outlineLevel="0" collapsed="false">
      <c r="A7486" s="0" t="s">
        <v>141</v>
      </c>
      <c r="B7486" s="0" t="n">
        <v>26</v>
      </c>
      <c r="C7486" s="0" t="n">
        <v>1.55</v>
      </c>
      <c r="D7486" s="0" t="n">
        <v>0</v>
      </c>
    </row>
    <row r="7487" customFormat="false" ht="13.8" hidden="true" customHeight="false" outlineLevel="0" collapsed="false">
      <c r="A7487" s="0" t="s">
        <v>141</v>
      </c>
      <c r="B7487" s="0" t="n">
        <v>26</v>
      </c>
      <c r="C7487" s="0" t="n">
        <v>1.6</v>
      </c>
      <c r="D7487" s="0" t="n">
        <v>0</v>
      </c>
    </row>
    <row r="7488" customFormat="false" ht="13.8" hidden="true" customHeight="false" outlineLevel="0" collapsed="false">
      <c r="A7488" s="0" t="s">
        <v>141</v>
      </c>
      <c r="B7488" s="0" t="n">
        <v>26</v>
      </c>
      <c r="C7488" s="0" t="n">
        <v>1.65</v>
      </c>
      <c r="D7488" s="0" t="n">
        <v>0</v>
      </c>
    </row>
    <row r="7489" customFormat="false" ht="13.8" hidden="true" customHeight="false" outlineLevel="0" collapsed="false">
      <c r="A7489" s="0" t="s">
        <v>141</v>
      </c>
      <c r="B7489" s="0" t="n">
        <v>26</v>
      </c>
      <c r="C7489" s="0" t="n">
        <v>1.7</v>
      </c>
      <c r="D7489" s="0" t="n">
        <v>0</v>
      </c>
    </row>
    <row r="7490" customFormat="false" ht="13.8" hidden="true" customHeight="false" outlineLevel="0" collapsed="false">
      <c r="A7490" s="0" t="s">
        <v>141</v>
      </c>
      <c r="B7490" s="0" t="n">
        <v>26</v>
      </c>
      <c r="C7490" s="0" t="n">
        <v>1.75</v>
      </c>
      <c r="D7490" s="0" t="n">
        <v>0</v>
      </c>
    </row>
    <row r="7491" customFormat="false" ht="13.8" hidden="true" customHeight="false" outlineLevel="0" collapsed="false">
      <c r="A7491" s="0" t="s">
        <v>141</v>
      </c>
      <c r="B7491" s="0" t="n">
        <v>26</v>
      </c>
      <c r="C7491" s="0" t="n">
        <v>1.8</v>
      </c>
      <c r="D7491" s="0" t="n">
        <v>0.2</v>
      </c>
    </row>
    <row r="7492" customFormat="false" ht="13.8" hidden="true" customHeight="false" outlineLevel="0" collapsed="false">
      <c r="A7492" s="0" t="s">
        <v>141</v>
      </c>
      <c r="B7492" s="0" t="n">
        <v>26</v>
      </c>
      <c r="C7492" s="0" t="n">
        <v>1.85</v>
      </c>
      <c r="D7492" s="0" t="n">
        <v>0.206</v>
      </c>
    </row>
    <row r="7493" customFormat="false" ht="13.8" hidden="true" customHeight="false" outlineLevel="0" collapsed="false">
      <c r="A7493" s="0" t="s">
        <v>141</v>
      </c>
      <c r="B7493" s="0" t="n">
        <v>26</v>
      </c>
      <c r="C7493" s="0" t="n">
        <v>1.9</v>
      </c>
      <c r="D7493" s="0" t="n">
        <v>0.211</v>
      </c>
    </row>
    <row r="7494" customFormat="false" ht="13.8" hidden="true" customHeight="false" outlineLevel="0" collapsed="false">
      <c r="A7494" s="0" t="s">
        <v>141</v>
      </c>
      <c r="B7494" s="0" t="n">
        <v>26</v>
      </c>
      <c r="C7494" s="0" t="n">
        <v>1.95</v>
      </c>
      <c r="D7494" s="0" t="n">
        <v>0.217</v>
      </c>
    </row>
    <row r="7495" customFormat="false" ht="13.8" hidden="true" customHeight="false" outlineLevel="0" collapsed="false">
      <c r="A7495" s="0" t="s">
        <v>141</v>
      </c>
      <c r="B7495" s="0" t="n">
        <v>26</v>
      </c>
      <c r="C7495" s="0" t="n">
        <v>2</v>
      </c>
      <c r="D7495" s="0" t="n">
        <v>0.231</v>
      </c>
    </row>
    <row r="7496" customFormat="false" ht="13.8" hidden="true" customHeight="false" outlineLevel="0" collapsed="false">
      <c r="A7496" s="0" t="s">
        <v>141</v>
      </c>
      <c r="B7496" s="0" t="n">
        <v>26</v>
      </c>
      <c r="C7496" s="0" t="n">
        <v>2.05</v>
      </c>
      <c r="D7496" s="0" t="n">
        <v>0.237</v>
      </c>
    </row>
    <row r="7497" customFormat="false" ht="13.8" hidden="true" customHeight="false" outlineLevel="0" collapsed="false">
      <c r="A7497" s="0" t="s">
        <v>141</v>
      </c>
      <c r="B7497" s="0" t="n">
        <v>26</v>
      </c>
      <c r="C7497" s="0" t="n">
        <v>2.1</v>
      </c>
      <c r="D7497" s="0" t="n">
        <v>0.243</v>
      </c>
    </row>
    <row r="7498" customFormat="false" ht="13.8" hidden="true" customHeight="false" outlineLevel="0" collapsed="false">
      <c r="A7498" s="0" t="s">
        <v>141</v>
      </c>
      <c r="B7498" s="0" t="n">
        <v>26</v>
      </c>
      <c r="C7498" s="0" t="n">
        <v>2.15</v>
      </c>
      <c r="D7498" s="0" t="n">
        <v>0.248416097</v>
      </c>
    </row>
    <row r="7499" customFormat="false" ht="13.8" hidden="true" customHeight="false" outlineLevel="0" collapsed="false">
      <c r="A7499" s="0" t="s">
        <v>141</v>
      </c>
      <c r="B7499" s="0" t="n">
        <v>26</v>
      </c>
      <c r="C7499" s="0" t="n">
        <v>2.2</v>
      </c>
      <c r="D7499" s="0" t="n">
        <v>0.254193216</v>
      </c>
    </row>
    <row r="7500" customFormat="false" ht="13.8" hidden="true" customHeight="false" outlineLevel="0" collapsed="false">
      <c r="A7500" s="0" t="s">
        <v>141</v>
      </c>
      <c r="B7500" s="0" t="n">
        <v>26</v>
      </c>
      <c r="C7500" s="0" t="n">
        <v>2.25</v>
      </c>
      <c r="D7500" s="0" t="n">
        <v>0.259970334</v>
      </c>
    </row>
    <row r="7501" customFormat="false" ht="13.8" hidden="true" customHeight="false" outlineLevel="0" collapsed="false">
      <c r="A7501" s="0" t="s">
        <v>141</v>
      </c>
      <c r="B7501" s="0" t="n">
        <v>26</v>
      </c>
      <c r="C7501" s="0" t="n">
        <v>2.3</v>
      </c>
      <c r="D7501" s="0" t="n">
        <v>0</v>
      </c>
    </row>
    <row r="7502" customFormat="false" ht="13.8" hidden="true" customHeight="false" outlineLevel="0" collapsed="false">
      <c r="A7502" s="0" t="s">
        <v>141</v>
      </c>
      <c r="B7502" s="0" t="n">
        <v>26</v>
      </c>
      <c r="C7502" s="0" t="n">
        <v>2.35</v>
      </c>
      <c r="D7502" s="0" t="n">
        <v>0</v>
      </c>
    </row>
    <row r="7503" customFormat="false" ht="13.8" hidden="true" customHeight="false" outlineLevel="0" collapsed="false">
      <c r="A7503" s="0" t="s">
        <v>141</v>
      </c>
      <c r="B7503" s="0" t="n">
        <v>26</v>
      </c>
      <c r="C7503" s="0" t="n">
        <v>2.4</v>
      </c>
      <c r="D7503" s="0" t="n">
        <v>0</v>
      </c>
    </row>
    <row r="7504" customFormat="false" ht="13.8" hidden="true" customHeight="false" outlineLevel="0" collapsed="false">
      <c r="A7504" s="0" t="s">
        <v>141</v>
      </c>
      <c r="B7504" s="0" t="n">
        <v>26</v>
      </c>
      <c r="C7504" s="0" t="n">
        <v>2.45</v>
      </c>
      <c r="D7504" s="0" t="n">
        <v>0</v>
      </c>
    </row>
    <row r="7505" customFormat="false" ht="13.8" hidden="true" customHeight="false" outlineLevel="0" collapsed="false">
      <c r="A7505" s="0" t="s">
        <v>141</v>
      </c>
      <c r="B7505" s="0" t="n">
        <v>26</v>
      </c>
      <c r="C7505" s="0" t="n">
        <v>2.5</v>
      </c>
      <c r="D7505" s="0" t="n">
        <v>0</v>
      </c>
    </row>
    <row r="7506" customFormat="false" ht="13.8" hidden="true" customHeight="false" outlineLevel="0" collapsed="false">
      <c r="A7506" s="0" t="s">
        <v>141</v>
      </c>
      <c r="B7506" s="0" t="n">
        <v>26</v>
      </c>
      <c r="C7506" s="0" t="n">
        <v>2.55</v>
      </c>
      <c r="D7506" s="0" t="n">
        <v>0</v>
      </c>
    </row>
    <row r="7507" customFormat="false" ht="13.8" hidden="true" customHeight="false" outlineLevel="0" collapsed="false">
      <c r="A7507" s="0" t="s">
        <v>141</v>
      </c>
      <c r="B7507" s="0" t="n">
        <v>26</v>
      </c>
      <c r="C7507" s="0" t="n">
        <v>2.6</v>
      </c>
      <c r="D7507" s="0" t="n">
        <v>0</v>
      </c>
    </row>
    <row r="7508" customFormat="false" ht="13.8" hidden="true" customHeight="false" outlineLevel="0" collapsed="false">
      <c r="A7508" s="0" t="s">
        <v>141</v>
      </c>
      <c r="B7508" s="0" t="n">
        <v>30</v>
      </c>
      <c r="C7508" s="0" t="n">
        <v>1.3</v>
      </c>
      <c r="D7508" s="0" t="n">
        <v>0</v>
      </c>
    </row>
    <row r="7509" customFormat="false" ht="13.8" hidden="true" customHeight="false" outlineLevel="0" collapsed="false">
      <c r="A7509" s="0" t="s">
        <v>141</v>
      </c>
      <c r="B7509" s="0" t="n">
        <v>30</v>
      </c>
      <c r="C7509" s="0" t="n">
        <v>1.35</v>
      </c>
      <c r="D7509" s="0" t="n">
        <v>0</v>
      </c>
    </row>
    <row r="7510" customFormat="false" ht="13.8" hidden="true" customHeight="false" outlineLevel="0" collapsed="false">
      <c r="A7510" s="0" t="s">
        <v>141</v>
      </c>
      <c r="B7510" s="0" t="n">
        <v>30</v>
      </c>
      <c r="C7510" s="0" t="n">
        <v>1.4</v>
      </c>
      <c r="D7510" s="0" t="n">
        <v>0</v>
      </c>
    </row>
    <row r="7511" customFormat="false" ht="13.8" hidden="true" customHeight="false" outlineLevel="0" collapsed="false">
      <c r="A7511" s="0" t="s">
        <v>141</v>
      </c>
      <c r="B7511" s="0" t="n">
        <v>30</v>
      </c>
      <c r="C7511" s="0" t="n">
        <v>1.45</v>
      </c>
      <c r="D7511" s="0" t="n">
        <v>0</v>
      </c>
    </row>
    <row r="7512" customFormat="false" ht="13.8" hidden="true" customHeight="false" outlineLevel="0" collapsed="false">
      <c r="A7512" s="0" t="s">
        <v>141</v>
      </c>
      <c r="B7512" s="0" t="n">
        <v>30</v>
      </c>
      <c r="C7512" s="0" t="n">
        <v>1.5</v>
      </c>
      <c r="D7512" s="0" t="n">
        <v>0</v>
      </c>
    </row>
    <row r="7513" customFormat="false" ht="13.8" hidden="true" customHeight="false" outlineLevel="0" collapsed="false">
      <c r="A7513" s="0" t="s">
        <v>141</v>
      </c>
      <c r="B7513" s="0" t="n">
        <v>30</v>
      </c>
      <c r="C7513" s="0" t="n">
        <v>1.55</v>
      </c>
      <c r="D7513" s="0" t="n">
        <v>0</v>
      </c>
    </row>
    <row r="7514" customFormat="false" ht="13.8" hidden="true" customHeight="false" outlineLevel="0" collapsed="false">
      <c r="A7514" s="0" t="s">
        <v>141</v>
      </c>
      <c r="B7514" s="0" t="n">
        <v>30</v>
      </c>
      <c r="C7514" s="0" t="n">
        <v>1.6</v>
      </c>
      <c r="D7514" s="0" t="n">
        <v>0</v>
      </c>
    </row>
    <row r="7515" customFormat="false" ht="13.8" hidden="true" customHeight="false" outlineLevel="0" collapsed="false">
      <c r="A7515" s="0" t="s">
        <v>141</v>
      </c>
      <c r="B7515" s="0" t="n">
        <v>30</v>
      </c>
      <c r="C7515" s="0" t="n">
        <v>1.65</v>
      </c>
      <c r="D7515" s="0" t="n">
        <v>0</v>
      </c>
    </row>
    <row r="7516" customFormat="false" ht="13.8" hidden="true" customHeight="false" outlineLevel="0" collapsed="false">
      <c r="A7516" s="0" t="s">
        <v>141</v>
      </c>
      <c r="B7516" s="0" t="n">
        <v>30</v>
      </c>
      <c r="C7516" s="0" t="n">
        <v>1.7</v>
      </c>
      <c r="D7516" s="0" t="n">
        <v>0</v>
      </c>
    </row>
    <row r="7517" customFormat="false" ht="13.8" hidden="true" customHeight="false" outlineLevel="0" collapsed="false">
      <c r="A7517" s="0" t="s">
        <v>141</v>
      </c>
      <c r="B7517" s="0" t="n">
        <v>30</v>
      </c>
      <c r="C7517" s="0" t="n">
        <v>1.75</v>
      </c>
      <c r="D7517" s="0" t="n">
        <v>0</v>
      </c>
    </row>
    <row r="7518" customFormat="false" ht="13.8" hidden="true" customHeight="false" outlineLevel="0" collapsed="false">
      <c r="A7518" s="0" t="s">
        <v>141</v>
      </c>
      <c r="B7518" s="0" t="n">
        <v>30</v>
      </c>
      <c r="C7518" s="0" t="n">
        <v>1.8</v>
      </c>
      <c r="D7518" s="0" t="n">
        <v>0.2</v>
      </c>
    </row>
    <row r="7519" customFormat="false" ht="13.8" hidden="true" customHeight="false" outlineLevel="0" collapsed="false">
      <c r="A7519" s="0" t="s">
        <v>141</v>
      </c>
      <c r="B7519" s="0" t="n">
        <v>30</v>
      </c>
      <c r="C7519" s="0" t="n">
        <v>1.85</v>
      </c>
      <c r="D7519" s="0" t="n">
        <v>0.206</v>
      </c>
    </row>
    <row r="7520" customFormat="false" ht="13.8" hidden="true" customHeight="false" outlineLevel="0" collapsed="false">
      <c r="A7520" s="0" t="s">
        <v>141</v>
      </c>
      <c r="B7520" s="0" t="n">
        <v>30</v>
      </c>
      <c r="C7520" s="0" t="n">
        <v>1.9</v>
      </c>
      <c r="D7520" s="0" t="n">
        <v>0.211</v>
      </c>
    </row>
    <row r="7521" customFormat="false" ht="13.8" hidden="true" customHeight="false" outlineLevel="0" collapsed="false">
      <c r="A7521" s="0" t="s">
        <v>141</v>
      </c>
      <c r="B7521" s="0" t="n">
        <v>30</v>
      </c>
      <c r="C7521" s="0" t="n">
        <v>1.95</v>
      </c>
      <c r="D7521" s="0" t="n">
        <v>0.217</v>
      </c>
    </row>
    <row r="7522" customFormat="false" ht="13.8" hidden="true" customHeight="false" outlineLevel="0" collapsed="false">
      <c r="A7522" s="0" t="s">
        <v>141</v>
      </c>
      <c r="B7522" s="0" t="n">
        <v>30</v>
      </c>
      <c r="C7522" s="0" t="n">
        <v>2</v>
      </c>
      <c r="D7522" s="0" t="n">
        <v>0.231</v>
      </c>
    </row>
    <row r="7523" customFormat="false" ht="13.8" hidden="true" customHeight="false" outlineLevel="0" collapsed="false">
      <c r="A7523" s="0" t="s">
        <v>141</v>
      </c>
      <c r="B7523" s="0" t="n">
        <v>30</v>
      </c>
      <c r="C7523" s="0" t="n">
        <v>2.05</v>
      </c>
      <c r="D7523" s="0" t="n">
        <v>0.237</v>
      </c>
    </row>
    <row r="7524" customFormat="false" ht="13.8" hidden="true" customHeight="false" outlineLevel="0" collapsed="false">
      <c r="A7524" s="0" t="s">
        <v>141</v>
      </c>
      <c r="B7524" s="0" t="n">
        <v>30</v>
      </c>
      <c r="C7524" s="0" t="n">
        <v>2.1</v>
      </c>
      <c r="D7524" s="0" t="n">
        <v>0.243</v>
      </c>
    </row>
    <row r="7525" customFormat="false" ht="13.8" hidden="true" customHeight="false" outlineLevel="0" collapsed="false">
      <c r="A7525" s="0" t="s">
        <v>141</v>
      </c>
      <c r="B7525" s="0" t="n">
        <v>30</v>
      </c>
      <c r="C7525" s="0" t="n">
        <v>2.15</v>
      </c>
      <c r="D7525" s="0" t="n">
        <v>0.248416097</v>
      </c>
    </row>
    <row r="7526" customFormat="false" ht="13.8" hidden="true" customHeight="false" outlineLevel="0" collapsed="false">
      <c r="A7526" s="0" t="s">
        <v>141</v>
      </c>
      <c r="B7526" s="0" t="n">
        <v>30</v>
      </c>
      <c r="C7526" s="0" t="n">
        <v>2.2</v>
      </c>
      <c r="D7526" s="0" t="n">
        <v>0.254193216</v>
      </c>
    </row>
    <row r="7527" customFormat="false" ht="13.8" hidden="true" customHeight="false" outlineLevel="0" collapsed="false">
      <c r="A7527" s="0" t="s">
        <v>141</v>
      </c>
      <c r="B7527" s="0" t="n">
        <v>30</v>
      </c>
      <c r="C7527" s="0" t="n">
        <v>2.25</v>
      </c>
      <c r="D7527" s="0" t="n">
        <v>0.259970334</v>
      </c>
    </row>
    <row r="7528" customFormat="false" ht="13.8" hidden="true" customHeight="false" outlineLevel="0" collapsed="false">
      <c r="A7528" s="0" t="s">
        <v>141</v>
      </c>
      <c r="B7528" s="0" t="n">
        <v>30</v>
      </c>
      <c r="C7528" s="0" t="n">
        <v>2.3</v>
      </c>
      <c r="D7528" s="0" t="n">
        <v>0</v>
      </c>
    </row>
    <row r="7529" customFormat="false" ht="13.8" hidden="true" customHeight="false" outlineLevel="0" collapsed="false">
      <c r="A7529" s="0" t="s">
        <v>141</v>
      </c>
      <c r="B7529" s="0" t="n">
        <v>30</v>
      </c>
      <c r="C7529" s="0" t="n">
        <v>2.35</v>
      </c>
      <c r="D7529" s="0" t="n">
        <v>0</v>
      </c>
    </row>
    <row r="7530" customFormat="false" ht="13.8" hidden="true" customHeight="false" outlineLevel="0" collapsed="false">
      <c r="A7530" s="0" t="s">
        <v>141</v>
      </c>
      <c r="B7530" s="0" t="n">
        <v>30</v>
      </c>
      <c r="C7530" s="0" t="n">
        <v>2.4</v>
      </c>
      <c r="D7530" s="0" t="n">
        <v>0</v>
      </c>
    </row>
    <row r="7531" customFormat="false" ht="13.8" hidden="true" customHeight="false" outlineLevel="0" collapsed="false">
      <c r="A7531" s="0" t="s">
        <v>141</v>
      </c>
      <c r="B7531" s="0" t="n">
        <v>30</v>
      </c>
      <c r="C7531" s="0" t="n">
        <v>2.45</v>
      </c>
      <c r="D7531" s="0" t="n">
        <v>0</v>
      </c>
    </row>
    <row r="7532" customFormat="false" ht="13.8" hidden="true" customHeight="false" outlineLevel="0" collapsed="false">
      <c r="A7532" s="0" t="s">
        <v>141</v>
      </c>
      <c r="B7532" s="0" t="n">
        <v>30</v>
      </c>
      <c r="C7532" s="0" t="n">
        <v>2.5</v>
      </c>
      <c r="D7532" s="0" t="n">
        <v>0</v>
      </c>
    </row>
    <row r="7533" customFormat="false" ht="13.8" hidden="true" customHeight="false" outlineLevel="0" collapsed="false">
      <c r="A7533" s="0" t="s">
        <v>141</v>
      </c>
      <c r="B7533" s="0" t="n">
        <v>30</v>
      </c>
      <c r="C7533" s="0" t="n">
        <v>2.55</v>
      </c>
      <c r="D7533" s="0" t="n">
        <v>0</v>
      </c>
    </row>
    <row r="7534" customFormat="false" ht="13.8" hidden="true" customHeight="false" outlineLevel="0" collapsed="false">
      <c r="A7534" s="0" t="s">
        <v>141</v>
      </c>
      <c r="B7534" s="0" t="n">
        <v>30</v>
      </c>
      <c r="C7534" s="0" t="n">
        <v>2.6</v>
      </c>
      <c r="D7534" s="0" t="n">
        <v>0</v>
      </c>
    </row>
    <row r="7535" customFormat="false" ht="13.8" hidden="true" customHeight="false" outlineLevel="0" collapsed="false">
      <c r="A7535" s="0" t="s">
        <v>141</v>
      </c>
      <c r="B7535" s="0" t="n">
        <v>31</v>
      </c>
      <c r="C7535" s="0" t="n">
        <v>1.3</v>
      </c>
      <c r="D7535" s="0" t="n">
        <v>0</v>
      </c>
    </row>
    <row r="7536" customFormat="false" ht="13.8" hidden="true" customHeight="false" outlineLevel="0" collapsed="false">
      <c r="A7536" s="0" t="s">
        <v>141</v>
      </c>
      <c r="B7536" s="0" t="n">
        <v>31</v>
      </c>
      <c r="C7536" s="0" t="n">
        <v>1.35</v>
      </c>
      <c r="D7536" s="0" t="n">
        <v>0</v>
      </c>
    </row>
    <row r="7537" customFormat="false" ht="13.8" hidden="true" customHeight="false" outlineLevel="0" collapsed="false">
      <c r="A7537" s="0" t="s">
        <v>141</v>
      </c>
      <c r="B7537" s="0" t="n">
        <v>31</v>
      </c>
      <c r="C7537" s="0" t="n">
        <v>1.4</v>
      </c>
      <c r="D7537" s="0" t="n">
        <v>0</v>
      </c>
    </row>
    <row r="7538" customFormat="false" ht="13.8" hidden="true" customHeight="false" outlineLevel="0" collapsed="false">
      <c r="A7538" s="0" t="s">
        <v>141</v>
      </c>
      <c r="B7538" s="0" t="n">
        <v>31</v>
      </c>
      <c r="C7538" s="0" t="n">
        <v>1.45</v>
      </c>
      <c r="D7538" s="0" t="n">
        <v>0</v>
      </c>
    </row>
    <row r="7539" customFormat="false" ht="13.8" hidden="true" customHeight="false" outlineLevel="0" collapsed="false">
      <c r="A7539" s="0" t="s">
        <v>141</v>
      </c>
      <c r="B7539" s="0" t="n">
        <v>31</v>
      </c>
      <c r="C7539" s="0" t="n">
        <v>1.5</v>
      </c>
      <c r="D7539" s="0" t="n">
        <v>0</v>
      </c>
    </row>
    <row r="7540" customFormat="false" ht="13.8" hidden="true" customHeight="false" outlineLevel="0" collapsed="false">
      <c r="A7540" s="0" t="s">
        <v>141</v>
      </c>
      <c r="B7540" s="0" t="n">
        <v>31</v>
      </c>
      <c r="C7540" s="0" t="n">
        <v>1.55</v>
      </c>
      <c r="D7540" s="0" t="n">
        <v>0</v>
      </c>
    </row>
    <row r="7541" customFormat="false" ht="13.8" hidden="true" customHeight="false" outlineLevel="0" collapsed="false">
      <c r="A7541" s="0" t="s">
        <v>141</v>
      </c>
      <c r="B7541" s="0" t="n">
        <v>31</v>
      </c>
      <c r="C7541" s="0" t="n">
        <v>1.6</v>
      </c>
      <c r="D7541" s="0" t="n">
        <v>0</v>
      </c>
    </row>
    <row r="7542" customFormat="false" ht="13.8" hidden="true" customHeight="false" outlineLevel="0" collapsed="false">
      <c r="A7542" s="0" t="s">
        <v>141</v>
      </c>
      <c r="B7542" s="0" t="n">
        <v>31</v>
      </c>
      <c r="C7542" s="0" t="n">
        <v>1.65</v>
      </c>
      <c r="D7542" s="0" t="n">
        <v>0</v>
      </c>
    </row>
    <row r="7543" customFormat="false" ht="13.8" hidden="true" customHeight="false" outlineLevel="0" collapsed="false">
      <c r="A7543" s="0" t="s">
        <v>141</v>
      </c>
      <c r="B7543" s="0" t="n">
        <v>31</v>
      </c>
      <c r="C7543" s="0" t="n">
        <v>1.7</v>
      </c>
      <c r="D7543" s="0" t="n">
        <v>0</v>
      </c>
    </row>
    <row r="7544" customFormat="false" ht="13.8" hidden="true" customHeight="false" outlineLevel="0" collapsed="false">
      <c r="A7544" s="0" t="s">
        <v>141</v>
      </c>
      <c r="B7544" s="0" t="n">
        <v>31</v>
      </c>
      <c r="C7544" s="0" t="n">
        <v>1.75</v>
      </c>
      <c r="D7544" s="0" t="n">
        <v>0</v>
      </c>
    </row>
    <row r="7545" customFormat="false" ht="13.8" hidden="true" customHeight="false" outlineLevel="0" collapsed="false">
      <c r="A7545" s="0" t="s">
        <v>141</v>
      </c>
      <c r="B7545" s="0" t="n">
        <v>31</v>
      </c>
      <c r="C7545" s="0" t="n">
        <v>1.8</v>
      </c>
      <c r="D7545" s="0" t="n">
        <v>0.2</v>
      </c>
    </row>
    <row r="7546" customFormat="false" ht="13.8" hidden="true" customHeight="false" outlineLevel="0" collapsed="false">
      <c r="A7546" s="0" t="s">
        <v>141</v>
      </c>
      <c r="B7546" s="0" t="n">
        <v>31</v>
      </c>
      <c r="C7546" s="0" t="n">
        <v>1.85</v>
      </c>
      <c r="D7546" s="0" t="n">
        <v>0.206</v>
      </c>
    </row>
    <row r="7547" customFormat="false" ht="13.8" hidden="true" customHeight="false" outlineLevel="0" collapsed="false">
      <c r="A7547" s="0" t="s">
        <v>141</v>
      </c>
      <c r="B7547" s="0" t="n">
        <v>31</v>
      </c>
      <c r="C7547" s="0" t="n">
        <v>1.9</v>
      </c>
      <c r="D7547" s="0" t="n">
        <v>0.211</v>
      </c>
    </row>
    <row r="7548" customFormat="false" ht="13.8" hidden="true" customHeight="false" outlineLevel="0" collapsed="false">
      <c r="A7548" s="0" t="s">
        <v>141</v>
      </c>
      <c r="B7548" s="0" t="n">
        <v>31</v>
      </c>
      <c r="C7548" s="0" t="n">
        <v>1.95</v>
      </c>
      <c r="D7548" s="0" t="n">
        <v>0.217</v>
      </c>
    </row>
    <row r="7549" customFormat="false" ht="13.8" hidden="true" customHeight="false" outlineLevel="0" collapsed="false">
      <c r="A7549" s="0" t="s">
        <v>141</v>
      </c>
      <c r="B7549" s="0" t="n">
        <v>31</v>
      </c>
      <c r="C7549" s="0" t="n">
        <v>2</v>
      </c>
      <c r="D7549" s="0" t="n">
        <v>0.231</v>
      </c>
    </row>
    <row r="7550" customFormat="false" ht="13.8" hidden="true" customHeight="false" outlineLevel="0" collapsed="false">
      <c r="A7550" s="0" t="s">
        <v>141</v>
      </c>
      <c r="B7550" s="0" t="n">
        <v>31</v>
      </c>
      <c r="C7550" s="0" t="n">
        <v>2.05</v>
      </c>
      <c r="D7550" s="0" t="n">
        <v>0.237</v>
      </c>
    </row>
    <row r="7551" customFormat="false" ht="13.8" hidden="true" customHeight="false" outlineLevel="0" collapsed="false">
      <c r="A7551" s="0" t="s">
        <v>141</v>
      </c>
      <c r="B7551" s="0" t="n">
        <v>31</v>
      </c>
      <c r="C7551" s="0" t="n">
        <v>2.1</v>
      </c>
      <c r="D7551" s="0" t="n">
        <v>0.243</v>
      </c>
    </row>
    <row r="7552" customFormat="false" ht="13.8" hidden="true" customHeight="false" outlineLevel="0" collapsed="false">
      <c r="A7552" s="0" t="s">
        <v>141</v>
      </c>
      <c r="B7552" s="0" t="n">
        <v>31</v>
      </c>
      <c r="C7552" s="0" t="n">
        <v>2.15</v>
      </c>
      <c r="D7552" s="0" t="n">
        <v>0.248416097</v>
      </c>
    </row>
    <row r="7553" customFormat="false" ht="13.8" hidden="true" customHeight="false" outlineLevel="0" collapsed="false">
      <c r="A7553" s="0" t="s">
        <v>141</v>
      </c>
      <c r="B7553" s="0" t="n">
        <v>31</v>
      </c>
      <c r="C7553" s="0" t="n">
        <v>2.2</v>
      </c>
      <c r="D7553" s="0" t="n">
        <v>0.254193216</v>
      </c>
    </row>
    <row r="7554" customFormat="false" ht="13.8" hidden="true" customHeight="false" outlineLevel="0" collapsed="false">
      <c r="A7554" s="0" t="s">
        <v>141</v>
      </c>
      <c r="B7554" s="0" t="n">
        <v>31</v>
      </c>
      <c r="C7554" s="0" t="n">
        <v>2.25</v>
      </c>
      <c r="D7554" s="0" t="n">
        <v>0.259970334</v>
      </c>
    </row>
    <row r="7555" customFormat="false" ht="13.8" hidden="true" customHeight="false" outlineLevel="0" collapsed="false">
      <c r="A7555" s="0" t="s">
        <v>141</v>
      </c>
      <c r="B7555" s="0" t="n">
        <v>31</v>
      </c>
      <c r="C7555" s="0" t="n">
        <v>2.3</v>
      </c>
      <c r="D7555" s="0" t="n">
        <v>0</v>
      </c>
    </row>
    <row r="7556" customFormat="false" ht="13.8" hidden="true" customHeight="false" outlineLevel="0" collapsed="false">
      <c r="A7556" s="0" t="s">
        <v>141</v>
      </c>
      <c r="B7556" s="0" t="n">
        <v>31</v>
      </c>
      <c r="C7556" s="0" t="n">
        <v>2.35</v>
      </c>
      <c r="D7556" s="0" t="n">
        <v>0</v>
      </c>
    </row>
    <row r="7557" customFormat="false" ht="13.8" hidden="true" customHeight="false" outlineLevel="0" collapsed="false">
      <c r="A7557" s="0" t="s">
        <v>141</v>
      </c>
      <c r="B7557" s="0" t="n">
        <v>31</v>
      </c>
      <c r="C7557" s="0" t="n">
        <v>2.4</v>
      </c>
      <c r="D7557" s="0" t="n">
        <v>0</v>
      </c>
    </row>
    <row r="7558" customFormat="false" ht="13.8" hidden="true" customHeight="false" outlineLevel="0" collapsed="false">
      <c r="A7558" s="0" t="s">
        <v>141</v>
      </c>
      <c r="B7558" s="0" t="n">
        <v>31</v>
      </c>
      <c r="C7558" s="0" t="n">
        <v>2.45</v>
      </c>
      <c r="D7558" s="0" t="n">
        <v>0</v>
      </c>
    </row>
    <row r="7559" customFormat="false" ht="13.8" hidden="true" customHeight="false" outlineLevel="0" collapsed="false">
      <c r="A7559" s="0" t="s">
        <v>141</v>
      </c>
      <c r="B7559" s="0" t="n">
        <v>31</v>
      </c>
      <c r="C7559" s="0" t="n">
        <v>2.5</v>
      </c>
      <c r="D7559" s="0" t="n">
        <v>0</v>
      </c>
    </row>
    <row r="7560" customFormat="false" ht="13.8" hidden="true" customHeight="false" outlineLevel="0" collapsed="false">
      <c r="A7560" s="0" t="s">
        <v>141</v>
      </c>
      <c r="B7560" s="0" t="n">
        <v>31</v>
      </c>
      <c r="C7560" s="0" t="n">
        <v>2.55</v>
      </c>
      <c r="D7560" s="0" t="n">
        <v>0</v>
      </c>
    </row>
    <row r="7561" customFormat="false" ht="13.8" hidden="true" customHeight="false" outlineLevel="0" collapsed="false">
      <c r="A7561" s="0" t="s">
        <v>141</v>
      </c>
      <c r="B7561" s="0" t="n">
        <v>31</v>
      </c>
      <c r="C7561" s="0" t="n">
        <v>2.6</v>
      </c>
      <c r="D7561" s="0" t="n">
        <v>0</v>
      </c>
    </row>
    <row r="7562" customFormat="false" ht="13.8" hidden="true" customHeight="false" outlineLevel="0" collapsed="false">
      <c r="A7562" s="0" t="s">
        <v>254</v>
      </c>
      <c r="B7562" s="0" t="n">
        <v>26</v>
      </c>
      <c r="C7562" s="0" t="n">
        <v>1.3</v>
      </c>
      <c r="D7562" s="0" t="n">
        <v>0</v>
      </c>
    </row>
    <row r="7563" customFormat="false" ht="13.8" hidden="true" customHeight="false" outlineLevel="0" collapsed="false">
      <c r="A7563" s="0" t="s">
        <v>254</v>
      </c>
      <c r="B7563" s="0" t="n">
        <v>26</v>
      </c>
      <c r="C7563" s="0" t="n">
        <v>1.35</v>
      </c>
      <c r="D7563" s="0" t="n">
        <v>0</v>
      </c>
    </row>
    <row r="7564" customFormat="false" ht="13.8" hidden="true" customHeight="false" outlineLevel="0" collapsed="false">
      <c r="A7564" s="0" t="s">
        <v>254</v>
      </c>
      <c r="B7564" s="0" t="n">
        <v>26</v>
      </c>
      <c r="C7564" s="0" t="n">
        <v>1.4</v>
      </c>
      <c r="D7564" s="0" t="n">
        <v>0</v>
      </c>
    </row>
    <row r="7565" customFormat="false" ht="13.8" hidden="true" customHeight="false" outlineLevel="0" collapsed="false">
      <c r="A7565" s="0" t="s">
        <v>254</v>
      </c>
      <c r="B7565" s="0" t="n">
        <v>26</v>
      </c>
      <c r="C7565" s="0" t="n">
        <v>1.45</v>
      </c>
      <c r="D7565" s="0" t="n">
        <v>0</v>
      </c>
    </row>
    <row r="7566" customFormat="false" ht="13.8" hidden="true" customHeight="false" outlineLevel="0" collapsed="false">
      <c r="A7566" s="0" t="s">
        <v>254</v>
      </c>
      <c r="B7566" s="0" t="n">
        <v>26</v>
      </c>
      <c r="C7566" s="0" t="n">
        <v>1.5</v>
      </c>
      <c r="D7566" s="0" t="n">
        <v>0</v>
      </c>
    </row>
    <row r="7567" customFormat="false" ht="13.8" hidden="true" customHeight="false" outlineLevel="0" collapsed="false">
      <c r="A7567" s="0" t="s">
        <v>254</v>
      </c>
      <c r="B7567" s="0" t="n">
        <v>26</v>
      </c>
      <c r="C7567" s="0" t="n">
        <v>1.55</v>
      </c>
      <c r="D7567" s="0" t="n">
        <v>0</v>
      </c>
    </row>
    <row r="7568" customFormat="false" ht="13.8" hidden="true" customHeight="false" outlineLevel="0" collapsed="false">
      <c r="A7568" s="0" t="s">
        <v>254</v>
      </c>
      <c r="B7568" s="0" t="n">
        <v>26</v>
      </c>
      <c r="C7568" s="0" t="n">
        <v>1.6</v>
      </c>
      <c r="D7568" s="0" t="n">
        <v>0</v>
      </c>
    </row>
    <row r="7569" customFormat="false" ht="13.8" hidden="true" customHeight="false" outlineLevel="0" collapsed="false">
      <c r="A7569" s="0" t="s">
        <v>254</v>
      </c>
      <c r="B7569" s="0" t="n">
        <v>26</v>
      </c>
      <c r="C7569" s="0" t="n">
        <v>1.65</v>
      </c>
      <c r="D7569" s="0" t="n">
        <v>0</v>
      </c>
    </row>
    <row r="7570" customFormat="false" ht="13.8" hidden="true" customHeight="false" outlineLevel="0" collapsed="false">
      <c r="A7570" s="0" t="s">
        <v>254</v>
      </c>
      <c r="B7570" s="0" t="n">
        <v>26</v>
      </c>
      <c r="C7570" s="0" t="n">
        <v>1.7</v>
      </c>
      <c r="D7570" s="0" t="n">
        <v>0</v>
      </c>
    </row>
    <row r="7571" customFormat="false" ht="13.8" hidden="true" customHeight="false" outlineLevel="0" collapsed="false">
      <c r="A7571" s="0" t="s">
        <v>254</v>
      </c>
      <c r="B7571" s="0" t="n">
        <v>26</v>
      </c>
      <c r="C7571" s="0" t="n">
        <v>1.75</v>
      </c>
      <c r="D7571" s="0" t="n">
        <v>0</v>
      </c>
    </row>
    <row r="7572" customFormat="false" ht="13.8" hidden="true" customHeight="false" outlineLevel="0" collapsed="false">
      <c r="A7572" s="0" t="s">
        <v>254</v>
      </c>
      <c r="B7572" s="0" t="n">
        <v>26</v>
      </c>
      <c r="C7572" s="0" t="n">
        <v>1.8</v>
      </c>
      <c r="D7572" s="0" t="n">
        <v>0.2</v>
      </c>
    </row>
    <row r="7573" customFormat="false" ht="13.8" hidden="true" customHeight="false" outlineLevel="0" collapsed="false">
      <c r="A7573" s="0" t="s">
        <v>254</v>
      </c>
      <c r="B7573" s="0" t="n">
        <v>26</v>
      </c>
      <c r="C7573" s="0" t="n">
        <v>1.85</v>
      </c>
      <c r="D7573" s="0" t="n">
        <v>0.206</v>
      </c>
    </row>
    <row r="7574" customFormat="false" ht="13.8" hidden="true" customHeight="false" outlineLevel="0" collapsed="false">
      <c r="A7574" s="0" t="s">
        <v>254</v>
      </c>
      <c r="B7574" s="0" t="n">
        <v>26</v>
      </c>
      <c r="C7574" s="0" t="n">
        <v>1.9</v>
      </c>
      <c r="D7574" s="0" t="n">
        <v>0.211</v>
      </c>
    </row>
    <row r="7575" customFormat="false" ht="13.8" hidden="true" customHeight="false" outlineLevel="0" collapsed="false">
      <c r="A7575" s="0" t="s">
        <v>254</v>
      </c>
      <c r="B7575" s="0" t="n">
        <v>26</v>
      </c>
      <c r="C7575" s="0" t="n">
        <v>1.95</v>
      </c>
      <c r="D7575" s="0" t="n">
        <v>0.217</v>
      </c>
    </row>
    <row r="7576" customFormat="false" ht="13.8" hidden="true" customHeight="false" outlineLevel="0" collapsed="false">
      <c r="A7576" s="0" t="s">
        <v>254</v>
      </c>
      <c r="B7576" s="0" t="n">
        <v>26</v>
      </c>
      <c r="C7576" s="0" t="n">
        <v>2</v>
      </c>
      <c r="D7576" s="0" t="n">
        <v>0.231</v>
      </c>
    </row>
    <row r="7577" customFormat="false" ht="13.8" hidden="true" customHeight="false" outlineLevel="0" collapsed="false">
      <c r="A7577" s="0" t="s">
        <v>254</v>
      </c>
      <c r="B7577" s="0" t="n">
        <v>26</v>
      </c>
      <c r="C7577" s="0" t="n">
        <v>2.05</v>
      </c>
      <c r="D7577" s="0" t="n">
        <v>0.237</v>
      </c>
    </row>
    <row r="7578" customFormat="false" ht="13.8" hidden="true" customHeight="false" outlineLevel="0" collapsed="false">
      <c r="A7578" s="0" t="s">
        <v>254</v>
      </c>
      <c r="B7578" s="0" t="n">
        <v>26</v>
      </c>
      <c r="C7578" s="0" t="n">
        <v>2.1</v>
      </c>
      <c r="D7578" s="0" t="n">
        <v>0.243</v>
      </c>
    </row>
    <row r="7579" customFormat="false" ht="13.8" hidden="true" customHeight="false" outlineLevel="0" collapsed="false">
      <c r="A7579" s="0" t="s">
        <v>254</v>
      </c>
      <c r="B7579" s="0" t="n">
        <v>26</v>
      </c>
      <c r="C7579" s="0" t="n">
        <v>2.15</v>
      </c>
      <c r="D7579" s="0" t="n">
        <v>0.248416097</v>
      </c>
    </row>
    <row r="7580" customFormat="false" ht="13.8" hidden="true" customHeight="false" outlineLevel="0" collapsed="false">
      <c r="A7580" s="0" t="s">
        <v>254</v>
      </c>
      <c r="B7580" s="0" t="n">
        <v>26</v>
      </c>
      <c r="C7580" s="0" t="n">
        <v>2.2</v>
      </c>
      <c r="D7580" s="0" t="n">
        <v>0.254193216</v>
      </c>
    </row>
    <row r="7581" customFormat="false" ht="13.8" hidden="true" customHeight="false" outlineLevel="0" collapsed="false">
      <c r="A7581" s="0" t="s">
        <v>254</v>
      </c>
      <c r="B7581" s="0" t="n">
        <v>26</v>
      </c>
      <c r="C7581" s="0" t="n">
        <v>2.25</v>
      </c>
      <c r="D7581" s="0" t="n">
        <v>0.259970334</v>
      </c>
    </row>
    <row r="7582" customFormat="false" ht="13.8" hidden="true" customHeight="false" outlineLevel="0" collapsed="false">
      <c r="A7582" s="0" t="s">
        <v>254</v>
      </c>
      <c r="B7582" s="0" t="n">
        <v>26</v>
      </c>
      <c r="C7582" s="0" t="n">
        <v>2.3</v>
      </c>
      <c r="D7582" s="0" t="n">
        <v>0</v>
      </c>
    </row>
    <row r="7583" customFormat="false" ht="13.8" hidden="true" customHeight="false" outlineLevel="0" collapsed="false">
      <c r="A7583" s="0" t="s">
        <v>254</v>
      </c>
      <c r="B7583" s="0" t="n">
        <v>26</v>
      </c>
      <c r="C7583" s="0" t="n">
        <v>2.35</v>
      </c>
      <c r="D7583" s="0" t="n">
        <v>0</v>
      </c>
    </row>
    <row r="7584" customFormat="false" ht="13.8" hidden="true" customHeight="false" outlineLevel="0" collapsed="false">
      <c r="A7584" s="0" t="s">
        <v>254</v>
      </c>
      <c r="B7584" s="0" t="n">
        <v>26</v>
      </c>
      <c r="C7584" s="0" t="n">
        <v>2.4</v>
      </c>
      <c r="D7584" s="0" t="n">
        <v>0</v>
      </c>
    </row>
    <row r="7585" customFormat="false" ht="13.8" hidden="true" customHeight="false" outlineLevel="0" collapsed="false">
      <c r="A7585" s="0" t="s">
        <v>254</v>
      </c>
      <c r="B7585" s="0" t="n">
        <v>26</v>
      </c>
      <c r="C7585" s="0" t="n">
        <v>2.45</v>
      </c>
      <c r="D7585" s="0" t="n">
        <v>0</v>
      </c>
    </row>
    <row r="7586" customFormat="false" ht="13.8" hidden="true" customHeight="false" outlineLevel="0" collapsed="false">
      <c r="A7586" s="0" t="s">
        <v>254</v>
      </c>
      <c r="B7586" s="0" t="n">
        <v>26</v>
      </c>
      <c r="C7586" s="0" t="n">
        <v>2.5</v>
      </c>
      <c r="D7586" s="0" t="n">
        <v>0</v>
      </c>
    </row>
    <row r="7587" customFormat="false" ht="13.8" hidden="true" customHeight="false" outlineLevel="0" collapsed="false">
      <c r="A7587" s="0" t="s">
        <v>254</v>
      </c>
      <c r="B7587" s="0" t="n">
        <v>26</v>
      </c>
      <c r="C7587" s="0" t="n">
        <v>2.55</v>
      </c>
      <c r="D7587" s="0" t="n">
        <v>0</v>
      </c>
    </row>
    <row r="7588" customFormat="false" ht="13.8" hidden="true" customHeight="false" outlineLevel="0" collapsed="false">
      <c r="A7588" s="0" t="s">
        <v>254</v>
      </c>
      <c r="B7588" s="0" t="n">
        <v>26</v>
      </c>
      <c r="C7588" s="0" t="n">
        <v>2.6</v>
      </c>
      <c r="D7588" s="0" t="n">
        <v>0</v>
      </c>
    </row>
    <row r="7589" customFormat="false" ht="13.8" hidden="true" customHeight="false" outlineLevel="0" collapsed="false">
      <c r="A7589" s="0" t="s">
        <v>254</v>
      </c>
      <c r="B7589" s="0" t="n">
        <v>30</v>
      </c>
      <c r="C7589" s="0" t="n">
        <v>1.3</v>
      </c>
      <c r="D7589" s="0" t="n">
        <v>0</v>
      </c>
    </row>
    <row r="7590" customFormat="false" ht="13.8" hidden="true" customHeight="false" outlineLevel="0" collapsed="false">
      <c r="A7590" s="0" t="s">
        <v>254</v>
      </c>
      <c r="B7590" s="0" t="n">
        <v>30</v>
      </c>
      <c r="C7590" s="0" t="n">
        <v>1.35</v>
      </c>
      <c r="D7590" s="0" t="n">
        <v>0</v>
      </c>
    </row>
    <row r="7591" customFormat="false" ht="13.8" hidden="true" customHeight="false" outlineLevel="0" collapsed="false">
      <c r="A7591" s="0" t="s">
        <v>254</v>
      </c>
      <c r="B7591" s="0" t="n">
        <v>30</v>
      </c>
      <c r="C7591" s="0" t="n">
        <v>1.4</v>
      </c>
      <c r="D7591" s="0" t="n">
        <v>0</v>
      </c>
    </row>
    <row r="7592" customFormat="false" ht="13.8" hidden="true" customHeight="false" outlineLevel="0" collapsed="false">
      <c r="A7592" s="0" t="s">
        <v>254</v>
      </c>
      <c r="B7592" s="0" t="n">
        <v>30</v>
      </c>
      <c r="C7592" s="0" t="n">
        <v>1.45</v>
      </c>
      <c r="D7592" s="0" t="n">
        <v>0</v>
      </c>
    </row>
    <row r="7593" customFormat="false" ht="13.8" hidden="true" customHeight="false" outlineLevel="0" collapsed="false">
      <c r="A7593" s="0" t="s">
        <v>254</v>
      </c>
      <c r="B7593" s="0" t="n">
        <v>30</v>
      </c>
      <c r="C7593" s="0" t="n">
        <v>1.5</v>
      </c>
      <c r="D7593" s="0" t="n">
        <v>0</v>
      </c>
    </row>
    <row r="7594" customFormat="false" ht="13.8" hidden="true" customHeight="false" outlineLevel="0" collapsed="false">
      <c r="A7594" s="0" t="s">
        <v>254</v>
      </c>
      <c r="B7594" s="0" t="n">
        <v>30</v>
      </c>
      <c r="C7594" s="0" t="n">
        <v>1.55</v>
      </c>
      <c r="D7594" s="0" t="n">
        <v>0</v>
      </c>
    </row>
    <row r="7595" customFormat="false" ht="13.8" hidden="true" customHeight="false" outlineLevel="0" collapsed="false">
      <c r="A7595" s="0" t="s">
        <v>254</v>
      </c>
      <c r="B7595" s="0" t="n">
        <v>30</v>
      </c>
      <c r="C7595" s="0" t="n">
        <v>1.6</v>
      </c>
      <c r="D7595" s="0" t="n">
        <v>0</v>
      </c>
    </row>
    <row r="7596" customFormat="false" ht="13.8" hidden="true" customHeight="false" outlineLevel="0" collapsed="false">
      <c r="A7596" s="0" t="s">
        <v>254</v>
      </c>
      <c r="B7596" s="0" t="n">
        <v>30</v>
      </c>
      <c r="C7596" s="0" t="n">
        <v>1.65</v>
      </c>
      <c r="D7596" s="0" t="n">
        <v>0</v>
      </c>
    </row>
    <row r="7597" customFormat="false" ht="13.8" hidden="true" customHeight="false" outlineLevel="0" collapsed="false">
      <c r="A7597" s="0" t="s">
        <v>254</v>
      </c>
      <c r="B7597" s="0" t="n">
        <v>30</v>
      </c>
      <c r="C7597" s="0" t="n">
        <v>1.7</v>
      </c>
      <c r="D7597" s="0" t="n">
        <v>0</v>
      </c>
    </row>
    <row r="7598" customFormat="false" ht="13.8" hidden="true" customHeight="false" outlineLevel="0" collapsed="false">
      <c r="A7598" s="0" t="s">
        <v>254</v>
      </c>
      <c r="B7598" s="0" t="n">
        <v>30</v>
      </c>
      <c r="C7598" s="0" t="n">
        <v>1.75</v>
      </c>
      <c r="D7598" s="0" t="n">
        <v>0</v>
      </c>
    </row>
    <row r="7599" customFormat="false" ht="13.8" hidden="true" customHeight="false" outlineLevel="0" collapsed="false">
      <c r="A7599" s="0" t="s">
        <v>254</v>
      </c>
      <c r="B7599" s="0" t="n">
        <v>30</v>
      </c>
      <c r="C7599" s="0" t="n">
        <v>1.8</v>
      </c>
      <c r="D7599" s="0" t="n">
        <v>0.2</v>
      </c>
    </row>
    <row r="7600" customFormat="false" ht="13.8" hidden="true" customHeight="false" outlineLevel="0" collapsed="false">
      <c r="A7600" s="0" t="s">
        <v>254</v>
      </c>
      <c r="B7600" s="0" t="n">
        <v>30</v>
      </c>
      <c r="C7600" s="0" t="n">
        <v>1.85</v>
      </c>
      <c r="D7600" s="0" t="n">
        <v>0.206</v>
      </c>
    </row>
    <row r="7601" customFormat="false" ht="13.8" hidden="true" customHeight="false" outlineLevel="0" collapsed="false">
      <c r="A7601" s="0" t="s">
        <v>254</v>
      </c>
      <c r="B7601" s="0" t="n">
        <v>30</v>
      </c>
      <c r="C7601" s="0" t="n">
        <v>1.9</v>
      </c>
      <c r="D7601" s="0" t="n">
        <v>0.211</v>
      </c>
    </row>
    <row r="7602" customFormat="false" ht="13.8" hidden="true" customHeight="false" outlineLevel="0" collapsed="false">
      <c r="A7602" s="0" t="s">
        <v>254</v>
      </c>
      <c r="B7602" s="0" t="n">
        <v>30</v>
      </c>
      <c r="C7602" s="0" t="n">
        <v>1.95</v>
      </c>
      <c r="D7602" s="0" t="n">
        <v>0.217</v>
      </c>
    </row>
    <row r="7603" customFormat="false" ht="13.8" hidden="true" customHeight="false" outlineLevel="0" collapsed="false">
      <c r="A7603" s="0" t="s">
        <v>254</v>
      </c>
      <c r="B7603" s="0" t="n">
        <v>30</v>
      </c>
      <c r="C7603" s="0" t="n">
        <v>2</v>
      </c>
      <c r="D7603" s="0" t="n">
        <v>0.231</v>
      </c>
    </row>
    <row r="7604" customFormat="false" ht="13.8" hidden="true" customHeight="false" outlineLevel="0" collapsed="false">
      <c r="A7604" s="0" t="s">
        <v>254</v>
      </c>
      <c r="B7604" s="0" t="n">
        <v>30</v>
      </c>
      <c r="C7604" s="0" t="n">
        <v>2.05</v>
      </c>
      <c r="D7604" s="0" t="n">
        <v>0.237</v>
      </c>
    </row>
    <row r="7605" customFormat="false" ht="13.8" hidden="true" customHeight="false" outlineLevel="0" collapsed="false">
      <c r="A7605" s="0" t="s">
        <v>254</v>
      </c>
      <c r="B7605" s="0" t="n">
        <v>30</v>
      </c>
      <c r="C7605" s="0" t="n">
        <v>2.1</v>
      </c>
      <c r="D7605" s="0" t="n">
        <v>0.243</v>
      </c>
    </row>
    <row r="7606" customFormat="false" ht="13.8" hidden="true" customHeight="false" outlineLevel="0" collapsed="false">
      <c r="A7606" s="0" t="s">
        <v>254</v>
      </c>
      <c r="B7606" s="0" t="n">
        <v>30</v>
      </c>
      <c r="C7606" s="0" t="n">
        <v>2.15</v>
      </c>
      <c r="D7606" s="0" t="n">
        <v>0.248416097</v>
      </c>
    </row>
    <row r="7607" customFormat="false" ht="13.8" hidden="true" customHeight="false" outlineLevel="0" collapsed="false">
      <c r="A7607" s="0" t="s">
        <v>254</v>
      </c>
      <c r="B7607" s="0" t="n">
        <v>30</v>
      </c>
      <c r="C7607" s="0" t="n">
        <v>2.2</v>
      </c>
      <c r="D7607" s="0" t="n">
        <v>0.254193216</v>
      </c>
    </row>
    <row r="7608" customFormat="false" ht="13.8" hidden="true" customHeight="false" outlineLevel="0" collapsed="false">
      <c r="A7608" s="0" t="s">
        <v>254</v>
      </c>
      <c r="B7608" s="0" t="n">
        <v>30</v>
      </c>
      <c r="C7608" s="0" t="n">
        <v>2.25</v>
      </c>
      <c r="D7608" s="0" t="n">
        <v>0.259970334</v>
      </c>
    </row>
    <row r="7609" customFormat="false" ht="13.8" hidden="true" customHeight="false" outlineLevel="0" collapsed="false">
      <c r="A7609" s="0" t="s">
        <v>254</v>
      </c>
      <c r="B7609" s="0" t="n">
        <v>30</v>
      </c>
      <c r="C7609" s="0" t="n">
        <v>2.3</v>
      </c>
      <c r="D7609" s="0" t="n">
        <v>0</v>
      </c>
    </row>
    <row r="7610" customFormat="false" ht="13.8" hidden="true" customHeight="false" outlineLevel="0" collapsed="false">
      <c r="A7610" s="0" t="s">
        <v>254</v>
      </c>
      <c r="B7610" s="0" t="n">
        <v>30</v>
      </c>
      <c r="C7610" s="0" t="n">
        <v>2.35</v>
      </c>
      <c r="D7610" s="0" t="n">
        <v>0</v>
      </c>
    </row>
    <row r="7611" customFormat="false" ht="13.8" hidden="true" customHeight="false" outlineLevel="0" collapsed="false">
      <c r="A7611" s="0" t="s">
        <v>254</v>
      </c>
      <c r="B7611" s="0" t="n">
        <v>30</v>
      </c>
      <c r="C7611" s="0" t="n">
        <v>2.4</v>
      </c>
      <c r="D7611" s="0" t="n">
        <v>0</v>
      </c>
    </row>
    <row r="7612" customFormat="false" ht="13.8" hidden="true" customHeight="false" outlineLevel="0" collapsed="false">
      <c r="A7612" s="0" t="s">
        <v>254</v>
      </c>
      <c r="B7612" s="0" t="n">
        <v>30</v>
      </c>
      <c r="C7612" s="0" t="n">
        <v>2.45</v>
      </c>
      <c r="D7612" s="0" t="n">
        <v>0</v>
      </c>
    </row>
    <row r="7613" customFormat="false" ht="13.8" hidden="true" customHeight="false" outlineLevel="0" collapsed="false">
      <c r="A7613" s="0" t="s">
        <v>254</v>
      </c>
      <c r="B7613" s="0" t="n">
        <v>30</v>
      </c>
      <c r="C7613" s="0" t="n">
        <v>2.5</v>
      </c>
      <c r="D7613" s="0" t="n">
        <v>0</v>
      </c>
    </row>
    <row r="7614" customFormat="false" ht="13.8" hidden="true" customHeight="false" outlineLevel="0" collapsed="false">
      <c r="A7614" s="0" t="s">
        <v>254</v>
      </c>
      <c r="B7614" s="0" t="n">
        <v>30</v>
      </c>
      <c r="C7614" s="0" t="n">
        <v>2.55</v>
      </c>
      <c r="D7614" s="0" t="n">
        <v>0</v>
      </c>
    </row>
    <row r="7615" customFormat="false" ht="13.8" hidden="true" customHeight="false" outlineLevel="0" collapsed="false">
      <c r="A7615" s="0" t="s">
        <v>254</v>
      </c>
      <c r="B7615" s="0" t="n">
        <v>30</v>
      </c>
      <c r="C7615" s="0" t="n">
        <v>2.6</v>
      </c>
      <c r="D7615" s="0" t="n">
        <v>0</v>
      </c>
    </row>
    <row r="7616" customFormat="false" ht="13.8" hidden="true" customHeight="false" outlineLevel="0" collapsed="false">
      <c r="A7616" s="0" t="s">
        <v>254</v>
      </c>
      <c r="B7616" s="0" t="n">
        <v>31</v>
      </c>
      <c r="C7616" s="0" t="n">
        <v>1.3</v>
      </c>
      <c r="D7616" s="0" t="n">
        <v>0</v>
      </c>
    </row>
    <row r="7617" customFormat="false" ht="13.8" hidden="true" customHeight="false" outlineLevel="0" collapsed="false">
      <c r="A7617" s="0" t="s">
        <v>254</v>
      </c>
      <c r="B7617" s="0" t="n">
        <v>31</v>
      </c>
      <c r="C7617" s="0" t="n">
        <v>1.35</v>
      </c>
      <c r="D7617" s="0" t="n">
        <v>0</v>
      </c>
    </row>
    <row r="7618" customFormat="false" ht="13.8" hidden="true" customHeight="false" outlineLevel="0" collapsed="false">
      <c r="A7618" s="0" t="s">
        <v>254</v>
      </c>
      <c r="B7618" s="0" t="n">
        <v>31</v>
      </c>
      <c r="C7618" s="0" t="n">
        <v>1.4</v>
      </c>
      <c r="D7618" s="0" t="n">
        <v>0</v>
      </c>
    </row>
    <row r="7619" customFormat="false" ht="13.8" hidden="true" customHeight="false" outlineLevel="0" collapsed="false">
      <c r="A7619" s="0" t="s">
        <v>254</v>
      </c>
      <c r="B7619" s="0" t="n">
        <v>31</v>
      </c>
      <c r="C7619" s="0" t="n">
        <v>1.45</v>
      </c>
      <c r="D7619" s="0" t="n">
        <v>0</v>
      </c>
    </row>
    <row r="7620" customFormat="false" ht="13.8" hidden="true" customHeight="false" outlineLevel="0" collapsed="false">
      <c r="A7620" s="0" t="s">
        <v>254</v>
      </c>
      <c r="B7620" s="0" t="n">
        <v>31</v>
      </c>
      <c r="C7620" s="0" t="n">
        <v>1.5</v>
      </c>
      <c r="D7620" s="0" t="n">
        <v>0</v>
      </c>
    </row>
    <row r="7621" customFormat="false" ht="13.8" hidden="true" customHeight="false" outlineLevel="0" collapsed="false">
      <c r="A7621" s="0" t="s">
        <v>254</v>
      </c>
      <c r="B7621" s="0" t="n">
        <v>31</v>
      </c>
      <c r="C7621" s="0" t="n">
        <v>1.55</v>
      </c>
      <c r="D7621" s="0" t="n">
        <v>0</v>
      </c>
    </row>
    <row r="7622" customFormat="false" ht="13.8" hidden="true" customHeight="false" outlineLevel="0" collapsed="false">
      <c r="A7622" s="0" t="s">
        <v>254</v>
      </c>
      <c r="B7622" s="0" t="n">
        <v>31</v>
      </c>
      <c r="C7622" s="0" t="n">
        <v>1.6</v>
      </c>
      <c r="D7622" s="0" t="n">
        <v>0</v>
      </c>
    </row>
    <row r="7623" customFormat="false" ht="13.8" hidden="true" customHeight="false" outlineLevel="0" collapsed="false">
      <c r="A7623" s="0" t="s">
        <v>254</v>
      </c>
      <c r="B7623" s="0" t="n">
        <v>31</v>
      </c>
      <c r="C7623" s="0" t="n">
        <v>1.65</v>
      </c>
      <c r="D7623" s="0" t="n">
        <v>0</v>
      </c>
    </row>
    <row r="7624" customFormat="false" ht="13.8" hidden="true" customHeight="false" outlineLevel="0" collapsed="false">
      <c r="A7624" s="0" t="s">
        <v>254</v>
      </c>
      <c r="B7624" s="0" t="n">
        <v>31</v>
      </c>
      <c r="C7624" s="0" t="n">
        <v>1.7</v>
      </c>
      <c r="D7624" s="0" t="n">
        <v>0</v>
      </c>
    </row>
    <row r="7625" customFormat="false" ht="13.8" hidden="true" customHeight="false" outlineLevel="0" collapsed="false">
      <c r="A7625" s="0" t="s">
        <v>254</v>
      </c>
      <c r="B7625" s="0" t="n">
        <v>31</v>
      </c>
      <c r="C7625" s="0" t="n">
        <v>1.75</v>
      </c>
      <c r="D7625" s="0" t="n">
        <v>0</v>
      </c>
    </row>
    <row r="7626" customFormat="false" ht="13.8" hidden="true" customHeight="false" outlineLevel="0" collapsed="false">
      <c r="A7626" s="0" t="s">
        <v>254</v>
      </c>
      <c r="B7626" s="0" t="n">
        <v>31</v>
      </c>
      <c r="C7626" s="0" t="n">
        <v>1.8</v>
      </c>
      <c r="D7626" s="0" t="n">
        <v>0.2</v>
      </c>
    </row>
    <row r="7627" customFormat="false" ht="13.8" hidden="true" customHeight="false" outlineLevel="0" collapsed="false">
      <c r="A7627" s="0" t="s">
        <v>254</v>
      </c>
      <c r="B7627" s="0" t="n">
        <v>31</v>
      </c>
      <c r="C7627" s="0" t="n">
        <v>1.85</v>
      </c>
      <c r="D7627" s="0" t="n">
        <v>0.206</v>
      </c>
    </row>
    <row r="7628" customFormat="false" ht="13.8" hidden="true" customHeight="false" outlineLevel="0" collapsed="false">
      <c r="A7628" s="0" t="s">
        <v>254</v>
      </c>
      <c r="B7628" s="0" t="n">
        <v>31</v>
      </c>
      <c r="C7628" s="0" t="n">
        <v>1.9</v>
      </c>
      <c r="D7628" s="0" t="n">
        <v>0.211</v>
      </c>
    </row>
    <row r="7629" customFormat="false" ht="13.8" hidden="true" customHeight="false" outlineLevel="0" collapsed="false">
      <c r="A7629" s="0" t="s">
        <v>254</v>
      </c>
      <c r="B7629" s="0" t="n">
        <v>31</v>
      </c>
      <c r="C7629" s="0" t="n">
        <v>1.95</v>
      </c>
      <c r="D7629" s="0" t="n">
        <v>0.217</v>
      </c>
    </row>
    <row r="7630" customFormat="false" ht="13.8" hidden="true" customHeight="false" outlineLevel="0" collapsed="false">
      <c r="A7630" s="0" t="s">
        <v>254</v>
      </c>
      <c r="B7630" s="0" t="n">
        <v>31</v>
      </c>
      <c r="C7630" s="0" t="n">
        <v>2</v>
      </c>
      <c r="D7630" s="0" t="n">
        <v>0.231</v>
      </c>
    </row>
    <row r="7631" customFormat="false" ht="13.8" hidden="true" customHeight="false" outlineLevel="0" collapsed="false">
      <c r="A7631" s="0" t="s">
        <v>254</v>
      </c>
      <c r="B7631" s="0" t="n">
        <v>31</v>
      </c>
      <c r="C7631" s="0" t="n">
        <v>2.05</v>
      </c>
      <c r="D7631" s="0" t="n">
        <v>0.237</v>
      </c>
    </row>
    <row r="7632" customFormat="false" ht="13.8" hidden="true" customHeight="false" outlineLevel="0" collapsed="false">
      <c r="A7632" s="0" t="s">
        <v>254</v>
      </c>
      <c r="B7632" s="0" t="n">
        <v>31</v>
      </c>
      <c r="C7632" s="0" t="n">
        <v>2.1</v>
      </c>
      <c r="D7632" s="0" t="n">
        <v>0.243</v>
      </c>
    </row>
    <row r="7633" customFormat="false" ht="13.8" hidden="true" customHeight="false" outlineLevel="0" collapsed="false">
      <c r="A7633" s="0" t="s">
        <v>254</v>
      </c>
      <c r="B7633" s="0" t="n">
        <v>31</v>
      </c>
      <c r="C7633" s="0" t="n">
        <v>2.15</v>
      </c>
      <c r="D7633" s="0" t="n">
        <v>0.248416097</v>
      </c>
    </row>
    <row r="7634" customFormat="false" ht="13.8" hidden="true" customHeight="false" outlineLevel="0" collapsed="false">
      <c r="A7634" s="0" t="s">
        <v>254</v>
      </c>
      <c r="B7634" s="0" t="n">
        <v>31</v>
      </c>
      <c r="C7634" s="0" t="n">
        <v>2.2</v>
      </c>
      <c r="D7634" s="0" t="n">
        <v>0.254193216</v>
      </c>
    </row>
    <row r="7635" customFormat="false" ht="13.8" hidden="true" customHeight="false" outlineLevel="0" collapsed="false">
      <c r="A7635" s="0" t="s">
        <v>254</v>
      </c>
      <c r="B7635" s="0" t="n">
        <v>31</v>
      </c>
      <c r="C7635" s="0" t="n">
        <v>2.25</v>
      </c>
      <c r="D7635" s="0" t="n">
        <v>0.259970334</v>
      </c>
    </row>
    <row r="7636" customFormat="false" ht="13.8" hidden="true" customHeight="false" outlineLevel="0" collapsed="false">
      <c r="A7636" s="0" t="s">
        <v>254</v>
      </c>
      <c r="B7636" s="0" t="n">
        <v>31</v>
      </c>
      <c r="C7636" s="0" t="n">
        <v>2.3</v>
      </c>
      <c r="D7636" s="0" t="n">
        <v>0</v>
      </c>
    </row>
    <row r="7637" customFormat="false" ht="13.8" hidden="true" customHeight="false" outlineLevel="0" collapsed="false">
      <c r="A7637" s="0" t="s">
        <v>254</v>
      </c>
      <c r="B7637" s="0" t="n">
        <v>31</v>
      </c>
      <c r="C7637" s="0" t="n">
        <v>2.35</v>
      </c>
      <c r="D7637" s="0" t="n">
        <v>0</v>
      </c>
    </row>
    <row r="7638" customFormat="false" ht="13.8" hidden="true" customHeight="false" outlineLevel="0" collapsed="false">
      <c r="A7638" s="0" t="s">
        <v>254</v>
      </c>
      <c r="B7638" s="0" t="n">
        <v>31</v>
      </c>
      <c r="C7638" s="0" t="n">
        <v>2.4</v>
      </c>
      <c r="D7638" s="0" t="n">
        <v>0</v>
      </c>
    </row>
    <row r="7639" customFormat="false" ht="13.8" hidden="true" customHeight="false" outlineLevel="0" collapsed="false">
      <c r="A7639" s="0" t="s">
        <v>254</v>
      </c>
      <c r="B7639" s="0" t="n">
        <v>31</v>
      </c>
      <c r="C7639" s="0" t="n">
        <v>2.45</v>
      </c>
      <c r="D7639" s="0" t="n">
        <v>0</v>
      </c>
    </row>
    <row r="7640" customFormat="false" ht="13.8" hidden="true" customHeight="false" outlineLevel="0" collapsed="false">
      <c r="A7640" s="0" t="s">
        <v>254</v>
      </c>
      <c r="B7640" s="0" t="n">
        <v>31</v>
      </c>
      <c r="C7640" s="0" t="n">
        <v>2.5</v>
      </c>
      <c r="D7640" s="0" t="n">
        <v>0</v>
      </c>
    </row>
    <row r="7641" customFormat="false" ht="13.8" hidden="true" customHeight="false" outlineLevel="0" collapsed="false">
      <c r="A7641" s="0" t="s">
        <v>254</v>
      </c>
      <c r="B7641" s="0" t="n">
        <v>31</v>
      </c>
      <c r="C7641" s="0" t="n">
        <v>2.55</v>
      </c>
      <c r="D7641" s="0" t="n">
        <v>0</v>
      </c>
    </row>
    <row r="7642" customFormat="false" ht="13.8" hidden="true" customHeight="false" outlineLevel="0" collapsed="false">
      <c r="A7642" s="0" t="s">
        <v>254</v>
      </c>
      <c r="B7642" s="0" t="n">
        <v>31</v>
      </c>
      <c r="C7642" s="0" t="n">
        <v>2.6</v>
      </c>
      <c r="D7642" s="0" t="n">
        <v>0</v>
      </c>
    </row>
    <row r="7643" customFormat="false" ht="13.8" hidden="true" customHeight="false" outlineLevel="0" collapsed="false">
      <c r="A7643" s="0" t="s">
        <v>142</v>
      </c>
      <c r="B7643" s="0" t="n">
        <v>26</v>
      </c>
      <c r="C7643" s="0" t="n">
        <v>1.3</v>
      </c>
      <c r="D7643" s="0" t="n">
        <v>0</v>
      </c>
    </row>
    <row r="7644" customFormat="false" ht="13.8" hidden="true" customHeight="false" outlineLevel="0" collapsed="false">
      <c r="A7644" s="0" t="s">
        <v>142</v>
      </c>
      <c r="B7644" s="0" t="n">
        <v>26</v>
      </c>
      <c r="C7644" s="0" t="n">
        <v>1.35</v>
      </c>
      <c r="D7644" s="0" t="n">
        <v>0</v>
      </c>
    </row>
    <row r="7645" customFormat="false" ht="13.8" hidden="true" customHeight="false" outlineLevel="0" collapsed="false">
      <c r="A7645" s="0" t="s">
        <v>142</v>
      </c>
      <c r="B7645" s="0" t="n">
        <v>26</v>
      </c>
      <c r="C7645" s="0" t="n">
        <v>1.4</v>
      </c>
      <c r="D7645" s="0" t="n">
        <v>0</v>
      </c>
    </row>
    <row r="7646" customFormat="false" ht="13.8" hidden="true" customHeight="false" outlineLevel="0" collapsed="false">
      <c r="A7646" s="0" t="s">
        <v>142</v>
      </c>
      <c r="B7646" s="0" t="n">
        <v>26</v>
      </c>
      <c r="C7646" s="0" t="n">
        <v>1.45</v>
      </c>
      <c r="D7646" s="0" t="n">
        <v>0</v>
      </c>
    </row>
    <row r="7647" customFormat="false" ht="13.8" hidden="true" customHeight="false" outlineLevel="0" collapsed="false">
      <c r="A7647" s="0" t="s">
        <v>142</v>
      </c>
      <c r="B7647" s="0" t="n">
        <v>26</v>
      </c>
      <c r="C7647" s="0" t="n">
        <v>1.5</v>
      </c>
      <c r="D7647" s="0" t="n">
        <v>0</v>
      </c>
    </row>
    <row r="7648" customFormat="false" ht="13.8" hidden="true" customHeight="false" outlineLevel="0" collapsed="false">
      <c r="A7648" s="0" t="s">
        <v>142</v>
      </c>
      <c r="B7648" s="0" t="n">
        <v>26</v>
      </c>
      <c r="C7648" s="0" t="n">
        <v>1.55</v>
      </c>
      <c r="D7648" s="0" t="n">
        <v>0</v>
      </c>
    </row>
    <row r="7649" customFormat="false" ht="13.8" hidden="true" customHeight="false" outlineLevel="0" collapsed="false">
      <c r="A7649" s="0" t="s">
        <v>142</v>
      </c>
      <c r="B7649" s="0" t="n">
        <v>26</v>
      </c>
      <c r="C7649" s="0" t="n">
        <v>1.6</v>
      </c>
      <c r="D7649" s="0" t="n">
        <v>0</v>
      </c>
    </row>
    <row r="7650" customFormat="false" ht="13.8" hidden="true" customHeight="false" outlineLevel="0" collapsed="false">
      <c r="A7650" s="0" t="s">
        <v>142</v>
      </c>
      <c r="B7650" s="0" t="n">
        <v>26</v>
      </c>
      <c r="C7650" s="0" t="n">
        <v>1.65</v>
      </c>
      <c r="D7650" s="0" t="n">
        <v>0</v>
      </c>
    </row>
    <row r="7651" customFormat="false" ht="13.8" hidden="true" customHeight="false" outlineLevel="0" collapsed="false">
      <c r="A7651" s="0" t="s">
        <v>142</v>
      </c>
      <c r="B7651" s="0" t="n">
        <v>26</v>
      </c>
      <c r="C7651" s="0" t="n">
        <v>1.7</v>
      </c>
      <c r="D7651" s="0" t="n">
        <v>0</v>
      </c>
    </row>
    <row r="7652" customFormat="false" ht="13.8" hidden="true" customHeight="false" outlineLevel="0" collapsed="false">
      <c r="A7652" s="0" t="s">
        <v>142</v>
      </c>
      <c r="B7652" s="0" t="n">
        <v>26</v>
      </c>
      <c r="C7652" s="0" t="n">
        <v>1.75</v>
      </c>
      <c r="D7652" s="0" t="n">
        <v>0</v>
      </c>
    </row>
    <row r="7653" customFormat="false" ht="13.8" hidden="true" customHeight="false" outlineLevel="0" collapsed="false">
      <c r="A7653" s="0" t="s">
        <v>142</v>
      </c>
      <c r="B7653" s="0" t="n">
        <v>26</v>
      </c>
      <c r="C7653" s="0" t="n">
        <v>1.8</v>
      </c>
      <c r="D7653" s="0" t="n">
        <v>0.2</v>
      </c>
    </row>
    <row r="7654" customFormat="false" ht="13.8" hidden="true" customHeight="false" outlineLevel="0" collapsed="false">
      <c r="A7654" s="0" t="s">
        <v>142</v>
      </c>
      <c r="B7654" s="0" t="n">
        <v>26</v>
      </c>
      <c r="C7654" s="0" t="n">
        <v>1.85</v>
      </c>
      <c r="D7654" s="0" t="n">
        <v>0.206</v>
      </c>
    </row>
    <row r="7655" customFormat="false" ht="13.8" hidden="true" customHeight="false" outlineLevel="0" collapsed="false">
      <c r="A7655" s="0" t="s">
        <v>142</v>
      </c>
      <c r="B7655" s="0" t="n">
        <v>26</v>
      </c>
      <c r="C7655" s="0" t="n">
        <v>1.9</v>
      </c>
      <c r="D7655" s="0" t="n">
        <v>0.211</v>
      </c>
    </row>
    <row r="7656" customFormat="false" ht="13.8" hidden="true" customHeight="false" outlineLevel="0" collapsed="false">
      <c r="A7656" s="0" t="s">
        <v>142</v>
      </c>
      <c r="B7656" s="0" t="n">
        <v>26</v>
      </c>
      <c r="C7656" s="0" t="n">
        <v>1.95</v>
      </c>
      <c r="D7656" s="0" t="n">
        <v>0.217</v>
      </c>
    </row>
    <row r="7657" customFormat="false" ht="13.8" hidden="true" customHeight="false" outlineLevel="0" collapsed="false">
      <c r="A7657" s="0" t="s">
        <v>142</v>
      </c>
      <c r="B7657" s="0" t="n">
        <v>26</v>
      </c>
      <c r="C7657" s="0" t="n">
        <v>2</v>
      </c>
      <c r="D7657" s="0" t="n">
        <v>0.231</v>
      </c>
    </row>
    <row r="7658" customFormat="false" ht="13.8" hidden="true" customHeight="false" outlineLevel="0" collapsed="false">
      <c r="A7658" s="0" t="s">
        <v>142</v>
      </c>
      <c r="B7658" s="0" t="n">
        <v>26</v>
      </c>
      <c r="C7658" s="0" t="n">
        <v>2.05</v>
      </c>
      <c r="D7658" s="0" t="n">
        <v>0.237</v>
      </c>
    </row>
    <row r="7659" customFormat="false" ht="13.8" hidden="true" customHeight="false" outlineLevel="0" collapsed="false">
      <c r="A7659" s="0" t="s">
        <v>142</v>
      </c>
      <c r="B7659" s="0" t="n">
        <v>26</v>
      </c>
      <c r="C7659" s="0" t="n">
        <v>2.1</v>
      </c>
      <c r="D7659" s="0" t="n">
        <v>0.243</v>
      </c>
    </row>
    <row r="7660" customFormat="false" ht="13.8" hidden="true" customHeight="false" outlineLevel="0" collapsed="false">
      <c r="A7660" s="0" t="s">
        <v>142</v>
      </c>
      <c r="B7660" s="0" t="n">
        <v>26</v>
      </c>
      <c r="C7660" s="0" t="n">
        <v>2.15</v>
      </c>
      <c r="D7660" s="0" t="n">
        <v>0.248416097</v>
      </c>
    </row>
    <row r="7661" customFormat="false" ht="13.8" hidden="true" customHeight="false" outlineLevel="0" collapsed="false">
      <c r="A7661" s="0" t="s">
        <v>142</v>
      </c>
      <c r="B7661" s="0" t="n">
        <v>26</v>
      </c>
      <c r="C7661" s="0" t="n">
        <v>2.2</v>
      </c>
      <c r="D7661" s="0" t="n">
        <v>0.254193216</v>
      </c>
    </row>
    <row r="7662" customFormat="false" ht="13.8" hidden="true" customHeight="false" outlineLevel="0" collapsed="false">
      <c r="A7662" s="0" t="s">
        <v>142</v>
      </c>
      <c r="B7662" s="0" t="n">
        <v>26</v>
      </c>
      <c r="C7662" s="0" t="n">
        <v>2.25</v>
      </c>
      <c r="D7662" s="0" t="n">
        <v>0.259970334</v>
      </c>
    </row>
    <row r="7663" customFormat="false" ht="13.8" hidden="true" customHeight="false" outlineLevel="0" collapsed="false">
      <c r="A7663" s="0" t="s">
        <v>142</v>
      </c>
      <c r="B7663" s="0" t="n">
        <v>26</v>
      </c>
      <c r="C7663" s="0" t="n">
        <v>2.3</v>
      </c>
      <c r="D7663" s="0" t="n">
        <v>0</v>
      </c>
    </row>
    <row r="7664" customFormat="false" ht="13.8" hidden="true" customHeight="false" outlineLevel="0" collapsed="false">
      <c r="A7664" s="0" t="s">
        <v>142</v>
      </c>
      <c r="B7664" s="0" t="n">
        <v>26</v>
      </c>
      <c r="C7664" s="0" t="n">
        <v>2.35</v>
      </c>
      <c r="D7664" s="0" t="n">
        <v>0</v>
      </c>
    </row>
    <row r="7665" customFormat="false" ht="13.8" hidden="true" customHeight="false" outlineLevel="0" collapsed="false">
      <c r="A7665" s="0" t="s">
        <v>142</v>
      </c>
      <c r="B7665" s="0" t="n">
        <v>26</v>
      </c>
      <c r="C7665" s="0" t="n">
        <v>2.4</v>
      </c>
      <c r="D7665" s="0" t="n">
        <v>0</v>
      </c>
    </row>
    <row r="7666" customFormat="false" ht="13.8" hidden="true" customHeight="false" outlineLevel="0" collapsed="false">
      <c r="A7666" s="0" t="s">
        <v>142</v>
      </c>
      <c r="B7666" s="0" t="n">
        <v>26</v>
      </c>
      <c r="C7666" s="0" t="n">
        <v>2.45</v>
      </c>
      <c r="D7666" s="0" t="n">
        <v>0</v>
      </c>
    </row>
    <row r="7667" customFormat="false" ht="13.8" hidden="true" customHeight="false" outlineLevel="0" collapsed="false">
      <c r="A7667" s="0" t="s">
        <v>142</v>
      </c>
      <c r="B7667" s="0" t="n">
        <v>26</v>
      </c>
      <c r="C7667" s="0" t="n">
        <v>2.5</v>
      </c>
      <c r="D7667" s="0" t="n">
        <v>0</v>
      </c>
    </row>
    <row r="7668" customFormat="false" ht="13.8" hidden="true" customHeight="false" outlineLevel="0" collapsed="false">
      <c r="A7668" s="0" t="s">
        <v>142</v>
      </c>
      <c r="B7668" s="0" t="n">
        <v>26</v>
      </c>
      <c r="C7668" s="0" t="n">
        <v>2.55</v>
      </c>
      <c r="D7668" s="0" t="n">
        <v>0</v>
      </c>
    </row>
    <row r="7669" customFormat="false" ht="13.8" hidden="true" customHeight="false" outlineLevel="0" collapsed="false">
      <c r="A7669" s="0" t="s">
        <v>142</v>
      </c>
      <c r="B7669" s="0" t="n">
        <v>26</v>
      </c>
      <c r="C7669" s="0" t="n">
        <v>2.6</v>
      </c>
      <c r="D7669" s="0" t="n">
        <v>0</v>
      </c>
    </row>
    <row r="7670" customFormat="false" ht="13.8" hidden="true" customHeight="false" outlineLevel="0" collapsed="false">
      <c r="A7670" s="0" t="s">
        <v>142</v>
      </c>
      <c r="B7670" s="0" t="n">
        <v>30</v>
      </c>
      <c r="C7670" s="0" t="n">
        <v>1.3</v>
      </c>
      <c r="D7670" s="0" t="n">
        <v>0</v>
      </c>
    </row>
    <row r="7671" customFormat="false" ht="13.8" hidden="true" customHeight="false" outlineLevel="0" collapsed="false">
      <c r="A7671" s="0" t="s">
        <v>142</v>
      </c>
      <c r="B7671" s="0" t="n">
        <v>30</v>
      </c>
      <c r="C7671" s="0" t="n">
        <v>1.35</v>
      </c>
      <c r="D7671" s="0" t="n">
        <v>0</v>
      </c>
    </row>
    <row r="7672" customFormat="false" ht="13.8" hidden="true" customHeight="false" outlineLevel="0" collapsed="false">
      <c r="A7672" s="0" t="s">
        <v>142</v>
      </c>
      <c r="B7672" s="0" t="n">
        <v>30</v>
      </c>
      <c r="C7672" s="0" t="n">
        <v>1.4</v>
      </c>
      <c r="D7672" s="0" t="n">
        <v>0</v>
      </c>
    </row>
    <row r="7673" customFormat="false" ht="13.8" hidden="true" customHeight="false" outlineLevel="0" collapsed="false">
      <c r="A7673" s="0" t="s">
        <v>142</v>
      </c>
      <c r="B7673" s="0" t="n">
        <v>30</v>
      </c>
      <c r="C7673" s="0" t="n">
        <v>1.45</v>
      </c>
      <c r="D7673" s="0" t="n">
        <v>0</v>
      </c>
    </row>
    <row r="7674" customFormat="false" ht="13.8" hidden="true" customHeight="false" outlineLevel="0" collapsed="false">
      <c r="A7674" s="0" t="s">
        <v>142</v>
      </c>
      <c r="B7674" s="0" t="n">
        <v>30</v>
      </c>
      <c r="C7674" s="0" t="n">
        <v>1.5</v>
      </c>
      <c r="D7674" s="0" t="n">
        <v>0</v>
      </c>
    </row>
    <row r="7675" customFormat="false" ht="13.8" hidden="true" customHeight="false" outlineLevel="0" collapsed="false">
      <c r="A7675" s="0" t="s">
        <v>142</v>
      </c>
      <c r="B7675" s="0" t="n">
        <v>30</v>
      </c>
      <c r="C7675" s="0" t="n">
        <v>1.55</v>
      </c>
      <c r="D7675" s="0" t="n">
        <v>0</v>
      </c>
    </row>
    <row r="7676" customFormat="false" ht="13.8" hidden="true" customHeight="false" outlineLevel="0" collapsed="false">
      <c r="A7676" s="0" t="s">
        <v>142</v>
      </c>
      <c r="B7676" s="0" t="n">
        <v>30</v>
      </c>
      <c r="C7676" s="0" t="n">
        <v>1.6</v>
      </c>
      <c r="D7676" s="0" t="n">
        <v>0</v>
      </c>
    </row>
    <row r="7677" customFormat="false" ht="13.8" hidden="true" customHeight="false" outlineLevel="0" collapsed="false">
      <c r="A7677" s="0" t="s">
        <v>142</v>
      </c>
      <c r="B7677" s="0" t="n">
        <v>30</v>
      </c>
      <c r="C7677" s="0" t="n">
        <v>1.65</v>
      </c>
      <c r="D7677" s="0" t="n">
        <v>0</v>
      </c>
    </row>
    <row r="7678" customFormat="false" ht="13.8" hidden="true" customHeight="false" outlineLevel="0" collapsed="false">
      <c r="A7678" s="0" t="s">
        <v>142</v>
      </c>
      <c r="B7678" s="0" t="n">
        <v>30</v>
      </c>
      <c r="C7678" s="0" t="n">
        <v>1.7</v>
      </c>
      <c r="D7678" s="0" t="n">
        <v>0</v>
      </c>
    </row>
    <row r="7679" customFormat="false" ht="13.8" hidden="true" customHeight="false" outlineLevel="0" collapsed="false">
      <c r="A7679" s="0" t="s">
        <v>142</v>
      </c>
      <c r="B7679" s="0" t="n">
        <v>30</v>
      </c>
      <c r="C7679" s="0" t="n">
        <v>1.75</v>
      </c>
      <c r="D7679" s="0" t="n">
        <v>0</v>
      </c>
    </row>
    <row r="7680" customFormat="false" ht="13.8" hidden="true" customHeight="false" outlineLevel="0" collapsed="false">
      <c r="A7680" s="0" t="s">
        <v>142</v>
      </c>
      <c r="B7680" s="0" t="n">
        <v>30</v>
      </c>
      <c r="C7680" s="0" t="n">
        <v>1.8</v>
      </c>
      <c r="D7680" s="0" t="n">
        <v>0.2</v>
      </c>
    </row>
    <row r="7681" customFormat="false" ht="13.8" hidden="true" customHeight="false" outlineLevel="0" collapsed="false">
      <c r="A7681" s="0" t="s">
        <v>142</v>
      </c>
      <c r="B7681" s="0" t="n">
        <v>30</v>
      </c>
      <c r="C7681" s="0" t="n">
        <v>1.85</v>
      </c>
      <c r="D7681" s="0" t="n">
        <v>0.206</v>
      </c>
    </row>
    <row r="7682" customFormat="false" ht="13.8" hidden="true" customHeight="false" outlineLevel="0" collapsed="false">
      <c r="A7682" s="0" t="s">
        <v>142</v>
      </c>
      <c r="B7682" s="0" t="n">
        <v>30</v>
      </c>
      <c r="C7682" s="0" t="n">
        <v>1.9</v>
      </c>
      <c r="D7682" s="0" t="n">
        <v>0.211</v>
      </c>
    </row>
    <row r="7683" customFormat="false" ht="13.8" hidden="true" customHeight="false" outlineLevel="0" collapsed="false">
      <c r="A7683" s="0" t="s">
        <v>142</v>
      </c>
      <c r="B7683" s="0" t="n">
        <v>30</v>
      </c>
      <c r="C7683" s="0" t="n">
        <v>1.95</v>
      </c>
      <c r="D7683" s="0" t="n">
        <v>0.217</v>
      </c>
    </row>
    <row r="7684" customFormat="false" ht="13.8" hidden="true" customHeight="false" outlineLevel="0" collapsed="false">
      <c r="A7684" s="0" t="s">
        <v>142</v>
      </c>
      <c r="B7684" s="0" t="n">
        <v>30</v>
      </c>
      <c r="C7684" s="0" t="n">
        <v>2</v>
      </c>
      <c r="D7684" s="0" t="n">
        <v>0.231</v>
      </c>
    </row>
    <row r="7685" customFormat="false" ht="13.8" hidden="true" customHeight="false" outlineLevel="0" collapsed="false">
      <c r="A7685" s="0" t="s">
        <v>142</v>
      </c>
      <c r="B7685" s="0" t="n">
        <v>30</v>
      </c>
      <c r="C7685" s="0" t="n">
        <v>2.05</v>
      </c>
      <c r="D7685" s="0" t="n">
        <v>0.237</v>
      </c>
    </row>
    <row r="7686" customFormat="false" ht="13.8" hidden="true" customHeight="false" outlineLevel="0" collapsed="false">
      <c r="A7686" s="0" t="s">
        <v>142</v>
      </c>
      <c r="B7686" s="0" t="n">
        <v>30</v>
      </c>
      <c r="C7686" s="0" t="n">
        <v>2.1</v>
      </c>
      <c r="D7686" s="0" t="n">
        <v>0.243</v>
      </c>
    </row>
    <row r="7687" customFormat="false" ht="13.8" hidden="true" customHeight="false" outlineLevel="0" collapsed="false">
      <c r="A7687" s="0" t="s">
        <v>142</v>
      </c>
      <c r="B7687" s="0" t="n">
        <v>30</v>
      </c>
      <c r="C7687" s="0" t="n">
        <v>2.15</v>
      </c>
      <c r="D7687" s="0" t="n">
        <v>0.248416097</v>
      </c>
    </row>
    <row r="7688" customFormat="false" ht="13.8" hidden="true" customHeight="false" outlineLevel="0" collapsed="false">
      <c r="A7688" s="0" t="s">
        <v>142</v>
      </c>
      <c r="B7688" s="0" t="n">
        <v>30</v>
      </c>
      <c r="C7688" s="0" t="n">
        <v>2.2</v>
      </c>
      <c r="D7688" s="0" t="n">
        <v>0.254193216</v>
      </c>
    </row>
    <row r="7689" customFormat="false" ht="13.8" hidden="true" customHeight="false" outlineLevel="0" collapsed="false">
      <c r="A7689" s="0" t="s">
        <v>142</v>
      </c>
      <c r="B7689" s="0" t="n">
        <v>30</v>
      </c>
      <c r="C7689" s="0" t="n">
        <v>2.25</v>
      </c>
      <c r="D7689" s="0" t="n">
        <v>0.259970334</v>
      </c>
    </row>
    <row r="7690" customFormat="false" ht="13.8" hidden="true" customHeight="false" outlineLevel="0" collapsed="false">
      <c r="A7690" s="0" t="s">
        <v>142</v>
      </c>
      <c r="B7690" s="0" t="n">
        <v>30</v>
      </c>
      <c r="C7690" s="0" t="n">
        <v>2.3</v>
      </c>
      <c r="D7690" s="0" t="n">
        <v>0</v>
      </c>
    </row>
    <row r="7691" customFormat="false" ht="13.8" hidden="true" customHeight="false" outlineLevel="0" collapsed="false">
      <c r="A7691" s="0" t="s">
        <v>142</v>
      </c>
      <c r="B7691" s="0" t="n">
        <v>30</v>
      </c>
      <c r="C7691" s="0" t="n">
        <v>2.35</v>
      </c>
      <c r="D7691" s="0" t="n">
        <v>0</v>
      </c>
    </row>
    <row r="7692" customFormat="false" ht="13.8" hidden="true" customHeight="false" outlineLevel="0" collapsed="false">
      <c r="A7692" s="0" t="s">
        <v>142</v>
      </c>
      <c r="B7692" s="0" t="n">
        <v>30</v>
      </c>
      <c r="C7692" s="0" t="n">
        <v>2.4</v>
      </c>
      <c r="D7692" s="0" t="n">
        <v>0</v>
      </c>
    </row>
    <row r="7693" customFormat="false" ht="13.8" hidden="true" customHeight="false" outlineLevel="0" collapsed="false">
      <c r="A7693" s="0" t="s">
        <v>142</v>
      </c>
      <c r="B7693" s="0" t="n">
        <v>30</v>
      </c>
      <c r="C7693" s="0" t="n">
        <v>2.45</v>
      </c>
      <c r="D7693" s="0" t="n">
        <v>0</v>
      </c>
    </row>
    <row r="7694" customFormat="false" ht="13.8" hidden="true" customHeight="false" outlineLevel="0" collapsed="false">
      <c r="A7694" s="0" t="s">
        <v>142</v>
      </c>
      <c r="B7694" s="0" t="n">
        <v>30</v>
      </c>
      <c r="C7694" s="0" t="n">
        <v>2.5</v>
      </c>
      <c r="D7694" s="0" t="n">
        <v>0</v>
      </c>
    </row>
    <row r="7695" customFormat="false" ht="13.8" hidden="true" customHeight="false" outlineLevel="0" collapsed="false">
      <c r="A7695" s="0" t="s">
        <v>142</v>
      </c>
      <c r="B7695" s="0" t="n">
        <v>30</v>
      </c>
      <c r="C7695" s="0" t="n">
        <v>2.55</v>
      </c>
      <c r="D7695" s="0" t="n">
        <v>0</v>
      </c>
    </row>
    <row r="7696" customFormat="false" ht="13.8" hidden="true" customHeight="false" outlineLevel="0" collapsed="false">
      <c r="A7696" s="0" t="s">
        <v>142</v>
      </c>
      <c r="B7696" s="0" t="n">
        <v>30</v>
      </c>
      <c r="C7696" s="0" t="n">
        <v>2.6</v>
      </c>
      <c r="D7696" s="0" t="n">
        <v>0</v>
      </c>
    </row>
    <row r="7697" customFormat="false" ht="13.8" hidden="true" customHeight="false" outlineLevel="0" collapsed="false">
      <c r="A7697" s="0" t="s">
        <v>142</v>
      </c>
      <c r="B7697" s="0" t="n">
        <v>31</v>
      </c>
      <c r="C7697" s="0" t="n">
        <v>1.3</v>
      </c>
      <c r="D7697" s="0" t="n">
        <v>0</v>
      </c>
    </row>
    <row r="7698" customFormat="false" ht="13.8" hidden="true" customHeight="false" outlineLevel="0" collapsed="false">
      <c r="A7698" s="0" t="s">
        <v>142</v>
      </c>
      <c r="B7698" s="0" t="n">
        <v>31</v>
      </c>
      <c r="C7698" s="0" t="n">
        <v>1.35</v>
      </c>
      <c r="D7698" s="0" t="n">
        <v>0</v>
      </c>
    </row>
    <row r="7699" customFormat="false" ht="13.8" hidden="true" customHeight="false" outlineLevel="0" collapsed="false">
      <c r="A7699" s="0" t="s">
        <v>142</v>
      </c>
      <c r="B7699" s="0" t="n">
        <v>31</v>
      </c>
      <c r="C7699" s="0" t="n">
        <v>1.4</v>
      </c>
      <c r="D7699" s="0" t="n">
        <v>0</v>
      </c>
    </row>
    <row r="7700" customFormat="false" ht="13.8" hidden="true" customHeight="false" outlineLevel="0" collapsed="false">
      <c r="A7700" s="0" t="s">
        <v>142</v>
      </c>
      <c r="B7700" s="0" t="n">
        <v>31</v>
      </c>
      <c r="C7700" s="0" t="n">
        <v>1.45</v>
      </c>
      <c r="D7700" s="0" t="n">
        <v>0</v>
      </c>
    </row>
    <row r="7701" customFormat="false" ht="13.8" hidden="true" customHeight="false" outlineLevel="0" collapsed="false">
      <c r="A7701" s="0" t="s">
        <v>142</v>
      </c>
      <c r="B7701" s="0" t="n">
        <v>31</v>
      </c>
      <c r="C7701" s="0" t="n">
        <v>1.5</v>
      </c>
      <c r="D7701" s="0" t="n">
        <v>0</v>
      </c>
    </row>
    <row r="7702" customFormat="false" ht="13.8" hidden="true" customHeight="false" outlineLevel="0" collapsed="false">
      <c r="A7702" s="0" t="s">
        <v>142</v>
      </c>
      <c r="B7702" s="0" t="n">
        <v>31</v>
      </c>
      <c r="C7702" s="0" t="n">
        <v>1.55</v>
      </c>
      <c r="D7702" s="0" t="n">
        <v>0</v>
      </c>
    </row>
    <row r="7703" customFormat="false" ht="13.8" hidden="true" customHeight="false" outlineLevel="0" collapsed="false">
      <c r="A7703" s="0" t="s">
        <v>142</v>
      </c>
      <c r="B7703" s="0" t="n">
        <v>31</v>
      </c>
      <c r="C7703" s="0" t="n">
        <v>1.6</v>
      </c>
      <c r="D7703" s="0" t="n">
        <v>0</v>
      </c>
    </row>
    <row r="7704" customFormat="false" ht="13.8" hidden="true" customHeight="false" outlineLevel="0" collapsed="false">
      <c r="A7704" s="0" t="s">
        <v>142</v>
      </c>
      <c r="B7704" s="0" t="n">
        <v>31</v>
      </c>
      <c r="C7704" s="0" t="n">
        <v>1.65</v>
      </c>
      <c r="D7704" s="0" t="n">
        <v>0</v>
      </c>
    </row>
    <row r="7705" customFormat="false" ht="13.8" hidden="true" customHeight="false" outlineLevel="0" collapsed="false">
      <c r="A7705" s="0" t="s">
        <v>142</v>
      </c>
      <c r="B7705" s="0" t="n">
        <v>31</v>
      </c>
      <c r="C7705" s="0" t="n">
        <v>1.7</v>
      </c>
      <c r="D7705" s="0" t="n">
        <v>0</v>
      </c>
    </row>
    <row r="7706" customFormat="false" ht="13.8" hidden="true" customHeight="false" outlineLevel="0" collapsed="false">
      <c r="A7706" s="0" t="s">
        <v>142</v>
      </c>
      <c r="B7706" s="0" t="n">
        <v>31</v>
      </c>
      <c r="C7706" s="0" t="n">
        <v>1.75</v>
      </c>
      <c r="D7706" s="0" t="n">
        <v>0</v>
      </c>
    </row>
    <row r="7707" customFormat="false" ht="13.8" hidden="true" customHeight="false" outlineLevel="0" collapsed="false">
      <c r="A7707" s="0" t="s">
        <v>142</v>
      </c>
      <c r="B7707" s="0" t="n">
        <v>31</v>
      </c>
      <c r="C7707" s="0" t="n">
        <v>1.8</v>
      </c>
      <c r="D7707" s="0" t="n">
        <v>0.2</v>
      </c>
    </row>
    <row r="7708" customFormat="false" ht="13.8" hidden="true" customHeight="false" outlineLevel="0" collapsed="false">
      <c r="A7708" s="0" t="s">
        <v>142</v>
      </c>
      <c r="B7708" s="0" t="n">
        <v>31</v>
      </c>
      <c r="C7708" s="0" t="n">
        <v>1.85</v>
      </c>
      <c r="D7708" s="0" t="n">
        <v>0.206</v>
      </c>
    </row>
    <row r="7709" customFormat="false" ht="13.8" hidden="true" customHeight="false" outlineLevel="0" collapsed="false">
      <c r="A7709" s="0" t="s">
        <v>142</v>
      </c>
      <c r="B7709" s="0" t="n">
        <v>31</v>
      </c>
      <c r="C7709" s="0" t="n">
        <v>1.9</v>
      </c>
      <c r="D7709" s="0" t="n">
        <v>0.211</v>
      </c>
    </row>
    <row r="7710" customFormat="false" ht="13.8" hidden="true" customHeight="false" outlineLevel="0" collapsed="false">
      <c r="A7710" s="0" t="s">
        <v>142</v>
      </c>
      <c r="B7710" s="0" t="n">
        <v>31</v>
      </c>
      <c r="C7710" s="0" t="n">
        <v>1.95</v>
      </c>
      <c r="D7710" s="0" t="n">
        <v>0.217</v>
      </c>
    </row>
    <row r="7711" customFormat="false" ht="13.8" hidden="true" customHeight="false" outlineLevel="0" collapsed="false">
      <c r="A7711" s="0" t="s">
        <v>142</v>
      </c>
      <c r="B7711" s="0" t="n">
        <v>31</v>
      </c>
      <c r="C7711" s="0" t="n">
        <v>2</v>
      </c>
      <c r="D7711" s="0" t="n">
        <v>0.231</v>
      </c>
    </row>
    <row r="7712" customFormat="false" ht="13.8" hidden="true" customHeight="false" outlineLevel="0" collapsed="false">
      <c r="A7712" s="0" t="s">
        <v>142</v>
      </c>
      <c r="B7712" s="0" t="n">
        <v>31</v>
      </c>
      <c r="C7712" s="0" t="n">
        <v>2.05</v>
      </c>
      <c r="D7712" s="0" t="n">
        <v>0.237</v>
      </c>
    </row>
    <row r="7713" customFormat="false" ht="13.8" hidden="true" customHeight="false" outlineLevel="0" collapsed="false">
      <c r="A7713" s="0" t="s">
        <v>142</v>
      </c>
      <c r="B7713" s="0" t="n">
        <v>31</v>
      </c>
      <c r="C7713" s="0" t="n">
        <v>2.1</v>
      </c>
      <c r="D7713" s="0" t="n">
        <v>0.243</v>
      </c>
    </row>
    <row r="7714" customFormat="false" ht="13.8" hidden="true" customHeight="false" outlineLevel="0" collapsed="false">
      <c r="A7714" s="0" t="s">
        <v>142</v>
      </c>
      <c r="B7714" s="0" t="n">
        <v>31</v>
      </c>
      <c r="C7714" s="0" t="n">
        <v>2.15</v>
      </c>
      <c r="D7714" s="0" t="n">
        <v>0.248416097</v>
      </c>
    </row>
    <row r="7715" customFormat="false" ht="13.8" hidden="true" customHeight="false" outlineLevel="0" collapsed="false">
      <c r="A7715" s="0" t="s">
        <v>142</v>
      </c>
      <c r="B7715" s="0" t="n">
        <v>31</v>
      </c>
      <c r="C7715" s="0" t="n">
        <v>2.2</v>
      </c>
      <c r="D7715" s="0" t="n">
        <v>0.254193216</v>
      </c>
    </row>
    <row r="7716" customFormat="false" ht="13.8" hidden="true" customHeight="false" outlineLevel="0" collapsed="false">
      <c r="A7716" s="0" t="s">
        <v>142</v>
      </c>
      <c r="B7716" s="0" t="n">
        <v>31</v>
      </c>
      <c r="C7716" s="0" t="n">
        <v>2.25</v>
      </c>
      <c r="D7716" s="0" t="n">
        <v>0.259970334</v>
      </c>
    </row>
    <row r="7717" customFormat="false" ht="13.8" hidden="true" customHeight="false" outlineLevel="0" collapsed="false">
      <c r="A7717" s="0" t="s">
        <v>142</v>
      </c>
      <c r="B7717" s="0" t="n">
        <v>31</v>
      </c>
      <c r="C7717" s="0" t="n">
        <v>2.3</v>
      </c>
      <c r="D7717" s="0" t="n">
        <v>0</v>
      </c>
    </row>
    <row r="7718" customFormat="false" ht="13.8" hidden="true" customHeight="false" outlineLevel="0" collapsed="false">
      <c r="A7718" s="0" t="s">
        <v>142</v>
      </c>
      <c r="B7718" s="0" t="n">
        <v>31</v>
      </c>
      <c r="C7718" s="0" t="n">
        <v>2.35</v>
      </c>
      <c r="D7718" s="0" t="n">
        <v>0</v>
      </c>
    </row>
    <row r="7719" customFormat="false" ht="13.8" hidden="true" customHeight="false" outlineLevel="0" collapsed="false">
      <c r="A7719" s="0" t="s">
        <v>142</v>
      </c>
      <c r="B7719" s="0" t="n">
        <v>31</v>
      </c>
      <c r="C7719" s="0" t="n">
        <v>2.4</v>
      </c>
      <c r="D7719" s="0" t="n">
        <v>0</v>
      </c>
    </row>
    <row r="7720" customFormat="false" ht="13.8" hidden="true" customHeight="false" outlineLevel="0" collapsed="false">
      <c r="A7720" s="0" t="s">
        <v>142</v>
      </c>
      <c r="B7720" s="0" t="n">
        <v>31</v>
      </c>
      <c r="C7720" s="0" t="n">
        <v>2.45</v>
      </c>
      <c r="D7720" s="0" t="n">
        <v>0</v>
      </c>
    </row>
    <row r="7721" customFormat="false" ht="13.8" hidden="true" customHeight="false" outlineLevel="0" collapsed="false">
      <c r="A7721" s="0" t="s">
        <v>142</v>
      </c>
      <c r="B7721" s="0" t="n">
        <v>31</v>
      </c>
      <c r="C7721" s="0" t="n">
        <v>2.5</v>
      </c>
      <c r="D7721" s="0" t="n">
        <v>0</v>
      </c>
    </row>
    <row r="7722" customFormat="false" ht="13.8" hidden="true" customHeight="false" outlineLevel="0" collapsed="false">
      <c r="A7722" s="0" t="s">
        <v>142</v>
      </c>
      <c r="B7722" s="0" t="n">
        <v>31</v>
      </c>
      <c r="C7722" s="0" t="n">
        <v>2.55</v>
      </c>
      <c r="D7722" s="0" t="n">
        <v>0</v>
      </c>
    </row>
    <row r="7723" customFormat="false" ht="13.8" hidden="true" customHeight="false" outlineLevel="0" collapsed="false">
      <c r="A7723" s="0" t="s">
        <v>142</v>
      </c>
      <c r="B7723" s="0" t="n">
        <v>31</v>
      </c>
      <c r="C7723" s="0" t="n">
        <v>2.6</v>
      </c>
      <c r="D7723" s="0" t="n">
        <v>0</v>
      </c>
    </row>
    <row r="7724" customFormat="false" ht="13.8" hidden="true" customHeight="false" outlineLevel="0" collapsed="false">
      <c r="A7724" s="0" t="s">
        <v>255</v>
      </c>
      <c r="B7724" s="0" t="n">
        <v>26</v>
      </c>
      <c r="C7724" s="0" t="n">
        <v>1.3</v>
      </c>
      <c r="D7724" s="0" t="n">
        <v>0</v>
      </c>
    </row>
    <row r="7725" customFormat="false" ht="13.8" hidden="true" customHeight="false" outlineLevel="0" collapsed="false">
      <c r="A7725" s="0" t="s">
        <v>255</v>
      </c>
      <c r="B7725" s="0" t="n">
        <v>26</v>
      </c>
      <c r="C7725" s="0" t="n">
        <v>1.35</v>
      </c>
      <c r="D7725" s="0" t="n">
        <v>0</v>
      </c>
    </row>
    <row r="7726" customFormat="false" ht="13.8" hidden="true" customHeight="false" outlineLevel="0" collapsed="false">
      <c r="A7726" s="0" t="s">
        <v>255</v>
      </c>
      <c r="B7726" s="0" t="n">
        <v>26</v>
      </c>
      <c r="C7726" s="0" t="n">
        <v>1.4</v>
      </c>
      <c r="D7726" s="0" t="n">
        <v>0</v>
      </c>
    </row>
    <row r="7727" customFormat="false" ht="13.8" hidden="true" customHeight="false" outlineLevel="0" collapsed="false">
      <c r="A7727" s="0" t="s">
        <v>255</v>
      </c>
      <c r="B7727" s="0" t="n">
        <v>26</v>
      </c>
      <c r="C7727" s="0" t="n">
        <v>1.45</v>
      </c>
      <c r="D7727" s="0" t="n">
        <v>0</v>
      </c>
    </row>
    <row r="7728" customFormat="false" ht="13.8" hidden="true" customHeight="false" outlineLevel="0" collapsed="false">
      <c r="A7728" s="0" t="s">
        <v>255</v>
      </c>
      <c r="B7728" s="0" t="n">
        <v>26</v>
      </c>
      <c r="C7728" s="0" t="n">
        <v>1.5</v>
      </c>
      <c r="D7728" s="0" t="n">
        <v>0</v>
      </c>
    </row>
    <row r="7729" customFormat="false" ht="13.8" hidden="true" customHeight="false" outlineLevel="0" collapsed="false">
      <c r="A7729" s="0" t="s">
        <v>255</v>
      </c>
      <c r="B7729" s="0" t="n">
        <v>26</v>
      </c>
      <c r="C7729" s="0" t="n">
        <v>1.55</v>
      </c>
      <c r="D7729" s="0" t="n">
        <v>0</v>
      </c>
    </row>
    <row r="7730" customFormat="false" ht="13.8" hidden="true" customHeight="false" outlineLevel="0" collapsed="false">
      <c r="A7730" s="0" t="s">
        <v>255</v>
      </c>
      <c r="B7730" s="0" t="n">
        <v>26</v>
      </c>
      <c r="C7730" s="0" t="n">
        <v>1.6</v>
      </c>
      <c r="D7730" s="0" t="n">
        <v>0</v>
      </c>
    </row>
    <row r="7731" customFormat="false" ht="13.8" hidden="true" customHeight="false" outlineLevel="0" collapsed="false">
      <c r="A7731" s="0" t="s">
        <v>255</v>
      </c>
      <c r="B7731" s="0" t="n">
        <v>26</v>
      </c>
      <c r="C7731" s="0" t="n">
        <v>1.65</v>
      </c>
      <c r="D7731" s="0" t="n">
        <v>0</v>
      </c>
    </row>
    <row r="7732" customFormat="false" ht="13.8" hidden="true" customHeight="false" outlineLevel="0" collapsed="false">
      <c r="A7732" s="0" t="s">
        <v>255</v>
      </c>
      <c r="B7732" s="0" t="n">
        <v>26</v>
      </c>
      <c r="C7732" s="0" t="n">
        <v>1.7</v>
      </c>
      <c r="D7732" s="0" t="n">
        <v>0</v>
      </c>
    </row>
    <row r="7733" customFormat="false" ht="13.8" hidden="true" customHeight="false" outlineLevel="0" collapsed="false">
      <c r="A7733" s="0" t="s">
        <v>255</v>
      </c>
      <c r="B7733" s="0" t="n">
        <v>26</v>
      </c>
      <c r="C7733" s="0" t="n">
        <v>1.75</v>
      </c>
      <c r="D7733" s="0" t="n">
        <v>0</v>
      </c>
    </row>
    <row r="7734" customFormat="false" ht="13.8" hidden="true" customHeight="false" outlineLevel="0" collapsed="false">
      <c r="A7734" s="0" t="s">
        <v>255</v>
      </c>
      <c r="B7734" s="0" t="n">
        <v>26</v>
      </c>
      <c r="C7734" s="0" t="n">
        <v>1.8</v>
      </c>
      <c r="D7734" s="0" t="n">
        <v>0.2</v>
      </c>
    </row>
    <row r="7735" customFormat="false" ht="13.8" hidden="true" customHeight="false" outlineLevel="0" collapsed="false">
      <c r="A7735" s="0" t="s">
        <v>255</v>
      </c>
      <c r="B7735" s="0" t="n">
        <v>26</v>
      </c>
      <c r="C7735" s="0" t="n">
        <v>1.85</v>
      </c>
      <c r="D7735" s="0" t="n">
        <v>0.206</v>
      </c>
    </row>
    <row r="7736" customFormat="false" ht="13.8" hidden="true" customHeight="false" outlineLevel="0" collapsed="false">
      <c r="A7736" s="0" t="s">
        <v>255</v>
      </c>
      <c r="B7736" s="0" t="n">
        <v>26</v>
      </c>
      <c r="C7736" s="0" t="n">
        <v>1.9</v>
      </c>
      <c r="D7736" s="0" t="n">
        <v>0.211</v>
      </c>
    </row>
    <row r="7737" customFormat="false" ht="13.8" hidden="true" customHeight="false" outlineLevel="0" collapsed="false">
      <c r="A7737" s="0" t="s">
        <v>255</v>
      </c>
      <c r="B7737" s="0" t="n">
        <v>26</v>
      </c>
      <c r="C7737" s="0" t="n">
        <v>1.95</v>
      </c>
      <c r="D7737" s="0" t="n">
        <v>0.217</v>
      </c>
    </row>
    <row r="7738" customFormat="false" ht="13.8" hidden="true" customHeight="false" outlineLevel="0" collapsed="false">
      <c r="A7738" s="0" t="s">
        <v>255</v>
      </c>
      <c r="B7738" s="0" t="n">
        <v>26</v>
      </c>
      <c r="C7738" s="0" t="n">
        <v>2</v>
      </c>
      <c r="D7738" s="0" t="n">
        <v>0.231</v>
      </c>
    </row>
    <row r="7739" customFormat="false" ht="13.8" hidden="true" customHeight="false" outlineLevel="0" collapsed="false">
      <c r="A7739" s="0" t="s">
        <v>255</v>
      </c>
      <c r="B7739" s="0" t="n">
        <v>26</v>
      </c>
      <c r="C7739" s="0" t="n">
        <v>2.05</v>
      </c>
      <c r="D7739" s="0" t="n">
        <v>0.237</v>
      </c>
    </row>
    <row r="7740" customFormat="false" ht="13.8" hidden="true" customHeight="false" outlineLevel="0" collapsed="false">
      <c r="A7740" s="0" t="s">
        <v>255</v>
      </c>
      <c r="B7740" s="0" t="n">
        <v>26</v>
      </c>
      <c r="C7740" s="0" t="n">
        <v>2.1</v>
      </c>
      <c r="D7740" s="0" t="n">
        <v>0.243</v>
      </c>
    </row>
    <row r="7741" customFormat="false" ht="13.8" hidden="true" customHeight="false" outlineLevel="0" collapsed="false">
      <c r="A7741" s="0" t="s">
        <v>255</v>
      </c>
      <c r="B7741" s="0" t="n">
        <v>26</v>
      </c>
      <c r="C7741" s="0" t="n">
        <v>2.15</v>
      </c>
      <c r="D7741" s="0" t="n">
        <v>0.248416097</v>
      </c>
    </row>
    <row r="7742" customFormat="false" ht="13.8" hidden="true" customHeight="false" outlineLevel="0" collapsed="false">
      <c r="A7742" s="0" t="s">
        <v>255</v>
      </c>
      <c r="B7742" s="0" t="n">
        <v>26</v>
      </c>
      <c r="C7742" s="0" t="n">
        <v>2.2</v>
      </c>
      <c r="D7742" s="0" t="n">
        <v>0.254193216</v>
      </c>
    </row>
    <row r="7743" customFormat="false" ht="13.8" hidden="true" customHeight="false" outlineLevel="0" collapsed="false">
      <c r="A7743" s="0" t="s">
        <v>255</v>
      </c>
      <c r="B7743" s="0" t="n">
        <v>26</v>
      </c>
      <c r="C7743" s="0" t="n">
        <v>2.25</v>
      </c>
      <c r="D7743" s="0" t="n">
        <v>0.259970334</v>
      </c>
    </row>
    <row r="7744" customFormat="false" ht="13.8" hidden="true" customHeight="false" outlineLevel="0" collapsed="false">
      <c r="A7744" s="0" t="s">
        <v>255</v>
      </c>
      <c r="B7744" s="0" t="n">
        <v>26</v>
      </c>
      <c r="C7744" s="0" t="n">
        <v>2.3</v>
      </c>
      <c r="D7744" s="0" t="n">
        <v>0</v>
      </c>
    </row>
    <row r="7745" customFormat="false" ht="13.8" hidden="true" customHeight="false" outlineLevel="0" collapsed="false">
      <c r="A7745" s="0" t="s">
        <v>255</v>
      </c>
      <c r="B7745" s="0" t="n">
        <v>26</v>
      </c>
      <c r="C7745" s="0" t="n">
        <v>2.35</v>
      </c>
      <c r="D7745" s="0" t="n">
        <v>0</v>
      </c>
    </row>
    <row r="7746" customFormat="false" ht="13.8" hidden="true" customHeight="false" outlineLevel="0" collapsed="false">
      <c r="A7746" s="0" t="s">
        <v>255</v>
      </c>
      <c r="B7746" s="0" t="n">
        <v>26</v>
      </c>
      <c r="C7746" s="0" t="n">
        <v>2.4</v>
      </c>
      <c r="D7746" s="0" t="n">
        <v>0</v>
      </c>
    </row>
    <row r="7747" customFormat="false" ht="13.8" hidden="true" customHeight="false" outlineLevel="0" collapsed="false">
      <c r="A7747" s="0" t="s">
        <v>255</v>
      </c>
      <c r="B7747" s="0" t="n">
        <v>26</v>
      </c>
      <c r="C7747" s="0" t="n">
        <v>2.45</v>
      </c>
      <c r="D7747" s="0" t="n">
        <v>0</v>
      </c>
    </row>
    <row r="7748" customFormat="false" ht="13.8" hidden="true" customHeight="false" outlineLevel="0" collapsed="false">
      <c r="A7748" s="0" t="s">
        <v>255</v>
      </c>
      <c r="B7748" s="0" t="n">
        <v>26</v>
      </c>
      <c r="C7748" s="0" t="n">
        <v>2.5</v>
      </c>
      <c r="D7748" s="0" t="n">
        <v>0</v>
      </c>
    </row>
    <row r="7749" customFormat="false" ht="13.8" hidden="true" customHeight="false" outlineLevel="0" collapsed="false">
      <c r="A7749" s="0" t="s">
        <v>255</v>
      </c>
      <c r="B7749" s="0" t="n">
        <v>26</v>
      </c>
      <c r="C7749" s="0" t="n">
        <v>2.55</v>
      </c>
      <c r="D7749" s="0" t="n">
        <v>0</v>
      </c>
    </row>
    <row r="7750" customFormat="false" ht="13.8" hidden="true" customHeight="false" outlineLevel="0" collapsed="false">
      <c r="A7750" s="0" t="s">
        <v>255</v>
      </c>
      <c r="B7750" s="0" t="n">
        <v>26</v>
      </c>
      <c r="C7750" s="0" t="n">
        <v>2.6</v>
      </c>
      <c r="D7750" s="0" t="n">
        <v>0</v>
      </c>
    </row>
    <row r="7751" customFormat="false" ht="13.8" hidden="true" customHeight="false" outlineLevel="0" collapsed="false">
      <c r="A7751" s="0" t="s">
        <v>255</v>
      </c>
      <c r="B7751" s="0" t="n">
        <v>30</v>
      </c>
      <c r="C7751" s="0" t="n">
        <v>1.3</v>
      </c>
      <c r="D7751" s="0" t="n">
        <v>0</v>
      </c>
    </row>
    <row r="7752" customFormat="false" ht="13.8" hidden="true" customHeight="false" outlineLevel="0" collapsed="false">
      <c r="A7752" s="0" t="s">
        <v>255</v>
      </c>
      <c r="B7752" s="0" t="n">
        <v>30</v>
      </c>
      <c r="C7752" s="0" t="n">
        <v>1.35</v>
      </c>
      <c r="D7752" s="0" t="n">
        <v>0</v>
      </c>
    </row>
    <row r="7753" customFormat="false" ht="13.8" hidden="true" customHeight="false" outlineLevel="0" collapsed="false">
      <c r="A7753" s="0" t="s">
        <v>255</v>
      </c>
      <c r="B7753" s="0" t="n">
        <v>30</v>
      </c>
      <c r="C7753" s="0" t="n">
        <v>1.4</v>
      </c>
      <c r="D7753" s="0" t="n">
        <v>0</v>
      </c>
    </row>
    <row r="7754" customFormat="false" ht="13.8" hidden="true" customHeight="false" outlineLevel="0" collapsed="false">
      <c r="A7754" s="0" t="s">
        <v>255</v>
      </c>
      <c r="B7754" s="0" t="n">
        <v>30</v>
      </c>
      <c r="C7754" s="0" t="n">
        <v>1.45</v>
      </c>
      <c r="D7754" s="0" t="n">
        <v>0</v>
      </c>
    </row>
    <row r="7755" customFormat="false" ht="13.8" hidden="true" customHeight="false" outlineLevel="0" collapsed="false">
      <c r="A7755" s="0" t="s">
        <v>255</v>
      </c>
      <c r="B7755" s="0" t="n">
        <v>30</v>
      </c>
      <c r="C7755" s="0" t="n">
        <v>1.5</v>
      </c>
      <c r="D7755" s="0" t="n">
        <v>0</v>
      </c>
    </row>
    <row r="7756" customFormat="false" ht="13.8" hidden="true" customHeight="false" outlineLevel="0" collapsed="false">
      <c r="A7756" s="0" t="s">
        <v>255</v>
      </c>
      <c r="B7756" s="0" t="n">
        <v>30</v>
      </c>
      <c r="C7756" s="0" t="n">
        <v>1.55</v>
      </c>
      <c r="D7756" s="0" t="n">
        <v>0</v>
      </c>
    </row>
    <row r="7757" customFormat="false" ht="13.8" hidden="true" customHeight="false" outlineLevel="0" collapsed="false">
      <c r="A7757" s="0" t="s">
        <v>255</v>
      </c>
      <c r="B7757" s="0" t="n">
        <v>30</v>
      </c>
      <c r="C7757" s="0" t="n">
        <v>1.6</v>
      </c>
      <c r="D7757" s="0" t="n">
        <v>0</v>
      </c>
    </row>
    <row r="7758" customFormat="false" ht="13.8" hidden="true" customHeight="false" outlineLevel="0" collapsed="false">
      <c r="A7758" s="0" t="s">
        <v>255</v>
      </c>
      <c r="B7758" s="0" t="n">
        <v>30</v>
      </c>
      <c r="C7758" s="0" t="n">
        <v>1.65</v>
      </c>
      <c r="D7758" s="0" t="n">
        <v>0</v>
      </c>
    </row>
    <row r="7759" customFormat="false" ht="13.8" hidden="true" customHeight="false" outlineLevel="0" collapsed="false">
      <c r="A7759" s="0" t="s">
        <v>255</v>
      </c>
      <c r="B7759" s="0" t="n">
        <v>30</v>
      </c>
      <c r="C7759" s="0" t="n">
        <v>1.7</v>
      </c>
      <c r="D7759" s="0" t="n">
        <v>0</v>
      </c>
    </row>
    <row r="7760" customFormat="false" ht="13.8" hidden="true" customHeight="false" outlineLevel="0" collapsed="false">
      <c r="A7760" s="0" t="s">
        <v>255</v>
      </c>
      <c r="B7760" s="0" t="n">
        <v>30</v>
      </c>
      <c r="C7760" s="0" t="n">
        <v>1.75</v>
      </c>
      <c r="D7760" s="0" t="n">
        <v>0</v>
      </c>
    </row>
    <row r="7761" customFormat="false" ht="13.8" hidden="true" customHeight="false" outlineLevel="0" collapsed="false">
      <c r="A7761" s="0" t="s">
        <v>255</v>
      </c>
      <c r="B7761" s="0" t="n">
        <v>30</v>
      </c>
      <c r="C7761" s="0" t="n">
        <v>1.8</v>
      </c>
      <c r="D7761" s="0" t="n">
        <v>0.2</v>
      </c>
    </row>
    <row r="7762" customFormat="false" ht="13.8" hidden="true" customHeight="false" outlineLevel="0" collapsed="false">
      <c r="A7762" s="0" t="s">
        <v>255</v>
      </c>
      <c r="B7762" s="0" t="n">
        <v>30</v>
      </c>
      <c r="C7762" s="0" t="n">
        <v>1.85</v>
      </c>
      <c r="D7762" s="0" t="n">
        <v>0.206</v>
      </c>
    </row>
    <row r="7763" customFormat="false" ht="13.8" hidden="true" customHeight="false" outlineLevel="0" collapsed="false">
      <c r="A7763" s="0" t="s">
        <v>255</v>
      </c>
      <c r="B7763" s="0" t="n">
        <v>30</v>
      </c>
      <c r="C7763" s="0" t="n">
        <v>1.9</v>
      </c>
      <c r="D7763" s="0" t="n">
        <v>0.211</v>
      </c>
    </row>
    <row r="7764" customFormat="false" ht="13.8" hidden="true" customHeight="false" outlineLevel="0" collapsed="false">
      <c r="A7764" s="0" t="s">
        <v>255</v>
      </c>
      <c r="B7764" s="0" t="n">
        <v>30</v>
      </c>
      <c r="C7764" s="0" t="n">
        <v>1.95</v>
      </c>
      <c r="D7764" s="0" t="n">
        <v>0.217</v>
      </c>
    </row>
    <row r="7765" customFormat="false" ht="13.8" hidden="true" customHeight="false" outlineLevel="0" collapsed="false">
      <c r="A7765" s="0" t="s">
        <v>255</v>
      </c>
      <c r="B7765" s="0" t="n">
        <v>30</v>
      </c>
      <c r="C7765" s="0" t="n">
        <v>2</v>
      </c>
      <c r="D7765" s="0" t="n">
        <v>0.231</v>
      </c>
    </row>
    <row r="7766" customFormat="false" ht="13.8" hidden="true" customHeight="false" outlineLevel="0" collapsed="false">
      <c r="A7766" s="0" t="s">
        <v>255</v>
      </c>
      <c r="B7766" s="0" t="n">
        <v>30</v>
      </c>
      <c r="C7766" s="0" t="n">
        <v>2.05</v>
      </c>
      <c r="D7766" s="0" t="n">
        <v>0.237</v>
      </c>
    </row>
    <row r="7767" customFormat="false" ht="13.8" hidden="true" customHeight="false" outlineLevel="0" collapsed="false">
      <c r="A7767" s="0" t="s">
        <v>255</v>
      </c>
      <c r="B7767" s="0" t="n">
        <v>30</v>
      </c>
      <c r="C7767" s="0" t="n">
        <v>2.1</v>
      </c>
      <c r="D7767" s="0" t="n">
        <v>0.243</v>
      </c>
    </row>
    <row r="7768" customFormat="false" ht="13.8" hidden="true" customHeight="false" outlineLevel="0" collapsed="false">
      <c r="A7768" s="0" t="s">
        <v>255</v>
      </c>
      <c r="B7768" s="0" t="n">
        <v>30</v>
      </c>
      <c r="C7768" s="0" t="n">
        <v>2.15</v>
      </c>
      <c r="D7768" s="0" t="n">
        <v>0.248416097</v>
      </c>
    </row>
    <row r="7769" customFormat="false" ht="13.8" hidden="true" customHeight="false" outlineLevel="0" collapsed="false">
      <c r="A7769" s="0" t="s">
        <v>255</v>
      </c>
      <c r="B7769" s="0" t="n">
        <v>30</v>
      </c>
      <c r="C7769" s="0" t="n">
        <v>2.2</v>
      </c>
      <c r="D7769" s="0" t="n">
        <v>0.254193216</v>
      </c>
    </row>
    <row r="7770" customFormat="false" ht="13.8" hidden="true" customHeight="false" outlineLevel="0" collapsed="false">
      <c r="A7770" s="0" t="s">
        <v>255</v>
      </c>
      <c r="B7770" s="0" t="n">
        <v>30</v>
      </c>
      <c r="C7770" s="0" t="n">
        <v>2.25</v>
      </c>
      <c r="D7770" s="0" t="n">
        <v>0.259970334</v>
      </c>
    </row>
    <row r="7771" customFormat="false" ht="13.8" hidden="true" customHeight="false" outlineLevel="0" collapsed="false">
      <c r="A7771" s="0" t="s">
        <v>255</v>
      </c>
      <c r="B7771" s="0" t="n">
        <v>30</v>
      </c>
      <c r="C7771" s="0" t="n">
        <v>2.3</v>
      </c>
      <c r="D7771" s="0" t="n">
        <v>0</v>
      </c>
    </row>
    <row r="7772" customFormat="false" ht="13.8" hidden="true" customHeight="false" outlineLevel="0" collapsed="false">
      <c r="A7772" s="0" t="s">
        <v>255</v>
      </c>
      <c r="B7772" s="0" t="n">
        <v>30</v>
      </c>
      <c r="C7772" s="0" t="n">
        <v>2.35</v>
      </c>
      <c r="D7772" s="0" t="n">
        <v>0</v>
      </c>
    </row>
    <row r="7773" customFormat="false" ht="13.8" hidden="true" customHeight="false" outlineLevel="0" collapsed="false">
      <c r="A7773" s="0" t="s">
        <v>255</v>
      </c>
      <c r="B7773" s="0" t="n">
        <v>30</v>
      </c>
      <c r="C7773" s="0" t="n">
        <v>2.4</v>
      </c>
      <c r="D7773" s="0" t="n">
        <v>0</v>
      </c>
    </row>
    <row r="7774" customFormat="false" ht="13.8" hidden="true" customHeight="false" outlineLevel="0" collapsed="false">
      <c r="A7774" s="0" t="s">
        <v>255</v>
      </c>
      <c r="B7774" s="0" t="n">
        <v>30</v>
      </c>
      <c r="C7774" s="0" t="n">
        <v>2.45</v>
      </c>
      <c r="D7774" s="0" t="n">
        <v>0</v>
      </c>
    </row>
    <row r="7775" customFormat="false" ht="13.8" hidden="true" customHeight="false" outlineLevel="0" collapsed="false">
      <c r="A7775" s="0" t="s">
        <v>255</v>
      </c>
      <c r="B7775" s="0" t="n">
        <v>30</v>
      </c>
      <c r="C7775" s="0" t="n">
        <v>2.5</v>
      </c>
      <c r="D7775" s="0" t="n">
        <v>0</v>
      </c>
    </row>
    <row r="7776" customFormat="false" ht="13.8" hidden="true" customHeight="false" outlineLevel="0" collapsed="false">
      <c r="A7776" s="0" t="s">
        <v>255</v>
      </c>
      <c r="B7776" s="0" t="n">
        <v>30</v>
      </c>
      <c r="C7776" s="0" t="n">
        <v>2.55</v>
      </c>
      <c r="D7776" s="0" t="n">
        <v>0</v>
      </c>
    </row>
    <row r="7777" customFormat="false" ht="13.8" hidden="true" customHeight="false" outlineLevel="0" collapsed="false">
      <c r="A7777" s="0" t="s">
        <v>255</v>
      </c>
      <c r="B7777" s="0" t="n">
        <v>30</v>
      </c>
      <c r="C7777" s="0" t="n">
        <v>2.6</v>
      </c>
      <c r="D7777" s="0" t="n">
        <v>0</v>
      </c>
    </row>
    <row r="7778" customFormat="false" ht="13.8" hidden="true" customHeight="false" outlineLevel="0" collapsed="false">
      <c r="A7778" s="0" t="s">
        <v>255</v>
      </c>
      <c r="B7778" s="0" t="n">
        <v>31</v>
      </c>
      <c r="C7778" s="0" t="n">
        <v>1.3</v>
      </c>
      <c r="D7778" s="0" t="n">
        <v>0</v>
      </c>
    </row>
    <row r="7779" customFormat="false" ht="13.8" hidden="true" customHeight="false" outlineLevel="0" collapsed="false">
      <c r="A7779" s="0" t="s">
        <v>255</v>
      </c>
      <c r="B7779" s="0" t="n">
        <v>31</v>
      </c>
      <c r="C7779" s="0" t="n">
        <v>1.35</v>
      </c>
      <c r="D7779" s="0" t="n">
        <v>0</v>
      </c>
    </row>
    <row r="7780" customFormat="false" ht="13.8" hidden="true" customHeight="false" outlineLevel="0" collapsed="false">
      <c r="A7780" s="0" t="s">
        <v>255</v>
      </c>
      <c r="B7780" s="0" t="n">
        <v>31</v>
      </c>
      <c r="C7780" s="0" t="n">
        <v>1.4</v>
      </c>
      <c r="D7780" s="0" t="n">
        <v>0</v>
      </c>
    </row>
    <row r="7781" customFormat="false" ht="13.8" hidden="true" customHeight="false" outlineLevel="0" collapsed="false">
      <c r="A7781" s="0" t="s">
        <v>255</v>
      </c>
      <c r="B7781" s="0" t="n">
        <v>31</v>
      </c>
      <c r="C7781" s="0" t="n">
        <v>1.45</v>
      </c>
      <c r="D7781" s="0" t="n">
        <v>0</v>
      </c>
    </row>
    <row r="7782" customFormat="false" ht="13.8" hidden="true" customHeight="false" outlineLevel="0" collapsed="false">
      <c r="A7782" s="0" t="s">
        <v>255</v>
      </c>
      <c r="B7782" s="0" t="n">
        <v>31</v>
      </c>
      <c r="C7782" s="0" t="n">
        <v>1.5</v>
      </c>
      <c r="D7782" s="0" t="n">
        <v>0</v>
      </c>
    </row>
    <row r="7783" customFormat="false" ht="13.8" hidden="true" customHeight="false" outlineLevel="0" collapsed="false">
      <c r="A7783" s="0" t="s">
        <v>255</v>
      </c>
      <c r="B7783" s="0" t="n">
        <v>31</v>
      </c>
      <c r="C7783" s="0" t="n">
        <v>1.55</v>
      </c>
      <c r="D7783" s="0" t="n">
        <v>0</v>
      </c>
    </row>
    <row r="7784" customFormat="false" ht="13.8" hidden="true" customHeight="false" outlineLevel="0" collapsed="false">
      <c r="A7784" s="0" t="s">
        <v>255</v>
      </c>
      <c r="B7784" s="0" t="n">
        <v>31</v>
      </c>
      <c r="C7784" s="0" t="n">
        <v>1.6</v>
      </c>
      <c r="D7784" s="0" t="n">
        <v>0</v>
      </c>
    </row>
    <row r="7785" customFormat="false" ht="13.8" hidden="true" customHeight="false" outlineLevel="0" collapsed="false">
      <c r="A7785" s="0" t="s">
        <v>255</v>
      </c>
      <c r="B7785" s="0" t="n">
        <v>31</v>
      </c>
      <c r="C7785" s="0" t="n">
        <v>1.65</v>
      </c>
      <c r="D7785" s="0" t="n">
        <v>0</v>
      </c>
    </row>
    <row r="7786" customFormat="false" ht="13.8" hidden="true" customHeight="false" outlineLevel="0" collapsed="false">
      <c r="A7786" s="0" t="s">
        <v>255</v>
      </c>
      <c r="B7786" s="0" t="n">
        <v>31</v>
      </c>
      <c r="C7786" s="0" t="n">
        <v>1.7</v>
      </c>
      <c r="D7786" s="0" t="n">
        <v>0</v>
      </c>
    </row>
    <row r="7787" customFormat="false" ht="13.8" hidden="true" customHeight="false" outlineLevel="0" collapsed="false">
      <c r="A7787" s="0" t="s">
        <v>255</v>
      </c>
      <c r="B7787" s="0" t="n">
        <v>31</v>
      </c>
      <c r="C7787" s="0" t="n">
        <v>1.75</v>
      </c>
      <c r="D7787" s="0" t="n">
        <v>0</v>
      </c>
    </row>
    <row r="7788" customFormat="false" ht="13.8" hidden="true" customHeight="false" outlineLevel="0" collapsed="false">
      <c r="A7788" s="0" t="s">
        <v>255</v>
      </c>
      <c r="B7788" s="0" t="n">
        <v>31</v>
      </c>
      <c r="C7788" s="0" t="n">
        <v>1.8</v>
      </c>
      <c r="D7788" s="0" t="n">
        <v>0.2</v>
      </c>
    </row>
    <row r="7789" customFormat="false" ht="13.8" hidden="true" customHeight="false" outlineLevel="0" collapsed="false">
      <c r="A7789" s="0" t="s">
        <v>255</v>
      </c>
      <c r="B7789" s="0" t="n">
        <v>31</v>
      </c>
      <c r="C7789" s="0" t="n">
        <v>1.85</v>
      </c>
      <c r="D7789" s="0" t="n">
        <v>0.206</v>
      </c>
    </row>
    <row r="7790" customFormat="false" ht="13.8" hidden="true" customHeight="false" outlineLevel="0" collapsed="false">
      <c r="A7790" s="0" t="s">
        <v>255</v>
      </c>
      <c r="B7790" s="0" t="n">
        <v>31</v>
      </c>
      <c r="C7790" s="0" t="n">
        <v>1.9</v>
      </c>
      <c r="D7790" s="0" t="n">
        <v>0.211</v>
      </c>
    </row>
    <row r="7791" customFormat="false" ht="13.8" hidden="true" customHeight="false" outlineLevel="0" collapsed="false">
      <c r="A7791" s="0" t="s">
        <v>255</v>
      </c>
      <c r="B7791" s="0" t="n">
        <v>31</v>
      </c>
      <c r="C7791" s="0" t="n">
        <v>1.95</v>
      </c>
      <c r="D7791" s="0" t="n">
        <v>0.217</v>
      </c>
    </row>
    <row r="7792" customFormat="false" ht="13.8" hidden="true" customHeight="false" outlineLevel="0" collapsed="false">
      <c r="A7792" s="0" t="s">
        <v>255</v>
      </c>
      <c r="B7792" s="0" t="n">
        <v>31</v>
      </c>
      <c r="C7792" s="0" t="n">
        <v>2</v>
      </c>
      <c r="D7792" s="0" t="n">
        <v>0.231</v>
      </c>
    </row>
    <row r="7793" customFormat="false" ht="13.8" hidden="true" customHeight="false" outlineLevel="0" collapsed="false">
      <c r="A7793" s="0" t="s">
        <v>255</v>
      </c>
      <c r="B7793" s="0" t="n">
        <v>31</v>
      </c>
      <c r="C7793" s="0" t="n">
        <v>2.05</v>
      </c>
      <c r="D7793" s="0" t="n">
        <v>0.237</v>
      </c>
    </row>
    <row r="7794" customFormat="false" ht="13.8" hidden="true" customHeight="false" outlineLevel="0" collapsed="false">
      <c r="A7794" s="0" t="s">
        <v>255</v>
      </c>
      <c r="B7794" s="0" t="n">
        <v>31</v>
      </c>
      <c r="C7794" s="0" t="n">
        <v>2.1</v>
      </c>
      <c r="D7794" s="0" t="n">
        <v>0.243</v>
      </c>
    </row>
    <row r="7795" customFormat="false" ht="13.8" hidden="true" customHeight="false" outlineLevel="0" collapsed="false">
      <c r="A7795" s="0" t="s">
        <v>255</v>
      </c>
      <c r="B7795" s="0" t="n">
        <v>31</v>
      </c>
      <c r="C7795" s="0" t="n">
        <v>2.15</v>
      </c>
      <c r="D7795" s="0" t="n">
        <v>0.248416097</v>
      </c>
    </row>
    <row r="7796" customFormat="false" ht="13.8" hidden="true" customHeight="false" outlineLevel="0" collapsed="false">
      <c r="A7796" s="0" t="s">
        <v>255</v>
      </c>
      <c r="B7796" s="0" t="n">
        <v>31</v>
      </c>
      <c r="C7796" s="0" t="n">
        <v>2.2</v>
      </c>
      <c r="D7796" s="0" t="n">
        <v>0.254193216</v>
      </c>
    </row>
    <row r="7797" customFormat="false" ht="13.8" hidden="true" customHeight="false" outlineLevel="0" collapsed="false">
      <c r="A7797" s="0" t="s">
        <v>255</v>
      </c>
      <c r="B7797" s="0" t="n">
        <v>31</v>
      </c>
      <c r="C7797" s="0" t="n">
        <v>2.25</v>
      </c>
      <c r="D7797" s="0" t="n">
        <v>0.259970334</v>
      </c>
    </row>
    <row r="7798" customFormat="false" ht="13.8" hidden="true" customHeight="false" outlineLevel="0" collapsed="false">
      <c r="A7798" s="0" t="s">
        <v>255</v>
      </c>
      <c r="B7798" s="0" t="n">
        <v>31</v>
      </c>
      <c r="C7798" s="0" t="n">
        <v>2.3</v>
      </c>
      <c r="D7798" s="0" t="n">
        <v>0</v>
      </c>
    </row>
    <row r="7799" customFormat="false" ht="13.8" hidden="true" customHeight="false" outlineLevel="0" collapsed="false">
      <c r="A7799" s="0" t="s">
        <v>255</v>
      </c>
      <c r="B7799" s="0" t="n">
        <v>31</v>
      </c>
      <c r="C7799" s="0" t="n">
        <v>2.35</v>
      </c>
      <c r="D7799" s="0" t="n">
        <v>0</v>
      </c>
    </row>
    <row r="7800" customFormat="false" ht="13.8" hidden="true" customHeight="false" outlineLevel="0" collapsed="false">
      <c r="A7800" s="0" t="s">
        <v>255</v>
      </c>
      <c r="B7800" s="0" t="n">
        <v>31</v>
      </c>
      <c r="C7800" s="0" t="n">
        <v>2.4</v>
      </c>
      <c r="D7800" s="0" t="n">
        <v>0</v>
      </c>
    </row>
    <row r="7801" customFormat="false" ht="13.8" hidden="true" customHeight="false" outlineLevel="0" collapsed="false">
      <c r="A7801" s="0" t="s">
        <v>255</v>
      </c>
      <c r="B7801" s="0" t="n">
        <v>31</v>
      </c>
      <c r="C7801" s="0" t="n">
        <v>2.45</v>
      </c>
      <c r="D7801" s="0" t="n">
        <v>0</v>
      </c>
    </row>
    <row r="7802" customFormat="false" ht="13.8" hidden="true" customHeight="false" outlineLevel="0" collapsed="false">
      <c r="A7802" s="0" t="s">
        <v>255</v>
      </c>
      <c r="B7802" s="0" t="n">
        <v>31</v>
      </c>
      <c r="C7802" s="0" t="n">
        <v>2.5</v>
      </c>
      <c r="D7802" s="0" t="n">
        <v>0</v>
      </c>
    </row>
    <row r="7803" customFormat="false" ht="13.8" hidden="true" customHeight="false" outlineLevel="0" collapsed="false">
      <c r="A7803" s="0" t="s">
        <v>255</v>
      </c>
      <c r="B7803" s="0" t="n">
        <v>31</v>
      </c>
      <c r="C7803" s="0" t="n">
        <v>2.55</v>
      </c>
      <c r="D7803" s="0" t="n">
        <v>0</v>
      </c>
    </row>
    <row r="7804" customFormat="false" ht="13.8" hidden="true" customHeight="false" outlineLevel="0" collapsed="false">
      <c r="A7804" s="0" t="s">
        <v>255</v>
      </c>
      <c r="B7804" s="0" t="n">
        <v>31</v>
      </c>
      <c r="C7804" s="0" t="n">
        <v>2.6</v>
      </c>
      <c r="D7804" s="0" t="n">
        <v>0</v>
      </c>
    </row>
    <row r="7805" customFormat="false" ht="13.8" hidden="true" customHeight="false" outlineLevel="0" collapsed="false">
      <c r="A7805" s="0" t="s">
        <v>968</v>
      </c>
      <c r="B7805" s="0" t="n">
        <v>26</v>
      </c>
      <c r="C7805" s="0" t="n">
        <v>1.3</v>
      </c>
      <c r="D7805" s="0" t="n">
        <v>0</v>
      </c>
    </row>
    <row r="7806" customFormat="false" ht="13.8" hidden="true" customHeight="false" outlineLevel="0" collapsed="false">
      <c r="A7806" s="0" t="s">
        <v>968</v>
      </c>
      <c r="B7806" s="0" t="n">
        <v>26</v>
      </c>
      <c r="C7806" s="0" t="n">
        <v>1.35</v>
      </c>
      <c r="D7806" s="0" t="n">
        <v>0</v>
      </c>
    </row>
    <row r="7807" customFormat="false" ht="13.8" hidden="true" customHeight="false" outlineLevel="0" collapsed="false">
      <c r="A7807" s="0" t="s">
        <v>968</v>
      </c>
      <c r="B7807" s="0" t="n">
        <v>26</v>
      </c>
      <c r="C7807" s="0" t="n">
        <v>1.4</v>
      </c>
      <c r="D7807" s="0" t="n">
        <v>0</v>
      </c>
    </row>
    <row r="7808" customFormat="false" ht="13.8" hidden="true" customHeight="false" outlineLevel="0" collapsed="false">
      <c r="A7808" s="0" t="s">
        <v>968</v>
      </c>
      <c r="B7808" s="0" t="n">
        <v>26</v>
      </c>
      <c r="C7808" s="0" t="n">
        <v>1.45</v>
      </c>
      <c r="D7808" s="0" t="n">
        <v>0</v>
      </c>
    </row>
    <row r="7809" customFormat="false" ht="13.8" hidden="true" customHeight="false" outlineLevel="0" collapsed="false">
      <c r="A7809" s="0" t="s">
        <v>968</v>
      </c>
      <c r="B7809" s="0" t="n">
        <v>26</v>
      </c>
      <c r="C7809" s="0" t="n">
        <v>1.5</v>
      </c>
      <c r="D7809" s="0" t="n">
        <v>0</v>
      </c>
    </row>
    <row r="7810" customFormat="false" ht="13.8" hidden="true" customHeight="false" outlineLevel="0" collapsed="false">
      <c r="A7810" s="0" t="s">
        <v>968</v>
      </c>
      <c r="B7810" s="0" t="n">
        <v>26</v>
      </c>
      <c r="C7810" s="0" t="n">
        <v>1.55</v>
      </c>
      <c r="D7810" s="0" t="n">
        <v>0</v>
      </c>
    </row>
    <row r="7811" customFormat="false" ht="13.8" hidden="true" customHeight="false" outlineLevel="0" collapsed="false">
      <c r="A7811" s="0" t="s">
        <v>968</v>
      </c>
      <c r="B7811" s="0" t="n">
        <v>26</v>
      </c>
      <c r="C7811" s="0" t="n">
        <v>1.6</v>
      </c>
      <c r="D7811" s="0" t="n">
        <v>0</v>
      </c>
    </row>
    <row r="7812" customFormat="false" ht="13.8" hidden="true" customHeight="false" outlineLevel="0" collapsed="false">
      <c r="A7812" s="0" t="s">
        <v>968</v>
      </c>
      <c r="B7812" s="0" t="n">
        <v>26</v>
      </c>
      <c r="C7812" s="0" t="n">
        <v>1.65</v>
      </c>
      <c r="D7812" s="0" t="n">
        <v>0</v>
      </c>
    </row>
    <row r="7813" customFormat="false" ht="13.8" hidden="true" customHeight="false" outlineLevel="0" collapsed="false">
      <c r="A7813" s="0" t="s">
        <v>968</v>
      </c>
      <c r="B7813" s="0" t="n">
        <v>26</v>
      </c>
      <c r="C7813" s="0" t="n">
        <v>1.7</v>
      </c>
      <c r="D7813" s="0" t="n">
        <v>0</v>
      </c>
    </row>
    <row r="7814" customFormat="false" ht="13.8" hidden="true" customHeight="false" outlineLevel="0" collapsed="false">
      <c r="A7814" s="0" t="s">
        <v>968</v>
      </c>
      <c r="B7814" s="0" t="n">
        <v>26</v>
      </c>
      <c r="C7814" s="0" t="n">
        <v>1.75</v>
      </c>
      <c r="D7814" s="0" t="n">
        <v>0</v>
      </c>
    </row>
    <row r="7815" customFormat="false" ht="13.8" hidden="true" customHeight="false" outlineLevel="0" collapsed="false">
      <c r="A7815" s="0" t="s">
        <v>968</v>
      </c>
      <c r="B7815" s="0" t="n">
        <v>26</v>
      </c>
      <c r="C7815" s="0" t="n">
        <v>1.8</v>
      </c>
      <c r="D7815" s="0" t="n">
        <v>0.2</v>
      </c>
    </row>
    <row r="7816" customFormat="false" ht="13.8" hidden="true" customHeight="false" outlineLevel="0" collapsed="false">
      <c r="A7816" s="0" t="s">
        <v>968</v>
      </c>
      <c r="B7816" s="0" t="n">
        <v>26</v>
      </c>
      <c r="C7816" s="0" t="n">
        <v>1.85</v>
      </c>
      <c r="D7816" s="0" t="n">
        <v>0.206</v>
      </c>
    </row>
    <row r="7817" customFormat="false" ht="13.8" hidden="true" customHeight="false" outlineLevel="0" collapsed="false">
      <c r="A7817" s="0" t="s">
        <v>968</v>
      </c>
      <c r="B7817" s="0" t="n">
        <v>26</v>
      </c>
      <c r="C7817" s="0" t="n">
        <v>1.9</v>
      </c>
      <c r="D7817" s="0" t="n">
        <v>0.211</v>
      </c>
    </row>
    <row r="7818" customFormat="false" ht="13.8" hidden="true" customHeight="false" outlineLevel="0" collapsed="false">
      <c r="A7818" s="0" t="s">
        <v>968</v>
      </c>
      <c r="B7818" s="0" t="n">
        <v>26</v>
      </c>
      <c r="C7818" s="0" t="n">
        <v>1.95</v>
      </c>
      <c r="D7818" s="0" t="n">
        <v>0.217</v>
      </c>
    </row>
    <row r="7819" customFormat="false" ht="13.8" hidden="true" customHeight="false" outlineLevel="0" collapsed="false">
      <c r="A7819" s="0" t="s">
        <v>968</v>
      </c>
      <c r="B7819" s="0" t="n">
        <v>26</v>
      </c>
      <c r="C7819" s="0" t="n">
        <v>2</v>
      </c>
      <c r="D7819" s="0" t="n">
        <v>0.231</v>
      </c>
    </row>
    <row r="7820" customFormat="false" ht="13.8" hidden="true" customHeight="false" outlineLevel="0" collapsed="false">
      <c r="A7820" s="0" t="s">
        <v>968</v>
      </c>
      <c r="B7820" s="0" t="n">
        <v>26</v>
      </c>
      <c r="C7820" s="0" t="n">
        <v>2.05</v>
      </c>
      <c r="D7820" s="0" t="n">
        <v>0.237</v>
      </c>
    </row>
    <row r="7821" customFormat="false" ht="13.8" hidden="true" customHeight="false" outlineLevel="0" collapsed="false">
      <c r="A7821" s="0" t="s">
        <v>968</v>
      </c>
      <c r="B7821" s="0" t="n">
        <v>26</v>
      </c>
      <c r="C7821" s="0" t="n">
        <v>2.1</v>
      </c>
      <c r="D7821" s="0" t="n">
        <v>0.243</v>
      </c>
    </row>
    <row r="7822" customFormat="false" ht="13.8" hidden="true" customHeight="false" outlineLevel="0" collapsed="false">
      <c r="A7822" s="0" t="s">
        <v>968</v>
      </c>
      <c r="B7822" s="0" t="n">
        <v>26</v>
      </c>
      <c r="C7822" s="0" t="n">
        <v>2.15</v>
      </c>
      <c r="D7822" s="0" t="n">
        <v>0.248416097</v>
      </c>
    </row>
    <row r="7823" customFormat="false" ht="13.8" hidden="true" customHeight="false" outlineLevel="0" collapsed="false">
      <c r="A7823" s="0" t="s">
        <v>968</v>
      </c>
      <c r="B7823" s="0" t="n">
        <v>26</v>
      </c>
      <c r="C7823" s="0" t="n">
        <v>2.2</v>
      </c>
      <c r="D7823" s="0" t="n">
        <v>0.254193216</v>
      </c>
    </row>
    <row r="7824" customFormat="false" ht="13.8" hidden="true" customHeight="false" outlineLevel="0" collapsed="false">
      <c r="A7824" s="0" t="s">
        <v>968</v>
      </c>
      <c r="B7824" s="0" t="n">
        <v>26</v>
      </c>
      <c r="C7824" s="0" t="n">
        <v>2.25</v>
      </c>
      <c r="D7824" s="0" t="n">
        <v>0.259970334</v>
      </c>
    </row>
    <row r="7825" customFormat="false" ht="13.8" hidden="true" customHeight="false" outlineLevel="0" collapsed="false">
      <c r="A7825" s="0" t="s">
        <v>968</v>
      </c>
      <c r="B7825" s="0" t="n">
        <v>26</v>
      </c>
      <c r="C7825" s="0" t="n">
        <v>2.3</v>
      </c>
      <c r="D7825" s="0" t="n">
        <v>0</v>
      </c>
    </row>
    <row r="7826" customFormat="false" ht="13.8" hidden="true" customHeight="false" outlineLevel="0" collapsed="false">
      <c r="A7826" s="0" t="s">
        <v>968</v>
      </c>
      <c r="B7826" s="0" t="n">
        <v>26</v>
      </c>
      <c r="C7826" s="0" t="n">
        <v>2.35</v>
      </c>
      <c r="D7826" s="0" t="n">
        <v>0</v>
      </c>
    </row>
    <row r="7827" customFormat="false" ht="13.8" hidden="true" customHeight="false" outlineLevel="0" collapsed="false">
      <c r="A7827" s="0" t="s">
        <v>968</v>
      </c>
      <c r="B7827" s="0" t="n">
        <v>26</v>
      </c>
      <c r="C7827" s="0" t="n">
        <v>2.4</v>
      </c>
      <c r="D7827" s="0" t="n">
        <v>0</v>
      </c>
    </row>
    <row r="7828" customFormat="false" ht="13.8" hidden="true" customHeight="false" outlineLevel="0" collapsed="false">
      <c r="A7828" s="0" t="s">
        <v>968</v>
      </c>
      <c r="B7828" s="0" t="n">
        <v>26</v>
      </c>
      <c r="C7828" s="0" t="n">
        <v>2.45</v>
      </c>
      <c r="D7828" s="0" t="n">
        <v>0</v>
      </c>
    </row>
    <row r="7829" customFormat="false" ht="13.8" hidden="true" customHeight="false" outlineLevel="0" collapsed="false">
      <c r="A7829" s="0" t="s">
        <v>968</v>
      </c>
      <c r="B7829" s="0" t="n">
        <v>26</v>
      </c>
      <c r="C7829" s="0" t="n">
        <v>2.5</v>
      </c>
      <c r="D7829" s="0" t="n">
        <v>0</v>
      </c>
    </row>
    <row r="7830" customFormat="false" ht="13.8" hidden="true" customHeight="false" outlineLevel="0" collapsed="false">
      <c r="A7830" s="0" t="s">
        <v>968</v>
      </c>
      <c r="B7830" s="0" t="n">
        <v>26</v>
      </c>
      <c r="C7830" s="0" t="n">
        <v>2.55</v>
      </c>
      <c r="D7830" s="0" t="n">
        <v>0</v>
      </c>
    </row>
    <row r="7831" customFormat="false" ht="13.8" hidden="true" customHeight="false" outlineLevel="0" collapsed="false">
      <c r="A7831" s="0" t="s">
        <v>968</v>
      </c>
      <c r="B7831" s="0" t="n">
        <v>26</v>
      </c>
      <c r="C7831" s="0" t="n">
        <v>2.6</v>
      </c>
      <c r="D7831" s="0" t="n">
        <v>0</v>
      </c>
    </row>
    <row r="7832" customFormat="false" ht="13.8" hidden="true" customHeight="false" outlineLevel="0" collapsed="false">
      <c r="A7832" s="0" t="s">
        <v>968</v>
      </c>
      <c r="B7832" s="0" t="n">
        <v>30</v>
      </c>
      <c r="C7832" s="0" t="n">
        <v>1.3</v>
      </c>
      <c r="D7832" s="0" t="n">
        <v>0</v>
      </c>
    </row>
    <row r="7833" customFormat="false" ht="13.8" hidden="true" customHeight="false" outlineLevel="0" collapsed="false">
      <c r="A7833" s="0" t="s">
        <v>968</v>
      </c>
      <c r="B7833" s="0" t="n">
        <v>30</v>
      </c>
      <c r="C7833" s="0" t="n">
        <v>1.35</v>
      </c>
      <c r="D7833" s="0" t="n">
        <v>0</v>
      </c>
    </row>
    <row r="7834" customFormat="false" ht="13.8" hidden="true" customHeight="false" outlineLevel="0" collapsed="false">
      <c r="A7834" s="0" t="s">
        <v>968</v>
      </c>
      <c r="B7834" s="0" t="n">
        <v>30</v>
      </c>
      <c r="C7834" s="0" t="n">
        <v>1.4</v>
      </c>
      <c r="D7834" s="0" t="n">
        <v>0</v>
      </c>
    </row>
    <row r="7835" customFormat="false" ht="13.8" hidden="true" customHeight="false" outlineLevel="0" collapsed="false">
      <c r="A7835" s="0" t="s">
        <v>968</v>
      </c>
      <c r="B7835" s="0" t="n">
        <v>30</v>
      </c>
      <c r="C7835" s="0" t="n">
        <v>1.45</v>
      </c>
      <c r="D7835" s="0" t="n">
        <v>0</v>
      </c>
    </row>
    <row r="7836" customFormat="false" ht="13.8" hidden="true" customHeight="false" outlineLevel="0" collapsed="false">
      <c r="A7836" s="0" t="s">
        <v>968</v>
      </c>
      <c r="B7836" s="0" t="n">
        <v>30</v>
      </c>
      <c r="C7836" s="0" t="n">
        <v>1.5</v>
      </c>
      <c r="D7836" s="0" t="n">
        <v>0</v>
      </c>
    </row>
    <row r="7837" customFormat="false" ht="13.8" hidden="true" customHeight="false" outlineLevel="0" collapsed="false">
      <c r="A7837" s="0" t="s">
        <v>968</v>
      </c>
      <c r="B7837" s="0" t="n">
        <v>30</v>
      </c>
      <c r="C7837" s="0" t="n">
        <v>1.55</v>
      </c>
      <c r="D7837" s="0" t="n">
        <v>0</v>
      </c>
    </row>
    <row r="7838" customFormat="false" ht="13.8" hidden="true" customHeight="false" outlineLevel="0" collapsed="false">
      <c r="A7838" s="0" t="s">
        <v>968</v>
      </c>
      <c r="B7838" s="0" t="n">
        <v>30</v>
      </c>
      <c r="C7838" s="0" t="n">
        <v>1.6</v>
      </c>
      <c r="D7838" s="0" t="n">
        <v>0</v>
      </c>
    </row>
    <row r="7839" customFormat="false" ht="13.8" hidden="true" customHeight="false" outlineLevel="0" collapsed="false">
      <c r="A7839" s="0" t="s">
        <v>968</v>
      </c>
      <c r="B7839" s="0" t="n">
        <v>30</v>
      </c>
      <c r="C7839" s="0" t="n">
        <v>1.65</v>
      </c>
      <c r="D7839" s="0" t="n">
        <v>0</v>
      </c>
    </row>
    <row r="7840" customFormat="false" ht="13.8" hidden="true" customHeight="false" outlineLevel="0" collapsed="false">
      <c r="A7840" s="0" t="s">
        <v>968</v>
      </c>
      <c r="B7840" s="0" t="n">
        <v>30</v>
      </c>
      <c r="C7840" s="0" t="n">
        <v>1.7</v>
      </c>
      <c r="D7840" s="0" t="n">
        <v>0</v>
      </c>
    </row>
    <row r="7841" customFormat="false" ht="13.8" hidden="true" customHeight="false" outlineLevel="0" collapsed="false">
      <c r="A7841" s="0" t="s">
        <v>968</v>
      </c>
      <c r="B7841" s="0" t="n">
        <v>30</v>
      </c>
      <c r="C7841" s="0" t="n">
        <v>1.75</v>
      </c>
      <c r="D7841" s="0" t="n">
        <v>0</v>
      </c>
    </row>
    <row r="7842" customFormat="false" ht="13.8" hidden="true" customHeight="false" outlineLevel="0" collapsed="false">
      <c r="A7842" s="0" t="s">
        <v>968</v>
      </c>
      <c r="B7842" s="0" t="n">
        <v>30</v>
      </c>
      <c r="C7842" s="0" t="n">
        <v>1.8</v>
      </c>
      <c r="D7842" s="0" t="n">
        <v>0.2</v>
      </c>
    </row>
    <row r="7843" customFormat="false" ht="13.8" hidden="true" customHeight="false" outlineLevel="0" collapsed="false">
      <c r="A7843" s="0" t="s">
        <v>968</v>
      </c>
      <c r="B7843" s="0" t="n">
        <v>30</v>
      </c>
      <c r="C7843" s="0" t="n">
        <v>1.85</v>
      </c>
      <c r="D7843" s="0" t="n">
        <v>0.206</v>
      </c>
    </row>
    <row r="7844" customFormat="false" ht="13.8" hidden="true" customHeight="false" outlineLevel="0" collapsed="false">
      <c r="A7844" s="0" t="s">
        <v>968</v>
      </c>
      <c r="B7844" s="0" t="n">
        <v>30</v>
      </c>
      <c r="C7844" s="0" t="n">
        <v>1.9</v>
      </c>
      <c r="D7844" s="0" t="n">
        <v>0.211</v>
      </c>
    </row>
    <row r="7845" customFormat="false" ht="13.8" hidden="true" customHeight="false" outlineLevel="0" collapsed="false">
      <c r="A7845" s="0" t="s">
        <v>968</v>
      </c>
      <c r="B7845" s="0" t="n">
        <v>30</v>
      </c>
      <c r="C7845" s="0" t="n">
        <v>1.95</v>
      </c>
      <c r="D7845" s="0" t="n">
        <v>0.217</v>
      </c>
    </row>
    <row r="7846" customFormat="false" ht="13.8" hidden="true" customHeight="false" outlineLevel="0" collapsed="false">
      <c r="A7846" s="0" t="s">
        <v>968</v>
      </c>
      <c r="B7846" s="0" t="n">
        <v>30</v>
      </c>
      <c r="C7846" s="0" t="n">
        <v>2</v>
      </c>
      <c r="D7846" s="0" t="n">
        <v>0.231</v>
      </c>
    </row>
    <row r="7847" customFormat="false" ht="13.8" hidden="true" customHeight="false" outlineLevel="0" collapsed="false">
      <c r="A7847" s="0" t="s">
        <v>968</v>
      </c>
      <c r="B7847" s="0" t="n">
        <v>30</v>
      </c>
      <c r="C7847" s="0" t="n">
        <v>2.05</v>
      </c>
      <c r="D7847" s="0" t="n">
        <v>0.237</v>
      </c>
    </row>
    <row r="7848" customFormat="false" ht="13.8" hidden="true" customHeight="false" outlineLevel="0" collapsed="false">
      <c r="A7848" s="0" t="s">
        <v>968</v>
      </c>
      <c r="B7848" s="0" t="n">
        <v>30</v>
      </c>
      <c r="C7848" s="0" t="n">
        <v>2.1</v>
      </c>
      <c r="D7848" s="0" t="n">
        <v>0.243</v>
      </c>
    </row>
    <row r="7849" customFormat="false" ht="13.8" hidden="true" customHeight="false" outlineLevel="0" collapsed="false">
      <c r="A7849" s="0" t="s">
        <v>968</v>
      </c>
      <c r="B7849" s="0" t="n">
        <v>30</v>
      </c>
      <c r="C7849" s="0" t="n">
        <v>2.15</v>
      </c>
      <c r="D7849" s="0" t="n">
        <v>0.248416097</v>
      </c>
    </row>
    <row r="7850" customFormat="false" ht="13.8" hidden="true" customHeight="false" outlineLevel="0" collapsed="false">
      <c r="A7850" s="0" t="s">
        <v>968</v>
      </c>
      <c r="B7850" s="0" t="n">
        <v>30</v>
      </c>
      <c r="C7850" s="0" t="n">
        <v>2.2</v>
      </c>
      <c r="D7850" s="0" t="n">
        <v>0.254193216</v>
      </c>
    </row>
    <row r="7851" customFormat="false" ht="13.8" hidden="true" customHeight="false" outlineLevel="0" collapsed="false">
      <c r="A7851" s="0" t="s">
        <v>968</v>
      </c>
      <c r="B7851" s="0" t="n">
        <v>30</v>
      </c>
      <c r="C7851" s="0" t="n">
        <v>2.25</v>
      </c>
      <c r="D7851" s="0" t="n">
        <v>0.259970334</v>
      </c>
    </row>
    <row r="7852" customFormat="false" ht="13.8" hidden="true" customHeight="false" outlineLevel="0" collapsed="false">
      <c r="A7852" s="0" t="s">
        <v>968</v>
      </c>
      <c r="B7852" s="0" t="n">
        <v>30</v>
      </c>
      <c r="C7852" s="0" t="n">
        <v>2.3</v>
      </c>
      <c r="D7852" s="0" t="n">
        <v>0</v>
      </c>
    </row>
    <row r="7853" customFormat="false" ht="13.8" hidden="true" customHeight="false" outlineLevel="0" collapsed="false">
      <c r="A7853" s="0" t="s">
        <v>968</v>
      </c>
      <c r="B7853" s="0" t="n">
        <v>30</v>
      </c>
      <c r="C7853" s="0" t="n">
        <v>2.35</v>
      </c>
      <c r="D7853" s="0" t="n">
        <v>0</v>
      </c>
    </row>
    <row r="7854" customFormat="false" ht="13.8" hidden="true" customHeight="false" outlineLevel="0" collapsed="false">
      <c r="A7854" s="0" t="s">
        <v>968</v>
      </c>
      <c r="B7854" s="0" t="n">
        <v>30</v>
      </c>
      <c r="C7854" s="0" t="n">
        <v>2.4</v>
      </c>
      <c r="D7854" s="0" t="n">
        <v>0</v>
      </c>
    </row>
    <row r="7855" customFormat="false" ht="13.8" hidden="true" customHeight="false" outlineLevel="0" collapsed="false">
      <c r="A7855" s="0" t="s">
        <v>968</v>
      </c>
      <c r="B7855" s="0" t="n">
        <v>30</v>
      </c>
      <c r="C7855" s="0" t="n">
        <v>2.45</v>
      </c>
      <c r="D7855" s="0" t="n">
        <v>0</v>
      </c>
    </row>
    <row r="7856" customFormat="false" ht="13.8" hidden="true" customHeight="false" outlineLevel="0" collapsed="false">
      <c r="A7856" s="0" t="s">
        <v>968</v>
      </c>
      <c r="B7856" s="0" t="n">
        <v>30</v>
      </c>
      <c r="C7856" s="0" t="n">
        <v>2.5</v>
      </c>
      <c r="D7856" s="0" t="n">
        <v>0</v>
      </c>
    </row>
    <row r="7857" customFormat="false" ht="13.8" hidden="true" customHeight="false" outlineLevel="0" collapsed="false">
      <c r="A7857" s="0" t="s">
        <v>968</v>
      </c>
      <c r="B7857" s="0" t="n">
        <v>30</v>
      </c>
      <c r="C7857" s="0" t="n">
        <v>2.55</v>
      </c>
      <c r="D7857" s="0" t="n">
        <v>0</v>
      </c>
    </row>
    <row r="7858" customFormat="false" ht="13.8" hidden="true" customHeight="false" outlineLevel="0" collapsed="false">
      <c r="A7858" s="0" t="s">
        <v>968</v>
      </c>
      <c r="B7858" s="0" t="n">
        <v>30</v>
      </c>
      <c r="C7858" s="0" t="n">
        <v>2.6</v>
      </c>
      <c r="D7858" s="0" t="n">
        <v>0</v>
      </c>
    </row>
    <row r="7859" customFormat="false" ht="13.8" hidden="true" customHeight="false" outlineLevel="0" collapsed="false">
      <c r="A7859" s="0" t="s">
        <v>968</v>
      </c>
      <c r="B7859" s="0" t="n">
        <v>31</v>
      </c>
      <c r="C7859" s="0" t="n">
        <v>1.3</v>
      </c>
      <c r="D7859" s="0" t="n">
        <v>0</v>
      </c>
    </row>
    <row r="7860" customFormat="false" ht="13.8" hidden="true" customHeight="false" outlineLevel="0" collapsed="false">
      <c r="A7860" s="0" t="s">
        <v>968</v>
      </c>
      <c r="B7860" s="0" t="n">
        <v>31</v>
      </c>
      <c r="C7860" s="0" t="n">
        <v>1.35</v>
      </c>
      <c r="D7860" s="0" t="n">
        <v>0</v>
      </c>
    </row>
    <row r="7861" customFormat="false" ht="13.8" hidden="true" customHeight="false" outlineLevel="0" collapsed="false">
      <c r="A7861" s="0" t="s">
        <v>968</v>
      </c>
      <c r="B7861" s="0" t="n">
        <v>31</v>
      </c>
      <c r="C7861" s="0" t="n">
        <v>1.4</v>
      </c>
      <c r="D7861" s="0" t="n">
        <v>0</v>
      </c>
    </row>
    <row r="7862" customFormat="false" ht="13.8" hidden="true" customHeight="false" outlineLevel="0" collapsed="false">
      <c r="A7862" s="0" t="s">
        <v>968</v>
      </c>
      <c r="B7862" s="0" t="n">
        <v>31</v>
      </c>
      <c r="C7862" s="0" t="n">
        <v>1.45</v>
      </c>
      <c r="D7862" s="0" t="n">
        <v>0</v>
      </c>
    </row>
    <row r="7863" customFormat="false" ht="13.8" hidden="true" customHeight="false" outlineLevel="0" collapsed="false">
      <c r="A7863" s="0" t="s">
        <v>968</v>
      </c>
      <c r="B7863" s="0" t="n">
        <v>31</v>
      </c>
      <c r="C7863" s="0" t="n">
        <v>1.5</v>
      </c>
      <c r="D7863" s="0" t="n">
        <v>0</v>
      </c>
    </row>
    <row r="7864" customFormat="false" ht="13.8" hidden="true" customHeight="false" outlineLevel="0" collapsed="false">
      <c r="A7864" s="0" t="s">
        <v>968</v>
      </c>
      <c r="B7864" s="0" t="n">
        <v>31</v>
      </c>
      <c r="C7864" s="0" t="n">
        <v>1.55</v>
      </c>
      <c r="D7864" s="0" t="n">
        <v>0</v>
      </c>
    </row>
    <row r="7865" customFormat="false" ht="13.8" hidden="true" customHeight="false" outlineLevel="0" collapsed="false">
      <c r="A7865" s="0" t="s">
        <v>968</v>
      </c>
      <c r="B7865" s="0" t="n">
        <v>31</v>
      </c>
      <c r="C7865" s="0" t="n">
        <v>1.6</v>
      </c>
      <c r="D7865" s="0" t="n">
        <v>0</v>
      </c>
    </row>
    <row r="7866" customFormat="false" ht="13.8" hidden="true" customHeight="false" outlineLevel="0" collapsed="false">
      <c r="A7866" s="0" t="s">
        <v>968</v>
      </c>
      <c r="B7866" s="0" t="n">
        <v>31</v>
      </c>
      <c r="C7866" s="0" t="n">
        <v>1.65</v>
      </c>
      <c r="D7866" s="0" t="n">
        <v>0</v>
      </c>
    </row>
    <row r="7867" customFormat="false" ht="13.8" hidden="true" customHeight="false" outlineLevel="0" collapsed="false">
      <c r="A7867" s="0" t="s">
        <v>968</v>
      </c>
      <c r="B7867" s="0" t="n">
        <v>31</v>
      </c>
      <c r="C7867" s="0" t="n">
        <v>1.7</v>
      </c>
      <c r="D7867" s="0" t="n">
        <v>0</v>
      </c>
    </row>
    <row r="7868" customFormat="false" ht="13.8" hidden="true" customHeight="false" outlineLevel="0" collapsed="false">
      <c r="A7868" s="0" t="s">
        <v>968</v>
      </c>
      <c r="B7868" s="0" t="n">
        <v>31</v>
      </c>
      <c r="C7868" s="0" t="n">
        <v>1.75</v>
      </c>
      <c r="D7868" s="0" t="n">
        <v>0</v>
      </c>
    </row>
    <row r="7869" customFormat="false" ht="13.8" hidden="true" customHeight="false" outlineLevel="0" collapsed="false">
      <c r="A7869" s="0" t="s">
        <v>968</v>
      </c>
      <c r="B7869" s="0" t="n">
        <v>31</v>
      </c>
      <c r="C7869" s="0" t="n">
        <v>1.8</v>
      </c>
      <c r="D7869" s="0" t="n">
        <v>0.2</v>
      </c>
    </row>
    <row r="7870" customFormat="false" ht="13.8" hidden="true" customHeight="false" outlineLevel="0" collapsed="false">
      <c r="A7870" s="0" t="s">
        <v>968</v>
      </c>
      <c r="B7870" s="0" t="n">
        <v>31</v>
      </c>
      <c r="C7870" s="0" t="n">
        <v>1.85</v>
      </c>
      <c r="D7870" s="0" t="n">
        <v>0.206</v>
      </c>
    </row>
    <row r="7871" customFormat="false" ht="13.8" hidden="true" customHeight="false" outlineLevel="0" collapsed="false">
      <c r="A7871" s="0" t="s">
        <v>968</v>
      </c>
      <c r="B7871" s="0" t="n">
        <v>31</v>
      </c>
      <c r="C7871" s="0" t="n">
        <v>1.9</v>
      </c>
      <c r="D7871" s="0" t="n">
        <v>0.211</v>
      </c>
    </row>
    <row r="7872" customFormat="false" ht="13.8" hidden="true" customHeight="false" outlineLevel="0" collapsed="false">
      <c r="A7872" s="0" t="s">
        <v>968</v>
      </c>
      <c r="B7872" s="0" t="n">
        <v>31</v>
      </c>
      <c r="C7872" s="0" t="n">
        <v>1.95</v>
      </c>
      <c r="D7872" s="0" t="n">
        <v>0.217</v>
      </c>
    </row>
    <row r="7873" customFormat="false" ht="13.8" hidden="true" customHeight="false" outlineLevel="0" collapsed="false">
      <c r="A7873" s="0" t="s">
        <v>968</v>
      </c>
      <c r="B7873" s="0" t="n">
        <v>31</v>
      </c>
      <c r="C7873" s="0" t="n">
        <v>2</v>
      </c>
      <c r="D7873" s="0" t="n">
        <v>0.231</v>
      </c>
    </row>
    <row r="7874" customFormat="false" ht="13.8" hidden="true" customHeight="false" outlineLevel="0" collapsed="false">
      <c r="A7874" s="0" t="s">
        <v>968</v>
      </c>
      <c r="B7874" s="0" t="n">
        <v>31</v>
      </c>
      <c r="C7874" s="0" t="n">
        <v>2.05</v>
      </c>
      <c r="D7874" s="0" t="n">
        <v>0.237</v>
      </c>
    </row>
    <row r="7875" customFormat="false" ht="13.8" hidden="true" customHeight="false" outlineLevel="0" collapsed="false">
      <c r="A7875" s="0" t="s">
        <v>968</v>
      </c>
      <c r="B7875" s="0" t="n">
        <v>31</v>
      </c>
      <c r="C7875" s="0" t="n">
        <v>2.1</v>
      </c>
      <c r="D7875" s="0" t="n">
        <v>0.243</v>
      </c>
    </row>
    <row r="7876" customFormat="false" ht="13.8" hidden="true" customHeight="false" outlineLevel="0" collapsed="false">
      <c r="A7876" s="0" t="s">
        <v>968</v>
      </c>
      <c r="B7876" s="0" t="n">
        <v>31</v>
      </c>
      <c r="C7876" s="0" t="n">
        <v>2.15</v>
      </c>
      <c r="D7876" s="0" t="n">
        <v>0.248416097</v>
      </c>
    </row>
    <row r="7877" customFormat="false" ht="13.8" hidden="true" customHeight="false" outlineLevel="0" collapsed="false">
      <c r="A7877" s="0" t="s">
        <v>968</v>
      </c>
      <c r="B7877" s="0" t="n">
        <v>31</v>
      </c>
      <c r="C7877" s="0" t="n">
        <v>2.2</v>
      </c>
      <c r="D7877" s="0" t="n">
        <v>0.254193216</v>
      </c>
    </row>
    <row r="7878" customFormat="false" ht="13.8" hidden="true" customHeight="false" outlineLevel="0" collapsed="false">
      <c r="A7878" s="0" t="s">
        <v>968</v>
      </c>
      <c r="B7878" s="0" t="n">
        <v>31</v>
      </c>
      <c r="C7878" s="0" t="n">
        <v>2.25</v>
      </c>
      <c r="D7878" s="0" t="n">
        <v>0.259970334</v>
      </c>
    </row>
    <row r="7879" customFormat="false" ht="13.8" hidden="true" customHeight="false" outlineLevel="0" collapsed="false">
      <c r="A7879" s="0" t="s">
        <v>968</v>
      </c>
      <c r="B7879" s="0" t="n">
        <v>31</v>
      </c>
      <c r="C7879" s="0" t="n">
        <v>2.3</v>
      </c>
      <c r="D7879" s="0" t="n">
        <v>0</v>
      </c>
    </row>
    <row r="7880" customFormat="false" ht="13.8" hidden="true" customHeight="false" outlineLevel="0" collapsed="false">
      <c r="A7880" s="0" t="s">
        <v>968</v>
      </c>
      <c r="B7880" s="0" t="n">
        <v>31</v>
      </c>
      <c r="C7880" s="0" t="n">
        <v>2.35</v>
      </c>
      <c r="D7880" s="0" t="n">
        <v>0</v>
      </c>
    </row>
    <row r="7881" customFormat="false" ht="13.8" hidden="true" customHeight="false" outlineLevel="0" collapsed="false">
      <c r="A7881" s="0" t="s">
        <v>968</v>
      </c>
      <c r="B7881" s="0" t="n">
        <v>31</v>
      </c>
      <c r="C7881" s="0" t="n">
        <v>2.4</v>
      </c>
      <c r="D7881" s="0" t="n">
        <v>0</v>
      </c>
    </row>
    <row r="7882" customFormat="false" ht="13.8" hidden="true" customHeight="false" outlineLevel="0" collapsed="false">
      <c r="A7882" s="0" t="s">
        <v>968</v>
      </c>
      <c r="B7882" s="0" t="n">
        <v>31</v>
      </c>
      <c r="C7882" s="0" t="n">
        <v>2.45</v>
      </c>
      <c r="D7882" s="0" t="n">
        <v>0</v>
      </c>
    </row>
    <row r="7883" customFormat="false" ht="13.8" hidden="true" customHeight="false" outlineLevel="0" collapsed="false">
      <c r="A7883" s="0" t="s">
        <v>968</v>
      </c>
      <c r="B7883" s="0" t="n">
        <v>31</v>
      </c>
      <c r="C7883" s="0" t="n">
        <v>2.5</v>
      </c>
      <c r="D7883" s="0" t="n">
        <v>0</v>
      </c>
    </row>
    <row r="7884" customFormat="false" ht="13.8" hidden="true" customHeight="false" outlineLevel="0" collapsed="false">
      <c r="A7884" s="0" t="s">
        <v>968</v>
      </c>
      <c r="B7884" s="0" t="n">
        <v>31</v>
      </c>
      <c r="C7884" s="0" t="n">
        <v>2.55</v>
      </c>
      <c r="D7884" s="0" t="n">
        <v>0</v>
      </c>
    </row>
    <row r="7885" customFormat="false" ht="13.8" hidden="true" customHeight="false" outlineLevel="0" collapsed="false">
      <c r="A7885" s="0" t="s">
        <v>968</v>
      </c>
      <c r="B7885" s="0" t="n">
        <v>31</v>
      </c>
      <c r="C7885" s="0" t="n">
        <v>2.6</v>
      </c>
      <c r="D7885" s="0" t="n">
        <v>0</v>
      </c>
    </row>
    <row r="7886" customFormat="false" ht="13.8" hidden="true" customHeight="false" outlineLevel="0" collapsed="false">
      <c r="A7886" s="0" t="s">
        <v>256</v>
      </c>
      <c r="B7886" s="0" t="n">
        <v>26</v>
      </c>
      <c r="C7886" s="0" t="n">
        <v>1.3</v>
      </c>
      <c r="D7886" s="0" t="n">
        <v>0</v>
      </c>
    </row>
    <row r="7887" customFormat="false" ht="13.8" hidden="true" customHeight="false" outlineLevel="0" collapsed="false">
      <c r="A7887" s="0" t="s">
        <v>256</v>
      </c>
      <c r="B7887" s="0" t="n">
        <v>26</v>
      </c>
      <c r="C7887" s="0" t="n">
        <v>1.35</v>
      </c>
      <c r="D7887" s="0" t="n">
        <v>0</v>
      </c>
    </row>
    <row r="7888" customFormat="false" ht="13.8" hidden="true" customHeight="false" outlineLevel="0" collapsed="false">
      <c r="A7888" s="0" t="s">
        <v>256</v>
      </c>
      <c r="B7888" s="0" t="n">
        <v>26</v>
      </c>
      <c r="C7888" s="0" t="n">
        <v>1.4</v>
      </c>
      <c r="D7888" s="0" t="n">
        <v>0</v>
      </c>
    </row>
    <row r="7889" customFormat="false" ht="13.8" hidden="true" customHeight="false" outlineLevel="0" collapsed="false">
      <c r="A7889" s="0" t="s">
        <v>256</v>
      </c>
      <c r="B7889" s="0" t="n">
        <v>26</v>
      </c>
      <c r="C7889" s="0" t="n">
        <v>1.45</v>
      </c>
      <c r="D7889" s="0" t="n">
        <v>0</v>
      </c>
    </row>
    <row r="7890" customFormat="false" ht="13.8" hidden="true" customHeight="false" outlineLevel="0" collapsed="false">
      <c r="A7890" s="0" t="s">
        <v>256</v>
      </c>
      <c r="B7890" s="0" t="n">
        <v>26</v>
      </c>
      <c r="C7890" s="0" t="n">
        <v>1.5</v>
      </c>
      <c r="D7890" s="0" t="n">
        <v>0</v>
      </c>
    </row>
    <row r="7891" customFormat="false" ht="13.8" hidden="true" customHeight="false" outlineLevel="0" collapsed="false">
      <c r="A7891" s="0" t="s">
        <v>256</v>
      </c>
      <c r="B7891" s="0" t="n">
        <v>26</v>
      </c>
      <c r="C7891" s="0" t="n">
        <v>1.55</v>
      </c>
      <c r="D7891" s="0" t="n">
        <v>0</v>
      </c>
    </row>
    <row r="7892" customFormat="false" ht="13.8" hidden="true" customHeight="false" outlineLevel="0" collapsed="false">
      <c r="A7892" s="0" t="s">
        <v>256</v>
      </c>
      <c r="B7892" s="0" t="n">
        <v>26</v>
      </c>
      <c r="C7892" s="0" t="n">
        <v>1.6</v>
      </c>
      <c r="D7892" s="0" t="n">
        <v>0</v>
      </c>
    </row>
    <row r="7893" customFormat="false" ht="13.8" hidden="true" customHeight="false" outlineLevel="0" collapsed="false">
      <c r="A7893" s="0" t="s">
        <v>256</v>
      </c>
      <c r="B7893" s="0" t="n">
        <v>26</v>
      </c>
      <c r="C7893" s="0" t="n">
        <v>1.65</v>
      </c>
      <c r="D7893" s="0" t="n">
        <v>0</v>
      </c>
    </row>
    <row r="7894" customFormat="false" ht="13.8" hidden="true" customHeight="false" outlineLevel="0" collapsed="false">
      <c r="A7894" s="0" t="s">
        <v>256</v>
      </c>
      <c r="B7894" s="0" t="n">
        <v>26</v>
      </c>
      <c r="C7894" s="0" t="n">
        <v>1.7</v>
      </c>
      <c r="D7894" s="0" t="n">
        <v>0</v>
      </c>
    </row>
    <row r="7895" customFormat="false" ht="13.8" hidden="true" customHeight="false" outlineLevel="0" collapsed="false">
      <c r="A7895" s="0" t="s">
        <v>256</v>
      </c>
      <c r="B7895" s="0" t="n">
        <v>26</v>
      </c>
      <c r="C7895" s="0" t="n">
        <v>1.75</v>
      </c>
      <c r="D7895" s="0" t="n">
        <v>0</v>
      </c>
    </row>
    <row r="7896" customFormat="false" ht="13.8" hidden="true" customHeight="false" outlineLevel="0" collapsed="false">
      <c r="A7896" s="0" t="s">
        <v>256</v>
      </c>
      <c r="B7896" s="0" t="n">
        <v>26</v>
      </c>
      <c r="C7896" s="0" t="n">
        <v>1.8</v>
      </c>
      <c r="D7896" s="0" t="n">
        <v>0.2</v>
      </c>
    </row>
    <row r="7897" customFormat="false" ht="13.8" hidden="true" customHeight="false" outlineLevel="0" collapsed="false">
      <c r="A7897" s="0" t="s">
        <v>256</v>
      </c>
      <c r="B7897" s="0" t="n">
        <v>26</v>
      </c>
      <c r="C7897" s="0" t="n">
        <v>1.85</v>
      </c>
      <c r="D7897" s="0" t="n">
        <v>0.206</v>
      </c>
    </row>
    <row r="7898" customFormat="false" ht="13.8" hidden="true" customHeight="false" outlineLevel="0" collapsed="false">
      <c r="A7898" s="0" t="s">
        <v>256</v>
      </c>
      <c r="B7898" s="0" t="n">
        <v>26</v>
      </c>
      <c r="C7898" s="0" t="n">
        <v>1.9</v>
      </c>
      <c r="D7898" s="0" t="n">
        <v>0.211</v>
      </c>
    </row>
    <row r="7899" customFormat="false" ht="13.8" hidden="true" customHeight="false" outlineLevel="0" collapsed="false">
      <c r="A7899" s="0" t="s">
        <v>256</v>
      </c>
      <c r="B7899" s="0" t="n">
        <v>26</v>
      </c>
      <c r="C7899" s="0" t="n">
        <v>1.95</v>
      </c>
      <c r="D7899" s="0" t="n">
        <v>0.217</v>
      </c>
    </row>
    <row r="7900" customFormat="false" ht="13.8" hidden="true" customHeight="false" outlineLevel="0" collapsed="false">
      <c r="A7900" s="0" t="s">
        <v>256</v>
      </c>
      <c r="B7900" s="0" t="n">
        <v>26</v>
      </c>
      <c r="C7900" s="0" t="n">
        <v>2</v>
      </c>
      <c r="D7900" s="0" t="n">
        <v>0.231</v>
      </c>
    </row>
    <row r="7901" customFormat="false" ht="13.8" hidden="true" customHeight="false" outlineLevel="0" collapsed="false">
      <c r="A7901" s="0" t="s">
        <v>256</v>
      </c>
      <c r="B7901" s="0" t="n">
        <v>26</v>
      </c>
      <c r="C7901" s="0" t="n">
        <v>2.05</v>
      </c>
      <c r="D7901" s="0" t="n">
        <v>0.237</v>
      </c>
    </row>
    <row r="7902" customFormat="false" ht="13.8" hidden="true" customHeight="false" outlineLevel="0" collapsed="false">
      <c r="A7902" s="0" t="s">
        <v>256</v>
      </c>
      <c r="B7902" s="0" t="n">
        <v>26</v>
      </c>
      <c r="C7902" s="0" t="n">
        <v>2.1</v>
      </c>
      <c r="D7902" s="0" t="n">
        <v>0.243</v>
      </c>
    </row>
    <row r="7903" customFormat="false" ht="13.8" hidden="true" customHeight="false" outlineLevel="0" collapsed="false">
      <c r="A7903" s="0" t="s">
        <v>256</v>
      </c>
      <c r="B7903" s="0" t="n">
        <v>26</v>
      </c>
      <c r="C7903" s="0" t="n">
        <v>2.15</v>
      </c>
      <c r="D7903" s="0" t="n">
        <v>0.248416097</v>
      </c>
    </row>
    <row r="7904" customFormat="false" ht="13.8" hidden="true" customHeight="false" outlineLevel="0" collapsed="false">
      <c r="A7904" s="0" t="s">
        <v>256</v>
      </c>
      <c r="B7904" s="0" t="n">
        <v>26</v>
      </c>
      <c r="C7904" s="0" t="n">
        <v>2.2</v>
      </c>
      <c r="D7904" s="0" t="n">
        <v>0.254193216</v>
      </c>
    </row>
    <row r="7905" customFormat="false" ht="13.8" hidden="true" customHeight="false" outlineLevel="0" collapsed="false">
      <c r="A7905" s="0" t="s">
        <v>256</v>
      </c>
      <c r="B7905" s="0" t="n">
        <v>26</v>
      </c>
      <c r="C7905" s="0" t="n">
        <v>2.25</v>
      </c>
      <c r="D7905" s="0" t="n">
        <v>0.259970334</v>
      </c>
    </row>
    <row r="7906" customFormat="false" ht="13.8" hidden="true" customHeight="false" outlineLevel="0" collapsed="false">
      <c r="A7906" s="0" t="s">
        <v>256</v>
      </c>
      <c r="B7906" s="0" t="n">
        <v>26</v>
      </c>
      <c r="C7906" s="0" t="n">
        <v>2.3</v>
      </c>
      <c r="D7906" s="0" t="n">
        <v>0</v>
      </c>
    </row>
    <row r="7907" customFormat="false" ht="13.8" hidden="true" customHeight="false" outlineLevel="0" collapsed="false">
      <c r="A7907" s="0" t="s">
        <v>256</v>
      </c>
      <c r="B7907" s="0" t="n">
        <v>26</v>
      </c>
      <c r="C7907" s="0" t="n">
        <v>2.35</v>
      </c>
      <c r="D7907" s="0" t="n">
        <v>0</v>
      </c>
    </row>
    <row r="7908" customFormat="false" ht="13.8" hidden="true" customHeight="false" outlineLevel="0" collapsed="false">
      <c r="A7908" s="0" t="s">
        <v>256</v>
      </c>
      <c r="B7908" s="0" t="n">
        <v>26</v>
      </c>
      <c r="C7908" s="0" t="n">
        <v>2.4</v>
      </c>
      <c r="D7908" s="0" t="n">
        <v>0</v>
      </c>
    </row>
    <row r="7909" customFormat="false" ht="13.8" hidden="true" customHeight="false" outlineLevel="0" collapsed="false">
      <c r="A7909" s="0" t="s">
        <v>256</v>
      </c>
      <c r="B7909" s="0" t="n">
        <v>26</v>
      </c>
      <c r="C7909" s="0" t="n">
        <v>2.45</v>
      </c>
      <c r="D7909" s="0" t="n">
        <v>0</v>
      </c>
    </row>
    <row r="7910" customFormat="false" ht="13.8" hidden="true" customHeight="false" outlineLevel="0" collapsed="false">
      <c r="A7910" s="0" t="s">
        <v>256</v>
      </c>
      <c r="B7910" s="0" t="n">
        <v>26</v>
      </c>
      <c r="C7910" s="0" t="n">
        <v>2.5</v>
      </c>
      <c r="D7910" s="0" t="n">
        <v>0</v>
      </c>
    </row>
    <row r="7911" customFormat="false" ht="13.8" hidden="true" customHeight="false" outlineLevel="0" collapsed="false">
      <c r="A7911" s="0" t="s">
        <v>256</v>
      </c>
      <c r="B7911" s="0" t="n">
        <v>26</v>
      </c>
      <c r="C7911" s="0" t="n">
        <v>2.55</v>
      </c>
      <c r="D7911" s="0" t="n">
        <v>0</v>
      </c>
    </row>
    <row r="7912" customFormat="false" ht="13.8" hidden="true" customHeight="false" outlineLevel="0" collapsed="false">
      <c r="A7912" s="0" t="s">
        <v>256</v>
      </c>
      <c r="B7912" s="0" t="n">
        <v>26</v>
      </c>
      <c r="C7912" s="0" t="n">
        <v>2.6</v>
      </c>
      <c r="D7912" s="0" t="n">
        <v>0</v>
      </c>
    </row>
    <row r="7913" customFormat="false" ht="13.8" hidden="true" customHeight="false" outlineLevel="0" collapsed="false">
      <c r="A7913" s="0" t="s">
        <v>256</v>
      </c>
      <c r="B7913" s="0" t="n">
        <v>30</v>
      </c>
      <c r="C7913" s="0" t="n">
        <v>1.3</v>
      </c>
      <c r="D7913" s="0" t="n">
        <v>0</v>
      </c>
    </row>
    <row r="7914" customFormat="false" ht="13.8" hidden="true" customHeight="false" outlineLevel="0" collapsed="false">
      <c r="A7914" s="0" t="s">
        <v>256</v>
      </c>
      <c r="B7914" s="0" t="n">
        <v>30</v>
      </c>
      <c r="C7914" s="0" t="n">
        <v>1.35</v>
      </c>
      <c r="D7914" s="0" t="n">
        <v>0</v>
      </c>
    </row>
    <row r="7915" customFormat="false" ht="13.8" hidden="true" customHeight="false" outlineLevel="0" collapsed="false">
      <c r="A7915" s="0" t="s">
        <v>256</v>
      </c>
      <c r="B7915" s="0" t="n">
        <v>30</v>
      </c>
      <c r="C7915" s="0" t="n">
        <v>1.4</v>
      </c>
      <c r="D7915" s="0" t="n">
        <v>0</v>
      </c>
    </row>
    <row r="7916" customFormat="false" ht="13.8" hidden="true" customHeight="false" outlineLevel="0" collapsed="false">
      <c r="A7916" s="0" t="s">
        <v>256</v>
      </c>
      <c r="B7916" s="0" t="n">
        <v>30</v>
      </c>
      <c r="C7916" s="0" t="n">
        <v>1.45</v>
      </c>
      <c r="D7916" s="0" t="n">
        <v>0</v>
      </c>
    </row>
    <row r="7917" customFormat="false" ht="13.8" hidden="true" customHeight="false" outlineLevel="0" collapsed="false">
      <c r="A7917" s="0" t="s">
        <v>256</v>
      </c>
      <c r="B7917" s="0" t="n">
        <v>30</v>
      </c>
      <c r="C7917" s="0" t="n">
        <v>1.5</v>
      </c>
      <c r="D7917" s="0" t="n">
        <v>0</v>
      </c>
    </row>
    <row r="7918" customFormat="false" ht="13.8" hidden="true" customHeight="false" outlineLevel="0" collapsed="false">
      <c r="A7918" s="0" t="s">
        <v>256</v>
      </c>
      <c r="B7918" s="0" t="n">
        <v>30</v>
      </c>
      <c r="C7918" s="0" t="n">
        <v>1.55</v>
      </c>
      <c r="D7918" s="0" t="n">
        <v>0</v>
      </c>
    </row>
    <row r="7919" customFormat="false" ht="13.8" hidden="true" customHeight="false" outlineLevel="0" collapsed="false">
      <c r="A7919" s="0" t="s">
        <v>256</v>
      </c>
      <c r="B7919" s="0" t="n">
        <v>30</v>
      </c>
      <c r="C7919" s="0" t="n">
        <v>1.6</v>
      </c>
      <c r="D7919" s="0" t="n">
        <v>0</v>
      </c>
    </row>
    <row r="7920" customFormat="false" ht="13.8" hidden="true" customHeight="false" outlineLevel="0" collapsed="false">
      <c r="A7920" s="0" t="s">
        <v>256</v>
      </c>
      <c r="B7920" s="0" t="n">
        <v>30</v>
      </c>
      <c r="C7920" s="0" t="n">
        <v>1.65</v>
      </c>
      <c r="D7920" s="0" t="n">
        <v>0</v>
      </c>
    </row>
    <row r="7921" customFormat="false" ht="13.8" hidden="true" customHeight="false" outlineLevel="0" collapsed="false">
      <c r="A7921" s="0" t="s">
        <v>256</v>
      </c>
      <c r="B7921" s="0" t="n">
        <v>30</v>
      </c>
      <c r="C7921" s="0" t="n">
        <v>1.7</v>
      </c>
      <c r="D7921" s="0" t="n">
        <v>0</v>
      </c>
    </row>
    <row r="7922" customFormat="false" ht="13.8" hidden="true" customHeight="false" outlineLevel="0" collapsed="false">
      <c r="A7922" s="0" t="s">
        <v>256</v>
      </c>
      <c r="B7922" s="0" t="n">
        <v>30</v>
      </c>
      <c r="C7922" s="0" t="n">
        <v>1.75</v>
      </c>
      <c r="D7922" s="0" t="n">
        <v>0</v>
      </c>
    </row>
    <row r="7923" customFormat="false" ht="13.8" hidden="true" customHeight="false" outlineLevel="0" collapsed="false">
      <c r="A7923" s="0" t="s">
        <v>256</v>
      </c>
      <c r="B7923" s="0" t="n">
        <v>30</v>
      </c>
      <c r="C7923" s="0" t="n">
        <v>1.8</v>
      </c>
      <c r="D7923" s="0" t="n">
        <v>0.2</v>
      </c>
    </row>
    <row r="7924" customFormat="false" ht="13.8" hidden="true" customHeight="false" outlineLevel="0" collapsed="false">
      <c r="A7924" s="0" t="s">
        <v>256</v>
      </c>
      <c r="B7924" s="0" t="n">
        <v>30</v>
      </c>
      <c r="C7924" s="0" t="n">
        <v>1.85</v>
      </c>
      <c r="D7924" s="0" t="n">
        <v>0.206</v>
      </c>
    </row>
    <row r="7925" customFormat="false" ht="13.8" hidden="true" customHeight="false" outlineLevel="0" collapsed="false">
      <c r="A7925" s="0" t="s">
        <v>256</v>
      </c>
      <c r="B7925" s="0" t="n">
        <v>30</v>
      </c>
      <c r="C7925" s="0" t="n">
        <v>1.9</v>
      </c>
      <c r="D7925" s="0" t="n">
        <v>0.211</v>
      </c>
    </row>
    <row r="7926" customFormat="false" ht="13.8" hidden="true" customHeight="false" outlineLevel="0" collapsed="false">
      <c r="A7926" s="0" t="s">
        <v>256</v>
      </c>
      <c r="B7926" s="0" t="n">
        <v>30</v>
      </c>
      <c r="C7926" s="0" t="n">
        <v>1.95</v>
      </c>
      <c r="D7926" s="0" t="n">
        <v>0.217</v>
      </c>
    </row>
    <row r="7927" customFormat="false" ht="13.8" hidden="true" customHeight="false" outlineLevel="0" collapsed="false">
      <c r="A7927" s="0" t="s">
        <v>256</v>
      </c>
      <c r="B7927" s="0" t="n">
        <v>30</v>
      </c>
      <c r="C7927" s="0" t="n">
        <v>2</v>
      </c>
      <c r="D7927" s="0" t="n">
        <v>0.231</v>
      </c>
    </row>
    <row r="7928" customFormat="false" ht="13.8" hidden="true" customHeight="false" outlineLevel="0" collapsed="false">
      <c r="A7928" s="0" t="s">
        <v>256</v>
      </c>
      <c r="B7928" s="0" t="n">
        <v>30</v>
      </c>
      <c r="C7928" s="0" t="n">
        <v>2.05</v>
      </c>
      <c r="D7928" s="0" t="n">
        <v>0.237</v>
      </c>
    </row>
    <row r="7929" customFormat="false" ht="13.8" hidden="true" customHeight="false" outlineLevel="0" collapsed="false">
      <c r="A7929" s="0" t="s">
        <v>256</v>
      </c>
      <c r="B7929" s="0" t="n">
        <v>30</v>
      </c>
      <c r="C7929" s="0" t="n">
        <v>2.1</v>
      </c>
      <c r="D7929" s="0" t="n">
        <v>0.243</v>
      </c>
    </row>
    <row r="7930" customFormat="false" ht="13.8" hidden="true" customHeight="false" outlineLevel="0" collapsed="false">
      <c r="A7930" s="0" t="s">
        <v>256</v>
      </c>
      <c r="B7930" s="0" t="n">
        <v>30</v>
      </c>
      <c r="C7930" s="0" t="n">
        <v>2.15</v>
      </c>
      <c r="D7930" s="0" t="n">
        <v>0.248416097</v>
      </c>
    </row>
    <row r="7931" customFormat="false" ht="13.8" hidden="true" customHeight="false" outlineLevel="0" collapsed="false">
      <c r="A7931" s="0" t="s">
        <v>256</v>
      </c>
      <c r="B7931" s="0" t="n">
        <v>30</v>
      </c>
      <c r="C7931" s="0" t="n">
        <v>2.2</v>
      </c>
      <c r="D7931" s="0" t="n">
        <v>0.254193216</v>
      </c>
    </row>
    <row r="7932" customFormat="false" ht="13.8" hidden="true" customHeight="false" outlineLevel="0" collapsed="false">
      <c r="A7932" s="0" t="s">
        <v>256</v>
      </c>
      <c r="B7932" s="0" t="n">
        <v>30</v>
      </c>
      <c r="C7932" s="0" t="n">
        <v>2.25</v>
      </c>
      <c r="D7932" s="0" t="n">
        <v>0.259970334</v>
      </c>
    </row>
    <row r="7933" customFormat="false" ht="13.8" hidden="true" customHeight="false" outlineLevel="0" collapsed="false">
      <c r="A7933" s="0" t="s">
        <v>256</v>
      </c>
      <c r="B7933" s="0" t="n">
        <v>30</v>
      </c>
      <c r="C7933" s="0" t="n">
        <v>2.3</v>
      </c>
      <c r="D7933" s="0" t="n">
        <v>0</v>
      </c>
    </row>
    <row r="7934" customFormat="false" ht="13.8" hidden="true" customHeight="false" outlineLevel="0" collapsed="false">
      <c r="A7934" s="0" t="s">
        <v>256</v>
      </c>
      <c r="B7934" s="0" t="n">
        <v>30</v>
      </c>
      <c r="C7934" s="0" t="n">
        <v>2.35</v>
      </c>
      <c r="D7934" s="0" t="n">
        <v>0</v>
      </c>
    </row>
    <row r="7935" customFormat="false" ht="13.8" hidden="true" customHeight="false" outlineLevel="0" collapsed="false">
      <c r="A7935" s="0" t="s">
        <v>256</v>
      </c>
      <c r="B7935" s="0" t="n">
        <v>30</v>
      </c>
      <c r="C7935" s="0" t="n">
        <v>2.4</v>
      </c>
      <c r="D7935" s="0" t="n">
        <v>0</v>
      </c>
    </row>
    <row r="7936" customFormat="false" ht="13.8" hidden="true" customHeight="false" outlineLevel="0" collapsed="false">
      <c r="A7936" s="0" t="s">
        <v>256</v>
      </c>
      <c r="B7936" s="0" t="n">
        <v>30</v>
      </c>
      <c r="C7936" s="0" t="n">
        <v>2.45</v>
      </c>
      <c r="D7936" s="0" t="n">
        <v>0</v>
      </c>
    </row>
    <row r="7937" customFormat="false" ht="13.8" hidden="true" customHeight="false" outlineLevel="0" collapsed="false">
      <c r="A7937" s="0" t="s">
        <v>256</v>
      </c>
      <c r="B7937" s="0" t="n">
        <v>30</v>
      </c>
      <c r="C7937" s="0" t="n">
        <v>2.5</v>
      </c>
      <c r="D7937" s="0" t="n">
        <v>0</v>
      </c>
    </row>
    <row r="7938" customFormat="false" ht="13.8" hidden="true" customHeight="false" outlineLevel="0" collapsed="false">
      <c r="A7938" s="0" t="s">
        <v>256</v>
      </c>
      <c r="B7938" s="0" t="n">
        <v>30</v>
      </c>
      <c r="C7938" s="0" t="n">
        <v>2.55</v>
      </c>
      <c r="D7938" s="0" t="n">
        <v>0</v>
      </c>
    </row>
    <row r="7939" customFormat="false" ht="13.8" hidden="true" customHeight="false" outlineLevel="0" collapsed="false">
      <c r="A7939" s="0" t="s">
        <v>256</v>
      </c>
      <c r="B7939" s="0" t="n">
        <v>30</v>
      </c>
      <c r="C7939" s="0" t="n">
        <v>2.6</v>
      </c>
      <c r="D7939" s="0" t="n">
        <v>0</v>
      </c>
    </row>
    <row r="7940" customFormat="false" ht="13.8" hidden="true" customHeight="false" outlineLevel="0" collapsed="false">
      <c r="A7940" s="0" t="s">
        <v>256</v>
      </c>
      <c r="B7940" s="0" t="n">
        <v>31</v>
      </c>
      <c r="C7940" s="0" t="n">
        <v>1.3</v>
      </c>
      <c r="D7940" s="0" t="n">
        <v>0</v>
      </c>
    </row>
    <row r="7941" customFormat="false" ht="13.8" hidden="true" customHeight="false" outlineLevel="0" collapsed="false">
      <c r="A7941" s="0" t="s">
        <v>256</v>
      </c>
      <c r="B7941" s="0" t="n">
        <v>31</v>
      </c>
      <c r="C7941" s="0" t="n">
        <v>1.35</v>
      </c>
      <c r="D7941" s="0" t="n">
        <v>0</v>
      </c>
    </row>
    <row r="7942" customFormat="false" ht="13.8" hidden="true" customHeight="false" outlineLevel="0" collapsed="false">
      <c r="A7942" s="0" t="s">
        <v>256</v>
      </c>
      <c r="B7942" s="0" t="n">
        <v>31</v>
      </c>
      <c r="C7942" s="0" t="n">
        <v>1.4</v>
      </c>
      <c r="D7942" s="0" t="n">
        <v>0</v>
      </c>
    </row>
    <row r="7943" customFormat="false" ht="13.8" hidden="true" customHeight="false" outlineLevel="0" collapsed="false">
      <c r="A7943" s="0" t="s">
        <v>256</v>
      </c>
      <c r="B7943" s="0" t="n">
        <v>31</v>
      </c>
      <c r="C7943" s="0" t="n">
        <v>1.45</v>
      </c>
      <c r="D7943" s="0" t="n">
        <v>0</v>
      </c>
    </row>
    <row r="7944" customFormat="false" ht="13.8" hidden="true" customHeight="false" outlineLevel="0" collapsed="false">
      <c r="A7944" s="0" t="s">
        <v>256</v>
      </c>
      <c r="B7944" s="0" t="n">
        <v>31</v>
      </c>
      <c r="C7944" s="0" t="n">
        <v>1.5</v>
      </c>
      <c r="D7944" s="0" t="n">
        <v>0</v>
      </c>
    </row>
    <row r="7945" customFormat="false" ht="13.8" hidden="true" customHeight="false" outlineLevel="0" collapsed="false">
      <c r="A7945" s="0" t="s">
        <v>256</v>
      </c>
      <c r="B7945" s="0" t="n">
        <v>31</v>
      </c>
      <c r="C7945" s="0" t="n">
        <v>1.55</v>
      </c>
      <c r="D7945" s="0" t="n">
        <v>0</v>
      </c>
    </row>
    <row r="7946" customFormat="false" ht="13.8" hidden="true" customHeight="false" outlineLevel="0" collapsed="false">
      <c r="A7946" s="0" t="s">
        <v>256</v>
      </c>
      <c r="B7946" s="0" t="n">
        <v>31</v>
      </c>
      <c r="C7946" s="0" t="n">
        <v>1.6</v>
      </c>
      <c r="D7946" s="0" t="n">
        <v>0</v>
      </c>
    </row>
    <row r="7947" customFormat="false" ht="13.8" hidden="true" customHeight="false" outlineLevel="0" collapsed="false">
      <c r="A7947" s="0" t="s">
        <v>256</v>
      </c>
      <c r="B7947" s="0" t="n">
        <v>31</v>
      </c>
      <c r="C7947" s="0" t="n">
        <v>1.65</v>
      </c>
      <c r="D7947" s="0" t="n">
        <v>0</v>
      </c>
    </row>
    <row r="7948" customFormat="false" ht="13.8" hidden="true" customHeight="false" outlineLevel="0" collapsed="false">
      <c r="A7948" s="0" t="s">
        <v>256</v>
      </c>
      <c r="B7948" s="0" t="n">
        <v>31</v>
      </c>
      <c r="C7948" s="0" t="n">
        <v>1.7</v>
      </c>
      <c r="D7948" s="0" t="n">
        <v>0</v>
      </c>
    </row>
    <row r="7949" customFormat="false" ht="13.8" hidden="true" customHeight="false" outlineLevel="0" collapsed="false">
      <c r="A7949" s="0" t="s">
        <v>256</v>
      </c>
      <c r="B7949" s="0" t="n">
        <v>31</v>
      </c>
      <c r="C7949" s="0" t="n">
        <v>1.75</v>
      </c>
      <c r="D7949" s="0" t="n">
        <v>0</v>
      </c>
    </row>
    <row r="7950" customFormat="false" ht="13.8" hidden="true" customHeight="false" outlineLevel="0" collapsed="false">
      <c r="A7950" s="0" t="s">
        <v>256</v>
      </c>
      <c r="B7950" s="0" t="n">
        <v>31</v>
      </c>
      <c r="C7950" s="0" t="n">
        <v>1.8</v>
      </c>
      <c r="D7950" s="0" t="n">
        <v>0.2</v>
      </c>
    </row>
    <row r="7951" customFormat="false" ht="13.8" hidden="true" customHeight="false" outlineLevel="0" collapsed="false">
      <c r="A7951" s="0" t="s">
        <v>256</v>
      </c>
      <c r="B7951" s="0" t="n">
        <v>31</v>
      </c>
      <c r="C7951" s="0" t="n">
        <v>1.85</v>
      </c>
      <c r="D7951" s="0" t="n">
        <v>0.206</v>
      </c>
    </row>
    <row r="7952" customFormat="false" ht="13.8" hidden="true" customHeight="false" outlineLevel="0" collapsed="false">
      <c r="A7952" s="0" t="s">
        <v>256</v>
      </c>
      <c r="B7952" s="0" t="n">
        <v>31</v>
      </c>
      <c r="C7952" s="0" t="n">
        <v>1.9</v>
      </c>
      <c r="D7952" s="0" t="n">
        <v>0.211</v>
      </c>
    </row>
    <row r="7953" customFormat="false" ht="13.8" hidden="true" customHeight="false" outlineLevel="0" collapsed="false">
      <c r="A7953" s="0" t="s">
        <v>256</v>
      </c>
      <c r="B7953" s="0" t="n">
        <v>31</v>
      </c>
      <c r="C7953" s="0" t="n">
        <v>1.95</v>
      </c>
      <c r="D7953" s="0" t="n">
        <v>0.217</v>
      </c>
    </row>
    <row r="7954" customFormat="false" ht="13.8" hidden="true" customHeight="false" outlineLevel="0" collapsed="false">
      <c r="A7954" s="0" t="s">
        <v>256</v>
      </c>
      <c r="B7954" s="0" t="n">
        <v>31</v>
      </c>
      <c r="C7954" s="0" t="n">
        <v>2</v>
      </c>
      <c r="D7954" s="0" t="n">
        <v>0.231</v>
      </c>
    </row>
    <row r="7955" customFormat="false" ht="13.8" hidden="true" customHeight="false" outlineLevel="0" collapsed="false">
      <c r="A7955" s="0" t="s">
        <v>256</v>
      </c>
      <c r="B7955" s="0" t="n">
        <v>31</v>
      </c>
      <c r="C7955" s="0" t="n">
        <v>2.05</v>
      </c>
      <c r="D7955" s="0" t="n">
        <v>0.237</v>
      </c>
    </row>
    <row r="7956" customFormat="false" ht="13.8" hidden="true" customHeight="false" outlineLevel="0" collapsed="false">
      <c r="A7956" s="0" t="s">
        <v>256</v>
      </c>
      <c r="B7956" s="0" t="n">
        <v>31</v>
      </c>
      <c r="C7956" s="0" t="n">
        <v>2.1</v>
      </c>
      <c r="D7956" s="0" t="n">
        <v>0.243</v>
      </c>
    </row>
    <row r="7957" customFormat="false" ht="13.8" hidden="true" customHeight="false" outlineLevel="0" collapsed="false">
      <c r="A7957" s="0" t="s">
        <v>256</v>
      </c>
      <c r="B7957" s="0" t="n">
        <v>31</v>
      </c>
      <c r="C7957" s="0" t="n">
        <v>2.15</v>
      </c>
      <c r="D7957" s="0" t="n">
        <v>0.248416097</v>
      </c>
    </row>
    <row r="7958" customFormat="false" ht="13.8" hidden="true" customHeight="false" outlineLevel="0" collapsed="false">
      <c r="A7958" s="0" t="s">
        <v>256</v>
      </c>
      <c r="B7958" s="0" t="n">
        <v>31</v>
      </c>
      <c r="C7958" s="0" t="n">
        <v>2.2</v>
      </c>
      <c r="D7958" s="0" t="n">
        <v>0.254193216</v>
      </c>
    </row>
    <row r="7959" customFormat="false" ht="13.8" hidden="true" customHeight="false" outlineLevel="0" collapsed="false">
      <c r="A7959" s="0" t="s">
        <v>256</v>
      </c>
      <c r="B7959" s="0" t="n">
        <v>31</v>
      </c>
      <c r="C7959" s="0" t="n">
        <v>2.25</v>
      </c>
      <c r="D7959" s="0" t="n">
        <v>0.259970334</v>
      </c>
    </row>
    <row r="7960" customFormat="false" ht="13.8" hidden="true" customHeight="false" outlineLevel="0" collapsed="false">
      <c r="A7960" s="0" t="s">
        <v>256</v>
      </c>
      <c r="B7960" s="0" t="n">
        <v>31</v>
      </c>
      <c r="C7960" s="0" t="n">
        <v>2.3</v>
      </c>
      <c r="D7960" s="0" t="n">
        <v>0</v>
      </c>
    </row>
    <row r="7961" customFormat="false" ht="13.8" hidden="true" customHeight="false" outlineLevel="0" collapsed="false">
      <c r="A7961" s="0" t="s">
        <v>256</v>
      </c>
      <c r="B7961" s="0" t="n">
        <v>31</v>
      </c>
      <c r="C7961" s="0" t="n">
        <v>2.35</v>
      </c>
      <c r="D7961" s="0" t="n">
        <v>0</v>
      </c>
    </row>
    <row r="7962" customFormat="false" ht="13.8" hidden="true" customHeight="false" outlineLevel="0" collapsed="false">
      <c r="A7962" s="0" t="s">
        <v>256</v>
      </c>
      <c r="B7962" s="0" t="n">
        <v>31</v>
      </c>
      <c r="C7962" s="0" t="n">
        <v>2.4</v>
      </c>
      <c r="D7962" s="0" t="n">
        <v>0</v>
      </c>
    </row>
    <row r="7963" customFormat="false" ht="13.8" hidden="true" customHeight="false" outlineLevel="0" collapsed="false">
      <c r="A7963" s="0" t="s">
        <v>256</v>
      </c>
      <c r="B7963" s="0" t="n">
        <v>31</v>
      </c>
      <c r="C7963" s="0" t="n">
        <v>2.45</v>
      </c>
      <c r="D7963" s="0" t="n">
        <v>0</v>
      </c>
    </row>
    <row r="7964" customFormat="false" ht="13.8" hidden="true" customHeight="false" outlineLevel="0" collapsed="false">
      <c r="A7964" s="0" t="s">
        <v>256</v>
      </c>
      <c r="B7964" s="0" t="n">
        <v>31</v>
      </c>
      <c r="C7964" s="0" t="n">
        <v>2.5</v>
      </c>
      <c r="D7964" s="0" t="n">
        <v>0</v>
      </c>
    </row>
    <row r="7965" customFormat="false" ht="13.8" hidden="true" customHeight="false" outlineLevel="0" collapsed="false">
      <c r="A7965" s="0" t="s">
        <v>256</v>
      </c>
      <c r="B7965" s="0" t="n">
        <v>31</v>
      </c>
      <c r="C7965" s="0" t="n">
        <v>2.55</v>
      </c>
      <c r="D7965" s="0" t="n">
        <v>0</v>
      </c>
    </row>
    <row r="7966" customFormat="false" ht="13.8" hidden="true" customHeight="false" outlineLevel="0" collapsed="false">
      <c r="A7966" s="0" t="s">
        <v>256</v>
      </c>
      <c r="B7966" s="0" t="n">
        <v>31</v>
      </c>
      <c r="C7966" s="0" t="n">
        <v>2.6</v>
      </c>
      <c r="D7966" s="0" t="n">
        <v>0</v>
      </c>
    </row>
    <row r="7967" customFormat="false" ht="13.8" hidden="true" customHeight="false" outlineLevel="0" collapsed="false">
      <c r="A7967" s="0" t="s">
        <v>143</v>
      </c>
      <c r="B7967" s="0" t="n">
        <v>3</v>
      </c>
      <c r="C7967" s="0" t="n">
        <v>1.3</v>
      </c>
      <c r="D7967" s="0" t="n">
        <v>0</v>
      </c>
    </row>
    <row r="7968" customFormat="false" ht="13.8" hidden="true" customHeight="false" outlineLevel="0" collapsed="false">
      <c r="A7968" s="0" t="s">
        <v>143</v>
      </c>
      <c r="B7968" s="0" t="n">
        <v>3</v>
      </c>
      <c r="C7968" s="0" t="n">
        <v>1.35</v>
      </c>
      <c r="D7968" s="0" t="n">
        <v>0</v>
      </c>
    </row>
    <row r="7969" customFormat="false" ht="13.8" hidden="true" customHeight="false" outlineLevel="0" collapsed="false">
      <c r="A7969" s="0" t="s">
        <v>143</v>
      </c>
      <c r="B7969" s="0" t="n">
        <v>3</v>
      </c>
      <c r="C7969" s="0" t="n">
        <v>1.4</v>
      </c>
      <c r="D7969" s="0" t="n">
        <v>0.137</v>
      </c>
    </row>
    <row r="7970" customFormat="false" ht="13.8" hidden="true" customHeight="false" outlineLevel="0" collapsed="false">
      <c r="A7970" s="0" t="s">
        <v>143</v>
      </c>
      <c r="B7970" s="0" t="n">
        <v>3</v>
      </c>
      <c r="C7970" s="0" t="n">
        <v>1.45</v>
      </c>
      <c r="D7970" s="0" t="n">
        <v>0.141</v>
      </c>
    </row>
    <row r="7971" customFormat="false" ht="13.8" hidden="true" customHeight="false" outlineLevel="0" collapsed="false">
      <c r="A7971" s="0" t="s">
        <v>143</v>
      </c>
      <c r="B7971" s="0" t="n">
        <v>3</v>
      </c>
      <c r="C7971" s="0" t="n">
        <v>1.5</v>
      </c>
      <c r="D7971" s="0" t="n">
        <v>0.146</v>
      </c>
    </row>
    <row r="7972" customFormat="false" ht="13.8" hidden="true" customHeight="false" outlineLevel="0" collapsed="false">
      <c r="A7972" s="0" t="s">
        <v>143</v>
      </c>
      <c r="B7972" s="0" t="n">
        <v>3</v>
      </c>
      <c r="C7972" s="0" t="n">
        <v>1.55</v>
      </c>
      <c r="D7972" s="0" t="n">
        <v>0.151</v>
      </c>
    </row>
    <row r="7973" customFormat="false" ht="13.8" hidden="true" customHeight="false" outlineLevel="0" collapsed="false">
      <c r="A7973" s="0" t="s">
        <v>143</v>
      </c>
      <c r="B7973" s="0" t="n">
        <v>3</v>
      </c>
      <c r="C7973" s="0" t="n">
        <v>1.6</v>
      </c>
      <c r="D7973" s="0" t="n">
        <v>0.156</v>
      </c>
    </row>
    <row r="7974" customFormat="false" ht="13.8" hidden="true" customHeight="false" outlineLevel="0" collapsed="false">
      <c r="A7974" s="0" t="s">
        <v>143</v>
      </c>
      <c r="B7974" s="0" t="n">
        <v>3</v>
      </c>
      <c r="C7974" s="0" t="n">
        <v>1.65</v>
      </c>
      <c r="D7974" s="0" t="n">
        <v>0.161</v>
      </c>
    </row>
    <row r="7975" customFormat="false" ht="13.8" hidden="true" customHeight="false" outlineLevel="0" collapsed="false">
      <c r="A7975" s="0" t="s">
        <v>143</v>
      </c>
      <c r="B7975" s="0" t="n">
        <v>3</v>
      </c>
      <c r="C7975" s="0" t="n">
        <v>1.7</v>
      </c>
      <c r="D7975" s="0" t="n">
        <v>0.166</v>
      </c>
    </row>
    <row r="7976" customFormat="false" ht="13.8" hidden="true" customHeight="false" outlineLevel="0" collapsed="false">
      <c r="A7976" s="0" t="s">
        <v>143</v>
      </c>
      <c r="B7976" s="0" t="n">
        <v>3</v>
      </c>
      <c r="C7976" s="0" t="n">
        <v>1.75</v>
      </c>
      <c r="D7976" s="0" t="n">
        <v>0.171</v>
      </c>
    </row>
    <row r="7977" customFormat="false" ht="13.8" hidden="true" customHeight="false" outlineLevel="0" collapsed="false">
      <c r="A7977" s="0" t="s">
        <v>143</v>
      </c>
      <c r="B7977" s="0" t="n">
        <v>3</v>
      </c>
      <c r="C7977" s="0" t="n">
        <v>1.8</v>
      </c>
      <c r="D7977" s="0" t="n">
        <v>0.176</v>
      </c>
    </row>
    <row r="7978" customFormat="false" ht="13.8" hidden="true" customHeight="false" outlineLevel="0" collapsed="false">
      <c r="A7978" s="0" t="s">
        <v>143</v>
      </c>
      <c r="B7978" s="0" t="n">
        <v>3</v>
      </c>
      <c r="C7978" s="0" t="n">
        <v>1.85</v>
      </c>
      <c r="D7978" s="0" t="n">
        <v>0.18</v>
      </c>
    </row>
    <row r="7979" customFormat="false" ht="13.8" hidden="true" customHeight="false" outlineLevel="0" collapsed="false">
      <c r="A7979" s="0" t="s">
        <v>143</v>
      </c>
      <c r="B7979" s="0" t="n">
        <v>3</v>
      </c>
      <c r="C7979" s="0" t="n">
        <v>1.9</v>
      </c>
      <c r="D7979" s="0" t="n">
        <v>0.185</v>
      </c>
    </row>
    <row r="7980" customFormat="false" ht="13.8" hidden="true" customHeight="false" outlineLevel="0" collapsed="false">
      <c r="A7980" s="0" t="s">
        <v>143</v>
      </c>
      <c r="B7980" s="0" t="n">
        <v>3</v>
      </c>
      <c r="C7980" s="0" t="n">
        <v>1.95</v>
      </c>
      <c r="D7980" s="0" t="n">
        <v>0.19</v>
      </c>
    </row>
    <row r="7981" customFormat="false" ht="13.8" hidden="true" customHeight="false" outlineLevel="0" collapsed="false">
      <c r="A7981" s="0" t="s">
        <v>143</v>
      </c>
      <c r="B7981" s="0" t="n">
        <v>3</v>
      </c>
      <c r="C7981" s="0" t="n">
        <v>2</v>
      </c>
      <c r="D7981" s="0" t="n">
        <v>0.195</v>
      </c>
    </row>
    <row r="7982" customFormat="false" ht="13.8" hidden="true" customHeight="false" outlineLevel="0" collapsed="false">
      <c r="A7982" s="0" t="s">
        <v>143</v>
      </c>
      <c r="B7982" s="0" t="n">
        <v>3</v>
      </c>
      <c r="C7982" s="0" t="n">
        <v>2.05</v>
      </c>
      <c r="D7982" s="0" t="n">
        <v>0.2</v>
      </c>
    </row>
    <row r="7983" customFormat="false" ht="13.8" hidden="true" customHeight="false" outlineLevel="0" collapsed="false">
      <c r="A7983" s="0" t="s">
        <v>143</v>
      </c>
      <c r="B7983" s="0" t="n">
        <v>3</v>
      </c>
      <c r="C7983" s="0" t="n">
        <v>2.1</v>
      </c>
      <c r="D7983" s="0" t="n">
        <v>0.205</v>
      </c>
    </row>
    <row r="7984" customFormat="false" ht="13.8" hidden="true" customHeight="false" outlineLevel="0" collapsed="false">
      <c r="A7984" s="0" t="s">
        <v>143</v>
      </c>
      <c r="B7984" s="0" t="n">
        <v>3</v>
      </c>
      <c r="C7984" s="0" t="n">
        <v>2.15</v>
      </c>
      <c r="D7984" s="0" t="n">
        <v>0.209625</v>
      </c>
    </row>
    <row r="7985" customFormat="false" ht="13.8" hidden="true" customHeight="false" outlineLevel="0" collapsed="false">
      <c r="A7985" s="0" t="s">
        <v>143</v>
      </c>
      <c r="B7985" s="0" t="n">
        <v>3</v>
      </c>
      <c r="C7985" s="0" t="n">
        <v>2.2</v>
      </c>
      <c r="D7985" s="0" t="n">
        <v>0</v>
      </c>
    </row>
    <row r="7986" customFormat="false" ht="13.8" hidden="true" customHeight="false" outlineLevel="0" collapsed="false">
      <c r="A7986" s="0" t="s">
        <v>143</v>
      </c>
      <c r="B7986" s="0" t="n">
        <v>3</v>
      </c>
      <c r="C7986" s="0" t="n">
        <v>2.25</v>
      </c>
      <c r="D7986" s="0" t="n">
        <v>0</v>
      </c>
    </row>
    <row r="7987" customFormat="false" ht="13.8" hidden="true" customHeight="false" outlineLevel="0" collapsed="false">
      <c r="A7987" s="0" t="s">
        <v>143</v>
      </c>
      <c r="B7987" s="0" t="n">
        <v>3</v>
      </c>
      <c r="C7987" s="0" t="n">
        <v>2.3</v>
      </c>
      <c r="D7987" s="0" t="n">
        <v>0</v>
      </c>
    </row>
    <row r="7988" customFormat="false" ht="13.8" hidden="true" customHeight="false" outlineLevel="0" collapsed="false">
      <c r="A7988" s="0" t="s">
        <v>143</v>
      </c>
      <c r="B7988" s="0" t="n">
        <v>3</v>
      </c>
      <c r="C7988" s="0" t="n">
        <v>2.35</v>
      </c>
      <c r="D7988" s="0" t="n">
        <v>0</v>
      </c>
    </row>
    <row r="7989" customFormat="false" ht="13.8" hidden="true" customHeight="false" outlineLevel="0" collapsed="false">
      <c r="A7989" s="0" t="s">
        <v>143</v>
      </c>
      <c r="B7989" s="0" t="n">
        <v>3</v>
      </c>
      <c r="C7989" s="0" t="n">
        <v>2.4</v>
      </c>
      <c r="D7989" s="0" t="n">
        <v>0</v>
      </c>
    </row>
    <row r="7990" customFormat="false" ht="13.8" hidden="true" customHeight="false" outlineLevel="0" collapsed="false">
      <c r="A7990" s="0" t="s">
        <v>143</v>
      </c>
      <c r="B7990" s="0" t="n">
        <v>3</v>
      </c>
      <c r="C7990" s="0" t="n">
        <v>2.45</v>
      </c>
      <c r="D7990" s="0" t="n">
        <v>0</v>
      </c>
    </row>
    <row r="7991" customFormat="false" ht="13.8" hidden="true" customHeight="false" outlineLevel="0" collapsed="false">
      <c r="A7991" s="0" t="s">
        <v>143</v>
      </c>
      <c r="B7991" s="0" t="n">
        <v>3</v>
      </c>
      <c r="C7991" s="0" t="n">
        <v>2.5</v>
      </c>
      <c r="D7991" s="0" t="n">
        <v>0</v>
      </c>
    </row>
    <row r="7992" customFormat="false" ht="13.8" hidden="true" customHeight="false" outlineLevel="0" collapsed="false">
      <c r="A7992" s="0" t="s">
        <v>143</v>
      </c>
      <c r="B7992" s="0" t="n">
        <v>3</v>
      </c>
      <c r="C7992" s="0" t="n">
        <v>2.55</v>
      </c>
      <c r="D7992" s="0" t="n">
        <v>0</v>
      </c>
    </row>
    <row r="7993" customFormat="false" ht="13.8" hidden="true" customHeight="false" outlineLevel="0" collapsed="false">
      <c r="A7993" s="0" t="s">
        <v>143</v>
      </c>
      <c r="B7993" s="0" t="n">
        <v>3</v>
      </c>
      <c r="C7993" s="0" t="n">
        <v>2.6</v>
      </c>
      <c r="D7993" s="0" t="n">
        <v>0</v>
      </c>
    </row>
    <row r="7994" customFormat="false" ht="13.8" hidden="true" customHeight="false" outlineLevel="0" collapsed="false">
      <c r="A7994" s="0" t="s">
        <v>257</v>
      </c>
      <c r="B7994" s="0" t="n">
        <v>3</v>
      </c>
      <c r="C7994" s="0" t="n">
        <v>1.3</v>
      </c>
      <c r="D7994" s="0" t="n">
        <v>0</v>
      </c>
    </row>
    <row r="7995" customFormat="false" ht="13.8" hidden="true" customHeight="false" outlineLevel="0" collapsed="false">
      <c r="A7995" s="0" t="s">
        <v>257</v>
      </c>
      <c r="B7995" s="0" t="n">
        <v>3</v>
      </c>
      <c r="C7995" s="0" t="n">
        <v>1.35</v>
      </c>
      <c r="D7995" s="0" t="n">
        <v>0</v>
      </c>
    </row>
    <row r="7996" customFormat="false" ht="13.8" hidden="true" customHeight="false" outlineLevel="0" collapsed="false">
      <c r="A7996" s="0" t="s">
        <v>257</v>
      </c>
      <c r="B7996" s="0" t="n">
        <v>3</v>
      </c>
      <c r="C7996" s="0" t="n">
        <v>1.4</v>
      </c>
      <c r="D7996" s="0" t="n">
        <v>0.137</v>
      </c>
    </row>
    <row r="7997" customFormat="false" ht="13.8" hidden="true" customHeight="false" outlineLevel="0" collapsed="false">
      <c r="A7997" s="0" t="s">
        <v>257</v>
      </c>
      <c r="B7997" s="0" t="n">
        <v>3</v>
      </c>
      <c r="C7997" s="0" t="n">
        <v>1.45</v>
      </c>
      <c r="D7997" s="0" t="n">
        <v>0.141</v>
      </c>
    </row>
    <row r="7998" customFormat="false" ht="13.8" hidden="true" customHeight="false" outlineLevel="0" collapsed="false">
      <c r="A7998" s="0" t="s">
        <v>257</v>
      </c>
      <c r="B7998" s="0" t="n">
        <v>3</v>
      </c>
      <c r="C7998" s="0" t="n">
        <v>1.5</v>
      </c>
      <c r="D7998" s="0" t="n">
        <v>0.146</v>
      </c>
    </row>
    <row r="7999" customFormat="false" ht="13.8" hidden="true" customHeight="false" outlineLevel="0" collapsed="false">
      <c r="A7999" s="0" t="s">
        <v>257</v>
      </c>
      <c r="B7999" s="0" t="n">
        <v>3</v>
      </c>
      <c r="C7999" s="0" t="n">
        <v>1.55</v>
      </c>
      <c r="D7999" s="0" t="n">
        <v>0.151</v>
      </c>
    </row>
    <row r="8000" customFormat="false" ht="13.8" hidden="true" customHeight="false" outlineLevel="0" collapsed="false">
      <c r="A8000" s="0" t="s">
        <v>257</v>
      </c>
      <c r="B8000" s="0" t="n">
        <v>3</v>
      </c>
      <c r="C8000" s="0" t="n">
        <v>1.6</v>
      </c>
      <c r="D8000" s="0" t="n">
        <v>0.156</v>
      </c>
    </row>
    <row r="8001" customFormat="false" ht="13.8" hidden="true" customHeight="false" outlineLevel="0" collapsed="false">
      <c r="A8001" s="0" t="s">
        <v>257</v>
      </c>
      <c r="B8001" s="0" t="n">
        <v>3</v>
      </c>
      <c r="C8001" s="0" t="n">
        <v>1.65</v>
      </c>
      <c r="D8001" s="0" t="n">
        <v>0.161</v>
      </c>
    </row>
    <row r="8002" customFormat="false" ht="13.8" hidden="true" customHeight="false" outlineLevel="0" collapsed="false">
      <c r="A8002" s="0" t="s">
        <v>257</v>
      </c>
      <c r="B8002" s="0" t="n">
        <v>3</v>
      </c>
      <c r="C8002" s="0" t="n">
        <v>1.7</v>
      </c>
      <c r="D8002" s="0" t="n">
        <v>0.166</v>
      </c>
    </row>
    <row r="8003" customFormat="false" ht="13.8" hidden="true" customHeight="false" outlineLevel="0" collapsed="false">
      <c r="A8003" s="0" t="s">
        <v>257</v>
      </c>
      <c r="B8003" s="0" t="n">
        <v>3</v>
      </c>
      <c r="C8003" s="0" t="n">
        <v>1.75</v>
      </c>
      <c r="D8003" s="0" t="n">
        <v>0.171</v>
      </c>
    </row>
    <row r="8004" customFormat="false" ht="13.8" hidden="true" customHeight="false" outlineLevel="0" collapsed="false">
      <c r="A8004" s="0" t="s">
        <v>257</v>
      </c>
      <c r="B8004" s="0" t="n">
        <v>3</v>
      </c>
      <c r="C8004" s="0" t="n">
        <v>1.8</v>
      </c>
      <c r="D8004" s="0" t="n">
        <v>0.176</v>
      </c>
    </row>
    <row r="8005" customFormat="false" ht="13.8" hidden="true" customHeight="false" outlineLevel="0" collapsed="false">
      <c r="A8005" s="0" t="s">
        <v>257</v>
      </c>
      <c r="B8005" s="0" t="n">
        <v>3</v>
      </c>
      <c r="C8005" s="0" t="n">
        <v>1.85</v>
      </c>
      <c r="D8005" s="0" t="n">
        <v>0.18</v>
      </c>
    </row>
    <row r="8006" customFormat="false" ht="13.8" hidden="true" customHeight="false" outlineLevel="0" collapsed="false">
      <c r="A8006" s="0" t="s">
        <v>257</v>
      </c>
      <c r="B8006" s="0" t="n">
        <v>3</v>
      </c>
      <c r="C8006" s="0" t="n">
        <v>1.9</v>
      </c>
      <c r="D8006" s="0" t="n">
        <v>0.185</v>
      </c>
    </row>
    <row r="8007" customFormat="false" ht="13.8" hidden="true" customHeight="false" outlineLevel="0" collapsed="false">
      <c r="A8007" s="0" t="s">
        <v>257</v>
      </c>
      <c r="B8007" s="0" t="n">
        <v>3</v>
      </c>
      <c r="C8007" s="0" t="n">
        <v>1.95</v>
      </c>
      <c r="D8007" s="0" t="n">
        <v>0.19</v>
      </c>
    </row>
    <row r="8008" customFormat="false" ht="13.8" hidden="true" customHeight="false" outlineLevel="0" collapsed="false">
      <c r="A8008" s="0" t="s">
        <v>257</v>
      </c>
      <c r="B8008" s="0" t="n">
        <v>3</v>
      </c>
      <c r="C8008" s="0" t="n">
        <v>2</v>
      </c>
      <c r="D8008" s="0" t="n">
        <v>0.195</v>
      </c>
    </row>
    <row r="8009" customFormat="false" ht="13.8" hidden="true" customHeight="false" outlineLevel="0" collapsed="false">
      <c r="A8009" s="0" t="s">
        <v>257</v>
      </c>
      <c r="B8009" s="0" t="n">
        <v>3</v>
      </c>
      <c r="C8009" s="0" t="n">
        <v>2.05</v>
      </c>
      <c r="D8009" s="0" t="n">
        <v>0.2</v>
      </c>
    </row>
    <row r="8010" customFormat="false" ht="13.8" hidden="true" customHeight="false" outlineLevel="0" collapsed="false">
      <c r="A8010" s="0" t="s">
        <v>257</v>
      </c>
      <c r="B8010" s="0" t="n">
        <v>3</v>
      </c>
      <c r="C8010" s="0" t="n">
        <v>2.1</v>
      </c>
      <c r="D8010" s="0" t="n">
        <v>0.205</v>
      </c>
    </row>
    <row r="8011" customFormat="false" ht="13.8" hidden="true" customHeight="false" outlineLevel="0" collapsed="false">
      <c r="A8011" s="0" t="s">
        <v>257</v>
      </c>
      <c r="B8011" s="0" t="n">
        <v>3</v>
      </c>
      <c r="C8011" s="0" t="n">
        <v>2.15</v>
      </c>
      <c r="D8011" s="0" t="n">
        <v>0.209625</v>
      </c>
    </row>
    <row r="8012" customFormat="false" ht="13.8" hidden="true" customHeight="false" outlineLevel="0" collapsed="false">
      <c r="A8012" s="0" t="s">
        <v>257</v>
      </c>
      <c r="B8012" s="0" t="n">
        <v>3</v>
      </c>
      <c r="C8012" s="0" t="n">
        <v>2.2</v>
      </c>
      <c r="D8012" s="0" t="n">
        <v>0</v>
      </c>
    </row>
    <row r="8013" customFormat="false" ht="13.8" hidden="true" customHeight="false" outlineLevel="0" collapsed="false">
      <c r="A8013" s="0" t="s">
        <v>257</v>
      </c>
      <c r="B8013" s="0" t="n">
        <v>3</v>
      </c>
      <c r="C8013" s="0" t="n">
        <v>2.25</v>
      </c>
      <c r="D8013" s="0" t="n">
        <v>0</v>
      </c>
    </row>
    <row r="8014" customFormat="false" ht="13.8" hidden="true" customHeight="false" outlineLevel="0" collapsed="false">
      <c r="A8014" s="0" t="s">
        <v>257</v>
      </c>
      <c r="B8014" s="0" t="n">
        <v>3</v>
      </c>
      <c r="C8014" s="0" t="n">
        <v>2.3</v>
      </c>
      <c r="D8014" s="0" t="n">
        <v>0</v>
      </c>
    </row>
    <row r="8015" customFormat="false" ht="13.8" hidden="true" customHeight="false" outlineLevel="0" collapsed="false">
      <c r="A8015" s="0" t="s">
        <v>257</v>
      </c>
      <c r="B8015" s="0" t="n">
        <v>3</v>
      </c>
      <c r="C8015" s="0" t="n">
        <v>2.35</v>
      </c>
      <c r="D8015" s="0" t="n">
        <v>0</v>
      </c>
    </row>
    <row r="8016" customFormat="false" ht="13.8" hidden="true" customHeight="false" outlineLevel="0" collapsed="false">
      <c r="A8016" s="0" t="s">
        <v>257</v>
      </c>
      <c r="B8016" s="0" t="n">
        <v>3</v>
      </c>
      <c r="C8016" s="0" t="n">
        <v>2.4</v>
      </c>
      <c r="D8016" s="0" t="n">
        <v>0</v>
      </c>
    </row>
    <row r="8017" customFormat="false" ht="13.8" hidden="true" customHeight="false" outlineLevel="0" collapsed="false">
      <c r="A8017" s="0" t="s">
        <v>257</v>
      </c>
      <c r="B8017" s="0" t="n">
        <v>3</v>
      </c>
      <c r="C8017" s="0" t="n">
        <v>2.45</v>
      </c>
      <c r="D8017" s="0" t="n">
        <v>0</v>
      </c>
    </row>
    <row r="8018" customFormat="false" ht="13.8" hidden="true" customHeight="false" outlineLevel="0" collapsed="false">
      <c r="A8018" s="0" t="s">
        <v>257</v>
      </c>
      <c r="B8018" s="0" t="n">
        <v>3</v>
      </c>
      <c r="C8018" s="0" t="n">
        <v>2.5</v>
      </c>
      <c r="D8018" s="0" t="n">
        <v>0</v>
      </c>
    </row>
    <row r="8019" customFormat="false" ht="13.8" hidden="true" customHeight="false" outlineLevel="0" collapsed="false">
      <c r="A8019" s="0" t="s">
        <v>257</v>
      </c>
      <c r="B8019" s="0" t="n">
        <v>3</v>
      </c>
      <c r="C8019" s="0" t="n">
        <v>2.55</v>
      </c>
      <c r="D8019" s="0" t="n">
        <v>0</v>
      </c>
    </row>
    <row r="8020" customFormat="false" ht="13.8" hidden="true" customHeight="false" outlineLevel="0" collapsed="false">
      <c r="A8020" s="0" t="s">
        <v>257</v>
      </c>
      <c r="B8020" s="0" t="n">
        <v>3</v>
      </c>
      <c r="C8020" s="0" t="n">
        <v>2.6</v>
      </c>
      <c r="D8020" s="0" t="n">
        <v>0</v>
      </c>
    </row>
    <row r="8021" customFormat="false" ht="13.8" hidden="true" customHeight="false" outlineLevel="0" collapsed="false">
      <c r="A8021" s="0" t="s">
        <v>258</v>
      </c>
      <c r="B8021" s="0" t="n">
        <v>26</v>
      </c>
      <c r="C8021" s="0" t="n">
        <v>1.3</v>
      </c>
      <c r="D8021" s="0" t="n">
        <v>0</v>
      </c>
    </row>
    <row r="8022" customFormat="false" ht="13.8" hidden="true" customHeight="false" outlineLevel="0" collapsed="false">
      <c r="A8022" s="0" t="s">
        <v>258</v>
      </c>
      <c r="B8022" s="0" t="n">
        <v>26</v>
      </c>
      <c r="C8022" s="0" t="n">
        <v>1.35</v>
      </c>
      <c r="D8022" s="0" t="n">
        <v>0</v>
      </c>
    </row>
    <row r="8023" customFormat="false" ht="13.8" hidden="true" customHeight="false" outlineLevel="0" collapsed="false">
      <c r="A8023" s="0" t="s">
        <v>258</v>
      </c>
      <c r="B8023" s="0" t="n">
        <v>26</v>
      </c>
      <c r="C8023" s="0" t="n">
        <v>1.4</v>
      </c>
      <c r="D8023" s="0" t="n">
        <v>0</v>
      </c>
    </row>
    <row r="8024" customFormat="false" ht="13.8" hidden="true" customHeight="false" outlineLevel="0" collapsed="false">
      <c r="A8024" s="0" t="s">
        <v>258</v>
      </c>
      <c r="B8024" s="0" t="n">
        <v>26</v>
      </c>
      <c r="C8024" s="0" t="n">
        <v>1.45</v>
      </c>
      <c r="D8024" s="0" t="n">
        <v>0</v>
      </c>
    </row>
    <row r="8025" customFormat="false" ht="13.8" hidden="true" customHeight="false" outlineLevel="0" collapsed="false">
      <c r="A8025" s="0" t="s">
        <v>258</v>
      </c>
      <c r="B8025" s="0" t="n">
        <v>26</v>
      </c>
      <c r="C8025" s="0" t="n">
        <v>1.5</v>
      </c>
      <c r="D8025" s="0" t="n">
        <v>0</v>
      </c>
    </row>
    <row r="8026" customFormat="false" ht="13.8" hidden="true" customHeight="false" outlineLevel="0" collapsed="false">
      <c r="A8026" s="0" t="s">
        <v>258</v>
      </c>
      <c r="B8026" s="0" t="n">
        <v>26</v>
      </c>
      <c r="C8026" s="0" t="n">
        <v>1.55</v>
      </c>
      <c r="D8026" s="0" t="n">
        <v>0</v>
      </c>
    </row>
    <row r="8027" customFormat="false" ht="13.8" hidden="true" customHeight="false" outlineLevel="0" collapsed="false">
      <c r="A8027" s="0" t="s">
        <v>258</v>
      </c>
      <c r="B8027" s="0" t="n">
        <v>26</v>
      </c>
      <c r="C8027" s="0" t="n">
        <v>1.6</v>
      </c>
      <c r="D8027" s="0" t="n">
        <v>0</v>
      </c>
    </row>
    <row r="8028" customFormat="false" ht="13.8" hidden="true" customHeight="false" outlineLevel="0" collapsed="false">
      <c r="A8028" s="0" t="s">
        <v>258</v>
      </c>
      <c r="B8028" s="0" t="n">
        <v>26</v>
      </c>
      <c r="C8028" s="0" t="n">
        <v>1.65</v>
      </c>
      <c r="D8028" s="0" t="n">
        <v>0</v>
      </c>
    </row>
    <row r="8029" customFormat="false" ht="13.8" hidden="true" customHeight="false" outlineLevel="0" collapsed="false">
      <c r="A8029" s="0" t="s">
        <v>258</v>
      </c>
      <c r="B8029" s="0" t="n">
        <v>26</v>
      </c>
      <c r="C8029" s="0" t="n">
        <v>1.7</v>
      </c>
      <c r="D8029" s="0" t="n">
        <v>0</v>
      </c>
    </row>
    <row r="8030" customFormat="false" ht="13.8" hidden="true" customHeight="false" outlineLevel="0" collapsed="false">
      <c r="A8030" s="0" t="s">
        <v>258</v>
      </c>
      <c r="B8030" s="0" t="n">
        <v>26</v>
      </c>
      <c r="C8030" s="0" t="n">
        <v>1.75</v>
      </c>
      <c r="D8030" s="0" t="n">
        <v>0</v>
      </c>
    </row>
    <row r="8031" customFormat="false" ht="13.8" hidden="true" customHeight="false" outlineLevel="0" collapsed="false">
      <c r="A8031" s="0" t="s">
        <v>258</v>
      </c>
      <c r="B8031" s="0" t="n">
        <v>26</v>
      </c>
      <c r="C8031" s="0" t="n">
        <v>1.8</v>
      </c>
      <c r="D8031" s="0" t="n">
        <v>0.2</v>
      </c>
    </row>
    <row r="8032" customFormat="false" ht="13.8" hidden="true" customHeight="false" outlineLevel="0" collapsed="false">
      <c r="A8032" s="0" t="s">
        <v>258</v>
      </c>
      <c r="B8032" s="0" t="n">
        <v>26</v>
      </c>
      <c r="C8032" s="0" t="n">
        <v>1.85</v>
      </c>
      <c r="D8032" s="0" t="n">
        <v>0.206</v>
      </c>
    </row>
    <row r="8033" customFormat="false" ht="13.8" hidden="true" customHeight="false" outlineLevel="0" collapsed="false">
      <c r="A8033" s="0" t="s">
        <v>258</v>
      </c>
      <c r="B8033" s="0" t="n">
        <v>26</v>
      </c>
      <c r="C8033" s="0" t="n">
        <v>1.9</v>
      </c>
      <c r="D8033" s="0" t="n">
        <v>0.211</v>
      </c>
    </row>
    <row r="8034" customFormat="false" ht="13.8" hidden="true" customHeight="false" outlineLevel="0" collapsed="false">
      <c r="A8034" s="0" t="s">
        <v>258</v>
      </c>
      <c r="B8034" s="0" t="n">
        <v>26</v>
      </c>
      <c r="C8034" s="0" t="n">
        <v>1.95</v>
      </c>
      <c r="D8034" s="0" t="n">
        <v>0.217</v>
      </c>
    </row>
    <row r="8035" customFormat="false" ht="13.8" hidden="true" customHeight="false" outlineLevel="0" collapsed="false">
      <c r="A8035" s="0" t="s">
        <v>258</v>
      </c>
      <c r="B8035" s="0" t="n">
        <v>26</v>
      </c>
      <c r="C8035" s="0" t="n">
        <v>2</v>
      </c>
      <c r="D8035" s="0" t="n">
        <v>0.231</v>
      </c>
    </row>
    <row r="8036" customFormat="false" ht="13.8" hidden="true" customHeight="false" outlineLevel="0" collapsed="false">
      <c r="A8036" s="0" t="s">
        <v>258</v>
      </c>
      <c r="B8036" s="0" t="n">
        <v>26</v>
      </c>
      <c r="C8036" s="0" t="n">
        <v>2.05</v>
      </c>
      <c r="D8036" s="0" t="n">
        <v>0.237</v>
      </c>
    </row>
    <row r="8037" customFormat="false" ht="13.8" hidden="true" customHeight="false" outlineLevel="0" collapsed="false">
      <c r="A8037" s="0" t="s">
        <v>258</v>
      </c>
      <c r="B8037" s="0" t="n">
        <v>26</v>
      </c>
      <c r="C8037" s="0" t="n">
        <v>2.1</v>
      </c>
      <c r="D8037" s="0" t="n">
        <v>0.243</v>
      </c>
    </row>
    <row r="8038" customFormat="false" ht="13.8" hidden="true" customHeight="false" outlineLevel="0" collapsed="false">
      <c r="A8038" s="0" t="s">
        <v>258</v>
      </c>
      <c r="B8038" s="0" t="n">
        <v>26</v>
      </c>
      <c r="C8038" s="0" t="n">
        <v>2.15</v>
      </c>
      <c r="D8038" s="0" t="n">
        <v>0.248416097</v>
      </c>
    </row>
    <row r="8039" customFormat="false" ht="13.8" hidden="true" customHeight="false" outlineLevel="0" collapsed="false">
      <c r="A8039" s="0" t="s">
        <v>258</v>
      </c>
      <c r="B8039" s="0" t="n">
        <v>26</v>
      </c>
      <c r="C8039" s="0" t="n">
        <v>2.2</v>
      </c>
      <c r="D8039" s="0" t="n">
        <v>0.254193216</v>
      </c>
    </row>
    <row r="8040" customFormat="false" ht="13.8" hidden="true" customHeight="false" outlineLevel="0" collapsed="false">
      <c r="A8040" s="0" t="s">
        <v>258</v>
      </c>
      <c r="B8040" s="0" t="n">
        <v>26</v>
      </c>
      <c r="C8040" s="0" t="n">
        <v>2.25</v>
      </c>
      <c r="D8040" s="0" t="n">
        <v>0.259970334</v>
      </c>
    </row>
    <row r="8041" customFormat="false" ht="13.8" hidden="true" customHeight="false" outlineLevel="0" collapsed="false">
      <c r="A8041" s="0" t="s">
        <v>258</v>
      </c>
      <c r="B8041" s="0" t="n">
        <v>26</v>
      </c>
      <c r="C8041" s="0" t="n">
        <v>2.3</v>
      </c>
      <c r="D8041" s="0" t="n">
        <v>0</v>
      </c>
    </row>
    <row r="8042" customFormat="false" ht="13.8" hidden="true" customHeight="false" outlineLevel="0" collapsed="false">
      <c r="A8042" s="0" t="s">
        <v>258</v>
      </c>
      <c r="B8042" s="0" t="n">
        <v>26</v>
      </c>
      <c r="C8042" s="0" t="n">
        <v>2.35</v>
      </c>
      <c r="D8042" s="0" t="n">
        <v>0</v>
      </c>
    </row>
    <row r="8043" customFormat="false" ht="13.8" hidden="true" customHeight="false" outlineLevel="0" collapsed="false">
      <c r="A8043" s="0" t="s">
        <v>258</v>
      </c>
      <c r="B8043" s="0" t="n">
        <v>26</v>
      </c>
      <c r="C8043" s="0" t="n">
        <v>2.4</v>
      </c>
      <c r="D8043" s="0" t="n">
        <v>0</v>
      </c>
    </row>
    <row r="8044" customFormat="false" ht="13.8" hidden="true" customHeight="false" outlineLevel="0" collapsed="false">
      <c r="A8044" s="0" t="s">
        <v>258</v>
      </c>
      <c r="B8044" s="0" t="n">
        <v>26</v>
      </c>
      <c r="C8044" s="0" t="n">
        <v>2.45</v>
      </c>
      <c r="D8044" s="0" t="n">
        <v>0</v>
      </c>
    </row>
    <row r="8045" customFormat="false" ht="13.8" hidden="true" customHeight="false" outlineLevel="0" collapsed="false">
      <c r="A8045" s="0" t="s">
        <v>258</v>
      </c>
      <c r="B8045" s="0" t="n">
        <v>26</v>
      </c>
      <c r="C8045" s="0" t="n">
        <v>2.5</v>
      </c>
      <c r="D8045" s="0" t="n">
        <v>0</v>
      </c>
    </row>
    <row r="8046" customFormat="false" ht="13.8" hidden="true" customHeight="false" outlineLevel="0" collapsed="false">
      <c r="A8046" s="0" t="s">
        <v>258</v>
      </c>
      <c r="B8046" s="0" t="n">
        <v>26</v>
      </c>
      <c r="C8046" s="0" t="n">
        <v>2.55</v>
      </c>
      <c r="D8046" s="0" t="n">
        <v>0</v>
      </c>
    </row>
    <row r="8047" customFormat="false" ht="13.8" hidden="true" customHeight="false" outlineLevel="0" collapsed="false">
      <c r="A8047" s="0" t="s">
        <v>258</v>
      </c>
      <c r="B8047" s="0" t="n">
        <v>26</v>
      </c>
      <c r="C8047" s="0" t="n">
        <v>2.6</v>
      </c>
      <c r="D8047" s="0" t="n">
        <v>0</v>
      </c>
    </row>
    <row r="8048" customFormat="false" ht="13.8" hidden="true" customHeight="false" outlineLevel="0" collapsed="false">
      <c r="A8048" s="0" t="s">
        <v>258</v>
      </c>
      <c r="B8048" s="0" t="n">
        <v>30</v>
      </c>
      <c r="C8048" s="0" t="n">
        <v>1.3</v>
      </c>
      <c r="D8048" s="0" t="n">
        <v>0</v>
      </c>
    </row>
    <row r="8049" customFormat="false" ht="13.8" hidden="true" customHeight="false" outlineLevel="0" collapsed="false">
      <c r="A8049" s="0" t="s">
        <v>258</v>
      </c>
      <c r="B8049" s="0" t="n">
        <v>30</v>
      </c>
      <c r="C8049" s="0" t="n">
        <v>1.35</v>
      </c>
      <c r="D8049" s="0" t="n">
        <v>0.15</v>
      </c>
    </row>
    <row r="8050" customFormat="false" ht="13.8" hidden="true" customHeight="false" outlineLevel="0" collapsed="false">
      <c r="A8050" s="0" t="s">
        <v>258</v>
      </c>
      <c r="B8050" s="0" t="n">
        <v>30</v>
      </c>
      <c r="C8050" s="0" t="n">
        <v>1.4</v>
      </c>
      <c r="D8050" s="0" t="n">
        <v>0.156</v>
      </c>
    </row>
    <row r="8051" customFormat="false" ht="13.8" hidden="true" customHeight="false" outlineLevel="0" collapsed="false">
      <c r="A8051" s="0" t="s">
        <v>258</v>
      </c>
      <c r="B8051" s="0" t="n">
        <v>30</v>
      </c>
      <c r="C8051" s="0" t="n">
        <v>1.45</v>
      </c>
      <c r="D8051" s="0" t="n">
        <v>0.161</v>
      </c>
    </row>
    <row r="8052" customFormat="false" ht="13.8" hidden="true" customHeight="false" outlineLevel="0" collapsed="false">
      <c r="A8052" s="0" t="s">
        <v>258</v>
      </c>
      <c r="B8052" s="0" t="n">
        <v>30</v>
      </c>
      <c r="C8052" s="0" t="n">
        <v>1.5</v>
      </c>
      <c r="D8052" s="0" t="n">
        <v>0.167</v>
      </c>
    </row>
    <row r="8053" customFormat="false" ht="13.8" hidden="true" customHeight="false" outlineLevel="0" collapsed="false">
      <c r="A8053" s="0" t="s">
        <v>258</v>
      </c>
      <c r="B8053" s="0" t="n">
        <v>30</v>
      </c>
      <c r="C8053" s="0" t="n">
        <v>1.55</v>
      </c>
      <c r="D8053" s="0" t="n">
        <v>0.172</v>
      </c>
    </row>
    <row r="8054" customFormat="false" ht="13.8" hidden="true" customHeight="false" outlineLevel="0" collapsed="false">
      <c r="A8054" s="0" t="s">
        <v>258</v>
      </c>
      <c r="B8054" s="0" t="n">
        <v>30</v>
      </c>
      <c r="C8054" s="0" t="n">
        <v>1.6</v>
      </c>
      <c r="D8054" s="0" t="n">
        <v>0</v>
      </c>
    </row>
    <row r="8055" customFormat="false" ht="13.8" hidden="true" customHeight="false" outlineLevel="0" collapsed="false">
      <c r="A8055" s="0" t="s">
        <v>258</v>
      </c>
      <c r="B8055" s="0" t="n">
        <v>30</v>
      </c>
      <c r="C8055" s="0" t="n">
        <v>1.65</v>
      </c>
      <c r="D8055" s="0" t="n">
        <v>0</v>
      </c>
    </row>
    <row r="8056" customFormat="false" ht="13.8" hidden="true" customHeight="false" outlineLevel="0" collapsed="false">
      <c r="A8056" s="0" t="s">
        <v>258</v>
      </c>
      <c r="B8056" s="0" t="n">
        <v>30</v>
      </c>
      <c r="C8056" s="0" t="n">
        <v>1.7</v>
      </c>
      <c r="D8056" s="0" t="n">
        <v>0</v>
      </c>
    </row>
    <row r="8057" customFormat="false" ht="13.8" hidden="true" customHeight="false" outlineLevel="0" collapsed="false">
      <c r="A8057" s="0" t="s">
        <v>258</v>
      </c>
      <c r="B8057" s="0" t="n">
        <v>30</v>
      </c>
      <c r="C8057" s="0" t="n">
        <v>1.75</v>
      </c>
      <c r="D8057" s="0" t="n">
        <v>0</v>
      </c>
    </row>
    <row r="8058" customFormat="false" ht="13.8" hidden="true" customHeight="false" outlineLevel="0" collapsed="false">
      <c r="A8058" s="0" t="s">
        <v>258</v>
      </c>
      <c r="B8058" s="0" t="n">
        <v>30</v>
      </c>
      <c r="C8058" s="0" t="n">
        <v>1.8</v>
      </c>
      <c r="D8058" s="0" t="n">
        <v>0</v>
      </c>
    </row>
    <row r="8059" customFormat="false" ht="13.8" hidden="true" customHeight="false" outlineLevel="0" collapsed="false">
      <c r="A8059" s="0" t="s">
        <v>258</v>
      </c>
      <c r="B8059" s="0" t="n">
        <v>30</v>
      </c>
      <c r="C8059" s="0" t="n">
        <v>1.85</v>
      </c>
      <c r="D8059" s="0" t="n">
        <v>0</v>
      </c>
    </row>
    <row r="8060" customFormat="false" ht="13.8" hidden="true" customHeight="false" outlineLevel="0" collapsed="false">
      <c r="A8060" s="0" t="s">
        <v>258</v>
      </c>
      <c r="B8060" s="0" t="n">
        <v>30</v>
      </c>
      <c r="C8060" s="0" t="n">
        <v>1.9</v>
      </c>
      <c r="D8060" s="0" t="n">
        <v>0</v>
      </c>
    </row>
    <row r="8061" customFormat="false" ht="13.8" hidden="true" customHeight="false" outlineLevel="0" collapsed="false">
      <c r="A8061" s="0" t="s">
        <v>258</v>
      </c>
      <c r="B8061" s="0" t="n">
        <v>30</v>
      </c>
      <c r="C8061" s="0" t="n">
        <v>1.95</v>
      </c>
      <c r="D8061" s="0" t="n">
        <v>0</v>
      </c>
    </row>
    <row r="8062" customFormat="false" ht="13.8" hidden="true" customHeight="false" outlineLevel="0" collapsed="false">
      <c r="A8062" s="0" t="s">
        <v>258</v>
      </c>
      <c r="B8062" s="0" t="n">
        <v>30</v>
      </c>
      <c r="C8062" s="0" t="n">
        <v>2</v>
      </c>
      <c r="D8062" s="0" t="n">
        <v>0</v>
      </c>
    </row>
    <row r="8063" customFormat="false" ht="13.8" hidden="true" customHeight="false" outlineLevel="0" collapsed="false">
      <c r="A8063" s="0" t="s">
        <v>258</v>
      </c>
      <c r="B8063" s="0" t="n">
        <v>30</v>
      </c>
      <c r="C8063" s="0" t="n">
        <v>2.05</v>
      </c>
      <c r="D8063" s="0" t="n">
        <v>0</v>
      </c>
    </row>
    <row r="8064" customFormat="false" ht="13.8" hidden="true" customHeight="false" outlineLevel="0" collapsed="false">
      <c r="A8064" s="0" t="s">
        <v>258</v>
      </c>
      <c r="B8064" s="0" t="n">
        <v>30</v>
      </c>
      <c r="C8064" s="0" t="n">
        <v>2.1</v>
      </c>
      <c r="D8064" s="0" t="n">
        <v>0</v>
      </c>
    </row>
    <row r="8065" customFormat="false" ht="13.8" hidden="true" customHeight="false" outlineLevel="0" collapsed="false">
      <c r="A8065" s="0" t="s">
        <v>258</v>
      </c>
      <c r="B8065" s="0" t="n">
        <v>30</v>
      </c>
      <c r="C8065" s="0" t="n">
        <v>2.15</v>
      </c>
      <c r="D8065" s="0" t="n">
        <v>0</v>
      </c>
    </row>
    <row r="8066" customFormat="false" ht="13.8" hidden="true" customHeight="false" outlineLevel="0" collapsed="false">
      <c r="A8066" s="0" t="s">
        <v>258</v>
      </c>
      <c r="B8066" s="0" t="n">
        <v>30</v>
      </c>
      <c r="C8066" s="0" t="n">
        <v>2.2</v>
      </c>
      <c r="D8066" s="0" t="n">
        <v>0</v>
      </c>
    </row>
    <row r="8067" customFormat="false" ht="13.8" hidden="true" customHeight="false" outlineLevel="0" collapsed="false">
      <c r="A8067" s="0" t="s">
        <v>258</v>
      </c>
      <c r="B8067" s="0" t="n">
        <v>30</v>
      </c>
      <c r="C8067" s="0" t="n">
        <v>2.25</v>
      </c>
      <c r="D8067" s="0" t="n">
        <v>0</v>
      </c>
    </row>
    <row r="8068" customFormat="false" ht="13.8" hidden="true" customHeight="false" outlineLevel="0" collapsed="false">
      <c r="A8068" s="0" t="s">
        <v>258</v>
      </c>
      <c r="B8068" s="0" t="n">
        <v>30</v>
      </c>
      <c r="C8068" s="0" t="n">
        <v>2.3</v>
      </c>
      <c r="D8068" s="0" t="n">
        <v>0</v>
      </c>
    </row>
    <row r="8069" customFormat="false" ht="13.8" hidden="true" customHeight="false" outlineLevel="0" collapsed="false">
      <c r="A8069" s="0" t="s">
        <v>258</v>
      </c>
      <c r="B8069" s="0" t="n">
        <v>30</v>
      </c>
      <c r="C8069" s="0" t="n">
        <v>2.35</v>
      </c>
      <c r="D8069" s="0" t="n">
        <v>0</v>
      </c>
    </row>
    <row r="8070" customFormat="false" ht="13.8" hidden="true" customHeight="false" outlineLevel="0" collapsed="false">
      <c r="A8070" s="0" t="s">
        <v>258</v>
      </c>
      <c r="B8070" s="0" t="n">
        <v>30</v>
      </c>
      <c r="C8070" s="0" t="n">
        <v>2.4</v>
      </c>
      <c r="D8070" s="0" t="n">
        <v>0</v>
      </c>
    </row>
    <row r="8071" customFormat="false" ht="13.8" hidden="true" customHeight="false" outlineLevel="0" collapsed="false">
      <c r="A8071" s="0" t="s">
        <v>258</v>
      </c>
      <c r="B8071" s="0" t="n">
        <v>30</v>
      </c>
      <c r="C8071" s="0" t="n">
        <v>2.45</v>
      </c>
      <c r="D8071" s="0" t="n">
        <v>0</v>
      </c>
    </row>
    <row r="8072" customFormat="false" ht="13.8" hidden="true" customHeight="false" outlineLevel="0" collapsed="false">
      <c r="A8072" s="0" t="s">
        <v>258</v>
      </c>
      <c r="B8072" s="0" t="n">
        <v>30</v>
      </c>
      <c r="C8072" s="0" t="n">
        <v>2.5</v>
      </c>
      <c r="D8072" s="0" t="n">
        <v>0</v>
      </c>
    </row>
    <row r="8073" customFormat="false" ht="13.8" hidden="true" customHeight="false" outlineLevel="0" collapsed="false">
      <c r="A8073" s="0" t="s">
        <v>258</v>
      </c>
      <c r="B8073" s="0" t="n">
        <v>30</v>
      </c>
      <c r="C8073" s="0" t="n">
        <v>2.55</v>
      </c>
      <c r="D8073" s="0" t="n">
        <v>0</v>
      </c>
    </row>
    <row r="8074" customFormat="false" ht="13.8" hidden="true" customHeight="false" outlineLevel="0" collapsed="false">
      <c r="A8074" s="0" t="s">
        <v>258</v>
      </c>
      <c r="B8074" s="0" t="n">
        <v>30</v>
      </c>
      <c r="C8074" s="0" t="n">
        <v>2.6</v>
      </c>
      <c r="D8074" s="0" t="n">
        <v>0</v>
      </c>
    </row>
    <row r="8075" customFormat="false" ht="13.8" hidden="true" customHeight="false" outlineLevel="0" collapsed="false">
      <c r="A8075" s="0" t="s">
        <v>258</v>
      </c>
      <c r="B8075" s="0" t="n">
        <v>31</v>
      </c>
      <c r="C8075" s="0" t="n">
        <v>1.3</v>
      </c>
      <c r="D8075" s="0" t="n">
        <v>0</v>
      </c>
    </row>
    <row r="8076" customFormat="false" ht="13.8" hidden="true" customHeight="false" outlineLevel="0" collapsed="false">
      <c r="A8076" s="0" t="s">
        <v>258</v>
      </c>
      <c r="B8076" s="0" t="n">
        <v>31</v>
      </c>
      <c r="C8076" s="0" t="n">
        <v>1.35</v>
      </c>
      <c r="D8076" s="0" t="n">
        <v>0</v>
      </c>
    </row>
    <row r="8077" customFormat="false" ht="13.8" hidden="true" customHeight="false" outlineLevel="0" collapsed="false">
      <c r="A8077" s="0" t="s">
        <v>258</v>
      </c>
      <c r="B8077" s="0" t="n">
        <v>31</v>
      </c>
      <c r="C8077" s="0" t="n">
        <v>1.4</v>
      </c>
      <c r="D8077" s="0" t="n">
        <v>0</v>
      </c>
    </row>
    <row r="8078" customFormat="false" ht="13.8" hidden="true" customHeight="false" outlineLevel="0" collapsed="false">
      <c r="A8078" s="0" t="s">
        <v>258</v>
      </c>
      <c r="B8078" s="0" t="n">
        <v>31</v>
      </c>
      <c r="C8078" s="0" t="n">
        <v>1.45</v>
      </c>
      <c r="D8078" s="0" t="n">
        <v>0</v>
      </c>
    </row>
    <row r="8079" customFormat="false" ht="13.8" hidden="true" customHeight="false" outlineLevel="0" collapsed="false">
      <c r="A8079" s="0" t="s">
        <v>258</v>
      </c>
      <c r="B8079" s="0" t="n">
        <v>31</v>
      </c>
      <c r="C8079" s="0" t="n">
        <v>1.5</v>
      </c>
      <c r="D8079" s="0" t="n">
        <v>0</v>
      </c>
    </row>
    <row r="8080" customFormat="false" ht="13.8" hidden="true" customHeight="false" outlineLevel="0" collapsed="false">
      <c r="A8080" s="0" t="s">
        <v>258</v>
      </c>
      <c r="B8080" s="0" t="n">
        <v>31</v>
      </c>
      <c r="C8080" s="0" t="n">
        <v>1.55</v>
      </c>
      <c r="D8080" s="0" t="n">
        <v>0</v>
      </c>
    </row>
    <row r="8081" customFormat="false" ht="13.8" hidden="true" customHeight="false" outlineLevel="0" collapsed="false">
      <c r="A8081" s="0" t="s">
        <v>258</v>
      </c>
      <c r="B8081" s="0" t="n">
        <v>31</v>
      </c>
      <c r="C8081" s="0" t="n">
        <v>1.6</v>
      </c>
      <c r="D8081" s="0" t="n">
        <v>0</v>
      </c>
    </row>
    <row r="8082" customFormat="false" ht="13.8" hidden="true" customHeight="false" outlineLevel="0" collapsed="false">
      <c r="A8082" s="0" t="s">
        <v>258</v>
      </c>
      <c r="B8082" s="0" t="n">
        <v>31</v>
      </c>
      <c r="C8082" s="0" t="n">
        <v>1.65</v>
      </c>
      <c r="D8082" s="0" t="n">
        <v>0</v>
      </c>
    </row>
    <row r="8083" customFormat="false" ht="13.8" hidden="true" customHeight="false" outlineLevel="0" collapsed="false">
      <c r="A8083" s="0" t="s">
        <v>258</v>
      </c>
      <c r="B8083" s="0" t="n">
        <v>31</v>
      </c>
      <c r="C8083" s="0" t="n">
        <v>1.7</v>
      </c>
      <c r="D8083" s="0" t="n">
        <v>0</v>
      </c>
    </row>
    <row r="8084" customFormat="false" ht="13.8" hidden="true" customHeight="false" outlineLevel="0" collapsed="false">
      <c r="A8084" s="0" t="s">
        <v>258</v>
      </c>
      <c r="B8084" s="0" t="n">
        <v>31</v>
      </c>
      <c r="C8084" s="0" t="n">
        <v>1.75</v>
      </c>
      <c r="D8084" s="0" t="n">
        <v>0</v>
      </c>
    </row>
    <row r="8085" customFormat="false" ht="13.8" hidden="true" customHeight="false" outlineLevel="0" collapsed="false">
      <c r="A8085" s="0" t="s">
        <v>258</v>
      </c>
      <c r="B8085" s="0" t="n">
        <v>31</v>
      </c>
      <c r="C8085" s="0" t="n">
        <v>1.8</v>
      </c>
      <c r="D8085" s="0" t="n">
        <v>0</v>
      </c>
    </row>
    <row r="8086" customFormat="false" ht="13.8" hidden="true" customHeight="false" outlineLevel="0" collapsed="false">
      <c r="A8086" s="0" t="s">
        <v>258</v>
      </c>
      <c r="B8086" s="0" t="n">
        <v>31</v>
      </c>
      <c r="C8086" s="0" t="n">
        <v>1.85</v>
      </c>
      <c r="D8086" s="0" t="n">
        <v>0</v>
      </c>
    </row>
    <row r="8087" customFormat="false" ht="13.8" hidden="true" customHeight="false" outlineLevel="0" collapsed="false">
      <c r="A8087" s="0" t="s">
        <v>258</v>
      </c>
      <c r="B8087" s="0" t="n">
        <v>31</v>
      </c>
      <c r="C8087" s="0" t="n">
        <v>1.9</v>
      </c>
      <c r="D8087" s="0" t="n">
        <v>0</v>
      </c>
    </row>
    <row r="8088" customFormat="false" ht="13.8" hidden="true" customHeight="false" outlineLevel="0" collapsed="false">
      <c r="A8088" s="0" t="s">
        <v>258</v>
      </c>
      <c r="B8088" s="0" t="n">
        <v>31</v>
      </c>
      <c r="C8088" s="0" t="n">
        <v>1.95</v>
      </c>
      <c r="D8088" s="0" t="n">
        <v>0</v>
      </c>
    </row>
    <row r="8089" customFormat="false" ht="13.8" hidden="true" customHeight="false" outlineLevel="0" collapsed="false">
      <c r="A8089" s="0" t="s">
        <v>258</v>
      </c>
      <c r="B8089" s="0" t="n">
        <v>31</v>
      </c>
      <c r="C8089" s="0" t="n">
        <v>2</v>
      </c>
      <c r="D8089" s="0" t="n">
        <v>0</v>
      </c>
    </row>
    <row r="8090" customFormat="false" ht="13.8" hidden="true" customHeight="false" outlineLevel="0" collapsed="false">
      <c r="A8090" s="0" t="s">
        <v>258</v>
      </c>
      <c r="B8090" s="0" t="n">
        <v>31</v>
      </c>
      <c r="C8090" s="0" t="n">
        <v>2.05</v>
      </c>
      <c r="D8090" s="0" t="n">
        <v>0</v>
      </c>
    </row>
    <row r="8091" customFormat="false" ht="13.8" hidden="true" customHeight="false" outlineLevel="0" collapsed="false">
      <c r="A8091" s="0" t="s">
        <v>258</v>
      </c>
      <c r="B8091" s="0" t="n">
        <v>31</v>
      </c>
      <c r="C8091" s="0" t="n">
        <v>2.1</v>
      </c>
      <c r="D8091" s="0" t="n">
        <v>0</v>
      </c>
    </row>
    <row r="8092" customFormat="false" ht="13.8" hidden="true" customHeight="false" outlineLevel="0" collapsed="false">
      <c r="A8092" s="0" t="s">
        <v>258</v>
      </c>
      <c r="B8092" s="0" t="n">
        <v>31</v>
      </c>
      <c r="C8092" s="0" t="n">
        <v>2.15</v>
      </c>
      <c r="D8092" s="0" t="n">
        <v>0</v>
      </c>
    </row>
    <row r="8093" customFormat="false" ht="13.8" hidden="true" customHeight="false" outlineLevel="0" collapsed="false">
      <c r="A8093" s="0" t="s">
        <v>258</v>
      </c>
      <c r="B8093" s="0" t="n">
        <v>31</v>
      </c>
      <c r="C8093" s="0" t="n">
        <v>2.2</v>
      </c>
      <c r="D8093" s="0" t="n">
        <v>0</v>
      </c>
    </row>
    <row r="8094" customFormat="false" ht="13.8" hidden="true" customHeight="false" outlineLevel="0" collapsed="false">
      <c r="A8094" s="0" t="s">
        <v>258</v>
      </c>
      <c r="B8094" s="0" t="n">
        <v>31</v>
      </c>
      <c r="C8094" s="0" t="n">
        <v>2.25</v>
      </c>
      <c r="D8094" s="0" t="n">
        <v>0</v>
      </c>
    </row>
    <row r="8095" customFormat="false" ht="13.8" hidden="true" customHeight="false" outlineLevel="0" collapsed="false">
      <c r="A8095" s="0" t="s">
        <v>258</v>
      </c>
      <c r="B8095" s="0" t="n">
        <v>31</v>
      </c>
      <c r="C8095" s="0" t="n">
        <v>2.3</v>
      </c>
      <c r="D8095" s="0" t="n">
        <v>0</v>
      </c>
    </row>
    <row r="8096" customFormat="false" ht="13.8" hidden="true" customHeight="false" outlineLevel="0" collapsed="false">
      <c r="A8096" s="0" t="s">
        <v>258</v>
      </c>
      <c r="B8096" s="0" t="n">
        <v>31</v>
      </c>
      <c r="C8096" s="0" t="n">
        <v>2.35</v>
      </c>
      <c r="D8096" s="0" t="n">
        <v>0.271524572</v>
      </c>
    </row>
    <row r="8097" customFormat="false" ht="13.8" hidden="true" customHeight="false" outlineLevel="0" collapsed="false">
      <c r="A8097" s="0" t="s">
        <v>258</v>
      </c>
      <c r="B8097" s="0" t="n">
        <v>31</v>
      </c>
      <c r="C8097" s="0" t="n">
        <v>2.4</v>
      </c>
      <c r="D8097" s="0" t="n">
        <v>0.27730169</v>
      </c>
    </row>
    <row r="8098" customFormat="false" ht="13.8" hidden="true" customHeight="false" outlineLevel="0" collapsed="false">
      <c r="A8098" s="0" t="s">
        <v>258</v>
      </c>
      <c r="B8098" s="0" t="n">
        <v>31</v>
      </c>
      <c r="C8098" s="0" t="n">
        <v>2.45</v>
      </c>
      <c r="D8098" s="0" t="n">
        <v>0.283078809</v>
      </c>
    </row>
    <row r="8099" customFormat="false" ht="13.8" hidden="true" customHeight="false" outlineLevel="0" collapsed="false">
      <c r="A8099" s="0" t="s">
        <v>258</v>
      </c>
      <c r="B8099" s="0" t="n">
        <v>31</v>
      </c>
      <c r="C8099" s="0" t="n">
        <v>2.5</v>
      </c>
      <c r="D8099" s="0" t="n">
        <v>0.288855927</v>
      </c>
    </row>
    <row r="8100" customFormat="false" ht="13.8" hidden="true" customHeight="false" outlineLevel="0" collapsed="false">
      <c r="A8100" s="0" t="s">
        <v>258</v>
      </c>
      <c r="B8100" s="0" t="n">
        <v>31</v>
      </c>
      <c r="C8100" s="0" t="n">
        <v>2.55</v>
      </c>
      <c r="D8100" s="0" t="n">
        <v>0.294633046</v>
      </c>
    </row>
    <row r="8101" customFormat="false" ht="13.8" hidden="true" customHeight="false" outlineLevel="0" collapsed="false">
      <c r="A8101" s="0" t="s">
        <v>258</v>
      </c>
      <c r="B8101" s="0" t="n">
        <v>31</v>
      </c>
      <c r="C8101" s="0" t="n">
        <v>2.6</v>
      </c>
      <c r="D8101" s="0" t="n">
        <v>0.300410164</v>
      </c>
    </row>
    <row r="8102" customFormat="false" ht="13.8" hidden="true" customHeight="false" outlineLevel="0" collapsed="false">
      <c r="A8102" s="0" t="s">
        <v>977</v>
      </c>
      <c r="B8102" s="0" t="n">
        <v>26</v>
      </c>
      <c r="C8102" s="0" t="n">
        <v>1.3</v>
      </c>
      <c r="D8102" s="0" t="n">
        <v>0</v>
      </c>
    </row>
    <row r="8103" customFormat="false" ht="13.8" hidden="true" customHeight="false" outlineLevel="0" collapsed="false">
      <c r="A8103" s="0" t="s">
        <v>977</v>
      </c>
      <c r="B8103" s="0" t="n">
        <v>26</v>
      </c>
      <c r="C8103" s="0" t="n">
        <v>1.35</v>
      </c>
      <c r="D8103" s="0" t="n">
        <v>0</v>
      </c>
    </row>
    <row r="8104" customFormat="false" ht="13.8" hidden="true" customHeight="false" outlineLevel="0" collapsed="false">
      <c r="A8104" s="0" t="s">
        <v>977</v>
      </c>
      <c r="B8104" s="0" t="n">
        <v>26</v>
      </c>
      <c r="C8104" s="0" t="n">
        <v>1.4</v>
      </c>
      <c r="D8104" s="0" t="n">
        <v>0</v>
      </c>
    </row>
    <row r="8105" customFormat="false" ht="13.8" hidden="true" customHeight="false" outlineLevel="0" collapsed="false">
      <c r="A8105" s="0" t="s">
        <v>977</v>
      </c>
      <c r="B8105" s="0" t="n">
        <v>26</v>
      </c>
      <c r="C8105" s="0" t="n">
        <v>1.45</v>
      </c>
      <c r="D8105" s="0" t="n">
        <v>0</v>
      </c>
    </row>
    <row r="8106" customFormat="false" ht="13.8" hidden="true" customHeight="false" outlineLevel="0" collapsed="false">
      <c r="A8106" s="0" t="s">
        <v>977</v>
      </c>
      <c r="B8106" s="0" t="n">
        <v>26</v>
      </c>
      <c r="C8106" s="0" t="n">
        <v>1.5</v>
      </c>
      <c r="D8106" s="0" t="n">
        <v>0</v>
      </c>
    </row>
    <row r="8107" customFormat="false" ht="13.8" hidden="true" customHeight="false" outlineLevel="0" collapsed="false">
      <c r="A8107" s="0" t="s">
        <v>977</v>
      </c>
      <c r="B8107" s="0" t="n">
        <v>26</v>
      </c>
      <c r="C8107" s="0" t="n">
        <v>1.55</v>
      </c>
      <c r="D8107" s="0" t="n">
        <v>0</v>
      </c>
    </row>
    <row r="8108" customFormat="false" ht="13.8" hidden="true" customHeight="false" outlineLevel="0" collapsed="false">
      <c r="A8108" s="0" t="s">
        <v>977</v>
      </c>
      <c r="B8108" s="0" t="n">
        <v>26</v>
      </c>
      <c r="C8108" s="0" t="n">
        <v>1.6</v>
      </c>
      <c r="D8108" s="0" t="n">
        <v>0</v>
      </c>
    </row>
    <row r="8109" customFormat="false" ht="13.8" hidden="true" customHeight="false" outlineLevel="0" collapsed="false">
      <c r="A8109" s="0" t="s">
        <v>977</v>
      </c>
      <c r="B8109" s="0" t="n">
        <v>26</v>
      </c>
      <c r="C8109" s="0" t="n">
        <v>1.65</v>
      </c>
      <c r="D8109" s="0" t="n">
        <v>0</v>
      </c>
    </row>
    <row r="8110" customFormat="false" ht="13.8" hidden="true" customHeight="false" outlineLevel="0" collapsed="false">
      <c r="A8110" s="0" t="s">
        <v>977</v>
      </c>
      <c r="B8110" s="0" t="n">
        <v>26</v>
      </c>
      <c r="C8110" s="0" t="n">
        <v>1.7</v>
      </c>
      <c r="D8110" s="0" t="n">
        <v>0</v>
      </c>
    </row>
    <row r="8111" customFormat="false" ht="13.8" hidden="true" customHeight="false" outlineLevel="0" collapsed="false">
      <c r="A8111" s="0" t="s">
        <v>977</v>
      </c>
      <c r="B8111" s="0" t="n">
        <v>26</v>
      </c>
      <c r="C8111" s="0" t="n">
        <v>1.75</v>
      </c>
      <c r="D8111" s="0" t="n">
        <v>0</v>
      </c>
    </row>
    <row r="8112" customFormat="false" ht="13.8" hidden="true" customHeight="false" outlineLevel="0" collapsed="false">
      <c r="A8112" s="0" t="s">
        <v>977</v>
      </c>
      <c r="B8112" s="0" t="n">
        <v>26</v>
      </c>
      <c r="C8112" s="0" t="n">
        <v>1.8</v>
      </c>
      <c r="D8112" s="0" t="n">
        <v>0.2</v>
      </c>
    </row>
    <row r="8113" customFormat="false" ht="13.8" hidden="true" customHeight="false" outlineLevel="0" collapsed="false">
      <c r="A8113" s="0" t="s">
        <v>977</v>
      </c>
      <c r="B8113" s="0" t="n">
        <v>26</v>
      </c>
      <c r="C8113" s="0" t="n">
        <v>1.85</v>
      </c>
      <c r="D8113" s="0" t="n">
        <v>0.206</v>
      </c>
    </row>
    <row r="8114" customFormat="false" ht="13.8" hidden="true" customHeight="false" outlineLevel="0" collapsed="false">
      <c r="A8114" s="0" t="s">
        <v>977</v>
      </c>
      <c r="B8114" s="0" t="n">
        <v>26</v>
      </c>
      <c r="C8114" s="0" t="n">
        <v>1.9</v>
      </c>
      <c r="D8114" s="0" t="n">
        <v>0.211</v>
      </c>
    </row>
    <row r="8115" customFormat="false" ht="13.8" hidden="true" customHeight="false" outlineLevel="0" collapsed="false">
      <c r="A8115" s="0" t="s">
        <v>977</v>
      </c>
      <c r="B8115" s="0" t="n">
        <v>26</v>
      </c>
      <c r="C8115" s="0" t="n">
        <v>1.95</v>
      </c>
      <c r="D8115" s="0" t="n">
        <v>0.217</v>
      </c>
    </row>
    <row r="8116" customFormat="false" ht="13.8" hidden="true" customHeight="false" outlineLevel="0" collapsed="false">
      <c r="A8116" s="0" t="s">
        <v>977</v>
      </c>
      <c r="B8116" s="0" t="n">
        <v>26</v>
      </c>
      <c r="C8116" s="0" t="n">
        <v>2</v>
      </c>
      <c r="D8116" s="0" t="n">
        <v>0.231</v>
      </c>
    </row>
    <row r="8117" customFormat="false" ht="13.8" hidden="true" customHeight="false" outlineLevel="0" collapsed="false">
      <c r="A8117" s="0" t="s">
        <v>977</v>
      </c>
      <c r="B8117" s="0" t="n">
        <v>26</v>
      </c>
      <c r="C8117" s="0" t="n">
        <v>2.05</v>
      </c>
      <c r="D8117" s="0" t="n">
        <v>0.237</v>
      </c>
    </row>
    <row r="8118" customFormat="false" ht="13.8" hidden="true" customHeight="false" outlineLevel="0" collapsed="false">
      <c r="A8118" s="0" t="s">
        <v>977</v>
      </c>
      <c r="B8118" s="0" t="n">
        <v>26</v>
      </c>
      <c r="C8118" s="0" t="n">
        <v>2.1</v>
      </c>
      <c r="D8118" s="0" t="n">
        <v>0.243</v>
      </c>
    </row>
    <row r="8119" customFormat="false" ht="13.8" hidden="true" customHeight="false" outlineLevel="0" collapsed="false">
      <c r="A8119" s="0" t="s">
        <v>977</v>
      </c>
      <c r="B8119" s="0" t="n">
        <v>26</v>
      </c>
      <c r="C8119" s="0" t="n">
        <v>2.15</v>
      </c>
      <c r="D8119" s="0" t="n">
        <v>0.248416097</v>
      </c>
    </row>
    <row r="8120" customFormat="false" ht="13.8" hidden="true" customHeight="false" outlineLevel="0" collapsed="false">
      <c r="A8120" s="0" t="s">
        <v>977</v>
      </c>
      <c r="B8120" s="0" t="n">
        <v>26</v>
      </c>
      <c r="C8120" s="0" t="n">
        <v>2.2</v>
      </c>
      <c r="D8120" s="0" t="n">
        <v>0.254193216</v>
      </c>
    </row>
    <row r="8121" customFormat="false" ht="13.8" hidden="true" customHeight="false" outlineLevel="0" collapsed="false">
      <c r="A8121" s="0" t="s">
        <v>977</v>
      </c>
      <c r="B8121" s="0" t="n">
        <v>26</v>
      </c>
      <c r="C8121" s="0" t="n">
        <v>2.25</v>
      </c>
      <c r="D8121" s="0" t="n">
        <v>0.259970334</v>
      </c>
    </row>
    <row r="8122" customFormat="false" ht="13.8" hidden="true" customHeight="false" outlineLevel="0" collapsed="false">
      <c r="A8122" s="0" t="s">
        <v>977</v>
      </c>
      <c r="B8122" s="0" t="n">
        <v>26</v>
      </c>
      <c r="C8122" s="0" t="n">
        <v>2.3</v>
      </c>
      <c r="D8122" s="0" t="n">
        <v>0</v>
      </c>
    </row>
    <row r="8123" customFormat="false" ht="13.8" hidden="true" customHeight="false" outlineLevel="0" collapsed="false">
      <c r="A8123" s="0" t="s">
        <v>977</v>
      </c>
      <c r="B8123" s="0" t="n">
        <v>26</v>
      </c>
      <c r="C8123" s="0" t="n">
        <v>2.35</v>
      </c>
      <c r="D8123" s="0" t="n">
        <v>0</v>
      </c>
    </row>
    <row r="8124" customFormat="false" ht="13.8" hidden="true" customHeight="false" outlineLevel="0" collapsed="false">
      <c r="A8124" s="0" t="s">
        <v>977</v>
      </c>
      <c r="B8124" s="0" t="n">
        <v>26</v>
      </c>
      <c r="C8124" s="0" t="n">
        <v>2.4</v>
      </c>
      <c r="D8124" s="0" t="n">
        <v>0</v>
      </c>
    </row>
    <row r="8125" customFormat="false" ht="13.8" hidden="true" customHeight="false" outlineLevel="0" collapsed="false">
      <c r="A8125" s="0" t="s">
        <v>977</v>
      </c>
      <c r="B8125" s="0" t="n">
        <v>26</v>
      </c>
      <c r="C8125" s="0" t="n">
        <v>2.45</v>
      </c>
      <c r="D8125" s="0" t="n">
        <v>0</v>
      </c>
    </row>
    <row r="8126" customFormat="false" ht="13.8" hidden="true" customHeight="false" outlineLevel="0" collapsed="false">
      <c r="A8126" s="0" t="s">
        <v>977</v>
      </c>
      <c r="B8126" s="0" t="n">
        <v>26</v>
      </c>
      <c r="C8126" s="0" t="n">
        <v>2.5</v>
      </c>
      <c r="D8126" s="0" t="n">
        <v>0</v>
      </c>
    </row>
    <row r="8127" customFormat="false" ht="13.8" hidden="true" customHeight="false" outlineLevel="0" collapsed="false">
      <c r="A8127" s="0" t="s">
        <v>977</v>
      </c>
      <c r="B8127" s="0" t="n">
        <v>26</v>
      </c>
      <c r="C8127" s="0" t="n">
        <v>2.55</v>
      </c>
      <c r="D8127" s="0" t="n">
        <v>0</v>
      </c>
    </row>
    <row r="8128" customFormat="false" ht="13.8" hidden="true" customHeight="false" outlineLevel="0" collapsed="false">
      <c r="A8128" s="0" t="s">
        <v>977</v>
      </c>
      <c r="B8128" s="0" t="n">
        <v>26</v>
      </c>
      <c r="C8128" s="0" t="n">
        <v>2.6</v>
      </c>
      <c r="D8128" s="0" t="n">
        <v>0</v>
      </c>
    </row>
    <row r="8129" customFormat="false" ht="13.8" hidden="true" customHeight="false" outlineLevel="0" collapsed="false">
      <c r="A8129" s="0" t="s">
        <v>977</v>
      </c>
      <c r="B8129" s="0" t="n">
        <v>30</v>
      </c>
      <c r="C8129" s="0" t="n">
        <v>1.3</v>
      </c>
      <c r="D8129" s="0" t="n">
        <v>0</v>
      </c>
    </row>
    <row r="8130" customFormat="false" ht="13.8" hidden="true" customHeight="false" outlineLevel="0" collapsed="false">
      <c r="A8130" s="0" t="s">
        <v>977</v>
      </c>
      <c r="B8130" s="0" t="n">
        <v>30</v>
      </c>
      <c r="C8130" s="0" t="n">
        <v>1.35</v>
      </c>
      <c r="D8130" s="0" t="n">
        <v>0</v>
      </c>
    </row>
    <row r="8131" customFormat="false" ht="13.8" hidden="true" customHeight="false" outlineLevel="0" collapsed="false">
      <c r="A8131" s="0" t="s">
        <v>977</v>
      </c>
      <c r="B8131" s="0" t="n">
        <v>30</v>
      </c>
      <c r="C8131" s="0" t="n">
        <v>1.4</v>
      </c>
      <c r="D8131" s="0" t="n">
        <v>0</v>
      </c>
    </row>
    <row r="8132" customFormat="false" ht="13.8" hidden="true" customHeight="false" outlineLevel="0" collapsed="false">
      <c r="A8132" s="0" t="s">
        <v>977</v>
      </c>
      <c r="B8132" s="0" t="n">
        <v>30</v>
      </c>
      <c r="C8132" s="0" t="n">
        <v>1.45</v>
      </c>
      <c r="D8132" s="0" t="n">
        <v>0</v>
      </c>
    </row>
    <row r="8133" customFormat="false" ht="13.8" hidden="true" customHeight="false" outlineLevel="0" collapsed="false">
      <c r="A8133" s="0" t="s">
        <v>977</v>
      </c>
      <c r="B8133" s="0" t="n">
        <v>30</v>
      </c>
      <c r="C8133" s="0" t="n">
        <v>1.5</v>
      </c>
      <c r="D8133" s="0" t="n">
        <v>0</v>
      </c>
    </row>
    <row r="8134" customFormat="false" ht="13.8" hidden="true" customHeight="false" outlineLevel="0" collapsed="false">
      <c r="A8134" s="0" t="s">
        <v>977</v>
      </c>
      <c r="B8134" s="0" t="n">
        <v>30</v>
      </c>
      <c r="C8134" s="0" t="n">
        <v>1.55</v>
      </c>
      <c r="D8134" s="0" t="n">
        <v>0</v>
      </c>
    </row>
    <row r="8135" customFormat="false" ht="13.8" hidden="true" customHeight="false" outlineLevel="0" collapsed="false">
      <c r="A8135" s="0" t="s">
        <v>977</v>
      </c>
      <c r="B8135" s="0" t="n">
        <v>30</v>
      </c>
      <c r="C8135" s="0" t="n">
        <v>1.6</v>
      </c>
      <c r="D8135" s="0" t="n">
        <v>0</v>
      </c>
    </row>
    <row r="8136" customFormat="false" ht="13.8" hidden="true" customHeight="false" outlineLevel="0" collapsed="false">
      <c r="A8136" s="0" t="s">
        <v>977</v>
      </c>
      <c r="B8136" s="0" t="n">
        <v>30</v>
      </c>
      <c r="C8136" s="0" t="n">
        <v>1.65</v>
      </c>
      <c r="D8136" s="0" t="n">
        <v>0</v>
      </c>
    </row>
    <row r="8137" customFormat="false" ht="13.8" hidden="true" customHeight="false" outlineLevel="0" collapsed="false">
      <c r="A8137" s="0" t="s">
        <v>977</v>
      </c>
      <c r="B8137" s="0" t="n">
        <v>30</v>
      </c>
      <c r="C8137" s="0" t="n">
        <v>1.7</v>
      </c>
      <c r="D8137" s="0" t="n">
        <v>0</v>
      </c>
    </row>
    <row r="8138" customFormat="false" ht="13.8" hidden="true" customHeight="false" outlineLevel="0" collapsed="false">
      <c r="A8138" s="0" t="s">
        <v>977</v>
      </c>
      <c r="B8138" s="0" t="n">
        <v>30</v>
      </c>
      <c r="C8138" s="0" t="n">
        <v>1.75</v>
      </c>
      <c r="D8138" s="0" t="n">
        <v>0</v>
      </c>
    </row>
    <row r="8139" customFormat="false" ht="13.8" hidden="true" customHeight="false" outlineLevel="0" collapsed="false">
      <c r="A8139" s="0" t="s">
        <v>977</v>
      </c>
      <c r="B8139" s="0" t="n">
        <v>30</v>
      </c>
      <c r="C8139" s="0" t="n">
        <v>1.8</v>
      </c>
      <c r="D8139" s="0" t="n">
        <v>0</v>
      </c>
    </row>
    <row r="8140" customFormat="false" ht="13.8" hidden="true" customHeight="false" outlineLevel="0" collapsed="false">
      <c r="A8140" s="0" t="s">
        <v>977</v>
      </c>
      <c r="B8140" s="0" t="n">
        <v>30</v>
      </c>
      <c r="C8140" s="0" t="n">
        <v>1.85</v>
      </c>
      <c r="D8140" s="0" t="n">
        <v>0</v>
      </c>
    </row>
    <row r="8141" customFormat="false" ht="13.8" hidden="true" customHeight="false" outlineLevel="0" collapsed="false">
      <c r="A8141" s="0" t="s">
        <v>977</v>
      </c>
      <c r="B8141" s="0" t="n">
        <v>30</v>
      </c>
      <c r="C8141" s="0" t="n">
        <v>1.9</v>
      </c>
      <c r="D8141" s="0" t="n">
        <v>0</v>
      </c>
    </row>
    <row r="8142" customFormat="false" ht="13.8" hidden="true" customHeight="false" outlineLevel="0" collapsed="false">
      <c r="A8142" s="0" t="s">
        <v>977</v>
      </c>
      <c r="B8142" s="0" t="n">
        <v>30</v>
      </c>
      <c r="C8142" s="0" t="n">
        <v>1.95</v>
      </c>
      <c r="D8142" s="0" t="n">
        <v>0</v>
      </c>
    </row>
    <row r="8143" customFormat="false" ht="13.8" hidden="true" customHeight="false" outlineLevel="0" collapsed="false">
      <c r="A8143" s="0" t="s">
        <v>977</v>
      </c>
      <c r="B8143" s="0" t="n">
        <v>30</v>
      </c>
      <c r="C8143" s="0" t="n">
        <v>2</v>
      </c>
      <c r="D8143" s="0" t="n">
        <v>0.231</v>
      </c>
    </row>
    <row r="8144" customFormat="false" ht="13.8" hidden="true" customHeight="false" outlineLevel="0" collapsed="false">
      <c r="A8144" s="0" t="s">
        <v>977</v>
      </c>
      <c r="B8144" s="0" t="n">
        <v>30</v>
      </c>
      <c r="C8144" s="0" t="n">
        <v>2.05</v>
      </c>
      <c r="D8144" s="0" t="n">
        <v>0.237</v>
      </c>
    </row>
    <row r="8145" customFormat="false" ht="13.8" hidden="true" customHeight="false" outlineLevel="0" collapsed="false">
      <c r="A8145" s="0" t="s">
        <v>977</v>
      </c>
      <c r="B8145" s="0" t="n">
        <v>30</v>
      </c>
      <c r="C8145" s="0" t="n">
        <v>2.1</v>
      </c>
      <c r="D8145" s="0" t="n">
        <v>0.243</v>
      </c>
    </row>
    <row r="8146" customFormat="false" ht="13.8" hidden="true" customHeight="false" outlineLevel="0" collapsed="false">
      <c r="A8146" s="0" t="s">
        <v>977</v>
      </c>
      <c r="B8146" s="0" t="n">
        <v>30</v>
      </c>
      <c r="C8146" s="0" t="n">
        <v>2.15</v>
      </c>
      <c r="D8146" s="0" t="n">
        <v>0.248416097</v>
      </c>
    </row>
    <row r="8147" customFormat="false" ht="13.8" hidden="true" customHeight="false" outlineLevel="0" collapsed="false">
      <c r="A8147" s="0" t="s">
        <v>977</v>
      </c>
      <c r="B8147" s="0" t="n">
        <v>30</v>
      </c>
      <c r="C8147" s="0" t="n">
        <v>2.2</v>
      </c>
      <c r="D8147" s="0" t="n">
        <v>0.254193216</v>
      </c>
    </row>
    <row r="8148" customFormat="false" ht="13.8" hidden="true" customHeight="false" outlineLevel="0" collapsed="false">
      <c r="A8148" s="0" t="s">
        <v>977</v>
      </c>
      <c r="B8148" s="0" t="n">
        <v>30</v>
      </c>
      <c r="C8148" s="0" t="n">
        <v>2.25</v>
      </c>
      <c r="D8148" s="0" t="n">
        <v>0.259970334</v>
      </c>
    </row>
    <row r="8149" customFormat="false" ht="13.8" hidden="true" customHeight="false" outlineLevel="0" collapsed="false">
      <c r="A8149" s="0" t="s">
        <v>977</v>
      </c>
      <c r="B8149" s="0" t="n">
        <v>30</v>
      </c>
      <c r="C8149" s="0" t="n">
        <v>2.3</v>
      </c>
      <c r="D8149" s="0" t="n">
        <v>0</v>
      </c>
    </row>
    <row r="8150" customFormat="false" ht="13.8" hidden="true" customHeight="false" outlineLevel="0" collapsed="false">
      <c r="A8150" s="0" t="s">
        <v>977</v>
      </c>
      <c r="B8150" s="0" t="n">
        <v>30</v>
      </c>
      <c r="C8150" s="0" t="n">
        <v>2.35</v>
      </c>
      <c r="D8150" s="0" t="n">
        <v>0</v>
      </c>
    </row>
    <row r="8151" customFormat="false" ht="13.8" hidden="true" customHeight="false" outlineLevel="0" collapsed="false">
      <c r="A8151" s="0" t="s">
        <v>977</v>
      </c>
      <c r="B8151" s="0" t="n">
        <v>30</v>
      </c>
      <c r="C8151" s="0" t="n">
        <v>2.4</v>
      </c>
      <c r="D8151" s="0" t="n">
        <v>0</v>
      </c>
    </row>
    <row r="8152" customFormat="false" ht="13.8" hidden="true" customHeight="false" outlineLevel="0" collapsed="false">
      <c r="A8152" s="0" t="s">
        <v>977</v>
      </c>
      <c r="B8152" s="0" t="n">
        <v>30</v>
      </c>
      <c r="C8152" s="0" t="n">
        <v>2.45</v>
      </c>
      <c r="D8152" s="0" t="n">
        <v>0</v>
      </c>
    </row>
    <row r="8153" customFormat="false" ht="13.8" hidden="true" customHeight="false" outlineLevel="0" collapsed="false">
      <c r="A8153" s="0" t="s">
        <v>977</v>
      </c>
      <c r="B8153" s="0" t="n">
        <v>30</v>
      </c>
      <c r="C8153" s="0" t="n">
        <v>2.5</v>
      </c>
      <c r="D8153" s="0" t="n">
        <v>0</v>
      </c>
    </row>
    <row r="8154" customFormat="false" ht="13.8" hidden="true" customHeight="false" outlineLevel="0" collapsed="false">
      <c r="A8154" s="0" t="s">
        <v>977</v>
      </c>
      <c r="B8154" s="0" t="n">
        <v>30</v>
      </c>
      <c r="C8154" s="0" t="n">
        <v>2.55</v>
      </c>
      <c r="D8154" s="0" t="n">
        <v>0</v>
      </c>
    </row>
    <row r="8155" customFormat="false" ht="13.8" hidden="true" customHeight="false" outlineLevel="0" collapsed="false">
      <c r="A8155" s="0" t="s">
        <v>977</v>
      </c>
      <c r="B8155" s="0" t="n">
        <v>30</v>
      </c>
      <c r="C8155" s="0" t="n">
        <v>2.6</v>
      </c>
      <c r="D8155" s="0" t="n">
        <v>0</v>
      </c>
    </row>
    <row r="8156" customFormat="false" ht="13.8" hidden="true" customHeight="false" outlineLevel="0" collapsed="false">
      <c r="A8156" s="0" t="s">
        <v>977</v>
      </c>
      <c r="B8156" s="0" t="n">
        <v>31</v>
      </c>
      <c r="C8156" s="0" t="n">
        <v>1.3</v>
      </c>
      <c r="D8156" s="0" t="n">
        <v>0</v>
      </c>
    </row>
    <row r="8157" customFormat="false" ht="13.8" hidden="true" customHeight="false" outlineLevel="0" collapsed="false">
      <c r="A8157" s="0" t="s">
        <v>977</v>
      </c>
      <c r="B8157" s="0" t="n">
        <v>31</v>
      </c>
      <c r="C8157" s="0" t="n">
        <v>1.35</v>
      </c>
      <c r="D8157" s="0" t="n">
        <v>0</v>
      </c>
    </row>
    <row r="8158" customFormat="false" ht="13.8" hidden="true" customHeight="false" outlineLevel="0" collapsed="false">
      <c r="A8158" s="0" t="s">
        <v>977</v>
      </c>
      <c r="B8158" s="0" t="n">
        <v>31</v>
      </c>
      <c r="C8158" s="0" t="n">
        <v>1.4</v>
      </c>
      <c r="D8158" s="0" t="n">
        <v>0</v>
      </c>
    </row>
    <row r="8159" customFormat="false" ht="13.8" hidden="true" customHeight="false" outlineLevel="0" collapsed="false">
      <c r="A8159" s="0" t="s">
        <v>977</v>
      </c>
      <c r="B8159" s="0" t="n">
        <v>31</v>
      </c>
      <c r="C8159" s="0" t="n">
        <v>1.45</v>
      </c>
      <c r="D8159" s="0" t="n">
        <v>0</v>
      </c>
    </row>
    <row r="8160" customFormat="false" ht="13.8" hidden="true" customHeight="false" outlineLevel="0" collapsed="false">
      <c r="A8160" s="0" t="s">
        <v>977</v>
      </c>
      <c r="B8160" s="0" t="n">
        <v>31</v>
      </c>
      <c r="C8160" s="0" t="n">
        <v>1.5</v>
      </c>
      <c r="D8160" s="0" t="n">
        <v>0</v>
      </c>
    </row>
    <row r="8161" customFormat="false" ht="13.8" hidden="true" customHeight="false" outlineLevel="0" collapsed="false">
      <c r="A8161" s="0" t="s">
        <v>977</v>
      </c>
      <c r="B8161" s="0" t="n">
        <v>31</v>
      </c>
      <c r="C8161" s="0" t="n">
        <v>1.55</v>
      </c>
      <c r="D8161" s="0" t="n">
        <v>0</v>
      </c>
    </row>
    <row r="8162" customFormat="false" ht="13.8" hidden="true" customHeight="false" outlineLevel="0" collapsed="false">
      <c r="A8162" s="0" t="s">
        <v>977</v>
      </c>
      <c r="B8162" s="0" t="n">
        <v>31</v>
      </c>
      <c r="C8162" s="0" t="n">
        <v>1.6</v>
      </c>
      <c r="D8162" s="0" t="n">
        <v>0</v>
      </c>
    </row>
    <row r="8163" customFormat="false" ht="13.8" hidden="true" customHeight="false" outlineLevel="0" collapsed="false">
      <c r="A8163" s="0" t="s">
        <v>977</v>
      </c>
      <c r="B8163" s="0" t="n">
        <v>31</v>
      </c>
      <c r="C8163" s="0" t="n">
        <v>1.65</v>
      </c>
      <c r="D8163" s="0" t="n">
        <v>0</v>
      </c>
    </row>
    <row r="8164" customFormat="false" ht="13.8" hidden="true" customHeight="false" outlineLevel="0" collapsed="false">
      <c r="A8164" s="0" t="s">
        <v>977</v>
      </c>
      <c r="B8164" s="0" t="n">
        <v>31</v>
      </c>
      <c r="C8164" s="0" t="n">
        <v>1.7</v>
      </c>
      <c r="D8164" s="0" t="n">
        <v>0</v>
      </c>
    </row>
    <row r="8165" customFormat="false" ht="13.8" hidden="true" customHeight="false" outlineLevel="0" collapsed="false">
      <c r="A8165" s="0" t="s">
        <v>977</v>
      </c>
      <c r="B8165" s="0" t="n">
        <v>31</v>
      </c>
      <c r="C8165" s="0" t="n">
        <v>1.75</v>
      </c>
      <c r="D8165" s="0" t="n">
        <v>0</v>
      </c>
    </row>
    <row r="8166" customFormat="false" ht="13.8" hidden="true" customHeight="false" outlineLevel="0" collapsed="false">
      <c r="A8166" s="0" t="s">
        <v>977</v>
      </c>
      <c r="B8166" s="0" t="n">
        <v>31</v>
      </c>
      <c r="C8166" s="0" t="n">
        <v>1.8</v>
      </c>
      <c r="D8166" s="0" t="n">
        <v>0.2</v>
      </c>
    </row>
    <row r="8167" customFormat="false" ht="13.8" hidden="true" customHeight="false" outlineLevel="0" collapsed="false">
      <c r="A8167" s="0" t="s">
        <v>977</v>
      </c>
      <c r="B8167" s="0" t="n">
        <v>31</v>
      </c>
      <c r="C8167" s="0" t="n">
        <v>1.85</v>
      </c>
      <c r="D8167" s="0" t="n">
        <v>0.206</v>
      </c>
    </row>
    <row r="8168" customFormat="false" ht="13.8" hidden="true" customHeight="false" outlineLevel="0" collapsed="false">
      <c r="A8168" s="0" t="s">
        <v>977</v>
      </c>
      <c r="B8168" s="0" t="n">
        <v>31</v>
      </c>
      <c r="C8168" s="0" t="n">
        <v>1.9</v>
      </c>
      <c r="D8168" s="0" t="n">
        <v>0.211</v>
      </c>
    </row>
    <row r="8169" customFormat="false" ht="13.8" hidden="true" customHeight="false" outlineLevel="0" collapsed="false">
      <c r="A8169" s="0" t="s">
        <v>977</v>
      </c>
      <c r="B8169" s="0" t="n">
        <v>31</v>
      </c>
      <c r="C8169" s="0" t="n">
        <v>1.95</v>
      </c>
      <c r="D8169" s="0" t="n">
        <v>0.217</v>
      </c>
    </row>
    <row r="8170" customFormat="false" ht="13.8" hidden="true" customHeight="false" outlineLevel="0" collapsed="false">
      <c r="A8170" s="0" t="s">
        <v>977</v>
      </c>
      <c r="B8170" s="0" t="n">
        <v>31</v>
      </c>
      <c r="C8170" s="0" t="n">
        <v>2</v>
      </c>
      <c r="D8170" s="0" t="n">
        <v>0.231</v>
      </c>
    </row>
    <row r="8171" customFormat="false" ht="13.8" hidden="true" customHeight="false" outlineLevel="0" collapsed="false">
      <c r="A8171" s="0" t="s">
        <v>977</v>
      </c>
      <c r="B8171" s="0" t="n">
        <v>31</v>
      </c>
      <c r="C8171" s="0" t="n">
        <v>2.05</v>
      </c>
      <c r="D8171" s="0" t="n">
        <v>0.237</v>
      </c>
    </row>
    <row r="8172" customFormat="false" ht="13.8" hidden="true" customHeight="false" outlineLevel="0" collapsed="false">
      <c r="A8172" s="0" t="s">
        <v>977</v>
      </c>
      <c r="B8172" s="0" t="n">
        <v>31</v>
      </c>
      <c r="C8172" s="0" t="n">
        <v>2.1</v>
      </c>
      <c r="D8172" s="0" t="n">
        <v>0.243</v>
      </c>
    </row>
    <row r="8173" customFormat="false" ht="13.8" hidden="true" customHeight="false" outlineLevel="0" collapsed="false">
      <c r="A8173" s="0" t="s">
        <v>977</v>
      </c>
      <c r="B8173" s="0" t="n">
        <v>31</v>
      </c>
      <c r="C8173" s="0" t="n">
        <v>2.15</v>
      </c>
      <c r="D8173" s="0" t="n">
        <v>0.248416097</v>
      </c>
    </row>
    <row r="8174" customFormat="false" ht="13.8" hidden="true" customHeight="false" outlineLevel="0" collapsed="false">
      <c r="A8174" s="0" t="s">
        <v>977</v>
      </c>
      <c r="B8174" s="0" t="n">
        <v>31</v>
      </c>
      <c r="C8174" s="0" t="n">
        <v>2.2</v>
      </c>
      <c r="D8174" s="0" t="n">
        <v>0.254193216</v>
      </c>
    </row>
    <row r="8175" customFormat="false" ht="13.8" hidden="true" customHeight="false" outlineLevel="0" collapsed="false">
      <c r="A8175" s="0" t="s">
        <v>977</v>
      </c>
      <c r="B8175" s="0" t="n">
        <v>31</v>
      </c>
      <c r="C8175" s="0" t="n">
        <v>2.25</v>
      </c>
      <c r="D8175" s="0" t="n">
        <v>0.259970334</v>
      </c>
    </row>
    <row r="8176" customFormat="false" ht="13.8" hidden="true" customHeight="false" outlineLevel="0" collapsed="false">
      <c r="A8176" s="0" t="s">
        <v>977</v>
      </c>
      <c r="B8176" s="0" t="n">
        <v>31</v>
      </c>
      <c r="C8176" s="0" t="n">
        <v>2.3</v>
      </c>
      <c r="D8176" s="0" t="n">
        <v>0</v>
      </c>
    </row>
    <row r="8177" customFormat="false" ht="13.8" hidden="true" customHeight="false" outlineLevel="0" collapsed="false">
      <c r="A8177" s="0" t="s">
        <v>977</v>
      </c>
      <c r="B8177" s="0" t="n">
        <v>31</v>
      </c>
      <c r="C8177" s="0" t="n">
        <v>2.35</v>
      </c>
      <c r="D8177" s="0" t="n">
        <v>0</v>
      </c>
    </row>
    <row r="8178" customFormat="false" ht="13.8" hidden="true" customHeight="false" outlineLevel="0" collapsed="false">
      <c r="A8178" s="0" t="s">
        <v>977</v>
      </c>
      <c r="B8178" s="0" t="n">
        <v>31</v>
      </c>
      <c r="C8178" s="0" t="n">
        <v>2.4</v>
      </c>
      <c r="D8178" s="0" t="n">
        <v>0</v>
      </c>
    </row>
    <row r="8179" customFormat="false" ht="13.8" hidden="true" customHeight="false" outlineLevel="0" collapsed="false">
      <c r="A8179" s="0" t="s">
        <v>977</v>
      </c>
      <c r="B8179" s="0" t="n">
        <v>31</v>
      </c>
      <c r="C8179" s="0" t="n">
        <v>2.45</v>
      </c>
      <c r="D8179" s="0" t="n">
        <v>0</v>
      </c>
    </row>
    <row r="8180" customFormat="false" ht="13.8" hidden="true" customHeight="false" outlineLevel="0" collapsed="false">
      <c r="A8180" s="0" t="s">
        <v>977</v>
      </c>
      <c r="B8180" s="0" t="n">
        <v>31</v>
      </c>
      <c r="C8180" s="0" t="n">
        <v>2.5</v>
      </c>
      <c r="D8180" s="0" t="n">
        <v>0</v>
      </c>
    </row>
    <row r="8181" customFormat="false" ht="13.8" hidden="true" customHeight="false" outlineLevel="0" collapsed="false">
      <c r="A8181" s="0" t="s">
        <v>977</v>
      </c>
      <c r="B8181" s="0" t="n">
        <v>31</v>
      </c>
      <c r="C8181" s="0" t="n">
        <v>2.55</v>
      </c>
      <c r="D8181" s="0" t="n">
        <v>0</v>
      </c>
    </row>
    <row r="8182" customFormat="false" ht="13.8" hidden="true" customHeight="false" outlineLevel="0" collapsed="false">
      <c r="A8182" s="0" t="s">
        <v>977</v>
      </c>
      <c r="B8182" s="0" t="n">
        <v>31</v>
      </c>
      <c r="C8182" s="0" t="n">
        <v>2.6</v>
      </c>
      <c r="D8182" s="0" t="n">
        <v>0</v>
      </c>
    </row>
    <row r="8183" customFormat="false" ht="13.8" hidden="true" customHeight="false" outlineLevel="0" collapsed="false">
      <c r="A8183" s="0" t="s">
        <v>979</v>
      </c>
      <c r="B8183" s="0" t="n">
        <v>26</v>
      </c>
      <c r="C8183" s="0" t="n">
        <v>1.3</v>
      </c>
      <c r="D8183" s="0" t="n">
        <v>0</v>
      </c>
    </row>
    <row r="8184" customFormat="false" ht="13.8" hidden="true" customHeight="false" outlineLevel="0" collapsed="false">
      <c r="A8184" s="0" t="s">
        <v>979</v>
      </c>
      <c r="B8184" s="0" t="n">
        <v>26</v>
      </c>
      <c r="C8184" s="0" t="n">
        <v>1.35</v>
      </c>
      <c r="D8184" s="0" t="n">
        <v>0</v>
      </c>
    </row>
    <row r="8185" customFormat="false" ht="13.8" hidden="true" customHeight="false" outlineLevel="0" collapsed="false">
      <c r="A8185" s="0" t="s">
        <v>979</v>
      </c>
      <c r="B8185" s="0" t="n">
        <v>26</v>
      </c>
      <c r="C8185" s="0" t="n">
        <v>1.4</v>
      </c>
      <c r="D8185" s="0" t="n">
        <v>0</v>
      </c>
    </row>
    <row r="8186" customFormat="false" ht="13.8" hidden="true" customHeight="false" outlineLevel="0" collapsed="false">
      <c r="A8186" s="0" t="s">
        <v>979</v>
      </c>
      <c r="B8186" s="0" t="n">
        <v>26</v>
      </c>
      <c r="C8186" s="0" t="n">
        <v>1.45</v>
      </c>
      <c r="D8186" s="0" t="n">
        <v>0</v>
      </c>
    </row>
    <row r="8187" customFormat="false" ht="13.8" hidden="true" customHeight="false" outlineLevel="0" collapsed="false">
      <c r="A8187" s="0" t="s">
        <v>979</v>
      </c>
      <c r="B8187" s="0" t="n">
        <v>26</v>
      </c>
      <c r="C8187" s="0" t="n">
        <v>1.5</v>
      </c>
      <c r="D8187" s="0" t="n">
        <v>0</v>
      </c>
    </row>
    <row r="8188" customFormat="false" ht="13.8" hidden="true" customHeight="false" outlineLevel="0" collapsed="false">
      <c r="A8188" s="0" t="s">
        <v>979</v>
      </c>
      <c r="B8188" s="0" t="n">
        <v>26</v>
      </c>
      <c r="C8188" s="0" t="n">
        <v>1.55</v>
      </c>
      <c r="D8188" s="0" t="n">
        <v>0</v>
      </c>
    </row>
    <row r="8189" customFormat="false" ht="13.8" hidden="true" customHeight="false" outlineLevel="0" collapsed="false">
      <c r="A8189" s="0" t="s">
        <v>979</v>
      </c>
      <c r="B8189" s="0" t="n">
        <v>26</v>
      </c>
      <c r="C8189" s="0" t="n">
        <v>1.6</v>
      </c>
      <c r="D8189" s="0" t="n">
        <v>0.178</v>
      </c>
    </row>
    <row r="8190" customFormat="false" ht="13.8" hidden="true" customHeight="false" outlineLevel="0" collapsed="false">
      <c r="A8190" s="0" t="s">
        <v>979</v>
      </c>
      <c r="B8190" s="0" t="n">
        <v>26</v>
      </c>
      <c r="C8190" s="0" t="n">
        <v>1.65</v>
      </c>
      <c r="D8190" s="0" t="n">
        <v>0.183</v>
      </c>
    </row>
    <row r="8191" customFormat="false" ht="13.8" hidden="true" customHeight="false" outlineLevel="0" collapsed="false">
      <c r="A8191" s="0" t="s">
        <v>979</v>
      </c>
      <c r="B8191" s="0" t="n">
        <v>26</v>
      </c>
      <c r="C8191" s="0" t="n">
        <v>1.7</v>
      </c>
      <c r="D8191" s="0" t="n">
        <v>0.189</v>
      </c>
    </row>
    <row r="8192" customFormat="false" ht="13.8" hidden="true" customHeight="false" outlineLevel="0" collapsed="false">
      <c r="A8192" s="0" t="s">
        <v>979</v>
      </c>
      <c r="B8192" s="0" t="n">
        <v>26</v>
      </c>
      <c r="C8192" s="0" t="n">
        <v>1.75</v>
      </c>
      <c r="D8192" s="0" t="n">
        <v>0.194</v>
      </c>
    </row>
    <row r="8193" customFormat="false" ht="13.8" hidden="true" customHeight="false" outlineLevel="0" collapsed="false">
      <c r="A8193" s="0" t="s">
        <v>979</v>
      </c>
      <c r="B8193" s="0" t="n">
        <v>26</v>
      </c>
      <c r="C8193" s="0" t="n">
        <v>1.8</v>
      </c>
      <c r="D8193" s="0" t="n">
        <v>0.2</v>
      </c>
    </row>
    <row r="8194" customFormat="false" ht="13.8" hidden="true" customHeight="false" outlineLevel="0" collapsed="false">
      <c r="A8194" s="0" t="s">
        <v>979</v>
      </c>
      <c r="B8194" s="0" t="n">
        <v>26</v>
      </c>
      <c r="C8194" s="0" t="n">
        <v>1.85</v>
      </c>
      <c r="D8194" s="0" t="n">
        <v>0.206</v>
      </c>
    </row>
    <row r="8195" customFormat="false" ht="13.8" hidden="true" customHeight="false" outlineLevel="0" collapsed="false">
      <c r="A8195" s="0" t="s">
        <v>979</v>
      </c>
      <c r="B8195" s="0" t="n">
        <v>26</v>
      </c>
      <c r="C8195" s="0" t="n">
        <v>1.9</v>
      </c>
      <c r="D8195" s="0" t="n">
        <v>0.211</v>
      </c>
    </row>
    <row r="8196" customFormat="false" ht="13.8" hidden="true" customHeight="false" outlineLevel="0" collapsed="false">
      <c r="A8196" s="0" t="s">
        <v>979</v>
      </c>
      <c r="B8196" s="0" t="n">
        <v>26</v>
      </c>
      <c r="C8196" s="0" t="n">
        <v>1.95</v>
      </c>
      <c r="D8196" s="0" t="n">
        <v>0.217</v>
      </c>
    </row>
    <row r="8197" customFormat="false" ht="13.8" hidden="true" customHeight="false" outlineLevel="0" collapsed="false">
      <c r="A8197" s="0" t="s">
        <v>979</v>
      </c>
      <c r="B8197" s="0" t="n">
        <v>26</v>
      </c>
      <c r="C8197" s="0" t="n">
        <v>2</v>
      </c>
      <c r="D8197" s="0" t="n">
        <v>0</v>
      </c>
    </row>
    <row r="8198" customFormat="false" ht="13.8" hidden="true" customHeight="false" outlineLevel="0" collapsed="false">
      <c r="A8198" s="0" t="s">
        <v>979</v>
      </c>
      <c r="B8198" s="0" t="n">
        <v>26</v>
      </c>
      <c r="C8198" s="0" t="n">
        <v>2.05</v>
      </c>
      <c r="D8198" s="0" t="n">
        <v>0</v>
      </c>
    </row>
    <row r="8199" customFormat="false" ht="13.8" hidden="true" customHeight="false" outlineLevel="0" collapsed="false">
      <c r="A8199" s="0" t="s">
        <v>979</v>
      </c>
      <c r="B8199" s="0" t="n">
        <v>26</v>
      </c>
      <c r="C8199" s="0" t="n">
        <v>2.1</v>
      </c>
      <c r="D8199" s="0" t="n">
        <v>0</v>
      </c>
    </row>
    <row r="8200" customFormat="false" ht="13.8" hidden="true" customHeight="false" outlineLevel="0" collapsed="false">
      <c r="A8200" s="0" t="s">
        <v>979</v>
      </c>
      <c r="B8200" s="0" t="n">
        <v>26</v>
      </c>
      <c r="C8200" s="0" t="n">
        <v>2.15</v>
      </c>
      <c r="D8200" s="0" t="n">
        <v>0</v>
      </c>
    </row>
    <row r="8201" customFormat="false" ht="13.8" hidden="true" customHeight="false" outlineLevel="0" collapsed="false">
      <c r="A8201" s="0" t="s">
        <v>979</v>
      </c>
      <c r="B8201" s="0" t="n">
        <v>26</v>
      </c>
      <c r="C8201" s="0" t="n">
        <v>2.2</v>
      </c>
      <c r="D8201" s="0" t="n">
        <v>0</v>
      </c>
    </row>
    <row r="8202" customFormat="false" ht="13.8" hidden="true" customHeight="false" outlineLevel="0" collapsed="false">
      <c r="A8202" s="0" t="s">
        <v>979</v>
      </c>
      <c r="B8202" s="0" t="n">
        <v>26</v>
      </c>
      <c r="C8202" s="0" t="n">
        <v>2.25</v>
      </c>
      <c r="D8202" s="0" t="n">
        <v>0</v>
      </c>
    </row>
    <row r="8203" customFormat="false" ht="13.8" hidden="true" customHeight="false" outlineLevel="0" collapsed="false">
      <c r="A8203" s="0" t="s">
        <v>979</v>
      </c>
      <c r="B8203" s="0" t="n">
        <v>26</v>
      </c>
      <c r="C8203" s="0" t="n">
        <v>2.3</v>
      </c>
      <c r="D8203" s="0" t="n">
        <v>0</v>
      </c>
    </row>
    <row r="8204" customFormat="false" ht="13.8" hidden="true" customHeight="false" outlineLevel="0" collapsed="false">
      <c r="A8204" s="0" t="s">
        <v>979</v>
      </c>
      <c r="B8204" s="0" t="n">
        <v>26</v>
      </c>
      <c r="C8204" s="0" t="n">
        <v>2.35</v>
      </c>
      <c r="D8204" s="0" t="n">
        <v>0</v>
      </c>
    </row>
    <row r="8205" customFormat="false" ht="13.8" hidden="true" customHeight="false" outlineLevel="0" collapsed="false">
      <c r="A8205" s="0" t="s">
        <v>979</v>
      </c>
      <c r="B8205" s="0" t="n">
        <v>26</v>
      </c>
      <c r="C8205" s="0" t="n">
        <v>2.4</v>
      </c>
      <c r="D8205" s="0" t="n">
        <v>0</v>
      </c>
    </row>
    <row r="8206" customFormat="false" ht="13.8" hidden="true" customHeight="false" outlineLevel="0" collapsed="false">
      <c r="A8206" s="0" t="s">
        <v>979</v>
      </c>
      <c r="B8206" s="0" t="n">
        <v>26</v>
      </c>
      <c r="C8206" s="0" t="n">
        <v>2.45</v>
      </c>
      <c r="D8206" s="0" t="n">
        <v>0</v>
      </c>
    </row>
    <row r="8207" customFormat="false" ht="13.8" hidden="true" customHeight="false" outlineLevel="0" collapsed="false">
      <c r="A8207" s="0" t="s">
        <v>979</v>
      </c>
      <c r="B8207" s="0" t="n">
        <v>26</v>
      </c>
      <c r="C8207" s="0" t="n">
        <v>2.5</v>
      </c>
      <c r="D8207" s="0" t="n">
        <v>0</v>
      </c>
    </row>
    <row r="8208" customFormat="false" ht="13.8" hidden="true" customHeight="false" outlineLevel="0" collapsed="false">
      <c r="A8208" s="0" t="s">
        <v>979</v>
      </c>
      <c r="B8208" s="0" t="n">
        <v>26</v>
      </c>
      <c r="C8208" s="0" t="n">
        <v>2.55</v>
      </c>
      <c r="D8208" s="0" t="n">
        <v>0</v>
      </c>
    </row>
    <row r="8209" customFormat="false" ht="13.8" hidden="true" customHeight="false" outlineLevel="0" collapsed="false">
      <c r="A8209" s="0" t="s">
        <v>979</v>
      </c>
      <c r="B8209" s="0" t="n">
        <v>26</v>
      </c>
      <c r="C8209" s="0" t="n">
        <v>2.6</v>
      </c>
      <c r="D8209" s="0" t="n">
        <v>0</v>
      </c>
    </row>
    <row r="8210" customFormat="false" ht="13.8" hidden="true" customHeight="false" outlineLevel="0" collapsed="false">
      <c r="A8210" s="0" t="s">
        <v>979</v>
      </c>
      <c r="B8210" s="0" t="n">
        <v>30</v>
      </c>
      <c r="C8210" s="0" t="n">
        <v>1.3</v>
      </c>
      <c r="D8210" s="0" t="n">
        <v>0</v>
      </c>
    </row>
    <row r="8211" customFormat="false" ht="13.8" hidden="true" customHeight="false" outlineLevel="0" collapsed="false">
      <c r="A8211" s="0" t="s">
        <v>979</v>
      </c>
      <c r="B8211" s="0" t="n">
        <v>30</v>
      </c>
      <c r="C8211" s="0" t="n">
        <v>1.35</v>
      </c>
      <c r="D8211" s="0" t="n">
        <v>0</v>
      </c>
    </row>
    <row r="8212" customFormat="false" ht="13.8" hidden="true" customHeight="false" outlineLevel="0" collapsed="false">
      <c r="A8212" s="0" t="s">
        <v>979</v>
      </c>
      <c r="B8212" s="0" t="n">
        <v>30</v>
      </c>
      <c r="C8212" s="0" t="n">
        <v>1.4</v>
      </c>
      <c r="D8212" s="0" t="n">
        <v>0</v>
      </c>
    </row>
    <row r="8213" customFormat="false" ht="13.8" hidden="true" customHeight="false" outlineLevel="0" collapsed="false">
      <c r="A8213" s="0" t="s">
        <v>979</v>
      </c>
      <c r="B8213" s="0" t="n">
        <v>30</v>
      </c>
      <c r="C8213" s="0" t="n">
        <v>1.45</v>
      </c>
      <c r="D8213" s="0" t="n">
        <v>0</v>
      </c>
    </row>
    <row r="8214" customFormat="false" ht="13.8" hidden="true" customHeight="false" outlineLevel="0" collapsed="false">
      <c r="A8214" s="0" t="s">
        <v>979</v>
      </c>
      <c r="B8214" s="0" t="n">
        <v>30</v>
      </c>
      <c r="C8214" s="0" t="n">
        <v>1.5</v>
      </c>
      <c r="D8214" s="0" t="n">
        <v>0</v>
      </c>
    </row>
    <row r="8215" customFormat="false" ht="13.8" hidden="true" customHeight="false" outlineLevel="0" collapsed="false">
      <c r="A8215" s="0" t="s">
        <v>979</v>
      </c>
      <c r="B8215" s="0" t="n">
        <v>30</v>
      </c>
      <c r="C8215" s="0" t="n">
        <v>1.55</v>
      </c>
      <c r="D8215" s="0" t="n">
        <v>0</v>
      </c>
    </row>
    <row r="8216" customFormat="false" ht="13.8" hidden="true" customHeight="false" outlineLevel="0" collapsed="false">
      <c r="A8216" s="0" t="s">
        <v>979</v>
      </c>
      <c r="B8216" s="0" t="n">
        <v>30</v>
      </c>
      <c r="C8216" s="0" t="n">
        <v>1.6</v>
      </c>
      <c r="D8216" s="0" t="n">
        <v>0.178</v>
      </c>
    </row>
    <row r="8217" customFormat="false" ht="13.8" hidden="true" customHeight="false" outlineLevel="0" collapsed="false">
      <c r="A8217" s="0" t="s">
        <v>979</v>
      </c>
      <c r="B8217" s="0" t="n">
        <v>30</v>
      </c>
      <c r="C8217" s="0" t="n">
        <v>1.65</v>
      </c>
      <c r="D8217" s="0" t="n">
        <v>0.183</v>
      </c>
    </row>
    <row r="8218" customFormat="false" ht="13.8" hidden="true" customHeight="false" outlineLevel="0" collapsed="false">
      <c r="A8218" s="0" t="s">
        <v>979</v>
      </c>
      <c r="B8218" s="0" t="n">
        <v>30</v>
      </c>
      <c r="C8218" s="0" t="n">
        <v>1.7</v>
      </c>
      <c r="D8218" s="0" t="n">
        <v>0.189</v>
      </c>
    </row>
    <row r="8219" customFormat="false" ht="13.8" hidden="true" customHeight="false" outlineLevel="0" collapsed="false">
      <c r="A8219" s="0" t="s">
        <v>979</v>
      </c>
      <c r="B8219" s="0" t="n">
        <v>30</v>
      </c>
      <c r="C8219" s="0" t="n">
        <v>1.75</v>
      </c>
      <c r="D8219" s="0" t="n">
        <v>0.194</v>
      </c>
    </row>
    <row r="8220" customFormat="false" ht="13.8" hidden="true" customHeight="false" outlineLevel="0" collapsed="false">
      <c r="A8220" s="0" t="s">
        <v>979</v>
      </c>
      <c r="B8220" s="0" t="n">
        <v>30</v>
      </c>
      <c r="C8220" s="0" t="n">
        <v>1.8</v>
      </c>
      <c r="D8220" s="0" t="n">
        <v>0.2</v>
      </c>
    </row>
    <row r="8221" customFormat="false" ht="13.8" hidden="true" customHeight="false" outlineLevel="0" collapsed="false">
      <c r="A8221" s="0" t="s">
        <v>979</v>
      </c>
      <c r="B8221" s="0" t="n">
        <v>30</v>
      </c>
      <c r="C8221" s="0" t="n">
        <v>1.85</v>
      </c>
      <c r="D8221" s="0" t="n">
        <v>0.206</v>
      </c>
    </row>
    <row r="8222" customFormat="false" ht="13.8" hidden="true" customHeight="false" outlineLevel="0" collapsed="false">
      <c r="A8222" s="0" t="s">
        <v>979</v>
      </c>
      <c r="B8222" s="0" t="n">
        <v>30</v>
      </c>
      <c r="C8222" s="0" t="n">
        <v>1.9</v>
      </c>
      <c r="D8222" s="0" t="n">
        <v>0.211</v>
      </c>
    </row>
    <row r="8223" customFormat="false" ht="13.8" hidden="true" customHeight="false" outlineLevel="0" collapsed="false">
      <c r="A8223" s="0" t="s">
        <v>979</v>
      </c>
      <c r="B8223" s="0" t="n">
        <v>30</v>
      </c>
      <c r="C8223" s="0" t="n">
        <v>1.95</v>
      </c>
      <c r="D8223" s="0" t="n">
        <v>0.217</v>
      </c>
    </row>
    <row r="8224" customFormat="false" ht="13.8" hidden="true" customHeight="false" outlineLevel="0" collapsed="false">
      <c r="A8224" s="0" t="s">
        <v>979</v>
      </c>
      <c r="B8224" s="0" t="n">
        <v>30</v>
      </c>
      <c r="C8224" s="0" t="n">
        <v>2</v>
      </c>
      <c r="D8224" s="0" t="n">
        <v>0</v>
      </c>
    </row>
    <row r="8225" customFormat="false" ht="13.8" hidden="true" customHeight="false" outlineLevel="0" collapsed="false">
      <c r="A8225" s="0" t="s">
        <v>979</v>
      </c>
      <c r="B8225" s="0" t="n">
        <v>30</v>
      </c>
      <c r="C8225" s="0" t="n">
        <v>2.05</v>
      </c>
      <c r="D8225" s="0" t="n">
        <v>0</v>
      </c>
    </row>
    <row r="8226" customFormat="false" ht="13.8" hidden="true" customHeight="false" outlineLevel="0" collapsed="false">
      <c r="A8226" s="0" t="s">
        <v>979</v>
      </c>
      <c r="B8226" s="0" t="n">
        <v>30</v>
      </c>
      <c r="C8226" s="0" t="n">
        <v>2.1</v>
      </c>
      <c r="D8226" s="0" t="n">
        <v>0</v>
      </c>
    </row>
    <row r="8227" customFormat="false" ht="13.8" hidden="true" customHeight="false" outlineLevel="0" collapsed="false">
      <c r="A8227" s="0" t="s">
        <v>979</v>
      </c>
      <c r="B8227" s="0" t="n">
        <v>30</v>
      </c>
      <c r="C8227" s="0" t="n">
        <v>2.15</v>
      </c>
      <c r="D8227" s="0" t="n">
        <v>0</v>
      </c>
    </row>
    <row r="8228" customFormat="false" ht="13.8" hidden="true" customHeight="false" outlineLevel="0" collapsed="false">
      <c r="A8228" s="0" t="s">
        <v>979</v>
      </c>
      <c r="B8228" s="0" t="n">
        <v>30</v>
      </c>
      <c r="C8228" s="0" t="n">
        <v>2.2</v>
      </c>
      <c r="D8228" s="0" t="n">
        <v>0</v>
      </c>
    </row>
    <row r="8229" customFormat="false" ht="13.8" hidden="true" customHeight="false" outlineLevel="0" collapsed="false">
      <c r="A8229" s="0" t="s">
        <v>979</v>
      </c>
      <c r="B8229" s="0" t="n">
        <v>30</v>
      </c>
      <c r="C8229" s="0" t="n">
        <v>2.25</v>
      </c>
      <c r="D8229" s="0" t="n">
        <v>0</v>
      </c>
    </row>
    <row r="8230" customFormat="false" ht="13.8" hidden="true" customHeight="false" outlineLevel="0" collapsed="false">
      <c r="A8230" s="0" t="s">
        <v>979</v>
      </c>
      <c r="B8230" s="0" t="n">
        <v>30</v>
      </c>
      <c r="C8230" s="0" t="n">
        <v>2.3</v>
      </c>
      <c r="D8230" s="0" t="n">
        <v>0</v>
      </c>
    </row>
    <row r="8231" customFormat="false" ht="13.8" hidden="true" customHeight="false" outlineLevel="0" collapsed="false">
      <c r="A8231" s="0" t="s">
        <v>979</v>
      </c>
      <c r="B8231" s="0" t="n">
        <v>30</v>
      </c>
      <c r="C8231" s="0" t="n">
        <v>2.35</v>
      </c>
      <c r="D8231" s="0" t="n">
        <v>0</v>
      </c>
    </row>
    <row r="8232" customFormat="false" ht="13.8" hidden="true" customHeight="false" outlineLevel="0" collapsed="false">
      <c r="A8232" s="0" t="s">
        <v>979</v>
      </c>
      <c r="B8232" s="0" t="n">
        <v>30</v>
      </c>
      <c r="C8232" s="0" t="n">
        <v>2.4</v>
      </c>
      <c r="D8232" s="0" t="n">
        <v>0</v>
      </c>
    </row>
    <row r="8233" customFormat="false" ht="13.8" hidden="true" customHeight="false" outlineLevel="0" collapsed="false">
      <c r="A8233" s="0" t="s">
        <v>979</v>
      </c>
      <c r="B8233" s="0" t="n">
        <v>30</v>
      </c>
      <c r="C8233" s="0" t="n">
        <v>2.45</v>
      </c>
      <c r="D8233" s="0" t="n">
        <v>0</v>
      </c>
    </row>
    <row r="8234" customFormat="false" ht="13.8" hidden="true" customHeight="false" outlineLevel="0" collapsed="false">
      <c r="A8234" s="0" t="s">
        <v>979</v>
      </c>
      <c r="B8234" s="0" t="n">
        <v>30</v>
      </c>
      <c r="C8234" s="0" t="n">
        <v>2.5</v>
      </c>
      <c r="D8234" s="0" t="n">
        <v>0</v>
      </c>
    </row>
    <row r="8235" customFormat="false" ht="13.8" hidden="true" customHeight="false" outlineLevel="0" collapsed="false">
      <c r="A8235" s="0" t="s">
        <v>979</v>
      </c>
      <c r="B8235" s="0" t="n">
        <v>30</v>
      </c>
      <c r="C8235" s="0" t="n">
        <v>2.55</v>
      </c>
      <c r="D8235" s="0" t="n">
        <v>0</v>
      </c>
    </row>
    <row r="8236" customFormat="false" ht="13.8" hidden="true" customHeight="false" outlineLevel="0" collapsed="false">
      <c r="A8236" s="0" t="s">
        <v>979</v>
      </c>
      <c r="B8236" s="0" t="n">
        <v>30</v>
      </c>
      <c r="C8236" s="0" t="n">
        <v>2.6</v>
      </c>
      <c r="D8236" s="0" t="n">
        <v>0</v>
      </c>
    </row>
    <row r="8237" customFormat="false" ht="13.8" hidden="true" customHeight="false" outlineLevel="0" collapsed="false">
      <c r="A8237" s="0" t="s">
        <v>979</v>
      </c>
      <c r="B8237" s="0" t="n">
        <v>31</v>
      </c>
      <c r="C8237" s="0" t="n">
        <v>1.3</v>
      </c>
      <c r="D8237" s="0" t="n">
        <v>0</v>
      </c>
    </row>
    <row r="8238" customFormat="false" ht="13.8" hidden="true" customHeight="false" outlineLevel="0" collapsed="false">
      <c r="A8238" s="0" t="s">
        <v>979</v>
      </c>
      <c r="B8238" s="0" t="n">
        <v>31</v>
      </c>
      <c r="C8238" s="0" t="n">
        <v>1.35</v>
      </c>
      <c r="D8238" s="0" t="n">
        <v>0</v>
      </c>
    </row>
    <row r="8239" customFormat="false" ht="13.8" hidden="true" customHeight="false" outlineLevel="0" collapsed="false">
      <c r="A8239" s="0" t="s">
        <v>979</v>
      </c>
      <c r="B8239" s="0" t="n">
        <v>31</v>
      </c>
      <c r="C8239" s="0" t="n">
        <v>1.4</v>
      </c>
      <c r="D8239" s="0" t="n">
        <v>0</v>
      </c>
    </row>
    <row r="8240" customFormat="false" ht="13.8" hidden="true" customHeight="false" outlineLevel="0" collapsed="false">
      <c r="A8240" s="0" t="s">
        <v>979</v>
      </c>
      <c r="B8240" s="0" t="n">
        <v>31</v>
      </c>
      <c r="C8240" s="0" t="n">
        <v>1.45</v>
      </c>
      <c r="D8240" s="0" t="n">
        <v>0</v>
      </c>
    </row>
    <row r="8241" customFormat="false" ht="13.8" hidden="true" customHeight="false" outlineLevel="0" collapsed="false">
      <c r="A8241" s="0" t="s">
        <v>979</v>
      </c>
      <c r="B8241" s="0" t="n">
        <v>31</v>
      </c>
      <c r="C8241" s="0" t="n">
        <v>1.5</v>
      </c>
      <c r="D8241" s="0" t="n">
        <v>0</v>
      </c>
    </row>
    <row r="8242" customFormat="false" ht="13.8" hidden="true" customHeight="false" outlineLevel="0" collapsed="false">
      <c r="A8242" s="0" t="s">
        <v>979</v>
      </c>
      <c r="B8242" s="0" t="n">
        <v>31</v>
      </c>
      <c r="C8242" s="0" t="n">
        <v>1.55</v>
      </c>
      <c r="D8242" s="0" t="n">
        <v>0</v>
      </c>
    </row>
    <row r="8243" customFormat="false" ht="13.8" hidden="true" customHeight="false" outlineLevel="0" collapsed="false">
      <c r="A8243" s="0" t="s">
        <v>979</v>
      </c>
      <c r="B8243" s="0" t="n">
        <v>31</v>
      </c>
      <c r="C8243" s="0" t="n">
        <v>1.6</v>
      </c>
      <c r="D8243" s="0" t="n">
        <v>0.178</v>
      </c>
    </row>
    <row r="8244" customFormat="false" ht="13.8" hidden="true" customHeight="false" outlineLevel="0" collapsed="false">
      <c r="A8244" s="0" t="s">
        <v>979</v>
      </c>
      <c r="B8244" s="0" t="n">
        <v>31</v>
      </c>
      <c r="C8244" s="0" t="n">
        <v>1.65</v>
      </c>
      <c r="D8244" s="0" t="n">
        <v>0.183</v>
      </c>
    </row>
    <row r="8245" customFormat="false" ht="13.8" hidden="true" customHeight="false" outlineLevel="0" collapsed="false">
      <c r="A8245" s="0" t="s">
        <v>979</v>
      </c>
      <c r="B8245" s="0" t="n">
        <v>31</v>
      </c>
      <c r="C8245" s="0" t="n">
        <v>1.7</v>
      </c>
      <c r="D8245" s="0" t="n">
        <v>0.189</v>
      </c>
    </row>
    <row r="8246" customFormat="false" ht="13.8" hidden="true" customHeight="false" outlineLevel="0" collapsed="false">
      <c r="A8246" s="0" t="s">
        <v>979</v>
      </c>
      <c r="B8246" s="0" t="n">
        <v>31</v>
      </c>
      <c r="C8246" s="0" t="n">
        <v>1.75</v>
      </c>
      <c r="D8246" s="0" t="n">
        <v>0.194</v>
      </c>
    </row>
    <row r="8247" customFormat="false" ht="13.8" hidden="true" customHeight="false" outlineLevel="0" collapsed="false">
      <c r="A8247" s="0" t="s">
        <v>979</v>
      </c>
      <c r="B8247" s="0" t="n">
        <v>31</v>
      </c>
      <c r="C8247" s="0" t="n">
        <v>1.8</v>
      </c>
      <c r="D8247" s="0" t="n">
        <v>0.2</v>
      </c>
    </row>
    <row r="8248" customFormat="false" ht="13.8" hidden="true" customHeight="false" outlineLevel="0" collapsed="false">
      <c r="A8248" s="0" t="s">
        <v>979</v>
      </c>
      <c r="B8248" s="0" t="n">
        <v>31</v>
      </c>
      <c r="C8248" s="0" t="n">
        <v>1.85</v>
      </c>
      <c r="D8248" s="0" t="n">
        <v>0.206</v>
      </c>
    </row>
    <row r="8249" customFormat="false" ht="13.8" hidden="true" customHeight="false" outlineLevel="0" collapsed="false">
      <c r="A8249" s="0" t="s">
        <v>979</v>
      </c>
      <c r="B8249" s="0" t="n">
        <v>31</v>
      </c>
      <c r="C8249" s="0" t="n">
        <v>1.9</v>
      </c>
      <c r="D8249" s="0" t="n">
        <v>0.211</v>
      </c>
    </row>
    <row r="8250" customFormat="false" ht="13.8" hidden="true" customHeight="false" outlineLevel="0" collapsed="false">
      <c r="A8250" s="0" t="s">
        <v>979</v>
      </c>
      <c r="B8250" s="0" t="n">
        <v>31</v>
      </c>
      <c r="C8250" s="0" t="n">
        <v>1.95</v>
      </c>
      <c r="D8250" s="0" t="n">
        <v>0.217</v>
      </c>
    </row>
    <row r="8251" customFormat="false" ht="13.8" hidden="true" customHeight="false" outlineLevel="0" collapsed="false">
      <c r="A8251" s="0" t="s">
        <v>979</v>
      </c>
      <c r="B8251" s="0" t="n">
        <v>31</v>
      </c>
      <c r="C8251" s="0" t="n">
        <v>2</v>
      </c>
      <c r="D8251" s="0" t="n">
        <v>0</v>
      </c>
    </row>
    <row r="8252" customFormat="false" ht="13.8" hidden="true" customHeight="false" outlineLevel="0" collapsed="false">
      <c r="A8252" s="0" t="s">
        <v>979</v>
      </c>
      <c r="B8252" s="0" t="n">
        <v>31</v>
      </c>
      <c r="C8252" s="0" t="n">
        <v>2.05</v>
      </c>
      <c r="D8252" s="0" t="n">
        <v>0</v>
      </c>
    </row>
    <row r="8253" customFormat="false" ht="13.8" hidden="true" customHeight="false" outlineLevel="0" collapsed="false">
      <c r="A8253" s="0" t="s">
        <v>979</v>
      </c>
      <c r="B8253" s="0" t="n">
        <v>31</v>
      </c>
      <c r="C8253" s="0" t="n">
        <v>2.1</v>
      </c>
      <c r="D8253" s="0" t="n">
        <v>0</v>
      </c>
    </row>
    <row r="8254" customFormat="false" ht="13.8" hidden="true" customHeight="false" outlineLevel="0" collapsed="false">
      <c r="A8254" s="0" t="s">
        <v>979</v>
      </c>
      <c r="B8254" s="0" t="n">
        <v>31</v>
      </c>
      <c r="C8254" s="0" t="n">
        <v>2.15</v>
      </c>
      <c r="D8254" s="0" t="n">
        <v>0</v>
      </c>
    </row>
    <row r="8255" customFormat="false" ht="13.8" hidden="true" customHeight="false" outlineLevel="0" collapsed="false">
      <c r="A8255" s="0" t="s">
        <v>979</v>
      </c>
      <c r="B8255" s="0" t="n">
        <v>31</v>
      </c>
      <c r="C8255" s="0" t="n">
        <v>2.2</v>
      </c>
      <c r="D8255" s="0" t="n">
        <v>0</v>
      </c>
    </row>
    <row r="8256" customFormat="false" ht="13.8" hidden="true" customHeight="false" outlineLevel="0" collapsed="false">
      <c r="A8256" s="0" t="s">
        <v>979</v>
      </c>
      <c r="B8256" s="0" t="n">
        <v>31</v>
      </c>
      <c r="C8256" s="0" t="n">
        <v>2.25</v>
      </c>
      <c r="D8256" s="0" t="n">
        <v>0</v>
      </c>
    </row>
    <row r="8257" customFormat="false" ht="13.8" hidden="true" customHeight="false" outlineLevel="0" collapsed="false">
      <c r="A8257" s="0" t="s">
        <v>979</v>
      </c>
      <c r="B8257" s="0" t="n">
        <v>31</v>
      </c>
      <c r="C8257" s="0" t="n">
        <v>2.3</v>
      </c>
      <c r="D8257" s="0" t="n">
        <v>0</v>
      </c>
    </row>
    <row r="8258" customFormat="false" ht="13.8" hidden="true" customHeight="false" outlineLevel="0" collapsed="false">
      <c r="A8258" s="0" t="s">
        <v>979</v>
      </c>
      <c r="B8258" s="0" t="n">
        <v>31</v>
      </c>
      <c r="C8258" s="0" t="n">
        <v>2.35</v>
      </c>
      <c r="D8258" s="0" t="n">
        <v>0</v>
      </c>
    </row>
    <row r="8259" customFormat="false" ht="13.8" hidden="true" customHeight="false" outlineLevel="0" collapsed="false">
      <c r="A8259" s="0" t="s">
        <v>979</v>
      </c>
      <c r="B8259" s="0" t="n">
        <v>31</v>
      </c>
      <c r="C8259" s="0" t="n">
        <v>2.4</v>
      </c>
      <c r="D8259" s="0" t="n">
        <v>0</v>
      </c>
    </row>
    <row r="8260" customFormat="false" ht="13.8" hidden="true" customHeight="false" outlineLevel="0" collapsed="false">
      <c r="A8260" s="0" t="s">
        <v>979</v>
      </c>
      <c r="B8260" s="0" t="n">
        <v>31</v>
      </c>
      <c r="C8260" s="0" t="n">
        <v>2.45</v>
      </c>
      <c r="D8260" s="0" t="n">
        <v>0</v>
      </c>
    </row>
    <row r="8261" customFormat="false" ht="13.8" hidden="true" customHeight="false" outlineLevel="0" collapsed="false">
      <c r="A8261" s="0" t="s">
        <v>979</v>
      </c>
      <c r="B8261" s="0" t="n">
        <v>31</v>
      </c>
      <c r="C8261" s="0" t="n">
        <v>2.5</v>
      </c>
      <c r="D8261" s="0" t="n">
        <v>0</v>
      </c>
    </row>
    <row r="8262" customFormat="false" ht="13.8" hidden="true" customHeight="false" outlineLevel="0" collapsed="false">
      <c r="A8262" s="0" t="s">
        <v>979</v>
      </c>
      <c r="B8262" s="0" t="n">
        <v>31</v>
      </c>
      <c r="C8262" s="0" t="n">
        <v>2.55</v>
      </c>
      <c r="D8262" s="0" t="n">
        <v>0</v>
      </c>
    </row>
    <row r="8263" customFormat="false" ht="13.8" hidden="true" customHeight="false" outlineLevel="0" collapsed="false">
      <c r="A8263" s="0" t="s">
        <v>979</v>
      </c>
      <c r="B8263" s="0" t="n">
        <v>31</v>
      </c>
      <c r="C8263" s="0" t="n">
        <v>2.6</v>
      </c>
      <c r="D8263" s="0" t="n">
        <v>0</v>
      </c>
    </row>
    <row r="8264" customFormat="false" ht="13.8" hidden="true" customHeight="false" outlineLevel="0" collapsed="false">
      <c r="A8264" s="0" t="s">
        <v>982</v>
      </c>
      <c r="B8264" s="0" t="n">
        <v>26</v>
      </c>
      <c r="C8264" s="0" t="n">
        <v>1.3</v>
      </c>
      <c r="D8264" s="0" t="n">
        <v>0</v>
      </c>
    </row>
    <row r="8265" customFormat="false" ht="13.8" hidden="true" customHeight="false" outlineLevel="0" collapsed="false">
      <c r="A8265" s="0" t="s">
        <v>982</v>
      </c>
      <c r="B8265" s="0" t="n">
        <v>26</v>
      </c>
      <c r="C8265" s="0" t="n">
        <v>1.35</v>
      </c>
      <c r="D8265" s="0" t="n">
        <v>0.15</v>
      </c>
    </row>
    <row r="8266" customFormat="false" ht="13.8" hidden="true" customHeight="false" outlineLevel="0" collapsed="false">
      <c r="A8266" s="0" t="s">
        <v>982</v>
      </c>
      <c r="B8266" s="0" t="n">
        <v>26</v>
      </c>
      <c r="C8266" s="0" t="n">
        <v>1.4</v>
      </c>
      <c r="D8266" s="0" t="n">
        <v>0.156</v>
      </c>
    </row>
    <row r="8267" customFormat="false" ht="13.8" hidden="true" customHeight="false" outlineLevel="0" collapsed="false">
      <c r="A8267" s="0" t="s">
        <v>982</v>
      </c>
      <c r="B8267" s="0" t="n">
        <v>26</v>
      </c>
      <c r="C8267" s="0" t="n">
        <v>1.45</v>
      </c>
      <c r="D8267" s="0" t="n">
        <v>0.161</v>
      </c>
    </row>
    <row r="8268" customFormat="false" ht="13.8" hidden="true" customHeight="false" outlineLevel="0" collapsed="false">
      <c r="A8268" s="0" t="s">
        <v>982</v>
      </c>
      <c r="B8268" s="0" t="n">
        <v>26</v>
      </c>
      <c r="C8268" s="0" t="n">
        <v>1.5</v>
      </c>
      <c r="D8268" s="0" t="n">
        <v>0.167</v>
      </c>
    </row>
    <row r="8269" customFormat="false" ht="13.8" hidden="true" customHeight="false" outlineLevel="0" collapsed="false">
      <c r="A8269" s="0" t="s">
        <v>982</v>
      </c>
      <c r="B8269" s="0" t="n">
        <v>26</v>
      </c>
      <c r="C8269" s="0" t="n">
        <v>1.55</v>
      </c>
      <c r="D8269" s="0" t="n">
        <v>0.172</v>
      </c>
    </row>
    <row r="8270" customFormat="false" ht="13.8" hidden="true" customHeight="false" outlineLevel="0" collapsed="false">
      <c r="A8270" s="0" t="s">
        <v>982</v>
      </c>
      <c r="B8270" s="0" t="n">
        <v>26</v>
      </c>
      <c r="C8270" s="0" t="n">
        <v>1.6</v>
      </c>
      <c r="D8270" s="0" t="n">
        <v>0.178</v>
      </c>
    </row>
    <row r="8271" customFormat="false" ht="13.8" hidden="true" customHeight="false" outlineLevel="0" collapsed="false">
      <c r="A8271" s="0" t="s">
        <v>982</v>
      </c>
      <c r="B8271" s="0" t="n">
        <v>26</v>
      </c>
      <c r="C8271" s="0" t="n">
        <v>1.65</v>
      </c>
      <c r="D8271" s="0" t="n">
        <v>0.183</v>
      </c>
    </row>
    <row r="8272" customFormat="false" ht="13.8" hidden="true" customHeight="false" outlineLevel="0" collapsed="false">
      <c r="A8272" s="0" t="s">
        <v>982</v>
      </c>
      <c r="B8272" s="0" t="n">
        <v>26</v>
      </c>
      <c r="C8272" s="0" t="n">
        <v>1.7</v>
      </c>
      <c r="D8272" s="0" t="n">
        <v>0</v>
      </c>
    </row>
    <row r="8273" customFormat="false" ht="13.8" hidden="true" customHeight="false" outlineLevel="0" collapsed="false">
      <c r="A8273" s="0" t="s">
        <v>982</v>
      </c>
      <c r="B8273" s="0" t="n">
        <v>26</v>
      </c>
      <c r="C8273" s="0" t="n">
        <v>1.75</v>
      </c>
      <c r="D8273" s="0" t="n">
        <v>0</v>
      </c>
    </row>
    <row r="8274" customFormat="false" ht="13.8" hidden="true" customHeight="false" outlineLevel="0" collapsed="false">
      <c r="A8274" s="0" t="s">
        <v>982</v>
      </c>
      <c r="B8274" s="0" t="n">
        <v>26</v>
      </c>
      <c r="C8274" s="0" t="n">
        <v>1.8</v>
      </c>
      <c r="D8274" s="0" t="n">
        <v>0</v>
      </c>
    </row>
    <row r="8275" customFormat="false" ht="13.8" hidden="true" customHeight="false" outlineLevel="0" collapsed="false">
      <c r="A8275" s="0" t="s">
        <v>982</v>
      </c>
      <c r="B8275" s="0" t="n">
        <v>26</v>
      </c>
      <c r="C8275" s="0" t="n">
        <v>1.85</v>
      </c>
      <c r="D8275" s="0" t="n">
        <v>0</v>
      </c>
    </row>
    <row r="8276" customFormat="false" ht="13.8" hidden="true" customHeight="false" outlineLevel="0" collapsed="false">
      <c r="A8276" s="0" t="s">
        <v>982</v>
      </c>
      <c r="B8276" s="0" t="n">
        <v>26</v>
      </c>
      <c r="C8276" s="0" t="n">
        <v>1.9</v>
      </c>
      <c r="D8276" s="0" t="n">
        <v>0</v>
      </c>
    </row>
    <row r="8277" customFormat="false" ht="13.8" hidden="true" customHeight="false" outlineLevel="0" collapsed="false">
      <c r="A8277" s="0" t="s">
        <v>982</v>
      </c>
      <c r="B8277" s="0" t="n">
        <v>26</v>
      </c>
      <c r="C8277" s="0" t="n">
        <v>1.95</v>
      </c>
      <c r="D8277" s="0" t="n">
        <v>0</v>
      </c>
    </row>
    <row r="8278" customFormat="false" ht="13.8" hidden="true" customHeight="false" outlineLevel="0" collapsed="false">
      <c r="A8278" s="0" t="s">
        <v>982</v>
      </c>
      <c r="B8278" s="0" t="n">
        <v>26</v>
      </c>
      <c r="C8278" s="0" t="n">
        <v>2</v>
      </c>
      <c r="D8278" s="0" t="n">
        <v>0</v>
      </c>
    </row>
    <row r="8279" customFormat="false" ht="13.8" hidden="true" customHeight="false" outlineLevel="0" collapsed="false">
      <c r="A8279" s="0" t="s">
        <v>982</v>
      </c>
      <c r="B8279" s="0" t="n">
        <v>26</v>
      </c>
      <c r="C8279" s="0" t="n">
        <v>2.05</v>
      </c>
      <c r="D8279" s="0" t="n">
        <v>0</v>
      </c>
    </row>
    <row r="8280" customFormat="false" ht="13.8" hidden="true" customHeight="false" outlineLevel="0" collapsed="false">
      <c r="A8280" s="0" t="s">
        <v>982</v>
      </c>
      <c r="B8280" s="0" t="n">
        <v>26</v>
      </c>
      <c r="C8280" s="0" t="n">
        <v>2.1</v>
      </c>
      <c r="D8280" s="0" t="n">
        <v>0</v>
      </c>
    </row>
    <row r="8281" customFormat="false" ht="13.8" hidden="true" customHeight="false" outlineLevel="0" collapsed="false">
      <c r="A8281" s="0" t="s">
        <v>982</v>
      </c>
      <c r="B8281" s="0" t="n">
        <v>26</v>
      </c>
      <c r="C8281" s="0" t="n">
        <v>2.15</v>
      </c>
      <c r="D8281" s="0" t="n">
        <v>0</v>
      </c>
    </row>
    <row r="8282" customFormat="false" ht="13.8" hidden="true" customHeight="false" outlineLevel="0" collapsed="false">
      <c r="A8282" s="0" t="s">
        <v>982</v>
      </c>
      <c r="B8282" s="0" t="n">
        <v>26</v>
      </c>
      <c r="C8282" s="0" t="n">
        <v>2.2</v>
      </c>
      <c r="D8282" s="0" t="n">
        <v>0</v>
      </c>
    </row>
    <row r="8283" customFormat="false" ht="13.8" hidden="true" customHeight="false" outlineLevel="0" collapsed="false">
      <c r="A8283" s="0" t="s">
        <v>982</v>
      </c>
      <c r="B8283" s="0" t="n">
        <v>26</v>
      </c>
      <c r="C8283" s="0" t="n">
        <v>2.25</v>
      </c>
      <c r="D8283" s="0" t="n">
        <v>0</v>
      </c>
    </row>
    <row r="8284" customFormat="false" ht="13.8" hidden="true" customHeight="false" outlineLevel="0" collapsed="false">
      <c r="A8284" s="0" t="s">
        <v>982</v>
      </c>
      <c r="B8284" s="0" t="n">
        <v>26</v>
      </c>
      <c r="C8284" s="0" t="n">
        <v>2.3</v>
      </c>
      <c r="D8284" s="0" t="n">
        <v>0</v>
      </c>
    </row>
    <row r="8285" customFormat="false" ht="13.8" hidden="true" customHeight="false" outlineLevel="0" collapsed="false">
      <c r="A8285" s="0" t="s">
        <v>982</v>
      </c>
      <c r="B8285" s="0" t="n">
        <v>26</v>
      </c>
      <c r="C8285" s="0" t="n">
        <v>2.35</v>
      </c>
      <c r="D8285" s="0" t="n">
        <v>0</v>
      </c>
    </row>
    <row r="8286" customFormat="false" ht="13.8" hidden="true" customHeight="false" outlineLevel="0" collapsed="false">
      <c r="A8286" s="0" t="s">
        <v>982</v>
      </c>
      <c r="B8286" s="0" t="n">
        <v>26</v>
      </c>
      <c r="C8286" s="0" t="n">
        <v>2.4</v>
      </c>
      <c r="D8286" s="0" t="n">
        <v>0</v>
      </c>
    </row>
    <row r="8287" customFormat="false" ht="13.8" hidden="true" customHeight="false" outlineLevel="0" collapsed="false">
      <c r="A8287" s="0" t="s">
        <v>982</v>
      </c>
      <c r="B8287" s="0" t="n">
        <v>26</v>
      </c>
      <c r="C8287" s="0" t="n">
        <v>2.45</v>
      </c>
      <c r="D8287" s="0" t="n">
        <v>0</v>
      </c>
    </row>
    <row r="8288" customFormat="false" ht="13.8" hidden="true" customHeight="false" outlineLevel="0" collapsed="false">
      <c r="A8288" s="0" t="s">
        <v>982</v>
      </c>
      <c r="B8288" s="0" t="n">
        <v>26</v>
      </c>
      <c r="C8288" s="0" t="n">
        <v>2.5</v>
      </c>
      <c r="D8288" s="0" t="n">
        <v>0</v>
      </c>
    </row>
    <row r="8289" customFormat="false" ht="13.8" hidden="true" customHeight="false" outlineLevel="0" collapsed="false">
      <c r="A8289" s="0" t="s">
        <v>982</v>
      </c>
      <c r="B8289" s="0" t="n">
        <v>26</v>
      </c>
      <c r="C8289" s="0" t="n">
        <v>2.55</v>
      </c>
      <c r="D8289" s="0" t="n">
        <v>0</v>
      </c>
    </row>
    <row r="8290" customFormat="false" ht="13.8" hidden="true" customHeight="false" outlineLevel="0" collapsed="false">
      <c r="A8290" s="0" t="s">
        <v>982</v>
      </c>
      <c r="B8290" s="0" t="n">
        <v>26</v>
      </c>
      <c r="C8290" s="0" t="n">
        <v>2.6</v>
      </c>
      <c r="D8290" s="0" t="n">
        <v>0</v>
      </c>
    </row>
    <row r="8291" customFormat="false" ht="13.8" hidden="true" customHeight="false" outlineLevel="0" collapsed="false">
      <c r="A8291" s="0" t="s">
        <v>982</v>
      </c>
      <c r="B8291" s="0" t="n">
        <v>30</v>
      </c>
      <c r="C8291" s="0" t="n">
        <v>1.3</v>
      </c>
      <c r="D8291" s="0" t="n">
        <v>0</v>
      </c>
    </row>
    <row r="8292" customFormat="false" ht="13.8" hidden="true" customHeight="false" outlineLevel="0" collapsed="false">
      <c r="A8292" s="0" t="s">
        <v>982</v>
      </c>
      <c r="B8292" s="0" t="n">
        <v>30</v>
      </c>
      <c r="C8292" s="0" t="n">
        <v>1.35</v>
      </c>
      <c r="D8292" s="0" t="n">
        <v>0.15</v>
      </c>
    </row>
    <row r="8293" customFormat="false" ht="13.8" hidden="true" customHeight="false" outlineLevel="0" collapsed="false">
      <c r="A8293" s="0" t="s">
        <v>982</v>
      </c>
      <c r="B8293" s="0" t="n">
        <v>30</v>
      </c>
      <c r="C8293" s="0" t="n">
        <v>1.4</v>
      </c>
      <c r="D8293" s="0" t="n">
        <v>0.156</v>
      </c>
    </row>
    <row r="8294" customFormat="false" ht="13.8" hidden="true" customHeight="false" outlineLevel="0" collapsed="false">
      <c r="A8294" s="0" t="s">
        <v>982</v>
      </c>
      <c r="B8294" s="0" t="n">
        <v>30</v>
      </c>
      <c r="C8294" s="0" t="n">
        <v>1.45</v>
      </c>
      <c r="D8294" s="0" t="n">
        <v>0.161</v>
      </c>
    </row>
    <row r="8295" customFormat="false" ht="13.8" hidden="true" customHeight="false" outlineLevel="0" collapsed="false">
      <c r="A8295" s="0" t="s">
        <v>982</v>
      </c>
      <c r="B8295" s="0" t="n">
        <v>30</v>
      </c>
      <c r="C8295" s="0" t="n">
        <v>1.5</v>
      </c>
      <c r="D8295" s="0" t="n">
        <v>0.167</v>
      </c>
    </row>
    <row r="8296" customFormat="false" ht="13.8" hidden="true" customHeight="false" outlineLevel="0" collapsed="false">
      <c r="A8296" s="0" t="s">
        <v>982</v>
      </c>
      <c r="B8296" s="0" t="n">
        <v>30</v>
      </c>
      <c r="C8296" s="0" t="n">
        <v>1.55</v>
      </c>
      <c r="D8296" s="0" t="n">
        <v>0.172</v>
      </c>
    </row>
    <row r="8297" customFormat="false" ht="13.8" hidden="true" customHeight="false" outlineLevel="0" collapsed="false">
      <c r="A8297" s="0" t="s">
        <v>982</v>
      </c>
      <c r="B8297" s="0" t="n">
        <v>30</v>
      </c>
      <c r="C8297" s="0" t="n">
        <v>1.6</v>
      </c>
      <c r="D8297" s="0" t="n">
        <v>0.178</v>
      </c>
    </row>
    <row r="8298" customFormat="false" ht="13.8" hidden="true" customHeight="false" outlineLevel="0" collapsed="false">
      <c r="A8298" s="0" t="s">
        <v>982</v>
      </c>
      <c r="B8298" s="0" t="n">
        <v>30</v>
      </c>
      <c r="C8298" s="0" t="n">
        <v>1.65</v>
      </c>
      <c r="D8298" s="0" t="n">
        <v>0.183</v>
      </c>
    </row>
    <row r="8299" customFormat="false" ht="13.8" hidden="true" customHeight="false" outlineLevel="0" collapsed="false">
      <c r="A8299" s="0" t="s">
        <v>982</v>
      </c>
      <c r="B8299" s="0" t="n">
        <v>30</v>
      </c>
      <c r="C8299" s="0" t="n">
        <v>1.7</v>
      </c>
      <c r="D8299" s="0" t="n">
        <v>0</v>
      </c>
    </row>
    <row r="8300" customFormat="false" ht="13.8" hidden="true" customHeight="false" outlineLevel="0" collapsed="false">
      <c r="A8300" s="0" t="s">
        <v>982</v>
      </c>
      <c r="B8300" s="0" t="n">
        <v>30</v>
      </c>
      <c r="C8300" s="0" t="n">
        <v>1.75</v>
      </c>
      <c r="D8300" s="0" t="n">
        <v>0</v>
      </c>
    </row>
    <row r="8301" customFormat="false" ht="13.8" hidden="true" customHeight="false" outlineLevel="0" collapsed="false">
      <c r="A8301" s="0" t="s">
        <v>982</v>
      </c>
      <c r="B8301" s="0" t="n">
        <v>30</v>
      </c>
      <c r="C8301" s="0" t="n">
        <v>1.8</v>
      </c>
      <c r="D8301" s="0" t="n">
        <v>0</v>
      </c>
    </row>
    <row r="8302" customFormat="false" ht="13.8" hidden="true" customHeight="false" outlineLevel="0" collapsed="false">
      <c r="A8302" s="0" t="s">
        <v>982</v>
      </c>
      <c r="B8302" s="0" t="n">
        <v>30</v>
      </c>
      <c r="C8302" s="0" t="n">
        <v>1.85</v>
      </c>
      <c r="D8302" s="0" t="n">
        <v>0</v>
      </c>
    </row>
    <row r="8303" customFormat="false" ht="13.8" hidden="true" customHeight="false" outlineLevel="0" collapsed="false">
      <c r="A8303" s="0" t="s">
        <v>982</v>
      </c>
      <c r="B8303" s="0" t="n">
        <v>30</v>
      </c>
      <c r="C8303" s="0" t="n">
        <v>1.9</v>
      </c>
      <c r="D8303" s="0" t="n">
        <v>0</v>
      </c>
    </row>
    <row r="8304" customFormat="false" ht="13.8" hidden="true" customHeight="false" outlineLevel="0" collapsed="false">
      <c r="A8304" s="0" t="s">
        <v>982</v>
      </c>
      <c r="B8304" s="0" t="n">
        <v>30</v>
      </c>
      <c r="C8304" s="0" t="n">
        <v>1.95</v>
      </c>
      <c r="D8304" s="0" t="n">
        <v>0</v>
      </c>
    </row>
    <row r="8305" customFormat="false" ht="13.8" hidden="true" customHeight="false" outlineLevel="0" collapsed="false">
      <c r="A8305" s="0" t="s">
        <v>982</v>
      </c>
      <c r="B8305" s="0" t="n">
        <v>30</v>
      </c>
      <c r="C8305" s="0" t="n">
        <v>2</v>
      </c>
      <c r="D8305" s="0" t="n">
        <v>0</v>
      </c>
    </row>
    <row r="8306" customFormat="false" ht="13.8" hidden="true" customHeight="false" outlineLevel="0" collapsed="false">
      <c r="A8306" s="0" t="s">
        <v>982</v>
      </c>
      <c r="B8306" s="0" t="n">
        <v>30</v>
      </c>
      <c r="C8306" s="0" t="n">
        <v>2.05</v>
      </c>
      <c r="D8306" s="0" t="n">
        <v>0</v>
      </c>
    </row>
    <row r="8307" customFormat="false" ht="13.8" hidden="true" customHeight="false" outlineLevel="0" collapsed="false">
      <c r="A8307" s="0" t="s">
        <v>982</v>
      </c>
      <c r="B8307" s="0" t="n">
        <v>30</v>
      </c>
      <c r="C8307" s="0" t="n">
        <v>2.1</v>
      </c>
      <c r="D8307" s="0" t="n">
        <v>0</v>
      </c>
    </row>
    <row r="8308" customFormat="false" ht="13.8" hidden="true" customHeight="false" outlineLevel="0" collapsed="false">
      <c r="A8308" s="0" t="s">
        <v>982</v>
      </c>
      <c r="B8308" s="0" t="n">
        <v>30</v>
      </c>
      <c r="C8308" s="0" t="n">
        <v>2.15</v>
      </c>
      <c r="D8308" s="0" t="n">
        <v>0</v>
      </c>
    </row>
    <row r="8309" customFormat="false" ht="13.8" hidden="true" customHeight="false" outlineLevel="0" collapsed="false">
      <c r="A8309" s="0" t="s">
        <v>982</v>
      </c>
      <c r="B8309" s="0" t="n">
        <v>30</v>
      </c>
      <c r="C8309" s="0" t="n">
        <v>2.2</v>
      </c>
      <c r="D8309" s="0" t="n">
        <v>0</v>
      </c>
    </row>
    <row r="8310" customFormat="false" ht="13.8" hidden="true" customHeight="false" outlineLevel="0" collapsed="false">
      <c r="A8310" s="0" t="s">
        <v>982</v>
      </c>
      <c r="B8310" s="0" t="n">
        <v>30</v>
      </c>
      <c r="C8310" s="0" t="n">
        <v>2.25</v>
      </c>
      <c r="D8310" s="0" t="n">
        <v>0</v>
      </c>
    </row>
    <row r="8311" customFormat="false" ht="13.8" hidden="true" customHeight="false" outlineLevel="0" collapsed="false">
      <c r="A8311" s="0" t="s">
        <v>982</v>
      </c>
      <c r="B8311" s="0" t="n">
        <v>30</v>
      </c>
      <c r="C8311" s="0" t="n">
        <v>2.3</v>
      </c>
      <c r="D8311" s="0" t="n">
        <v>0</v>
      </c>
    </row>
    <row r="8312" customFormat="false" ht="13.8" hidden="true" customHeight="false" outlineLevel="0" collapsed="false">
      <c r="A8312" s="0" t="s">
        <v>982</v>
      </c>
      <c r="B8312" s="0" t="n">
        <v>30</v>
      </c>
      <c r="C8312" s="0" t="n">
        <v>2.35</v>
      </c>
      <c r="D8312" s="0" t="n">
        <v>0</v>
      </c>
    </row>
    <row r="8313" customFormat="false" ht="13.8" hidden="true" customHeight="false" outlineLevel="0" collapsed="false">
      <c r="A8313" s="0" t="s">
        <v>982</v>
      </c>
      <c r="B8313" s="0" t="n">
        <v>30</v>
      </c>
      <c r="C8313" s="0" t="n">
        <v>2.4</v>
      </c>
      <c r="D8313" s="0" t="n">
        <v>0</v>
      </c>
    </row>
    <row r="8314" customFormat="false" ht="13.8" hidden="true" customHeight="false" outlineLevel="0" collapsed="false">
      <c r="A8314" s="0" t="s">
        <v>982</v>
      </c>
      <c r="B8314" s="0" t="n">
        <v>30</v>
      </c>
      <c r="C8314" s="0" t="n">
        <v>2.45</v>
      </c>
      <c r="D8314" s="0" t="n">
        <v>0</v>
      </c>
    </row>
    <row r="8315" customFormat="false" ht="13.8" hidden="true" customHeight="false" outlineLevel="0" collapsed="false">
      <c r="A8315" s="0" t="s">
        <v>982</v>
      </c>
      <c r="B8315" s="0" t="n">
        <v>30</v>
      </c>
      <c r="C8315" s="0" t="n">
        <v>2.5</v>
      </c>
      <c r="D8315" s="0" t="n">
        <v>0</v>
      </c>
    </row>
    <row r="8316" customFormat="false" ht="13.8" hidden="true" customHeight="false" outlineLevel="0" collapsed="false">
      <c r="A8316" s="0" t="s">
        <v>982</v>
      </c>
      <c r="B8316" s="0" t="n">
        <v>30</v>
      </c>
      <c r="C8316" s="0" t="n">
        <v>2.55</v>
      </c>
      <c r="D8316" s="0" t="n">
        <v>0</v>
      </c>
    </row>
    <row r="8317" customFormat="false" ht="13.8" hidden="true" customHeight="false" outlineLevel="0" collapsed="false">
      <c r="A8317" s="0" t="s">
        <v>982</v>
      </c>
      <c r="B8317" s="0" t="n">
        <v>30</v>
      </c>
      <c r="C8317" s="0" t="n">
        <v>2.6</v>
      </c>
      <c r="D8317" s="0" t="n">
        <v>0</v>
      </c>
    </row>
    <row r="8318" customFormat="false" ht="13.8" hidden="true" customHeight="false" outlineLevel="0" collapsed="false">
      <c r="A8318" s="0" t="s">
        <v>982</v>
      </c>
      <c r="B8318" s="0" t="n">
        <v>31</v>
      </c>
      <c r="C8318" s="0" t="n">
        <v>1.3</v>
      </c>
      <c r="D8318" s="0" t="n">
        <v>0</v>
      </c>
    </row>
    <row r="8319" customFormat="false" ht="13.8" hidden="true" customHeight="false" outlineLevel="0" collapsed="false">
      <c r="A8319" s="0" t="s">
        <v>982</v>
      </c>
      <c r="B8319" s="0" t="n">
        <v>31</v>
      </c>
      <c r="C8319" s="0" t="n">
        <v>1.35</v>
      </c>
      <c r="D8319" s="0" t="n">
        <v>0.15</v>
      </c>
    </row>
    <row r="8320" customFormat="false" ht="13.8" hidden="true" customHeight="false" outlineLevel="0" collapsed="false">
      <c r="A8320" s="0" t="s">
        <v>982</v>
      </c>
      <c r="B8320" s="0" t="n">
        <v>31</v>
      </c>
      <c r="C8320" s="0" t="n">
        <v>1.4</v>
      </c>
      <c r="D8320" s="0" t="n">
        <v>0.156</v>
      </c>
    </row>
    <row r="8321" customFormat="false" ht="13.8" hidden="true" customHeight="false" outlineLevel="0" collapsed="false">
      <c r="A8321" s="0" t="s">
        <v>982</v>
      </c>
      <c r="B8321" s="0" t="n">
        <v>31</v>
      </c>
      <c r="C8321" s="0" t="n">
        <v>1.45</v>
      </c>
      <c r="D8321" s="0" t="n">
        <v>0.161</v>
      </c>
    </row>
    <row r="8322" customFormat="false" ht="13.8" hidden="true" customHeight="false" outlineLevel="0" collapsed="false">
      <c r="A8322" s="0" t="s">
        <v>982</v>
      </c>
      <c r="B8322" s="0" t="n">
        <v>31</v>
      </c>
      <c r="C8322" s="0" t="n">
        <v>1.5</v>
      </c>
      <c r="D8322" s="0" t="n">
        <v>0.167</v>
      </c>
    </row>
    <row r="8323" customFormat="false" ht="13.8" hidden="true" customHeight="false" outlineLevel="0" collapsed="false">
      <c r="A8323" s="0" t="s">
        <v>982</v>
      </c>
      <c r="B8323" s="0" t="n">
        <v>31</v>
      </c>
      <c r="C8323" s="0" t="n">
        <v>1.55</v>
      </c>
      <c r="D8323" s="0" t="n">
        <v>0.172</v>
      </c>
    </row>
    <row r="8324" customFormat="false" ht="13.8" hidden="true" customHeight="false" outlineLevel="0" collapsed="false">
      <c r="A8324" s="0" t="s">
        <v>982</v>
      </c>
      <c r="B8324" s="0" t="n">
        <v>31</v>
      </c>
      <c r="C8324" s="0" t="n">
        <v>1.6</v>
      </c>
      <c r="D8324" s="0" t="n">
        <v>0.178</v>
      </c>
    </row>
    <row r="8325" customFormat="false" ht="13.8" hidden="true" customHeight="false" outlineLevel="0" collapsed="false">
      <c r="A8325" s="0" t="s">
        <v>982</v>
      </c>
      <c r="B8325" s="0" t="n">
        <v>31</v>
      </c>
      <c r="C8325" s="0" t="n">
        <v>1.65</v>
      </c>
      <c r="D8325" s="0" t="n">
        <v>0.183</v>
      </c>
    </row>
    <row r="8326" customFormat="false" ht="13.8" hidden="true" customHeight="false" outlineLevel="0" collapsed="false">
      <c r="A8326" s="0" t="s">
        <v>982</v>
      </c>
      <c r="B8326" s="0" t="n">
        <v>31</v>
      </c>
      <c r="C8326" s="0" t="n">
        <v>1.7</v>
      </c>
      <c r="D8326" s="0" t="n">
        <v>0</v>
      </c>
    </row>
    <row r="8327" customFormat="false" ht="13.8" hidden="true" customHeight="false" outlineLevel="0" collapsed="false">
      <c r="A8327" s="0" t="s">
        <v>982</v>
      </c>
      <c r="B8327" s="0" t="n">
        <v>31</v>
      </c>
      <c r="C8327" s="0" t="n">
        <v>1.75</v>
      </c>
      <c r="D8327" s="0" t="n">
        <v>0</v>
      </c>
    </row>
    <row r="8328" customFormat="false" ht="13.8" hidden="true" customHeight="false" outlineLevel="0" collapsed="false">
      <c r="A8328" s="0" t="s">
        <v>982</v>
      </c>
      <c r="B8328" s="0" t="n">
        <v>31</v>
      </c>
      <c r="C8328" s="0" t="n">
        <v>1.8</v>
      </c>
      <c r="D8328" s="0" t="n">
        <v>0</v>
      </c>
    </row>
    <row r="8329" customFormat="false" ht="13.8" hidden="true" customHeight="false" outlineLevel="0" collapsed="false">
      <c r="A8329" s="0" t="s">
        <v>982</v>
      </c>
      <c r="B8329" s="0" t="n">
        <v>31</v>
      </c>
      <c r="C8329" s="0" t="n">
        <v>1.85</v>
      </c>
      <c r="D8329" s="0" t="n">
        <v>0</v>
      </c>
    </row>
    <row r="8330" customFormat="false" ht="13.8" hidden="true" customHeight="false" outlineLevel="0" collapsed="false">
      <c r="A8330" s="0" t="s">
        <v>982</v>
      </c>
      <c r="B8330" s="0" t="n">
        <v>31</v>
      </c>
      <c r="C8330" s="0" t="n">
        <v>1.9</v>
      </c>
      <c r="D8330" s="0" t="n">
        <v>0</v>
      </c>
    </row>
    <row r="8331" customFormat="false" ht="13.8" hidden="true" customHeight="false" outlineLevel="0" collapsed="false">
      <c r="A8331" s="0" t="s">
        <v>982</v>
      </c>
      <c r="B8331" s="0" t="n">
        <v>31</v>
      </c>
      <c r="C8331" s="0" t="n">
        <v>1.95</v>
      </c>
      <c r="D8331" s="0" t="n">
        <v>0</v>
      </c>
    </row>
    <row r="8332" customFormat="false" ht="13.8" hidden="true" customHeight="false" outlineLevel="0" collapsed="false">
      <c r="A8332" s="0" t="s">
        <v>982</v>
      </c>
      <c r="B8332" s="0" t="n">
        <v>31</v>
      </c>
      <c r="C8332" s="0" t="n">
        <v>2</v>
      </c>
      <c r="D8332" s="0" t="n">
        <v>0</v>
      </c>
    </row>
    <row r="8333" customFormat="false" ht="13.8" hidden="true" customHeight="false" outlineLevel="0" collapsed="false">
      <c r="A8333" s="0" t="s">
        <v>982</v>
      </c>
      <c r="B8333" s="0" t="n">
        <v>31</v>
      </c>
      <c r="C8333" s="0" t="n">
        <v>2.05</v>
      </c>
      <c r="D8333" s="0" t="n">
        <v>0</v>
      </c>
    </row>
    <row r="8334" customFormat="false" ht="13.8" hidden="true" customHeight="false" outlineLevel="0" collapsed="false">
      <c r="A8334" s="0" t="s">
        <v>982</v>
      </c>
      <c r="B8334" s="0" t="n">
        <v>31</v>
      </c>
      <c r="C8334" s="0" t="n">
        <v>2.1</v>
      </c>
      <c r="D8334" s="0" t="n">
        <v>0</v>
      </c>
    </row>
    <row r="8335" customFormat="false" ht="13.8" hidden="true" customHeight="false" outlineLevel="0" collapsed="false">
      <c r="A8335" s="0" t="s">
        <v>982</v>
      </c>
      <c r="B8335" s="0" t="n">
        <v>31</v>
      </c>
      <c r="C8335" s="0" t="n">
        <v>2.15</v>
      </c>
      <c r="D8335" s="0" t="n">
        <v>0.248416097</v>
      </c>
    </row>
    <row r="8336" customFormat="false" ht="13.8" hidden="true" customHeight="false" outlineLevel="0" collapsed="false">
      <c r="A8336" s="0" t="s">
        <v>982</v>
      </c>
      <c r="B8336" s="0" t="n">
        <v>31</v>
      </c>
      <c r="C8336" s="0" t="n">
        <v>2.2</v>
      </c>
      <c r="D8336" s="0" t="n">
        <v>0.254193216</v>
      </c>
    </row>
    <row r="8337" customFormat="false" ht="13.8" hidden="true" customHeight="false" outlineLevel="0" collapsed="false">
      <c r="A8337" s="0" t="s">
        <v>982</v>
      </c>
      <c r="B8337" s="0" t="n">
        <v>31</v>
      </c>
      <c r="C8337" s="0" t="n">
        <v>2.25</v>
      </c>
      <c r="D8337" s="0" t="n">
        <v>0.259970334</v>
      </c>
    </row>
    <row r="8338" customFormat="false" ht="13.8" hidden="true" customHeight="false" outlineLevel="0" collapsed="false">
      <c r="A8338" s="0" t="s">
        <v>982</v>
      </c>
      <c r="B8338" s="0" t="n">
        <v>31</v>
      </c>
      <c r="C8338" s="0" t="n">
        <v>2.3</v>
      </c>
      <c r="D8338" s="0" t="n">
        <v>0</v>
      </c>
    </row>
    <row r="8339" customFormat="false" ht="13.8" hidden="true" customHeight="false" outlineLevel="0" collapsed="false">
      <c r="A8339" s="0" t="s">
        <v>982</v>
      </c>
      <c r="B8339" s="0" t="n">
        <v>31</v>
      </c>
      <c r="C8339" s="0" t="n">
        <v>2.35</v>
      </c>
      <c r="D8339" s="0" t="n">
        <v>0</v>
      </c>
    </row>
    <row r="8340" customFormat="false" ht="13.8" hidden="true" customHeight="false" outlineLevel="0" collapsed="false">
      <c r="A8340" s="0" t="s">
        <v>982</v>
      </c>
      <c r="B8340" s="0" t="n">
        <v>31</v>
      </c>
      <c r="C8340" s="0" t="n">
        <v>2.4</v>
      </c>
      <c r="D8340" s="0" t="n">
        <v>0</v>
      </c>
    </row>
    <row r="8341" customFormat="false" ht="13.8" hidden="true" customHeight="false" outlineLevel="0" collapsed="false">
      <c r="A8341" s="0" t="s">
        <v>982</v>
      </c>
      <c r="B8341" s="0" t="n">
        <v>31</v>
      </c>
      <c r="C8341" s="0" t="n">
        <v>2.45</v>
      </c>
      <c r="D8341" s="0" t="n">
        <v>0</v>
      </c>
    </row>
    <row r="8342" customFormat="false" ht="13.8" hidden="true" customHeight="false" outlineLevel="0" collapsed="false">
      <c r="A8342" s="0" t="s">
        <v>982</v>
      </c>
      <c r="B8342" s="0" t="n">
        <v>31</v>
      </c>
      <c r="C8342" s="0" t="n">
        <v>2.5</v>
      </c>
      <c r="D8342" s="0" t="n">
        <v>0</v>
      </c>
    </row>
    <row r="8343" customFormat="false" ht="13.8" hidden="true" customHeight="false" outlineLevel="0" collapsed="false">
      <c r="A8343" s="0" t="s">
        <v>982</v>
      </c>
      <c r="B8343" s="0" t="n">
        <v>31</v>
      </c>
      <c r="C8343" s="0" t="n">
        <v>2.55</v>
      </c>
      <c r="D8343" s="0" t="n">
        <v>0</v>
      </c>
    </row>
    <row r="8344" customFormat="false" ht="13.8" hidden="true" customHeight="false" outlineLevel="0" collapsed="false">
      <c r="A8344" s="0" t="s">
        <v>982</v>
      </c>
      <c r="B8344" s="0" t="n">
        <v>31</v>
      </c>
      <c r="C8344" s="0" t="n">
        <v>2.6</v>
      </c>
      <c r="D8344" s="0" t="n">
        <v>0</v>
      </c>
    </row>
    <row r="8345" customFormat="false" ht="13.8" hidden="true" customHeight="false" outlineLevel="0" collapsed="false">
      <c r="A8345" s="0" t="s">
        <v>259</v>
      </c>
      <c r="B8345" s="0" t="n">
        <v>26</v>
      </c>
      <c r="C8345" s="0" t="n">
        <v>1.3</v>
      </c>
      <c r="D8345" s="0" t="n">
        <v>0</v>
      </c>
    </row>
    <row r="8346" customFormat="false" ht="13.8" hidden="true" customHeight="false" outlineLevel="0" collapsed="false">
      <c r="A8346" s="0" t="s">
        <v>259</v>
      </c>
      <c r="B8346" s="0" t="n">
        <v>26</v>
      </c>
      <c r="C8346" s="0" t="n">
        <v>1.35</v>
      </c>
      <c r="D8346" s="0" t="n">
        <v>0.15</v>
      </c>
    </row>
    <row r="8347" customFormat="false" ht="13.8" hidden="true" customHeight="false" outlineLevel="0" collapsed="false">
      <c r="A8347" s="0" t="s">
        <v>259</v>
      </c>
      <c r="B8347" s="0" t="n">
        <v>26</v>
      </c>
      <c r="C8347" s="0" t="n">
        <v>1.4</v>
      </c>
      <c r="D8347" s="0" t="n">
        <v>0.156</v>
      </c>
    </row>
    <row r="8348" customFormat="false" ht="13.8" hidden="true" customHeight="false" outlineLevel="0" collapsed="false">
      <c r="A8348" s="0" t="s">
        <v>259</v>
      </c>
      <c r="B8348" s="0" t="n">
        <v>26</v>
      </c>
      <c r="C8348" s="0" t="n">
        <v>1.45</v>
      </c>
      <c r="D8348" s="0" t="n">
        <v>0.161</v>
      </c>
    </row>
    <row r="8349" customFormat="false" ht="13.8" hidden="true" customHeight="false" outlineLevel="0" collapsed="false">
      <c r="A8349" s="0" t="s">
        <v>259</v>
      </c>
      <c r="B8349" s="0" t="n">
        <v>26</v>
      </c>
      <c r="C8349" s="0" t="n">
        <v>1.5</v>
      </c>
      <c r="D8349" s="0" t="n">
        <v>0.167</v>
      </c>
    </row>
    <row r="8350" customFormat="false" ht="13.8" hidden="true" customHeight="false" outlineLevel="0" collapsed="false">
      <c r="A8350" s="0" t="s">
        <v>259</v>
      </c>
      <c r="B8350" s="0" t="n">
        <v>26</v>
      </c>
      <c r="C8350" s="0" t="n">
        <v>1.55</v>
      </c>
      <c r="D8350" s="0" t="n">
        <v>0.172</v>
      </c>
    </row>
    <row r="8351" customFormat="false" ht="13.8" hidden="true" customHeight="false" outlineLevel="0" collapsed="false">
      <c r="A8351" s="0" t="s">
        <v>259</v>
      </c>
      <c r="B8351" s="0" t="n">
        <v>26</v>
      </c>
      <c r="C8351" s="0" t="n">
        <v>1.6</v>
      </c>
      <c r="D8351" s="0" t="n">
        <v>0.178</v>
      </c>
    </row>
    <row r="8352" customFormat="false" ht="13.8" hidden="true" customHeight="false" outlineLevel="0" collapsed="false">
      <c r="A8352" s="0" t="s">
        <v>259</v>
      </c>
      <c r="B8352" s="0" t="n">
        <v>26</v>
      </c>
      <c r="C8352" s="0" t="n">
        <v>1.65</v>
      </c>
      <c r="D8352" s="0" t="n">
        <v>0.183</v>
      </c>
    </row>
    <row r="8353" customFormat="false" ht="13.8" hidden="true" customHeight="false" outlineLevel="0" collapsed="false">
      <c r="A8353" s="0" t="s">
        <v>259</v>
      </c>
      <c r="B8353" s="0" t="n">
        <v>26</v>
      </c>
      <c r="C8353" s="0" t="n">
        <v>1.7</v>
      </c>
      <c r="D8353" s="0" t="n">
        <v>0</v>
      </c>
    </row>
    <row r="8354" customFormat="false" ht="13.8" hidden="true" customHeight="false" outlineLevel="0" collapsed="false">
      <c r="A8354" s="0" t="s">
        <v>259</v>
      </c>
      <c r="B8354" s="0" t="n">
        <v>26</v>
      </c>
      <c r="C8354" s="0" t="n">
        <v>1.75</v>
      </c>
      <c r="D8354" s="0" t="n">
        <v>0</v>
      </c>
    </row>
    <row r="8355" customFormat="false" ht="13.8" hidden="true" customHeight="false" outlineLevel="0" collapsed="false">
      <c r="A8355" s="0" t="s">
        <v>259</v>
      </c>
      <c r="B8355" s="0" t="n">
        <v>26</v>
      </c>
      <c r="C8355" s="0" t="n">
        <v>1.8</v>
      </c>
      <c r="D8355" s="0" t="n">
        <v>0</v>
      </c>
    </row>
    <row r="8356" customFormat="false" ht="13.8" hidden="true" customHeight="false" outlineLevel="0" collapsed="false">
      <c r="A8356" s="0" t="s">
        <v>259</v>
      </c>
      <c r="B8356" s="0" t="n">
        <v>26</v>
      </c>
      <c r="C8356" s="0" t="n">
        <v>1.85</v>
      </c>
      <c r="D8356" s="0" t="n">
        <v>0</v>
      </c>
    </row>
    <row r="8357" customFormat="false" ht="13.8" hidden="true" customHeight="false" outlineLevel="0" collapsed="false">
      <c r="A8357" s="0" t="s">
        <v>259</v>
      </c>
      <c r="B8357" s="0" t="n">
        <v>26</v>
      </c>
      <c r="C8357" s="0" t="n">
        <v>1.9</v>
      </c>
      <c r="D8357" s="0" t="n">
        <v>0</v>
      </c>
    </row>
    <row r="8358" customFormat="false" ht="13.8" hidden="true" customHeight="false" outlineLevel="0" collapsed="false">
      <c r="A8358" s="0" t="s">
        <v>259</v>
      </c>
      <c r="B8358" s="0" t="n">
        <v>26</v>
      </c>
      <c r="C8358" s="0" t="n">
        <v>1.95</v>
      </c>
      <c r="D8358" s="0" t="n">
        <v>0</v>
      </c>
    </row>
    <row r="8359" customFormat="false" ht="13.8" hidden="true" customHeight="false" outlineLevel="0" collapsed="false">
      <c r="A8359" s="0" t="s">
        <v>259</v>
      </c>
      <c r="B8359" s="0" t="n">
        <v>26</v>
      </c>
      <c r="C8359" s="0" t="n">
        <v>2</v>
      </c>
      <c r="D8359" s="0" t="n">
        <v>0</v>
      </c>
    </row>
    <row r="8360" customFormat="false" ht="13.8" hidden="true" customHeight="false" outlineLevel="0" collapsed="false">
      <c r="A8360" s="0" t="s">
        <v>259</v>
      </c>
      <c r="B8360" s="0" t="n">
        <v>26</v>
      </c>
      <c r="C8360" s="0" t="n">
        <v>2.05</v>
      </c>
      <c r="D8360" s="0" t="n">
        <v>0</v>
      </c>
    </row>
    <row r="8361" customFormat="false" ht="13.8" hidden="true" customHeight="false" outlineLevel="0" collapsed="false">
      <c r="A8361" s="0" t="s">
        <v>259</v>
      </c>
      <c r="B8361" s="0" t="n">
        <v>26</v>
      </c>
      <c r="C8361" s="0" t="n">
        <v>2.1</v>
      </c>
      <c r="D8361" s="0" t="n">
        <v>0</v>
      </c>
    </row>
    <row r="8362" customFormat="false" ht="13.8" hidden="true" customHeight="false" outlineLevel="0" collapsed="false">
      <c r="A8362" s="0" t="s">
        <v>259</v>
      </c>
      <c r="B8362" s="0" t="n">
        <v>26</v>
      </c>
      <c r="C8362" s="0" t="n">
        <v>2.15</v>
      </c>
      <c r="D8362" s="0" t="n">
        <v>0</v>
      </c>
    </row>
    <row r="8363" customFormat="false" ht="13.8" hidden="true" customHeight="false" outlineLevel="0" collapsed="false">
      <c r="A8363" s="0" t="s">
        <v>259</v>
      </c>
      <c r="B8363" s="0" t="n">
        <v>26</v>
      </c>
      <c r="C8363" s="0" t="n">
        <v>2.2</v>
      </c>
      <c r="D8363" s="0" t="n">
        <v>0</v>
      </c>
    </row>
    <row r="8364" customFormat="false" ht="13.8" hidden="true" customHeight="false" outlineLevel="0" collapsed="false">
      <c r="A8364" s="0" t="s">
        <v>259</v>
      </c>
      <c r="B8364" s="0" t="n">
        <v>26</v>
      </c>
      <c r="C8364" s="0" t="n">
        <v>2.25</v>
      </c>
      <c r="D8364" s="0" t="n">
        <v>0</v>
      </c>
    </row>
    <row r="8365" customFormat="false" ht="13.8" hidden="true" customHeight="false" outlineLevel="0" collapsed="false">
      <c r="A8365" s="0" t="s">
        <v>259</v>
      </c>
      <c r="B8365" s="0" t="n">
        <v>26</v>
      </c>
      <c r="C8365" s="0" t="n">
        <v>2.3</v>
      </c>
      <c r="D8365" s="0" t="n">
        <v>0</v>
      </c>
    </row>
    <row r="8366" customFormat="false" ht="13.8" hidden="true" customHeight="false" outlineLevel="0" collapsed="false">
      <c r="A8366" s="0" t="s">
        <v>259</v>
      </c>
      <c r="B8366" s="0" t="n">
        <v>26</v>
      </c>
      <c r="C8366" s="0" t="n">
        <v>2.35</v>
      </c>
      <c r="D8366" s="0" t="n">
        <v>0</v>
      </c>
    </row>
    <row r="8367" customFormat="false" ht="13.8" hidden="true" customHeight="false" outlineLevel="0" collapsed="false">
      <c r="A8367" s="0" t="s">
        <v>259</v>
      </c>
      <c r="B8367" s="0" t="n">
        <v>26</v>
      </c>
      <c r="C8367" s="0" t="n">
        <v>2.4</v>
      </c>
      <c r="D8367" s="0" t="n">
        <v>0</v>
      </c>
    </row>
    <row r="8368" customFormat="false" ht="13.8" hidden="true" customHeight="false" outlineLevel="0" collapsed="false">
      <c r="A8368" s="0" t="s">
        <v>259</v>
      </c>
      <c r="B8368" s="0" t="n">
        <v>26</v>
      </c>
      <c r="C8368" s="0" t="n">
        <v>2.45</v>
      </c>
      <c r="D8368" s="0" t="n">
        <v>0</v>
      </c>
    </row>
    <row r="8369" customFormat="false" ht="13.8" hidden="true" customHeight="false" outlineLevel="0" collapsed="false">
      <c r="A8369" s="0" t="s">
        <v>259</v>
      </c>
      <c r="B8369" s="0" t="n">
        <v>26</v>
      </c>
      <c r="C8369" s="0" t="n">
        <v>2.5</v>
      </c>
      <c r="D8369" s="0" t="n">
        <v>0</v>
      </c>
    </row>
    <row r="8370" customFormat="false" ht="13.8" hidden="true" customHeight="false" outlineLevel="0" collapsed="false">
      <c r="A8370" s="0" t="s">
        <v>259</v>
      </c>
      <c r="B8370" s="0" t="n">
        <v>26</v>
      </c>
      <c r="C8370" s="0" t="n">
        <v>2.55</v>
      </c>
      <c r="D8370" s="0" t="n">
        <v>0</v>
      </c>
    </row>
    <row r="8371" customFormat="false" ht="13.8" hidden="true" customHeight="false" outlineLevel="0" collapsed="false">
      <c r="A8371" s="0" t="s">
        <v>259</v>
      </c>
      <c r="B8371" s="0" t="n">
        <v>26</v>
      </c>
      <c r="C8371" s="0" t="n">
        <v>2.6</v>
      </c>
      <c r="D8371" s="0" t="n">
        <v>0</v>
      </c>
    </row>
    <row r="8372" customFormat="false" ht="13.8" hidden="true" customHeight="false" outlineLevel="0" collapsed="false">
      <c r="A8372" s="0" t="s">
        <v>259</v>
      </c>
      <c r="B8372" s="0" t="n">
        <v>30</v>
      </c>
      <c r="C8372" s="0" t="n">
        <v>1.3</v>
      </c>
      <c r="D8372" s="0" t="n">
        <v>0</v>
      </c>
    </row>
    <row r="8373" customFormat="false" ht="13.8" hidden="true" customHeight="false" outlineLevel="0" collapsed="false">
      <c r="A8373" s="0" t="s">
        <v>259</v>
      </c>
      <c r="B8373" s="0" t="n">
        <v>30</v>
      </c>
      <c r="C8373" s="0" t="n">
        <v>1.35</v>
      </c>
      <c r="D8373" s="0" t="n">
        <v>0.15</v>
      </c>
    </row>
    <row r="8374" customFormat="false" ht="13.8" hidden="true" customHeight="false" outlineLevel="0" collapsed="false">
      <c r="A8374" s="0" t="s">
        <v>259</v>
      </c>
      <c r="B8374" s="0" t="n">
        <v>30</v>
      </c>
      <c r="C8374" s="0" t="n">
        <v>1.4</v>
      </c>
      <c r="D8374" s="0" t="n">
        <v>0.156</v>
      </c>
    </row>
    <row r="8375" customFormat="false" ht="13.8" hidden="true" customHeight="false" outlineLevel="0" collapsed="false">
      <c r="A8375" s="0" t="s">
        <v>259</v>
      </c>
      <c r="B8375" s="0" t="n">
        <v>30</v>
      </c>
      <c r="C8375" s="0" t="n">
        <v>1.45</v>
      </c>
      <c r="D8375" s="0" t="n">
        <v>0.161</v>
      </c>
    </row>
    <row r="8376" customFormat="false" ht="13.8" hidden="true" customHeight="false" outlineLevel="0" collapsed="false">
      <c r="A8376" s="0" t="s">
        <v>259</v>
      </c>
      <c r="B8376" s="0" t="n">
        <v>30</v>
      </c>
      <c r="C8376" s="0" t="n">
        <v>1.5</v>
      </c>
      <c r="D8376" s="0" t="n">
        <v>0.167</v>
      </c>
    </row>
    <row r="8377" customFormat="false" ht="13.8" hidden="true" customHeight="false" outlineLevel="0" collapsed="false">
      <c r="A8377" s="0" t="s">
        <v>259</v>
      </c>
      <c r="B8377" s="0" t="n">
        <v>30</v>
      </c>
      <c r="C8377" s="0" t="n">
        <v>1.55</v>
      </c>
      <c r="D8377" s="0" t="n">
        <v>0.172</v>
      </c>
    </row>
    <row r="8378" customFormat="false" ht="13.8" hidden="true" customHeight="false" outlineLevel="0" collapsed="false">
      <c r="A8378" s="0" t="s">
        <v>259</v>
      </c>
      <c r="B8378" s="0" t="n">
        <v>30</v>
      </c>
      <c r="C8378" s="0" t="n">
        <v>1.6</v>
      </c>
      <c r="D8378" s="0" t="n">
        <v>0.178</v>
      </c>
    </row>
    <row r="8379" customFormat="false" ht="13.8" hidden="true" customHeight="false" outlineLevel="0" collapsed="false">
      <c r="A8379" s="0" t="s">
        <v>259</v>
      </c>
      <c r="B8379" s="0" t="n">
        <v>30</v>
      </c>
      <c r="C8379" s="0" t="n">
        <v>1.65</v>
      </c>
      <c r="D8379" s="0" t="n">
        <v>0.183</v>
      </c>
    </row>
    <row r="8380" customFormat="false" ht="13.8" hidden="true" customHeight="false" outlineLevel="0" collapsed="false">
      <c r="A8380" s="0" t="s">
        <v>259</v>
      </c>
      <c r="B8380" s="0" t="n">
        <v>30</v>
      </c>
      <c r="C8380" s="0" t="n">
        <v>1.7</v>
      </c>
      <c r="D8380" s="0" t="n">
        <v>0</v>
      </c>
    </row>
    <row r="8381" customFormat="false" ht="13.8" hidden="true" customHeight="false" outlineLevel="0" collapsed="false">
      <c r="A8381" s="0" t="s">
        <v>259</v>
      </c>
      <c r="B8381" s="0" t="n">
        <v>30</v>
      </c>
      <c r="C8381" s="0" t="n">
        <v>1.75</v>
      </c>
      <c r="D8381" s="0" t="n">
        <v>0</v>
      </c>
    </row>
    <row r="8382" customFormat="false" ht="13.8" hidden="true" customHeight="false" outlineLevel="0" collapsed="false">
      <c r="A8382" s="0" t="s">
        <v>259</v>
      </c>
      <c r="B8382" s="0" t="n">
        <v>30</v>
      </c>
      <c r="C8382" s="0" t="n">
        <v>1.8</v>
      </c>
      <c r="D8382" s="0" t="n">
        <v>0</v>
      </c>
    </row>
    <row r="8383" customFormat="false" ht="13.8" hidden="true" customHeight="false" outlineLevel="0" collapsed="false">
      <c r="A8383" s="0" t="s">
        <v>259</v>
      </c>
      <c r="B8383" s="0" t="n">
        <v>30</v>
      </c>
      <c r="C8383" s="0" t="n">
        <v>1.85</v>
      </c>
      <c r="D8383" s="0" t="n">
        <v>0</v>
      </c>
    </row>
    <row r="8384" customFormat="false" ht="13.8" hidden="true" customHeight="false" outlineLevel="0" collapsed="false">
      <c r="A8384" s="0" t="s">
        <v>259</v>
      </c>
      <c r="B8384" s="0" t="n">
        <v>30</v>
      </c>
      <c r="C8384" s="0" t="n">
        <v>1.9</v>
      </c>
      <c r="D8384" s="0" t="n">
        <v>0</v>
      </c>
    </row>
    <row r="8385" customFormat="false" ht="13.8" hidden="true" customHeight="false" outlineLevel="0" collapsed="false">
      <c r="A8385" s="0" t="s">
        <v>259</v>
      </c>
      <c r="B8385" s="0" t="n">
        <v>30</v>
      </c>
      <c r="C8385" s="0" t="n">
        <v>1.95</v>
      </c>
      <c r="D8385" s="0" t="n">
        <v>0</v>
      </c>
    </row>
    <row r="8386" customFormat="false" ht="13.8" hidden="true" customHeight="false" outlineLevel="0" collapsed="false">
      <c r="A8386" s="0" t="s">
        <v>259</v>
      </c>
      <c r="B8386" s="0" t="n">
        <v>30</v>
      </c>
      <c r="C8386" s="0" t="n">
        <v>2</v>
      </c>
      <c r="D8386" s="0" t="n">
        <v>0</v>
      </c>
    </row>
    <row r="8387" customFormat="false" ht="13.8" hidden="true" customHeight="false" outlineLevel="0" collapsed="false">
      <c r="A8387" s="0" t="s">
        <v>259</v>
      </c>
      <c r="B8387" s="0" t="n">
        <v>30</v>
      </c>
      <c r="C8387" s="0" t="n">
        <v>2.05</v>
      </c>
      <c r="D8387" s="0" t="n">
        <v>0</v>
      </c>
    </row>
    <row r="8388" customFormat="false" ht="13.8" hidden="true" customHeight="false" outlineLevel="0" collapsed="false">
      <c r="A8388" s="0" t="s">
        <v>259</v>
      </c>
      <c r="B8388" s="0" t="n">
        <v>30</v>
      </c>
      <c r="C8388" s="0" t="n">
        <v>2.1</v>
      </c>
      <c r="D8388" s="0" t="n">
        <v>0</v>
      </c>
    </row>
    <row r="8389" customFormat="false" ht="13.8" hidden="true" customHeight="false" outlineLevel="0" collapsed="false">
      <c r="A8389" s="0" t="s">
        <v>259</v>
      </c>
      <c r="B8389" s="0" t="n">
        <v>30</v>
      </c>
      <c r="C8389" s="0" t="n">
        <v>2.15</v>
      </c>
      <c r="D8389" s="0" t="n">
        <v>0</v>
      </c>
    </row>
    <row r="8390" customFormat="false" ht="13.8" hidden="true" customHeight="false" outlineLevel="0" collapsed="false">
      <c r="A8390" s="0" t="s">
        <v>259</v>
      </c>
      <c r="B8390" s="0" t="n">
        <v>30</v>
      </c>
      <c r="C8390" s="0" t="n">
        <v>2.2</v>
      </c>
      <c r="D8390" s="0" t="n">
        <v>0</v>
      </c>
    </row>
    <row r="8391" customFormat="false" ht="13.8" hidden="true" customHeight="false" outlineLevel="0" collapsed="false">
      <c r="A8391" s="0" t="s">
        <v>259</v>
      </c>
      <c r="B8391" s="0" t="n">
        <v>30</v>
      </c>
      <c r="C8391" s="0" t="n">
        <v>2.25</v>
      </c>
      <c r="D8391" s="0" t="n">
        <v>0</v>
      </c>
    </row>
    <row r="8392" customFormat="false" ht="13.8" hidden="true" customHeight="false" outlineLevel="0" collapsed="false">
      <c r="A8392" s="0" t="s">
        <v>259</v>
      </c>
      <c r="B8392" s="0" t="n">
        <v>30</v>
      </c>
      <c r="C8392" s="0" t="n">
        <v>2.3</v>
      </c>
      <c r="D8392" s="0" t="n">
        <v>0</v>
      </c>
    </row>
    <row r="8393" customFormat="false" ht="13.8" hidden="true" customHeight="false" outlineLevel="0" collapsed="false">
      <c r="A8393" s="0" t="s">
        <v>259</v>
      </c>
      <c r="B8393" s="0" t="n">
        <v>30</v>
      </c>
      <c r="C8393" s="0" t="n">
        <v>2.35</v>
      </c>
      <c r="D8393" s="0" t="n">
        <v>0</v>
      </c>
    </row>
    <row r="8394" customFormat="false" ht="13.8" hidden="true" customHeight="false" outlineLevel="0" collapsed="false">
      <c r="A8394" s="0" t="s">
        <v>259</v>
      </c>
      <c r="B8394" s="0" t="n">
        <v>30</v>
      </c>
      <c r="C8394" s="0" t="n">
        <v>2.4</v>
      </c>
      <c r="D8394" s="0" t="n">
        <v>0</v>
      </c>
    </row>
    <row r="8395" customFormat="false" ht="13.8" hidden="true" customHeight="false" outlineLevel="0" collapsed="false">
      <c r="A8395" s="0" t="s">
        <v>259</v>
      </c>
      <c r="B8395" s="0" t="n">
        <v>30</v>
      </c>
      <c r="C8395" s="0" t="n">
        <v>2.45</v>
      </c>
      <c r="D8395" s="0" t="n">
        <v>0</v>
      </c>
    </row>
    <row r="8396" customFormat="false" ht="13.8" hidden="true" customHeight="false" outlineLevel="0" collapsed="false">
      <c r="A8396" s="0" t="s">
        <v>259</v>
      </c>
      <c r="B8396" s="0" t="n">
        <v>30</v>
      </c>
      <c r="C8396" s="0" t="n">
        <v>2.5</v>
      </c>
      <c r="D8396" s="0" t="n">
        <v>0</v>
      </c>
    </row>
    <row r="8397" customFormat="false" ht="13.8" hidden="true" customHeight="false" outlineLevel="0" collapsed="false">
      <c r="A8397" s="0" t="s">
        <v>259</v>
      </c>
      <c r="B8397" s="0" t="n">
        <v>30</v>
      </c>
      <c r="C8397" s="0" t="n">
        <v>2.55</v>
      </c>
      <c r="D8397" s="0" t="n">
        <v>0</v>
      </c>
    </row>
    <row r="8398" customFormat="false" ht="13.8" hidden="true" customHeight="false" outlineLevel="0" collapsed="false">
      <c r="A8398" s="0" t="s">
        <v>259</v>
      </c>
      <c r="B8398" s="0" t="n">
        <v>30</v>
      </c>
      <c r="C8398" s="0" t="n">
        <v>2.6</v>
      </c>
      <c r="D8398" s="0" t="n">
        <v>0</v>
      </c>
    </row>
    <row r="8399" customFormat="false" ht="13.8" hidden="true" customHeight="false" outlineLevel="0" collapsed="false">
      <c r="A8399" s="0" t="s">
        <v>259</v>
      </c>
      <c r="B8399" s="0" t="n">
        <v>31</v>
      </c>
      <c r="C8399" s="0" t="n">
        <v>1.3</v>
      </c>
      <c r="D8399" s="0" t="n">
        <v>0</v>
      </c>
    </row>
    <row r="8400" customFormat="false" ht="13.8" hidden="true" customHeight="false" outlineLevel="0" collapsed="false">
      <c r="A8400" s="0" t="s">
        <v>259</v>
      </c>
      <c r="B8400" s="0" t="n">
        <v>31</v>
      </c>
      <c r="C8400" s="0" t="n">
        <v>1.35</v>
      </c>
      <c r="D8400" s="0" t="n">
        <v>0.15</v>
      </c>
    </row>
    <row r="8401" customFormat="false" ht="13.8" hidden="true" customHeight="false" outlineLevel="0" collapsed="false">
      <c r="A8401" s="0" t="s">
        <v>259</v>
      </c>
      <c r="B8401" s="0" t="n">
        <v>31</v>
      </c>
      <c r="C8401" s="0" t="n">
        <v>1.4</v>
      </c>
      <c r="D8401" s="0" t="n">
        <v>0.156</v>
      </c>
    </row>
    <row r="8402" customFormat="false" ht="13.8" hidden="true" customHeight="false" outlineLevel="0" collapsed="false">
      <c r="A8402" s="0" t="s">
        <v>259</v>
      </c>
      <c r="B8402" s="0" t="n">
        <v>31</v>
      </c>
      <c r="C8402" s="0" t="n">
        <v>1.45</v>
      </c>
      <c r="D8402" s="0" t="n">
        <v>0.161</v>
      </c>
    </row>
    <row r="8403" customFormat="false" ht="13.8" hidden="true" customHeight="false" outlineLevel="0" collapsed="false">
      <c r="A8403" s="0" t="s">
        <v>259</v>
      </c>
      <c r="B8403" s="0" t="n">
        <v>31</v>
      </c>
      <c r="C8403" s="0" t="n">
        <v>1.5</v>
      </c>
      <c r="D8403" s="0" t="n">
        <v>0.167</v>
      </c>
    </row>
    <row r="8404" customFormat="false" ht="13.8" hidden="true" customHeight="false" outlineLevel="0" collapsed="false">
      <c r="A8404" s="0" t="s">
        <v>259</v>
      </c>
      <c r="B8404" s="0" t="n">
        <v>31</v>
      </c>
      <c r="C8404" s="0" t="n">
        <v>1.55</v>
      </c>
      <c r="D8404" s="0" t="n">
        <v>0.172</v>
      </c>
    </row>
    <row r="8405" customFormat="false" ht="13.8" hidden="true" customHeight="false" outlineLevel="0" collapsed="false">
      <c r="A8405" s="0" t="s">
        <v>259</v>
      </c>
      <c r="B8405" s="0" t="n">
        <v>31</v>
      </c>
      <c r="C8405" s="0" t="n">
        <v>1.6</v>
      </c>
      <c r="D8405" s="0" t="n">
        <v>0.178</v>
      </c>
    </row>
    <row r="8406" customFormat="false" ht="13.8" hidden="true" customHeight="false" outlineLevel="0" collapsed="false">
      <c r="A8406" s="0" t="s">
        <v>259</v>
      </c>
      <c r="B8406" s="0" t="n">
        <v>31</v>
      </c>
      <c r="C8406" s="0" t="n">
        <v>1.65</v>
      </c>
      <c r="D8406" s="0" t="n">
        <v>0.183</v>
      </c>
    </row>
    <row r="8407" customFormat="false" ht="13.8" hidden="true" customHeight="false" outlineLevel="0" collapsed="false">
      <c r="A8407" s="0" t="s">
        <v>259</v>
      </c>
      <c r="B8407" s="0" t="n">
        <v>31</v>
      </c>
      <c r="C8407" s="0" t="n">
        <v>1.7</v>
      </c>
      <c r="D8407" s="0" t="n">
        <v>0</v>
      </c>
    </row>
    <row r="8408" customFormat="false" ht="13.8" hidden="true" customHeight="false" outlineLevel="0" collapsed="false">
      <c r="A8408" s="0" t="s">
        <v>259</v>
      </c>
      <c r="B8408" s="0" t="n">
        <v>31</v>
      </c>
      <c r="C8408" s="0" t="n">
        <v>1.75</v>
      </c>
      <c r="D8408" s="0" t="n">
        <v>0</v>
      </c>
    </row>
    <row r="8409" customFormat="false" ht="13.8" hidden="true" customHeight="false" outlineLevel="0" collapsed="false">
      <c r="A8409" s="0" t="s">
        <v>259</v>
      </c>
      <c r="B8409" s="0" t="n">
        <v>31</v>
      </c>
      <c r="C8409" s="0" t="n">
        <v>1.8</v>
      </c>
      <c r="D8409" s="0" t="n">
        <v>0</v>
      </c>
    </row>
    <row r="8410" customFormat="false" ht="13.8" hidden="true" customHeight="false" outlineLevel="0" collapsed="false">
      <c r="A8410" s="0" t="s">
        <v>259</v>
      </c>
      <c r="B8410" s="0" t="n">
        <v>31</v>
      </c>
      <c r="C8410" s="0" t="n">
        <v>1.85</v>
      </c>
      <c r="D8410" s="0" t="n">
        <v>0</v>
      </c>
    </row>
    <row r="8411" customFormat="false" ht="13.8" hidden="true" customHeight="false" outlineLevel="0" collapsed="false">
      <c r="A8411" s="0" t="s">
        <v>259</v>
      </c>
      <c r="B8411" s="0" t="n">
        <v>31</v>
      </c>
      <c r="C8411" s="0" t="n">
        <v>1.9</v>
      </c>
      <c r="D8411" s="0" t="n">
        <v>0</v>
      </c>
    </row>
    <row r="8412" customFormat="false" ht="13.8" hidden="true" customHeight="false" outlineLevel="0" collapsed="false">
      <c r="A8412" s="0" t="s">
        <v>259</v>
      </c>
      <c r="B8412" s="0" t="n">
        <v>31</v>
      </c>
      <c r="C8412" s="0" t="n">
        <v>1.95</v>
      </c>
      <c r="D8412" s="0" t="n">
        <v>0</v>
      </c>
    </row>
    <row r="8413" customFormat="false" ht="13.8" hidden="true" customHeight="false" outlineLevel="0" collapsed="false">
      <c r="A8413" s="0" t="s">
        <v>259</v>
      </c>
      <c r="B8413" s="0" t="n">
        <v>31</v>
      </c>
      <c r="C8413" s="0" t="n">
        <v>2</v>
      </c>
      <c r="D8413" s="0" t="n">
        <v>0</v>
      </c>
    </row>
    <row r="8414" customFormat="false" ht="13.8" hidden="true" customHeight="false" outlineLevel="0" collapsed="false">
      <c r="A8414" s="0" t="s">
        <v>259</v>
      </c>
      <c r="B8414" s="0" t="n">
        <v>31</v>
      </c>
      <c r="C8414" s="0" t="n">
        <v>2.05</v>
      </c>
      <c r="D8414" s="0" t="n">
        <v>0</v>
      </c>
    </row>
    <row r="8415" customFormat="false" ht="13.8" hidden="true" customHeight="false" outlineLevel="0" collapsed="false">
      <c r="A8415" s="0" t="s">
        <v>259</v>
      </c>
      <c r="B8415" s="0" t="n">
        <v>31</v>
      </c>
      <c r="C8415" s="0" t="n">
        <v>2.1</v>
      </c>
      <c r="D8415" s="0" t="n">
        <v>0</v>
      </c>
    </row>
    <row r="8416" customFormat="false" ht="13.8" hidden="true" customHeight="false" outlineLevel="0" collapsed="false">
      <c r="A8416" s="0" t="s">
        <v>259</v>
      </c>
      <c r="B8416" s="0" t="n">
        <v>31</v>
      </c>
      <c r="C8416" s="0" t="n">
        <v>2.15</v>
      </c>
      <c r="D8416" s="0" t="n">
        <v>0.248416097</v>
      </c>
    </row>
    <row r="8417" customFormat="false" ht="13.8" hidden="true" customHeight="false" outlineLevel="0" collapsed="false">
      <c r="A8417" s="0" t="s">
        <v>259</v>
      </c>
      <c r="B8417" s="0" t="n">
        <v>31</v>
      </c>
      <c r="C8417" s="0" t="n">
        <v>2.2</v>
      </c>
      <c r="D8417" s="0" t="n">
        <v>0.254193216</v>
      </c>
    </row>
    <row r="8418" customFormat="false" ht="13.8" hidden="true" customHeight="false" outlineLevel="0" collapsed="false">
      <c r="A8418" s="0" t="s">
        <v>259</v>
      </c>
      <c r="B8418" s="0" t="n">
        <v>31</v>
      </c>
      <c r="C8418" s="0" t="n">
        <v>2.25</v>
      </c>
      <c r="D8418" s="0" t="n">
        <v>0.259970334</v>
      </c>
    </row>
    <row r="8419" customFormat="false" ht="13.8" hidden="true" customHeight="false" outlineLevel="0" collapsed="false">
      <c r="A8419" s="0" t="s">
        <v>259</v>
      </c>
      <c r="B8419" s="0" t="n">
        <v>31</v>
      </c>
      <c r="C8419" s="0" t="n">
        <v>2.3</v>
      </c>
      <c r="D8419" s="0" t="n">
        <v>0</v>
      </c>
    </row>
    <row r="8420" customFormat="false" ht="13.8" hidden="true" customHeight="false" outlineLevel="0" collapsed="false">
      <c r="A8420" s="0" t="s">
        <v>259</v>
      </c>
      <c r="B8420" s="0" t="n">
        <v>31</v>
      </c>
      <c r="C8420" s="0" t="n">
        <v>2.35</v>
      </c>
      <c r="D8420" s="0" t="n">
        <v>0</v>
      </c>
    </row>
    <row r="8421" customFormat="false" ht="13.8" hidden="true" customHeight="false" outlineLevel="0" collapsed="false">
      <c r="A8421" s="0" t="s">
        <v>259</v>
      </c>
      <c r="B8421" s="0" t="n">
        <v>31</v>
      </c>
      <c r="C8421" s="0" t="n">
        <v>2.4</v>
      </c>
      <c r="D8421" s="0" t="n">
        <v>0</v>
      </c>
    </row>
    <row r="8422" customFormat="false" ht="13.8" hidden="true" customHeight="false" outlineLevel="0" collapsed="false">
      <c r="A8422" s="0" t="s">
        <v>259</v>
      </c>
      <c r="B8422" s="0" t="n">
        <v>31</v>
      </c>
      <c r="C8422" s="0" t="n">
        <v>2.45</v>
      </c>
      <c r="D8422" s="0" t="n">
        <v>0</v>
      </c>
    </row>
    <row r="8423" customFormat="false" ht="13.8" hidden="true" customHeight="false" outlineLevel="0" collapsed="false">
      <c r="A8423" s="0" t="s">
        <v>259</v>
      </c>
      <c r="B8423" s="0" t="n">
        <v>31</v>
      </c>
      <c r="C8423" s="0" t="n">
        <v>2.5</v>
      </c>
      <c r="D8423" s="0" t="n">
        <v>0</v>
      </c>
    </row>
    <row r="8424" customFormat="false" ht="13.8" hidden="true" customHeight="false" outlineLevel="0" collapsed="false">
      <c r="A8424" s="0" t="s">
        <v>259</v>
      </c>
      <c r="B8424" s="0" t="n">
        <v>31</v>
      </c>
      <c r="C8424" s="0" t="n">
        <v>2.55</v>
      </c>
      <c r="D8424" s="0" t="n">
        <v>0</v>
      </c>
    </row>
    <row r="8425" customFormat="false" ht="13.8" hidden="true" customHeight="false" outlineLevel="0" collapsed="false">
      <c r="A8425" s="0" t="s">
        <v>259</v>
      </c>
      <c r="B8425" s="0" t="n">
        <v>31</v>
      </c>
      <c r="C8425" s="0" t="n">
        <v>2.6</v>
      </c>
      <c r="D8425" s="0" t="n">
        <v>0</v>
      </c>
    </row>
    <row r="8426" customFormat="false" ht="13.8" hidden="true" customHeight="false" outlineLevel="0" collapsed="false">
      <c r="A8426" s="0" t="s">
        <v>987</v>
      </c>
      <c r="B8426" s="0" t="n">
        <v>1</v>
      </c>
      <c r="C8426" s="0" t="n">
        <v>1.3</v>
      </c>
      <c r="D8426" s="0" t="n">
        <v>0</v>
      </c>
    </row>
    <row r="8427" customFormat="false" ht="13.8" hidden="true" customHeight="false" outlineLevel="0" collapsed="false">
      <c r="A8427" s="0" t="s">
        <v>987</v>
      </c>
      <c r="B8427" s="0" t="n">
        <v>1</v>
      </c>
      <c r="C8427" s="0" t="n">
        <v>1.35</v>
      </c>
      <c r="D8427" s="0" t="n">
        <v>0.122</v>
      </c>
    </row>
    <row r="8428" customFormat="false" ht="13.8" hidden="true" customHeight="false" outlineLevel="0" collapsed="false">
      <c r="A8428" s="0" t="s">
        <v>987</v>
      </c>
      <c r="B8428" s="0" t="n">
        <v>1</v>
      </c>
      <c r="C8428" s="0" t="n">
        <v>1.4</v>
      </c>
      <c r="D8428" s="0" t="n">
        <v>0.126</v>
      </c>
    </row>
    <row r="8429" customFormat="false" ht="13.8" hidden="true" customHeight="false" outlineLevel="0" collapsed="false">
      <c r="A8429" s="0" t="s">
        <v>987</v>
      </c>
      <c r="B8429" s="0" t="n">
        <v>1</v>
      </c>
      <c r="C8429" s="0" t="n">
        <v>1.45</v>
      </c>
      <c r="D8429" s="0" t="n">
        <v>0.131</v>
      </c>
    </row>
    <row r="8430" customFormat="false" ht="13.8" hidden="true" customHeight="false" outlineLevel="0" collapsed="false">
      <c r="A8430" s="0" t="s">
        <v>987</v>
      </c>
      <c r="B8430" s="0" t="n">
        <v>1</v>
      </c>
      <c r="C8430" s="0" t="n">
        <v>1.5</v>
      </c>
      <c r="D8430" s="0" t="n">
        <v>0.135</v>
      </c>
    </row>
    <row r="8431" customFormat="false" ht="13.8" hidden="true" customHeight="false" outlineLevel="0" collapsed="false">
      <c r="A8431" s="0" t="s">
        <v>987</v>
      </c>
      <c r="B8431" s="0" t="n">
        <v>1</v>
      </c>
      <c r="C8431" s="0" t="n">
        <v>1.55</v>
      </c>
      <c r="D8431" s="0" t="n">
        <v>0.14</v>
      </c>
    </row>
    <row r="8432" customFormat="false" ht="13.8" hidden="true" customHeight="false" outlineLevel="0" collapsed="false">
      <c r="A8432" s="0" t="s">
        <v>987</v>
      </c>
      <c r="B8432" s="0" t="n">
        <v>1</v>
      </c>
      <c r="C8432" s="0" t="n">
        <v>1.6</v>
      </c>
      <c r="D8432" s="0" t="n">
        <v>0.144</v>
      </c>
    </row>
    <row r="8433" customFormat="false" ht="13.8" hidden="true" customHeight="false" outlineLevel="0" collapsed="false">
      <c r="A8433" s="0" t="s">
        <v>987</v>
      </c>
      <c r="B8433" s="0" t="n">
        <v>1</v>
      </c>
      <c r="C8433" s="0" t="n">
        <v>1.65</v>
      </c>
      <c r="D8433" s="0" t="n">
        <v>0.149</v>
      </c>
    </row>
    <row r="8434" customFormat="false" ht="13.8" hidden="true" customHeight="false" outlineLevel="0" collapsed="false">
      <c r="A8434" s="0" t="s">
        <v>987</v>
      </c>
      <c r="B8434" s="0" t="n">
        <v>1</v>
      </c>
      <c r="C8434" s="0" t="n">
        <v>1.7</v>
      </c>
      <c r="D8434" s="0" t="n">
        <v>0.153</v>
      </c>
    </row>
    <row r="8435" customFormat="false" ht="13.8" hidden="true" customHeight="false" outlineLevel="0" collapsed="false">
      <c r="A8435" s="0" t="s">
        <v>987</v>
      </c>
      <c r="B8435" s="0" t="n">
        <v>1</v>
      </c>
      <c r="C8435" s="0" t="n">
        <v>1.75</v>
      </c>
      <c r="D8435" s="0" t="n">
        <v>0.158</v>
      </c>
    </row>
    <row r="8436" customFormat="false" ht="13.8" hidden="true" customHeight="false" outlineLevel="0" collapsed="false">
      <c r="A8436" s="0" t="s">
        <v>987</v>
      </c>
      <c r="B8436" s="0" t="n">
        <v>1</v>
      </c>
      <c r="C8436" s="0" t="n">
        <v>1.8</v>
      </c>
      <c r="D8436" s="0" t="n">
        <v>0.162</v>
      </c>
    </row>
    <row r="8437" customFormat="false" ht="13.8" hidden="true" customHeight="false" outlineLevel="0" collapsed="false">
      <c r="A8437" s="0" t="s">
        <v>987</v>
      </c>
      <c r="B8437" s="0" t="n">
        <v>1</v>
      </c>
      <c r="C8437" s="0" t="n">
        <v>1.85</v>
      </c>
      <c r="D8437" s="0" t="n">
        <v>0.167</v>
      </c>
    </row>
    <row r="8438" customFormat="false" ht="13.8" hidden="true" customHeight="false" outlineLevel="0" collapsed="false">
      <c r="A8438" s="0" t="s">
        <v>987</v>
      </c>
      <c r="B8438" s="0" t="n">
        <v>1</v>
      </c>
      <c r="C8438" s="0" t="n">
        <v>1.9</v>
      </c>
      <c r="D8438" s="0" t="n">
        <v>0.172</v>
      </c>
    </row>
    <row r="8439" customFormat="false" ht="13.8" hidden="true" customHeight="false" outlineLevel="0" collapsed="false">
      <c r="A8439" s="0" t="s">
        <v>987</v>
      </c>
      <c r="B8439" s="0" t="n">
        <v>1</v>
      </c>
      <c r="C8439" s="0" t="n">
        <v>1.95</v>
      </c>
      <c r="D8439" s="0" t="n">
        <v>0.176</v>
      </c>
    </row>
    <row r="8440" customFormat="false" ht="13.8" hidden="true" customHeight="false" outlineLevel="0" collapsed="false">
      <c r="A8440" s="0" t="s">
        <v>987</v>
      </c>
      <c r="B8440" s="0" t="n">
        <v>1</v>
      </c>
      <c r="C8440" s="0" t="n">
        <v>2</v>
      </c>
      <c r="D8440" s="0" t="n">
        <v>0.181</v>
      </c>
    </row>
    <row r="8441" customFormat="false" ht="13.8" hidden="true" customHeight="false" outlineLevel="0" collapsed="false">
      <c r="A8441" s="0" t="s">
        <v>987</v>
      </c>
      <c r="B8441" s="0" t="n">
        <v>1</v>
      </c>
      <c r="C8441" s="0" t="n">
        <v>2.05</v>
      </c>
      <c r="D8441" s="0" t="n">
        <v>0.185</v>
      </c>
    </row>
    <row r="8442" customFormat="false" ht="13.8" hidden="true" customHeight="false" outlineLevel="0" collapsed="false">
      <c r="A8442" s="0" t="s">
        <v>987</v>
      </c>
      <c r="B8442" s="0" t="n">
        <v>1</v>
      </c>
      <c r="C8442" s="0" t="n">
        <v>2.1</v>
      </c>
      <c r="D8442" s="0" t="n">
        <v>0.19</v>
      </c>
    </row>
    <row r="8443" customFormat="false" ht="13.8" hidden="true" customHeight="false" outlineLevel="0" collapsed="false">
      <c r="A8443" s="0" t="s">
        <v>987</v>
      </c>
      <c r="B8443" s="0" t="n">
        <v>1</v>
      </c>
      <c r="C8443" s="0" t="n">
        <v>2.15</v>
      </c>
      <c r="D8443" s="0" t="n">
        <v>0.194065968</v>
      </c>
    </row>
    <row r="8444" customFormat="false" ht="13.8" hidden="true" customHeight="false" outlineLevel="0" collapsed="false">
      <c r="A8444" s="0" t="s">
        <v>987</v>
      </c>
      <c r="B8444" s="0" t="n">
        <v>1</v>
      </c>
      <c r="C8444" s="0" t="n">
        <v>2.2</v>
      </c>
      <c r="D8444" s="0" t="n">
        <v>0.19857913</v>
      </c>
    </row>
    <row r="8445" customFormat="false" ht="13.8" hidden="true" customHeight="false" outlineLevel="0" collapsed="false">
      <c r="A8445" s="0" t="s">
        <v>987</v>
      </c>
      <c r="B8445" s="0" t="n">
        <v>1</v>
      </c>
      <c r="C8445" s="0" t="n">
        <v>2.25</v>
      </c>
      <c r="D8445" s="0" t="n">
        <v>0.203092292</v>
      </c>
    </row>
    <row r="8446" customFormat="false" ht="13.8" hidden="true" customHeight="false" outlineLevel="0" collapsed="false">
      <c r="A8446" s="0" t="s">
        <v>987</v>
      </c>
      <c r="B8446" s="0" t="n">
        <v>1</v>
      </c>
      <c r="C8446" s="0" t="n">
        <v>2.3</v>
      </c>
      <c r="D8446" s="0" t="n">
        <v>0</v>
      </c>
    </row>
    <row r="8447" customFormat="false" ht="13.8" hidden="true" customHeight="false" outlineLevel="0" collapsed="false">
      <c r="A8447" s="0" t="s">
        <v>987</v>
      </c>
      <c r="B8447" s="0" t="n">
        <v>1</v>
      </c>
      <c r="C8447" s="0" t="n">
        <v>2.35</v>
      </c>
      <c r="D8447" s="0" t="n">
        <v>0</v>
      </c>
    </row>
    <row r="8448" customFormat="false" ht="13.8" hidden="true" customHeight="false" outlineLevel="0" collapsed="false">
      <c r="A8448" s="0" t="s">
        <v>987</v>
      </c>
      <c r="B8448" s="0" t="n">
        <v>1</v>
      </c>
      <c r="C8448" s="0" t="n">
        <v>2.4</v>
      </c>
      <c r="D8448" s="0" t="n">
        <v>0</v>
      </c>
    </row>
    <row r="8449" customFormat="false" ht="13.8" hidden="true" customHeight="false" outlineLevel="0" collapsed="false">
      <c r="A8449" s="0" t="s">
        <v>987</v>
      </c>
      <c r="B8449" s="0" t="n">
        <v>1</v>
      </c>
      <c r="C8449" s="0" t="n">
        <v>2.45</v>
      </c>
      <c r="D8449" s="0" t="n">
        <v>0</v>
      </c>
    </row>
    <row r="8450" customFormat="false" ht="13.8" hidden="true" customHeight="false" outlineLevel="0" collapsed="false">
      <c r="A8450" s="0" t="s">
        <v>987</v>
      </c>
      <c r="B8450" s="0" t="n">
        <v>1</v>
      </c>
      <c r="C8450" s="0" t="n">
        <v>2.5</v>
      </c>
      <c r="D8450" s="0" t="n">
        <v>0</v>
      </c>
    </row>
    <row r="8451" customFormat="false" ht="13.8" hidden="true" customHeight="false" outlineLevel="0" collapsed="false">
      <c r="A8451" s="0" t="s">
        <v>987</v>
      </c>
      <c r="B8451" s="0" t="n">
        <v>1</v>
      </c>
      <c r="C8451" s="0" t="n">
        <v>2.55</v>
      </c>
      <c r="D8451" s="0" t="n">
        <v>0</v>
      </c>
    </row>
    <row r="8452" customFormat="false" ht="13.8" hidden="true" customHeight="false" outlineLevel="0" collapsed="false">
      <c r="A8452" s="0" t="s">
        <v>987</v>
      </c>
      <c r="B8452" s="0" t="n">
        <v>1</v>
      </c>
      <c r="C8452" s="0" t="n">
        <v>2.6</v>
      </c>
      <c r="D8452" s="0" t="n">
        <v>0</v>
      </c>
    </row>
    <row r="8453" customFormat="false" ht="13.8" hidden="true" customHeight="false" outlineLevel="0" collapsed="false">
      <c r="A8453" s="0" t="s">
        <v>989</v>
      </c>
      <c r="B8453" s="0" t="n">
        <v>1</v>
      </c>
      <c r="C8453" s="0" t="n">
        <v>1.3</v>
      </c>
      <c r="D8453" s="0" t="n">
        <v>0</v>
      </c>
    </row>
    <row r="8454" customFormat="false" ht="13.8" hidden="true" customHeight="false" outlineLevel="0" collapsed="false">
      <c r="A8454" s="0" t="s">
        <v>989</v>
      </c>
      <c r="B8454" s="0" t="n">
        <v>1</v>
      </c>
      <c r="C8454" s="0" t="n">
        <v>1.35</v>
      </c>
      <c r="D8454" s="0" t="n">
        <v>0</v>
      </c>
    </row>
    <row r="8455" customFormat="false" ht="13.8" hidden="true" customHeight="false" outlineLevel="0" collapsed="false">
      <c r="A8455" s="0" t="s">
        <v>989</v>
      </c>
      <c r="B8455" s="0" t="n">
        <v>1</v>
      </c>
      <c r="C8455" s="0" t="n">
        <v>1.4</v>
      </c>
      <c r="D8455" s="0" t="n">
        <v>0</v>
      </c>
    </row>
    <row r="8456" customFormat="false" ht="13.8" hidden="true" customHeight="false" outlineLevel="0" collapsed="false">
      <c r="A8456" s="0" t="s">
        <v>989</v>
      </c>
      <c r="B8456" s="0" t="n">
        <v>1</v>
      </c>
      <c r="C8456" s="0" t="n">
        <v>1.45</v>
      </c>
      <c r="D8456" s="0" t="n">
        <v>0</v>
      </c>
    </row>
    <row r="8457" customFormat="false" ht="13.8" hidden="true" customHeight="false" outlineLevel="0" collapsed="false">
      <c r="A8457" s="0" t="s">
        <v>989</v>
      </c>
      <c r="B8457" s="0" t="n">
        <v>1</v>
      </c>
      <c r="C8457" s="0" t="n">
        <v>1.5</v>
      </c>
      <c r="D8457" s="0" t="n">
        <v>0</v>
      </c>
    </row>
    <row r="8458" customFormat="false" ht="13.8" hidden="true" customHeight="false" outlineLevel="0" collapsed="false">
      <c r="A8458" s="0" t="s">
        <v>989</v>
      </c>
      <c r="B8458" s="0" t="n">
        <v>1</v>
      </c>
      <c r="C8458" s="0" t="n">
        <v>1.55</v>
      </c>
      <c r="D8458" s="0" t="n">
        <v>0</v>
      </c>
    </row>
    <row r="8459" customFormat="false" ht="13.8" hidden="true" customHeight="false" outlineLevel="0" collapsed="false">
      <c r="A8459" s="0" t="s">
        <v>989</v>
      </c>
      <c r="B8459" s="0" t="n">
        <v>1</v>
      </c>
      <c r="C8459" s="0" t="n">
        <v>1.6</v>
      </c>
      <c r="D8459" s="0" t="n">
        <v>0.144</v>
      </c>
    </row>
    <row r="8460" customFormat="false" ht="13.8" hidden="true" customHeight="false" outlineLevel="0" collapsed="false">
      <c r="A8460" s="0" t="s">
        <v>989</v>
      </c>
      <c r="B8460" s="0" t="n">
        <v>1</v>
      </c>
      <c r="C8460" s="0" t="n">
        <v>1.65</v>
      </c>
      <c r="D8460" s="0" t="n">
        <v>0.149</v>
      </c>
    </row>
    <row r="8461" customFormat="false" ht="13.8" hidden="true" customHeight="false" outlineLevel="0" collapsed="false">
      <c r="A8461" s="0" t="s">
        <v>989</v>
      </c>
      <c r="B8461" s="0" t="n">
        <v>1</v>
      </c>
      <c r="C8461" s="0" t="n">
        <v>1.7</v>
      </c>
      <c r="D8461" s="0" t="n">
        <v>0.153</v>
      </c>
    </row>
    <row r="8462" customFormat="false" ht="13.8" hidden="true" customHeight="false" outlineLevel="0" collapsed="false">
      <c r="A8462" s="0" t="s">
        <v>989</v>
      </c>
      <c r="B8462" s="0" t="n">
        <v>1</v>
      </c>
      <c r="C8462" s="0" t="n">
        <v>1.75</v>
      </c>
      <c r="D8462" s="0" t="n">
        <v>0.158</v>
      </c>
    </row>
    <row r="8463" customFormat="false" ht="13.8" hidden="true" customHeight="false" outlineLevel="0" collapsed="false">
      <c r="A8463" s="0" t="s">
        <v>989</v>
      </c>
      <c r="B8463" s="0" t="n">
        <v>1</v>
      </c>
      <c r="C8463" s="0" t="n">
        <v>1.8</v>
      </c>
      <c r="D8463" s="0" t="n">
        <v>0.162</v>
      </c>
    </row>
    <row r="8464" customFormat="false" ht="13.8" hidden="true" customHeight="false" outlineLevel="0" collapsed="false">
      <c r="A8464" s="0" t="s">
        <v>989</v>
      </c>
      <c r="B8464" s="0" t="n">
        <v>1</v>
      </c>
      <c r="C8464" s="0" t="n">
        <v>1.85</v>
      </c>
      <c r="D8464" s="0" t="n">
        <v>0.167</v>
      </c>
    </row>
    <row r="8465" customFormat="false" ht="13.8" hidden="true" customHeight="false" outlineLevel="0" collapsed="false">
      <c r="A8465" s="0" t="s">
        <v>989</v>
      </c>
      <c r="B8465" s="0" t="n">
        <v>1</v>
      </c>
      <c r="C8465" s="0" t="n">
        <v>1.9</v>
      </c>
      <c r="D8465" s="0" t="n">
        <v>0.172</v>
      </c>
    </row>
    <row r="8466" customFormat="false" ht="13.8" hidden="true" customHeight="false" outlineLevel="0" collapsed="false">
      <c r="A8466" s="0" t="s">
        <v>989</v>
      </c>
      <c r="B8466" s="0" t="n">
        <v>1</v>
      </c>
      <c r="C8466" s="0" t="n">
        <v>1.95</v>
      </c>
      <c r="D8466" s="0" t="n">
        <v>0.176</v>
      </c>
    </row>
    <row r="8467" customFormat="false" ht="13.8" hidden="true" customHeight="false" outlineLevel="0" collapsed="false">
      <c r="A8467" s="0" t="s">
        <v>989</v>
      </c>
      <c r="B8467" s="0" t="n">
        <v>1</v>
      </c>
      <c r="C8467" s="0" t="n">
        <v>2</v>
      </c>
      <c r="D8467" s="0" t="n">
        <v>0.181</v>
      </c>
    </row>
    <row r="8468" customFormat="false" ht="13.8" hidden="true" customHeight="false" outlineLevel="0" collapsed="false">
      <c r="A8468" s="0" t="s">
        <v>989</v>
      </c>
      <c r="B8468" s="0" t="n">
        <v>1</v>
      </c>
      <c r="C8468" s="0" t="n">
        <v>2.05</v>
      </c>
      <c r="D8468" s="0" t="n">
        <v>0</v>
      </c>
    </row>
    <row r="8469" customFormat="false" ht="13.8" hidden="true" customHeight="false" outlineLevel="0" collapsed="false">
      <c r="A8469" s="0" t="s">
        <v>989</v>
      </c>
      <c r="B8469" s="0" t="n">
        <v>1</v>
      </c>
      <c r="C8469" s="0" t="n">
        <v>2.1</v>
      </c>
      <c r="D8469" s="0" t="n">
        <v>0</v>
      </c>
    </row>
    <row r="8470" customFormat="false" ht="13.8" hidden="true" customHeight="false" outlineLevel="0" collapsed="false">
      <c r="A8470" s="0" t="s">
        <v>989</v>
      </c>
      <c r="B8470" s="0" t="n">
        <v>1</v>
      </c>
      <c r="C8470" s="0" t="n">
        <v>2.15</v>
      </c>
      <c r="D8470" s="0" t="n">
        <v>0</v>
      </c>
    </row>
    <row r="8471" customFormat="false" ht="13.8" hidden="true" customHeight="false" outlineLevel="0" collapsed="false">
      <c r="A8471" s="0" t="s">
        <v>989</v>
      </c>
      <c r="B8471" s="0" t="n">
        <v>1</v>
      </c>
      <c r="C8471" s="0" t="n">
        <v>2.2</v>
      </c>
      <c r="D8471" s="0" t="n">
        <v>0</v>
      </c>
    </row>
    <row r="8472" customFormat="false" ht="13.8" hidden="true" customHeight="false" outlineLevel="0" collapsed="false">
      <c r="A8472" s="0" t="s">
        <v>989</v>
      </c>
      <c r="B8472" s="0" t="n">
        <v>1</v>
      </c>
      <c r="C8472" s="0" t="n">
        <v>2.25</v>
      </c>
      <c r="D8472" s="0" t="n">
        <v>0</v>
      </c>
    </row>
    <row r="8473" customFormat="false" ht="13.8" hidden="true" customHeight="false" outlineLevel="0" collapsed="false">
      <c r="A8473" s="0" t="s">
        <v>989</v>
      </c>
      <c r="B8473" s="0" t="n">
        <v>1</v>
      </c>
      <c r="C8473" s="0" t="n">
        <v>2.3</v>
      </c>
      <c r="D8473" s="0" t="n">
        <v>0</v>
      </c>
    </row>
    <row r="8474" customFormat="false" ht="13.8" hidden="true" customHeight="false" outlineLevel="0" collapsed="false">
      <c r="A8474" s="0" t="s">
        <v>989</v>
      </c>
      <c r="B8474" s="0" t="n">
        <v>1</v>
      </c>
      <c r="C8474" s="0" t="n">
        <v>2.35</v>
      </c>
      <c r="D8474" s="0" t="n">
        <v>0</v>
      </c>
    </row>
    <row r="8475" customFormat="false" ht="13.8" hidden="true" customHeight="false" outlineLevel="0" collapsed="false">
      <c r="A8475" s="0" t="s">
        <v>989</v>
      </c>
      <c r="B8475" s="0" t="n">
        <v>1</v>
      </c>
      <c r="C8475" s="0" t="n">
        <v>2.4</v>
      </c>
      <c r="D8475" s="0" t="n">
        <v>0</v>
      </c>
    </row>
    <row r="8476" customFormat="false" ht="13.8" hidden="true" customHeight="false" outlineLevel="0" collapsed="false">
      <c r="A8476" s="0" t="s">
        <v>989</v>
      </c>
      <c r="B8476" s="0" t="n">
        <v>1</v>
      </c>
      <c r="C8476" s="0" t="n">
        <v>2.45</v>
      </c>
      <c r="D8476" s="0" t="n">
        <v>0</v>
      </c>
    </row>
    <row r="8477" customFormat="false" ht="13.8" hidden="true" customHeight="false" outlineLevel="0" collapsed="false">
      <c r="A8477" s="0" t="s">
        <v>989</v>
      </c>
      <c r="B8477" s="0" t="n">
        <v>1</v>
      </c>
      <c r="C8477" s="0" t="n">
        <v>2.5</v>
      </c>
      <c r="D8477" s="0" t="n">
        <v>0</v>
      </c>
    </row>
    <row r="8478" customFormat="false" ht="13.8" hidden="true" customHeight="false" outlineLevel="0" collapsed="false">
      <c r="A8478" s="0" t="s">
        <v>989</v>
      </c>
      <c r="B8478" s="0" t="n">
        <v>1</v>
      </c>
      <c r="C8478" s="0" t="n">
        <v>2.55</v>
      </c>
      <c r="D8478" s="0" t="n">
        <v>0</v>
      </c>
    </row>
    <row r="8479" customFormat="false" ht="13.8" hidden="true" customHeight="false" outlineLevel="0" collapsed="false">
      <c r="A8479" s="0" t="s">
        <v>989</v>
      </c>
      <c r="B8479" s="0" t="n">
        <v>1</v>
      </c>
      <c r="C8479" s="0" t="n">
        <v>2.6</v>
      </c>
      <c r="D8479" s="0" t="n">
        <v>0</v>
      </c>
    </row>
    <row r="8480" customFormat="false" ht="13.8" hidden="true" customHeight="false" outlineLevel="0" collapsed="false">
      <c r="A8480" s="0" t="s">
        <v>260</v>
      </c>
      <c r="B8480" s="0" t="n">
        <v>1</v>
      </c>
      <c r="C8480" s="0" t="n">
        <v>1.3</v>
      </c>
      <c r="D8480" s="0" t="n">
        <v>0</v>
      </c>
    </row>
    <row r="8481" customFormat="false" ht="13.8" hidden="true" customHeight="false" outlineLevel="0" collapsed="false">
      <c r="A8481" s="0" t="s">
        <v>260</v>
      </c>
      <c r="B8481" s="0" t="n">
        <v>1</v>
      </c>
      <c r="C8481" s="0" t="n">
        <v>1.35</v>
      </c>
      <c r="D8481" s="0" t="n">
        <v>0</v>
      </c>
    </row>
    <row r="8482" customFormat="false" ht="13.8" hidden="true" customHeight="false" outlineLevel="0" collapsed="false">
      <c r="A8482" s="0" t="s">
        <v>260</v>
      </c>
      <c r="B8482" s="0" t="n">
        <v>1</v>
      </c>
      <c r="C8482" s="0" t="n">
        <v>1.4</v>
      </c>
      <c r="D8482" s="0" t="n">
        <v>0</v>
      </c>
    </row>
    <row r="8483" customFormat="false" ht="13.8" hidden="true" customHeight="false" outlineLevel="0" collapsed="false">
      <c r="A8483" s="0" t="s">
        <v>260</v>
      </c>
      <c r="B8483" s="0" t="n">
        <v>1</v>
      </c>
      <c r="C8483" s="0" t="n">
        <v>1.45</v>
      </c>
      <c r="D8483" s="0" t="n">
        <v>0</v>
      </c>
    </row>
    <row r="8484" customFormat="false" ht="13.8" hidden="true" customHeight="false" outlineLevel="0" collapsed="false">
      <c r="A8484" s="0" t="s">
        <v>260</v>
      </c>
      <c r="B8484" s="0" t="n">
        <v>1</v>
      </c>
      <c r="C8484" s="0" t="n">
        <v>1.5</v>
      </c>
      <c r="D8484" s="0" t="n">
        <v>0</v>
      </c>
    </row>
    <row r="8485" customFormat="false" ht="13.8" hidden="true" customHeight="false" outlineLevel="0" collapsed="false">
      <c r="A8485" s="0" t="s">
        <v>260</v>
      </c>
      <c r="B8485" s="0" t="n">
        <v>1</v>
      </c>
      <c r="C8485" s="0" t="n">
        <v>1.55</v>
      </c>
      <c r="D8485" s="0" t="n">
        <v>0</v>
      </c>
    </row>
    <row r="8486" customFormat="false" ht="13.8" hidden="true" customHeight="false" outlineLevel="0" collapsed="false">
      <c r="A8486" s="0" t="s">
        <v>260</v>
      </c>
      <c r="B8486" s="0" t="n">
        <v>1</v>
      </c>
      <c r="C8486" s="0" t="n">
        <v>1.6</v>
      </c>
      <c r="D8486" s="0" t="n">
        <v>0.144</v>
      </c>
    </row>
    <row r="8487" customFormat="false" ht="13.8" hidden="true" customHeight="false" outlineLevel="0" collapsed="false">
      <c r="A8487" s="0" t="s">
        <v>260</v>
      </c>
      <c r="B8487" s="0" t="n">
        <v>1</v>
      </c>
      <c r="C8487" s="0" t="n">
        <v>1.65</v>
      </c>
      <c r="D8487" s="0" t="n">
        <v>0.149</v>
      </c>
    </row>
    <row r="8488" customFormat="false" ht="13.8" hidden="true" customHeight="false" outlineLevel="0" collapsed="false">
      <c r="A8488" s="0" t="s">
        <v>260</v>
      </c>
      <c r="B8488" s="0" t="n">
        <v>1</v>
      </c>
      <c r="C8488" s="0" t="n">
        <v>1.7</v>
      </c>
      <c r="D8488" s="0" t="n">
        <v>0.153</v>
      </c>
    </row>
    <row r="8489" customFormat="false" ht="13.8" hidden="true" customHeight="false" outlineLevel="0" collapsed="false">
      <c r="A8489" s="0" t="s">
        <v>260</v>
      </c>
      <c r="B8489" s="0" t="n">
        <v>1</v>
      </c>
      <c r="C8489" s="0" t="n">
        <v>1.75</v>
      </c>
      <c r="D8489" s="0" t="n">
        <v>0.158</v>
      </c>
    </row>
    <row r="8490" customFormat="false" ht="13.8" hidden="true" customHeight="false" outlineLevel="0" collapsed="false">
      <c r="A8490" s="0" t="s">
        <v>260</v>
      </c>
      <c r="B8490" s="0" t="n">
        <v>1</v>
      </c>
      <c r="C8490" s="0" t="n">
        <v>1.8</v>
      </c>
      <c r="D8490" s="0" t="n">
        <v>0.162</v>
      </c>
    </row>
    <row r="8491" customFormat="false" ht="13.8" hidden="true" customHeight="false" outlineLevel="0" collapsed="false">
      <c r="A8491" s="0" t="s">
        <v>260</v>
      </c>
      <c r="B8491" s="0" t="n">
        <v>1</v>
      </c>
      <c r="C8491" s="0" t="n">
        <v>1.85</v>
      </c>
      <c r="D8491" s="0" t="n">
        <v>0.167</v>
      </c>
    </row>
    <row r="8492" customFormat="false" ht="13.8" hidden="true" customHeight="false" outlineLevel="0" collapsed="false">
      <c r="A8492" s="0" t="s">
        <v>260</v>
      </c>
      <c r="B8492" s="0" t="n">
        <v>1</v>
      </c>
      <c r="C8492" s="0" t="n">
        <v>1.9</v>
      </c>
      <c r="D8492" s="0" t="n">
        <v>0.172</v>
      </c>
    </row>
    <row r="8493" customFormat="false" ht="13.8" hidden="true" customHeight="false" outlineLevel="0" collapsed="false">
      <c r="A8493" s="0" t="s">
        <v>260</v>
      </c>
      <c r="B8493" s="0" t="n">
        <v>1</v>
      </c>
      <c r="C8493" s="0" t="n">
        <v>1.95</v>
      </c>
      <c r="D8493" s="0" t="n">
        <v>0.176</v>
      </c>
    </row>
    <row r="8494" customFormat="false" ht="13.8" hidden="true" customHeight="false" outlineLevel="0" collapsed="false">
      <c r="A8494" s="0" t="s">
        <v>260</v>
      </c>
      <c r="B8494" s="0" t="n">
        <v>1</v>
      </c>
      <c r="C8494" s="0" t="n">
        <v>2</v>
      </c>
      <c r="D8494" s="0" t="n">
        <v>0.181</v>
      </c>
    </row>
    <row r="8495" customFormat="false" ht="13.8" hidden="true" customHeight="false" outlineLevel="0" collapsed="false">
      <c r="A8495" s="0" t="s">
        <v>260</v>
      </c>
      <c r="B8495" s="0" t="n">
        <v>1</v>
      </c>
      <c r="C8495" s="0" t="n">
        <v>2.05</v>
      </c>
      <c r="D8495" s="0" t="n">
        <v>0</v>
      </c>
    </row>
    <row r="8496" customFormat="false" ht="13.8" hidden="true" customHeight="false" outlineLevel="0" collapsed="false">
      <c r="A8496" s="0" t="s">
        <v>260</v>
      </c>
      <c r="B8496" s="0" t="n">
        <v>1</v>
      </c>
      <c r="C8496" s="0" t="n">
        <v>2.1</v>
      </c>
      <c r="D8496" s="0" t="n">
        <v>0</v>
      </c>
    </row>
    <row r="8497" customFormat="false" ht="13.8" hidden="true" customHeight="false" outlineLevel="0" collapsed="false">
      <c r="A8497" s="0" t="s">
        <v>260</v>
      </c>
      <c r="B8497" s="0" t="n">
        <v>1</v>
      </c>
      <c r="C8497" s="0" t="n">
        <v>2.15</v>
      </c>
      <c r="D8497" s="0" t="n">
        <v>0</v>
      </c>
    </row>
    <row r="8498" customFormat="false" ht="13.8" hidden="true" customHeight="false" outlineLevel="0" collapsed="false">
      <c r="A8498" s="0" t="s">
        <v>260</v>
      </c>
      <c r="B8498" s="0" t="n">
        <v>1</v>
      </c>
      <c r="C8498" s="0" t="n">
        <v>2.2</v>
      </c>
      <c r="D8498" s="0" t="n">
        <v>0</v>
      </c>
    </row>
    <row r="8499" customFormat="false" ht="13.8" hidden="true" customHeight="false" outlineLevel="0" collapsed="false">
      <c r="A8499" s="0" t="s">
        <v>260</v>
      </c>
      <c r="B8499" s="0" t="n">
        <v>1</v>
      </c>
      <c r="C8499" s="0" t="n">
        <v>2.25</v>
      </c>
      <c r="D8499" s="0" t="n">
        <v>0</v>
      </c>
    </row>
    <row r="8500" customFormat="false" ht="13.8" hidden="true" customHeight="false" outlineLevel="0" collapsed="false">
      <c r="A8500" s="0" t="s">
        <v>260</v>
      </c>
      <c r="B8500" s="0" t="n">
        <v>1</v>
      </c>
      <c r="C8500" s="0" t="n">
        <v>2.3</v>
      </c>
      <c r="D8500" s="0" t="n">
        <v>0</v>
      </c>
    </row>
    <row r="8501" customFormat="false" ht="13.8" hidden="true" customHeight="false" outlineLevel="0" collapsed="false">
      <c r="A8501" s="0" t="s">
        <v>260</v>
      </c>
      <c r="B8501" s="0" t="n">
        <v>1</v>
      </c>
      <c r="C8501" s="0" t="n">
        <v>2.35</v>
      </c>
      <c r="D8501" s="0" t="n">
        <v>0</v>
      </c>
    </row>
    <row r="8502" customFormat="false" ht="13.8" hidden="true" customHeight="false" outlineLevel="0" collapsed="false">
      <c r="A8502" s="0" t="s">
        <v>260</v>
      </c>
      <c r="B8502" s="0" t="n">
        <v>1</v>
      </c>
      <c r="C8502" s="0" t="n">
        <v>2.4</v>
      </c>
      <c r="D8502" s="0" t="n">
        <v>0</v>
      </c>
    </row>
    <row r="8503" customFormat="false" ht="13.8" hidden="true" customHeight="false" outlineLevel="0" collapsed="false">
      <c r="A8503" s="0" t="s">
        <v>260</v>
      </c>
      <c r="B8503" s="0" t="n">
        <v>1</v>
      </c>
      <c r="C8503" s="0" t="n">
        <v>2.45</v>
      </c>
      <c r="D8503" s="0" t="n">
        <v>0</v>
      </c>
    </row>
    <row r="8504" customFormat="false" ht="13.8" hidden="true" customHeight="false" outlineLevel="0" collapsed="false">
      <c r="A8504" s="0" t="s">
        <v>260</v>
      </c>
      <c r="B8504" s="0" t="n">
        <v>1</v>
      </c>
      <c r="C8504" s="0" t="n">
        <v>2.5</v>
      </c>
      <c r="D8504" s="0" t="n">
        <v>0</v>
      </c>
    </row>
    <row r="8505" customFormat="false" ht="13.8" hidden="true" customHeight="false" outlineLevel="0" collapsed="false">
      <c r="A8505" s="0" t="s">
        <v>260</v>
      </c>
      <c r="B8505" s="0" t="n">
        <v>1</v>
      </c>
      <c r="C8505" s="0" t="n">
        <v>2.55</v>
      </c>
      <c r="D8505" s="0" t="n">
        <v>0</v>
      </c>
    </row>
    <row r="8506" customFormat="false" ht="13.8" hidden="true" customHeight="false" outlineLevel="0" collapsed="false">
      <c r="A8506" s="0" t="s">
        <v>260</v>
      </c>
      <c r="B8506" s="0" t="n">
        <v>1</v>
      </c>
      <c r="C8506" s="0" t="n">
        <v>2.6</v>
      </c>
      <c r="D8506" s="0" t="n">
        <v>0</v>
      </c>
    </row>
    <row r="8507" customFormat="false" ht="13.8" hidden="true" customHeight="false" outlineLevel="0" collapsed="false">
      <c r="A8507" s="0" t="s">
        <v>144</v>
      </c>
      <c r="B8507" s="0" t="n">
        <v>1</v>
      </c>
      <c r="C8507" s="0" t="n">
        <v>1.3</v>
      </c>
      <c r="D8507" s="0" t="n">
        <v>0</v>
      </c>
    </row>
    <row r="8508" customFormat="false" ht="13.8" hidden="true" customHeight="false" outlineLevel="0" collapsed="false">
      <c r="A8508" s="0" t="s">
        <v>144</v>
      </c>
      <c r="B8508" s="0" t="n">
        <v>1</v>
      </c>
      <c r="C8508" s="0" t="n">
        <v>1.35</v>
      </c>
      <c r="D8508" s="0" t="n">
        <v>0.122</v>
      </c>
    </row>
    <row r="8509" customFormat="false" ht="13.8" hidden="true" customHeight="false" outlineLevel="0" collapsed="false">
      <c r="A8509" s="0" t="s">
        <v>144</v>
      </c>
      <c r="B8509" s="0" t="n">
        <v>1</v>
      </c>
      <c r="C8509" s="0" t="n">
        <v>1.4</v>
      </c>
      <c r="D8509" s="0" t="n">
        <v>0.126</v>
      </c>
    </row>
    <row r="8510" customFormat="false" ht="13.8" hidden="true" customHeight="false" outlineLevel="0" collapsed="false">
      <c r="A8510" s="0" t="s">
        <v>144</v>
      </c>
      <c r="B8510" s="0" t="n">
        <v>1</v>
      </c>
      <c r="C8510" s="0" t="n">
        <v>1.45</v>
      </c>
      <c r="D8510" s="0" t="n">
        <v>0.131</v>
      </c>
    </row>
    <row r="8511" customFormat="false" ht="13.8" hidden="true" customHeight="false" outlineLevel="0" collapsed="false">
      <c r="A8511" s="0" t="s">
        <v>144</v>
      </c>
      <c r="B8511" s="0" t="n">
        <v>1</v>
      </c>
      <c r="C8511" s="0" t="n">
        <v>1.5</v>
      </c>
      <c r="D8511" s="0" t="n">
        <v>0.135</v>
      </c>
    </row>
    <row r="8512" customFormat="false" ht="13.8" hidden="true" customHeight="false" outlineLevel="0" collapsed="false">
      <c r="A8512" s="0" t="s">
        <v>144</v>
      </c>
      <c r="B8512" s="0" t="n">
        <v>1</v>
      </c>
      <c r="C8512" s="0" t="n">
        <v>1.55</v>
      </c>
      <c r="D8512" s="0" t="n">
        <v>0.14</v>
      </c>
    </row>
    <row r="8513" customFormat="false" ht="13.8" hidden="true" customHeight="false" outlineLevel="0" collapsed="false">
      <c r="A8513" s="0" t="s">
        <v>144</v>
      </c>
      <c r="B8513" s="0" t="n">
        <v>1</v>
      </c>
      <c r="C8513" s="0" t="n">
        <v>1.6</v>
      </c>
      <c r="D8513" s="0" t="n">
        <v>0.144</v>
      </c>
    </row>
    <row r="8514" customFormat="false" ht="13.8" hidden="true" customHeight="false" outlineLevel="0" collapsed="false">
      <c r="A8514" s="0" t="s">
        <v>144</v>
      </c>
      <c r="B8514" s="0" t="n">
        <v>1</v>
      </c>
      <c r="C8514" s="0" t="n">
        <v>1.65</v>
      </c>
      <c r="D8514" s="0" t="n">
        <v>0.149</v>
      </c>
    </row>
    <row r="8515" customFormat="false" ht="13.8" hidden="true" customHeight="false" outlineLevel="0" collapsed="false">
      <c r="A8515" s="0" t="s">
        <v>144</v>
      </c>
      <c r="B8515" s="0" t="n">
        <v>1</v>
      </c>
      <c r="C8515" s="0" t="n">
        <v>1.7</v>
      </c>
      <c r="D8515" s="0" t="n">
        <v>0.153</v>
      </c>
    </row>
    <row r="8516" customFormat="false" ht="13.8" hidden="true" customHeight="false" outlineLevel="0" collapsed="false">
      <c r="A8516" s="0" t="s">
        <v>144</v>
      </c>
      <c r="B8516" s="0" t="n">
        <v>1</v>
      </c>
      <c r="C8516" s="0" t="n">
        <v>1.75</v>
      </c>
      <c r="D8516" s="0" t="n">
        <v>0.158</v>
      </c>
    </row>
    <row r="8517" customFormat="false" ht="13.8" hidden="true" customHeight="false" outlineLevel="0" collapsed="false">
      <c r="A8517" s="0" t="s">
        <v>144</v>
      </c>
      <c r="B8517" s="0" t="n">
        <v>1</v>
      </c>
      <c r="C8517" s="0" t="n">
        <v>1.8</v>
      </c>
      <c r="D8517" s="0" t="n">
        <v>0.162</v>
      </c>
    </row>
    <row r="8518" customFormat="false" ht="13.8" hidden="true" customHeight="false" outlineLevel="0" collapsed="false">
      <c r="A8518" s="0" t="s">
        <v>144</v>
      </c>
      <c r="B8518" s="0" t="n">
        <v>1</v>
      </c>
      <c r="C8518" s="0" t="n">
        <v>1.85</v>
      </c>
      <c r="D8518" s="0" t="n">
        <v>0.167</v>
      </c>
    </row>
    <row r="8519" customFormat="false" ht="13.8" hidden="true" customHeight="false" outlineLevel="0" collapsed="false">
      <c r="A8519" s="0" t="s">
        <v>144</v>
      </c>
      <c r="B8519" s="0" t="n">
        <v>1</v>
      </c>
      <c r="C8519" s="0" t="n">
        <v>1.9</v>
      </c>
      <c r="D8519" s="0" t="n">
        <v>0.172</v>
      </c>
    </row>
    <row r="8520" customFormat="false" ht="13.8" hidden="true" customHeight="false" outlineLevel="0" collapsed="false">
      <c r="A8520" s="0" t="s">
        <v>144</v>
      </c>
      <c r="B8520" s="0" t="n">
        <v>1</v>
      </c>
      <c r="C8520" s="0" t="n">
        <v>1.95</v>
      </c>
      <c r="D8520" s="0" t="n">
        <v>0.176</v>
      </c>
    </row>
    <row r="8521" customFormat="false" ht="13.8" hidden="true" customHeight="false" outlineLevel="0" collapsed="false">
      <c r="A8521" s="0" t="s">
        <v>144</v>
      </c>
      <c r="B8521" s="0" t="n">
        <v>1</v>
      </c>
      <c r="C8521" s="0" t="n">
        <v>2</v>
      </c>
      <c r="D8521" s="0" t="n">
        <v>0.181</v>
      </c>
    </row>
    <row r="8522" customFormat="false" ht="13.8" hidden="true" customHeight="false" outlineLevel="0" collapsed="false">
      <c r="A8522" s="0" t="s">
        <v>144</v>
      </c>
      <c r="B8522" s="0" t="n">
        <v>1</v>
      </c>
      <c r="C8522" s="0" t="n">
        <v>2.05</v>
      </c>
      <c r="D8522" s="0" t="n">
        <v>0.185</v>
      </c>
    </row>
    <row r="8523" customFormat="false" ht="13.8" hidden="true" customHeight="false" outlineLevel="0" collapsed="false">
      <c r="A8523" s="0" t="s">
        <v>144</v>
      </c>
      <c r="B8523" s="0" t="n">
        <v>1</v>
      </c>
      <c r="C8523" s="0" t="n">
        <v>2.1</v>
      </c>
      <c r="D8523" s="0" t="n">
        <v>0.19</v>
      </c>
    </row>
    <row r="8524" customFormat="false" ht="13.8" hidden="true" customHeight="false" outlineLevel="0" collapsed="false">
      <c r="A8524" s="0" t="s">
        <v>144</v>
      </c>
      <c r="B8524" s="0" t="n">
        <v>1</v>
      </c>
      <c r="C8524" s="0" t="n">
        <v>2.15</v>
      </c>
      <c r="D8524" s="0" t="n">
        <v>0.194065968</v>
      </c>
    </row>
    <row r="8525" customFormat="false" ht="13.8" hidden="true" customHeight="false" outlineLevel="0" collapsed="false">
      <c r="A8525" s="0" t="s">
        <v>144</v>
      </c>
      <c r="B8525" s="0" t="n">
        <v>1</v>
      </c>
      <c r="C8525" s="0" t="n">
        <v>2.2</v>
      </c>
      <c r="D8525" s="0" t="n">
        <v>0.19857913</v>
      </c>
    </row>
    <row r="8526" customFormat="false" ht="13.8" hidden="true" customHeight="false" outlineLevel="0" collapsed="false">
      <c r="A8526" s="0" t="s">
        <v>144</v>
      </c>
      <c r="B8526" s="0" t="n">
        <v>1</v>
      </c>
      <c r="C8526" s="0" t="n">
        <v>2.25</v>
      </c>
      <c r="D8526" s="0" t="n">
        <v>0.203092292</v>
      </c>
    </row>
    <row r="8527" customFormat="false" ht="13.8" hidden="true" customHeight="false" outlineLevel="0" collapsed="false">
      <c r="A8527" s="0" t="s">
        <v>144</v>
      </c>
      <c r="B8527" s="0" t="n">
        <v>1</v>
      </c>
      <c r="C8527" s="0" t="n">
        <v>2.3</v>
      </c>
      <c r="D8527" s="0" t="n">
        <v>0</v>
      </c>
    </row>
    <row r="8528" customFormat="false" ht="13.8" hidden="true" customHeight="false" outlineLevel="0" collapsed="false">
      <c r="A8528" s="0" t="s">
        <v>144</v>
      </c>
      <c r="B8528" s="0" t="n">
        <v>1</v>
      </c>
      <c r="C8528" s="0" t="n">
        <v>2.35</v>
      </c>
      <c r="D8528" s="0" t="n">
        <v>0</v>
      </c>
    </row>
    <row r="8529" customFormat="false" ht="13.8" hidden="true" customHeight="false" outlineLevel="0" collapsed="false">
      <c r="A8529" s="0" t="s">
        <v>144</v>
      </c>
      <c r="B8529" s="0" t="n">
        <v>1</v>
      </c>
      <c r="C8529" s="0" t="n">
        <v>2.4</v>
      </c>
      <c r="D8529" s="0" t="n">
        <v>0</v>
      </c>
    </row>
    <row r="8530" customFormat="false" ht="13.8" hidden="true" customHeight="false" outlineLevel="0" collapsed="false">
      <c r="A8530" s="0" t="s">
        <v>144</v>
      </c>
      <c r="B8530" s="0" t="n">
        <v>1</v>
      </c>
      <c r="C8530" s="0" t="n">
        <v>2.45</v>
      </c>
      <c r="D8530" s="0" t="n">
        <v>0</v>
      </c>
    </row>
    <row r="8531" customFormat="false" ht="13.8" hidden="true" customHeight="false" outlineLevel="0" collapsed="false">
      <c r="A8531" s="0" t="s">
        <v>144</v>
      </c>
      <c r="B8531" s="0" t="n">
        <v>1</v>
      </c>
      <c r="C8531" s="0" t="n">
        <v>2.5</v>
      </c>
      <c r="D8531" s="0" t="n">
        <v>0</v>
      </c>
    </row>
    <row r="8532" customFormat="false" ht="13.8" hidden="true" customHeight="false" outlineLevel="0" collapsed="false">
      <c r="A8532" s="0" t="s">
        <v>144</v>
      </c>
      <c r="B8532" s="0" t="n">
        <v>1</v>
      </c>
      <c r="C8532" s="0" t="n">
        <v>2.55</v>
      </c>
      <c r="D8532" s="0" t="n">
        <v>0</v>
      </c>
    </row>
    <row r="8533" customFormat="false" ht="13.8" hidden="true" customHeight="false" outlineLevel="0" collapsed="false">
      <c r="A8533" s="0" t="s">
        <v>144</v>
      </c>
      <c r="B8533" s="0" t="n">
        <v>1</v>
      </c>
      <c r="C8533" s="0" t="n">
        <v>2.6</v>
      </c>
      <c r="D8533" s="0" t="n">
        <v>0</v>
      </c>
    </row>
    <row r="8534" customFormat="false" ht="13.8" hidden="true" customHeight="false" outlineLevel="0" collapsed="false">
      <c r="A8534" s="0" t="s">
        <v>261</v>
      </c>
      <c r="B8534" s="0" t="n">
        <v>1</v>
      </c>
      <c r="C8534" s="0" t="n">
        <v>1.3</v>
      </c>
      <c r="D8534" s="0" t="n">
        <v>0</v>
      </c>
    </row>
    <row r="8535" customFormat="false" ht="13.8" hidden="true" customHeight="false" outlineLevel="0" collapsed="false">
      <c r="A8535" s="0" t="s">
        <v>261</v>
      </c>
      <c r="B8535" s="0" t="n">
        <v>1</v>
      </c>
      <c r="C8535" s="0" t="n">
        <v>1.35</v>
      </c>
      <c r="D8535" s="0" t="n">
        <v>0.122</v>
      </c>
    </row>
    <row r="8536" customFormat="false" ht="13.8" hidden="true" customHeight="false" outlineLevel="0" collapsed="false">
      <c r="A8536" s="0" t="s">
        <v>261</v>
      </c>
      <c r="B8536" s="0" t="n">
        <v>1</v>
      </c>
      <c r="C8536" s="0" t="n">
        <v>1.4</v>
      </c>
      <c r="D8536" s="0" t="n">
        <v>0.126</v>
      </c>
    </row>
    <row r="8537" customFormat="false" ht="13.8" hidden="true" customHeight="false" outlineLevel="0" collapsed="false">
      <c r="A8537" s="0" t="s">
        <v>261</v>
      </c>
      <c r="B8537" s="0" t="n">
        <v>1</v>
      </c>
      <c r="C8537" s="0" t="n">
        <v>1.45</v>
      </c>
      <c r="D8537" s="0" t="n">
        <v>0.131</v>
      </c>
    </row>
    <row r="8538" customFormat="false" ht="13.8" hidden="true" customHeight="false" outlineLevel="0" collapsed="false">
      <c r="A8538" s="0" t="s">
        <v>261</v>
      </c>
      <c r="B8538" s="0" t="n">
        <v>1</v>
      </c>
      <c r="C8538" s="0" t="n">
        <v>1.5</v>
      </c>
      <c r="D8538" s="0" t="n">
        <v>0.135</v>
      </c>
    </row>
    <row r="8539" customFormat="false" ht="13.8" hidden="true" customHeight="false" outlineLevel="0" collapsed="false">
      <c r="A8539" s="0" t="s">
        <v>261</v>
      </c>
      <c r="B8539" s="0" t="n">
        <v>1</v>
      </c>
      <c r="C8539" s="0" t="n">
        <v>1.55</v>
      </c>
      <c r="D8539" s="0" t="n">
        <v>0.14</v>
      </c>
    </row>
    <row r="8540" customFormat="false" ht="13.8" hidden="true" customHeight="false" outlineLevel="0" collapsed="false">
      <c r="A8540" s="0" t="s">
        <v>261</v>
      </c>
      <c r="B8540" s="0" t="n">
        <v>1</v>
      </c>
      <c r="C8540" s="0" t="n">
        <v>1.6</v>
      </c>
      <c r="D8540" s="0" t="n">
        <v>0.144</v>
      </c>
    </row>
    <row r="8541" customFormat="false" ht="13.8" hidden="true" customHeight="false" outlineLevel="0" collapsed="false">
      <c r="A8541" s="0" t="s">
        <v>261</v>
      </c>
      <c r="B8541" s="0" t="n">
        <v>1</v>
      </c>
      <c r="C8541" s="0" t="n">
        <v>1.65</v>
      </c>
      <c r="D8541" s="0" t="n">
        <v>0.149</v>
      </c>
    </row>
    <row r="8542" customFormat="false" ht="13.8" hidden="true" customHeight="false" outlineLevel="0" collapsed="false">
      <c r="A8542" s="0" t="s">
        <v>261</v>
      </c>
      <c r="B8542" s="0" t="n">
        <v>1</v>
      </c>
      <c r="C8542" s="0" t="n">
        <v>1.7</v>
      </c>
      <c r="D8542" s="0" t="n">
        <v>0.153</v>
      </c>
    </row>
    <row r="8543" customFormat="false" ht="13.8" hidden="true" customHeight="false" outlineLevel="0" collapsed="false">
      <c r="A8543" s="0" t="s">
        <v>261</v>
      </c>
      <c r="B8543" s="0" t="n">
        <v>1</v>
      </c>
      <c r="C8543" s="0" t="n">
        <v>1.75</v>
      </c>
      <c r="D8543" s="0" t="n">
        <v>0.158</v>
      </c>
    </row>
    <row r="8544" customFormat="false" ht="13.8" hidden="true" customHeight="false" outlineLevel="0" collapsed="false">
      <c r="A8544" s="0" t="s">
        <v>261</v>
      </c>
      <c r="B8544" s="0" t="n">
        <v>1</v>
      </c>
      <c r="C8544" s="0" t="n">
        <v>1.8</v>
      </c>
      <c r="D8544" s="0" t="n">
        <v>0.162</v>
      </c>
    </row>
    <row r="8545" customFormat="false" ht="13.8" hidden="true" customHeight="false" outlineLevel="0" collapsed="false">
      <c r="A8545" s="0" t="s">
        <v>261</v>
      </c>
      <c r="B8545" s="0" t="n">
        <v>1</v>
      </c>
      <c r="C8545" s="0" t="n">
        <v>1.85</v>
      </c>
      <c r="D8545" s="0" t="n">
        <v>0.167</v>
      </c>
    </row>
    <row r="8546" customFormat="false" ht="13.8" hidden="true" customHeight="false" outlineLevel="0" collapsed="false">
      <c r="A8546" s="0" t="s">
        <v>261</v>
      </c>
      <c r="B8546" s="0" t="n">
        <v>1</v>
      </c>
      <c r="C8546" s="0" t="n">
        <v>1.9</v>
      </c>
      <c r="D8546" s="0" t="n">
        <v>0.172</v>
      </c>
    </row>
    <row r="8547" customFormat="false" ht="13.8" hidden="true" customHeight="false" outlineLevel="0" collapsed="false">
      <c r="A8547" s="0" t="s">
        <v>261</v>
      </c>
      <c r="B8547" s="0" t="n">
        <v>1</v>
      </c>
      <c r="C8547" s="0" t="n">
        <v>1.95</v>
      </c>
      <c r="D8547" s="0" t="n">
        <v>0.176</v>
      </c>
    </row>
    <row r="8548" customFormat="false" ht="13.8" hidden="true" customHeight="false" outlineLevel="0" collapsed="false">
      <c r="A8548" s="0" t="s">
        <v>261</v>
      </c>
      <c r="B8548" s="0" t="n">
        <v>1</v>
      </c>
      <c r="C8548" s="0" t="n">
        <v>2</v>
      </c>
      <c r="D8548" s="0" t="n">
        <v>0.181</v>
      </c>
    </row>
    <row r="8549" customFormat="false" ht="13.8" hidden="true" customHeight="false" outlineLevel="0" collapsed="false">
      <c r="A8549" s="0" t="s">
        <v>261</v>
      </c>
      <c r="B8549" s="0" t="n">
        <v>1</v>
      </c>
      <c r="C8549" s="0" t="n">
        <v>2.05</v>
      </c>
      <c r="D8549" s="0" t="n">
        <v>0.185</v>
      </c>
    </row>
    <row r="8550" customFormat="false" ht="13.8" hidden="true" customHeight="false" outlineLevel="0" collapsed="false">
      <c r="A8550" s="0" t="s">
        <v>261</v>
      </c>
      <c r="B8550" s="0" t="n">
        <v>1</v>
      </c>
      <c r="C8550" s="0" t="n">
        <v>2.1</v>
      </c>
      <c r="D8550" s="0" t="n">
        <v>0.19</v>
      </c>
    </row>
    <row r="8551" customFormat="false" ht="13.8" hidden="true" customHeight="false" outlineLevel="0" collapsed="false">
      <c r="A8551" s="0" t="s">
        <v>261</v>
      </c>
      <c r="B8551" s="0" t="n">
        <v>1</v>
      </c>
      <c r="C8551" s="0" t="n">
        <v>2.15</v>
      </c>
      <c r="D8551" s="0" t="n">
        <v>0.194065968</v>
      </c>
    </row>
    <row r="8552" customFormat="false" ht="13.8" hidden="true" customHeight="false" outlineLevel="0" collapsed="false">
      <c r="A8552" s="0" t="s">
        <v>261</v>
      </c>
      <c r="B8552" s="0" t="n">
        <v>1</v>
      </c>
      <c r="C8552" s="0" t="n">
        <v>2.2</v>
      </c>
      <c r="D8552" s="0" t="n">
        <v>0.19857913</v>
      </c>
    </row>
    <row r="8553" customFormat="false" ht="13.8" hidden="true" customHeight="false" outlineLevel="0" collapsed="false">
      <c r="A8553" s="0" t="s">
        <v>261</v>
      </c>
      <c r="B8553" s="0" t="n">
        <v>1</v>
      </c>
      <c r="C8553" s="0" t="n">
        <v>2.25</v>
      </c>
      <c r="D8553" s="0" t="n">
        <v>0.203092292</v>
      </c>
    </row>
    <row r="8554" customFormat="false" ht="13.8" hidden="true" customHeight="false" outlineLevel="0" collapsed="false">
      <c r="A8554" s="0" t="s">
        <v>261</v>
      </c>
      <c r="B8554" s="0" t="n">
        <v>1</v>
      </c>
      <c r="C8554" s="0" t="n">
        <v>2.3</v>
      </c>
      <c r="D8554" s="0" t="n">
        <v>0</v>
      </c>
    </row>
    <row r="8555" customFormat="false" ht="13.8" hidden="true" customHeight="false" outlineLevel="0" collapsed="false">
      <c r="A8555" s="0" t="s">
        <v>261</v>
      </c>
      <c r="B8555" s="0" t="n">
        <v>1</v>
      </c>
      <c r="C8555" s="0" t="n">
        <v>2.35</v>
      </c>
      <c r="D8555" s="0" t="n">
        <v>0</v>
      </c>
    </row>
    <row r="8556" customFormat="false" ht="13.8" hidden="true" customHeight="false" outlineLevel="0" collapsed="false">
      <c r="A8556" s="0" t="s">
        <v>261</v>
      </c>
      <c r="B8556" s="0" t="n">
        <v>1</v>
      </c>
      <c r="C8556" s="0" t="n">
        <v>2.4</v>
      </c>
      <c r="D8556" s="0" t="n">
        <v>0</v>
      </c>
    </row>
    <row r="8557" customFormat="false" ht="13.8" hidden="true" customHeight="false" outlineLevel="0" collapsed="false">
      <c r="A8557" s="0" t="s">
        <v>261</v>
      </c>
      <c r="B8557" s="0" t="n">
        <v>1</v>
      </c>
      <c r="C8557" s="0" t="n">
        <v>2.45</v>
      </c>
      <c r="D8557" s="0" t="n">
        <v>0</v>
      </c>
    </row>
    <row r="8558" customFormat="false" ht="13.8" hidden="true" customHeight="false" outlineLevel="0" collapsed="false">
      <c r="A8558" s="0" t="s">
        <v>261</v>
      </c>
      <c r="B8558" s="0" t="n">
        <v>1</v>
      </c>
      <c r="C8558" s="0" t="n">
        <v>2.5</v>
      </c>
      <c r="D8558" s="0" t="n">
        <v>0</v>
      </c>
    </row>
    <row r="8559" customFormat="false" ht="13.8" hidden="true" customHeight="false" outlineLevel="0" collapsed="false">
      <c r="A8559" s="0" t="s">
        <v>261</v>
      </c>
      <c r="B8559" s="0" t="n">
        <v>1</v>
      </c>
      <c r="C8559" s="0" t="n">
        <v>2.55</v>
      </c>
      <c r="D8559" s="0" t="n">
        <v>0</v>
      </c>
    </row>
    <row r="8560" customFormat="false" ht="13.8" hidden="true" customHeight="false" outlineLevel="0" collapsed="false">
      <c r="A8560" s="0" t="s">
        <v>261</v>
      </c>
      <c r="B8560" s="0" t="n">
        <v>1</v>
      </c>
      <c r="C8560" s="0" t="n">
        <v>2.6</v>
      </c>
      <c r="D8560" s="0" t="n">
        <v>0</v>
      </c>
    </row>
    <row r="8561" customFormat="false" ht="13.8" hidden="true" customHeight="false" outlineLevel="0" collapsed="false">
      <c r="A8561" s="0" t="s">
        <v>998</v>
      </c>
      <c r="B8561" s="0" t="n">
        <v>1</v>
      </c>
      <c r="C8561" s="0" t="n">
        <v>1.3</v>
      </c>
      <c r="D8561" s="0" t="n">
        <v>0</v>
      </c>
    </row>
    <row r="8562" customFormat="false" ht="13.8" hidden="true" customHeight="false" outlineLevel="0" collapsed="false">
      <c r="A8562" s="0" t="s">
        <v>998</v>
      </c>
      <c r="B8562" s="0" t="n">
        <v>1</v>
      </c>
      <c r="C8562" s="0" t="n">
        <v>1.35</v>
      </c>
      <c r="D8562" s="0" t="n">
        <v>0.122</v>
      </c>
    </row>
    <row r="8563" customFormat="false" ht="13.8" hidden="true" customHeight="false" outlineLevel="0" collapsed="false">
      <c r="A8563" s="0" t="s">
        <v>998</v>
      </c>
      <c r="B8563" s="0" t="n">
        <v>1</v>
      </c>
      <c r="C8563" s="0" t="n">
        <v>1.4</v>
      </c>
      <c r="D8563" s="0" t="n">
        <v>0.126</v>
      </c>
    </row>
    <row r="8564" customFormat="false" ht="13.8" hidden="true" customHeight="false" outlineLevel="0" collapsed="false">
      <c r="A8564" s="0" t="s">
        <v>998</v>
      </c>
      <c r="B8564" s="0" t="n">
        <v>1</v>
      </c>
      <c r="C8564" s="0" t="n">
        <v>1.45</v>
      </c>
      <c r="D8564" s="0" t="n">
        <v>0.131</v>
      </c>
    </row>
    <row r="8565" customFormat="false" ht="13.8" hidden="true" customHeight="false" outlineLevel="0" collapsed="false">
      <c r="A8565" s="0" t="s">
        <v>998</v>
      </c>
      <c r="B8565" s="0" t="n">
        <v>1</v>
      </c>
      <c r="C8565" s="0" t="n">
        <v>1.5</v>
      </c>
      <c r="D8565" s="0" t="n">
        <v>0.135</v>
      </c>
    </row>
    <row r="8566" customFormat="false" ht="13.8" hidden="true" customHeight="false" outlineLevel="0" collapsed="false">
      <c r="A8566" s="0" t="s">
        <v>998</v>
      </c>
      <c r="B8566" s="0" t="n">
        <v>1</v>
      </c>
      <c r="C8566" s="0" t="n">
        <v>1.55</v>
      </c>
      <c r="D8566" s="0" t="n">
        <v>0.14</v>
      </c>
    </row>
    <row r="8567" customFormat="false" ht="13.8" hidden="true" customHeight="false" outlineLevel="0" collapsed="false">
      <c r="A8567" s="0" t="s">
        <v>998</v>
      </c>
      <c r="B8567" s="0" t="n">
        <v>1</v>
      </c>
      <c r="C8567" s="0" t="n">
        <v>1.6</v>
      </c>
      <c r="D8567" s="0" t="n">
        <v>0.144</v>
      </c>
    </row>
    <row r="8568" customFormat="false" ht="13.8" hidden="true" customHeight="false" outlineLevel="0" collapsed="false">
      <c r="A8568" s="0" t="s">
        <v>998</v>
      </c>
      <c r="B8568" s="0" t="n">
        <v>1</v>
      </c>
      <c r="C8568" s="0" t="n">
        <v>1.65</v>
      </c>
      <c r="D8568" s="0" t="n">
        <v>0.149</v>
      </c>
    </row>
    <row r="8569" customFormat="false" ht="13.8" hidden="true" customHeight="false" outlineLevel="0" collapsed="false">
      <c r="A8569" s="0" t="s">
        <v>998</v>
      </c>
      <c r="B8569" s="0" t="n">
        <v>1</v>
      </c>
      <c r="C8569" s="0" t="n">
        <v>1.7</v>
      </c>
      <c r="D8569" s="0" t="n">
        <v>0.153</v>
      </c>
    </row>
    <row r="8570" customFormat="false" ht="13.8" hidden="true" customHeight="false" outlineLevel="0" collapsed="false">
      <c r="A8570" s="0" t="s">
        <v>998</v>
      </c>
      <c r="B8570" s="0" t="n">
        <v>1</v>
      </c>
      <c r="C8570" s="0" t="n">
        <v>1.75</v>
      </c>
      <c r="D8570" s="0" t="n">
        <v>0.158</v>
      </c>
    </row>
    <row r="8571" customFormat="false" ht="13.8" hidden="true" customHeight="false" outlineLevel="0" collapsed="false">
      <c r="A8571" s="0" t="s">
        <v>998</v>
      </c>
      <c r="B8571" s="0" t="n">
        <v>1</v>
      </c>
      <c r="C8571" s="0" t="n">
        <v>1.8</v>
      </c>
      <c r="D8571" s="0" t="n">
        <v>0.162</v>
      </c>
    </row>
    <row r="8572" customFormat="false" ht="13.8" hidden="true" customHeight="false" outlineLevel="0" collapsed="false">
      <c r="A8572" s="0" t="s">
        <v>998</v>
      </c>
      <c r="B8572" s="0" t="n">
        <v>1</v>
      </c>
      <c r="C8572" s="0" t="n">
        <v>1.85</v>
      </c>
      <c r="D8572" s="0" t="n">
        <v>0.167</v>
      </c>
    </row>
    <row r="8573" customFormat="false" ht="13.8" hidden="true" customHeight="false" outlineLevel="0" collapsed="false">
      <c r="A8573" s="0" t="s">
        <v>998</v>
      </c>
      <c r="B8573" s="0" t="n">
        <v>1</v>
      </c>
      <c r="C8573" s="0" t="n">
        <v>1.9</v>
      </c>
      <c r="D8573" s="0" t="n">
        <v>0.172</v>
      </c>
    </row>
    <row r="8574" customFormat="false" ht="13.8" hidden="true" customHeight="false" outlineLevel="0" collapsed="false">
      <c r="A8574" s="0" t="s">
        <v>998</v>
      </c>
      <c r="B8574" s="0" t="n">
        <v>1</v>
      </c>
      <c r="C8574" s="0" t="n">
        <v>1.95</v>
      </c>
      <c r="D8574" s="0" t="n">
        <v>0.176</v>
      </c>
    </row>
    <row r="8575" customFormat="false" ht="13.8" hidden="true" customHeight="false" outlineLevel="0" collapsed="false">
      <c r="A8575" s="0" t="s">
        <v>998</v>
      </c>
      <c r="B8575" s="0" t="n">
        <v>1</v>
      </c>
      <c r="C8575" s="0" t="n">
        <v>2</v>
      </c>
      <c r="D8575" s="0" t="n">
        <v>0.181</v>
      </c>
    </row>
    <row r="8576" customFormat="false" ht="13.8" hidden="true" customHeight="false" outlineLevel="0" collapsed="false">
      <c r="A8576" s="0" t="s">
        <v>998</v>
      </c>
      <c r="B8576" s="0" t="n">
        <v>1</v>
      </c>
      <c r="C8576" s="0" t="n">
        <v>2.05</v>
      </c>
      <c r="D8576" s="0" t="n">
        <v>0.185</v>
      </c>
    </row>
    <row r="8577" customFormat="false" ht="13.8" hidden="true" customHeight="false" outlineLevel="0" collapsed="false">
      <c r="A8577" s="0" t="s">
        <v>998</v>
      </c>
      <c r="B8577" s="0" t="n">
        <v>1</v>
      </c>
      <c r="C8577" s="0" t="n">
        <v>2.1</v>
      </c>
      <c r="D8577" s="0" t="n">
        <v>0.19</v>
      </c>
    </row>
    <row r="8578" customFormat="false" ht="13.8" hidden="true" customHeight="false" outlineLevel="0" collapsed="false">
      <c r="A8578" s="0" t="s">
        <v>998</v>
      </c>
      <c r="B8578" s="0" t="n">
        <v>1</v>
      </c>
      <c r="C8578" s="0" t="n">
        <v>2.15</v>
      </c>
      <c r="D8578" s="0" t="n">
        <v>0.194065968</v>
      </c>
    </row>
    <row r="8579" customFormat="false" ht="13.8" hidden="true" customHeight="false" outlineLevel="0" collapsed="false">
      <c r="A8579" s="0" t="s">
        <v>998</v>
      </c>
      <c r="B8579" s="0" t="n">
        <v>1</v>
      </c>
      <c r="C8579" s="0" t="n">
        <v>2.2</v>
      </c>
      <c r="D8579" s="0" t="n">
        <v>0.19857913</v>
      </c>
    </row>
    <row r="8580" customFormat="false" ht="13.8" hidden="true" customHeight="false" outlineLevel="0" collapsed="false">
      <c r="A8580" s="0" t="s">
        <v>998</v>
      </c>
      <c r="B8580" s="0" t="n">
        <v>1</v>
      </c>
      <c r="C8580" s="0" t="n">
        <v>2.25</v>
      </c>
      <c r="D8580" s="0" t="n">
        <v>0.203092292</v>
      </c>
    </row>
    <row r="8581" customFormat="false" ht="13.8" hidden="true" customHeight="false" outlineLevel="0" collapsed="false">
      <c r="A8581" s="0" t="s">
        <v>998</v>
      </c>
      <c r="B8581" s="0" t="n">
        <v>1</v>
      </c>
      <c r="C8581" s="0" t="n">
        <v>2.3</v>
      </c>
      <c r="D8581" s="0" t="n">
        <v>0</v>
      </c>
    </row>
    <row r="8582" customFormat="false" ht="13.8" hidden="true" customHeight="false" outlineLevel="0" collapsed="false">
      <c r="A8582" s="0" t="s">
        <v>998</v>
      </c>
      <c r="B8582" s="0" t="n">
        <v>1</v>
      </c>
      <c r="C8582" s="0" t="n">
        <v>2.35</v>
      </c>
      <c r="D8582" s="0" t="n">
        <v>0</v>
      </c>
    </row>
    <row r="8583" customFormat="false" ht="13.8" hidden="true" customHeight="false" outlineLevel="0" collapsed="false">
      <c r="A8583" s="0" t="s">
        <v>998</v>
      </c>
      <c r="B8583" s="0" t="n">
        <v>1</v>
      </c>
      <c r="C8583" s="0" t="n">
        <v>2.4</v>
      </c>
      <c r="D8583" s="0" t="n">
        <v>0</v>
      </c>
    </row>
    <row r="8584" customFormat="false" ht="13.8" hidden="true" customHeight="false" outlineLevel="0" collapsed="false">
      <c r="A8584" s="0" t="s">
        <v>998</v>
      </c>
      <c r="B8584" s="0" t="n">
        <v>1</v>
      </c>
      <c r="C8584" s="0" t="n">
        <v>2.45</v>
      </c>
      <c r="D8584" s="0" t="n">
        <v>0</v>
      </c>
    </row>
    <row r="8585" customFormat="false" ht="13.8" hidden="true" customHeight="false" outlineLevel="0" collapsed="false">
      <c r="A8585" s="0" t="s">
        <v>998</v>
      </c>
      <c r="B8585" s="0" t="n">
        <v>1</v>
      </c>
      <c r="C8585" s="0" t="n">
        <v>2.5</v>
      </c>
      <c r="D8585" s="0" t="n">
        <v>0</v>
      </c>
    </row>
    <row r="8586" customFormat="false" ht="13.8" hidden="true" customHeight="false" outlineLevel="0" collapsed="false">
      <c r="A8586" s="0" t="s">
        <v>998</v>
      </c>
      <c r="B8586" s="0" t="n">
        <v>1</v>
      </c>
      <c r="C8586" s="0" t="n">
        <v>2.55</v>
      </c>
      <c r="D8586" s="0" t="n">
        <v>0</v>
      </c>
    </row>
    <row r="8587" customFormat="false" ht="13.8" hidden="true" customHeight="false" outlineLevel="0" collapsed="false">
      <c r="A8587" s="0" t="s">
        <v>998</v>
      </c>
      <c r="B8587" s="0" t="n">
        <v>1</v>
      </c>
      <c r="C8587" s="0" t="n">
        <v>2.6</v>
      </c>
      <c r="D8587" s="0" t="n">
        <v>0</v>
      </c>
    </row>
    <row r="8588" customFormat="false" ht="13.8" hidden="true" customHeight="false" outlineLevel="0" collapsed="false">
      <c r="A8588" s="0" t="s">
        <v>1000</v>
      </c>
      <c r="B8588" s="0" t="n">
        <v>25</v>
      </c>
      <c r="C8588" s="0" t="n">
        <v>1.3</v>
      </c>
      <c r="D8588" s="0" t="n">
        <v>0</v>
      </c>
    </row>
    <row r="8589" customFormat="false" ht="13.8" hidden="true" customHeight="false" outlineLevel="0" collapsed="false">
      <c r="A8589" s="0" t="s">
        <v>1000</v>
      </c>
      <c r="B8589" s="0" t="n">
        <v>25</v>
      </c>
      <c r="C8589" s="0" t="n">
        <v>1.35</v>
      </c>
      <c r="D8589" s="0" t="n">
        <v>0</v>
      </c>
    </row>
    <row r="8590" customFormat="false" ht="13.8" hidden="true" customHeight="false" outlineLevel="0" collapsed="false">
      <c r="A8590" s="0" t="s">
        <v>1000</v>
      </c>
      <c r="B8590" s="0" t="n">
        <v>25</v>
      </c>
      <c r="C8590" s="0" t="n">
        <v>1.4</v>
      </c>
      <c r="D8590" s="0" t="n">
        <v>0</v>
      </c>
    </row>
    <row r="8591" customFormat="false" ht="13.8" hidden="true" customHeight="false" outlineLevel="0" collapsed="false">
      <c r="A8591" s="0" t="s">
        <v>1000</v>
      </c>
      <c r="B8591" s="0" t="n">
        <v>25</v>
      </c>
      <c r="C8591" s="0" t="n">
        <v>1.45</v>
      </c>
      <c r="D8591" s="0" t="n">
        <v>0</v>
      </c>
    </row>
    <row r="8592" customFormat="false" ht="13.8" hidden="true" customHeight="false" outlineLevel="0" collapsed="false">
      <c r="A8592" s="0" t="s">
        <v>1000</v>
      </c>
      <c r="B8592" s="0" t="n">
        <v>25</v>
      </c>
      <c r="C8592" s="0" t="n">
        <v>1.5</v>
      </c>
      <c r="D8592" s="0" t="n">
        <v>0</v>
      </c>
    </row>
    <row r="8593" customFormat="false" ht="13.8" hidden="true" customHeight="false" outlineLevel="0" collapsed="false">
      <c r="A8593" s="0" t="s">
        <v>1000</v>
      </c>
      <c r="B8593" s="0" t="n">
        <v>25</v>
      </c>
      <c r="C8593" s="0" t="n">
        <v>1.55</v>
      </c>
      <c r="D8593" s="0" t="n">
        <v>0</v>
      </c>
    </row>
    <row r="8594" customFormat="false" ht="13.8" hidden="true" customHeight="false" outlineLevel="0" collapsed="false">
      <c r="A8594" s="0" t="s">
        <v>1000</v>
      </c>
      <c r="B8594" s="0" t="n">
        <v>25</v>
      </c>
      <c r="C8594" s="0" t="n">
        <v>1.6</v>
      </c>
      <c r="D8594" s="0" t="n">
        <v>0</v>
      </c>
    </row>
    <row r="8595" customFormat="false" ht="13.8" hidden="true" customHeight="false" outlineLevel="0" collapsed="false">
      <c r="A8595" s="0" t="s">
        <v>1000</v>
      </c>
      <c r="B8595" s="0" t="n">
        <v>25</v>
      </c>
      <c r="C8595" s="0" t="n">
        <v>1.65</v>
      </c>
      <c r="D8595" s="0" t="n">
        <v>0</v>
      </c>
    </row>
    <row r="8596" customFormat="false" ht="13.8" hidden="true" customHeight="false" outlineLevel="0" collapsed="false">
      <c r="A8596" s="0" t="s">
        <v>1000</v>
      </c>
      <c r="B8596" s="0" t="n">
        <v>25</v>
      </c>
      <c r="C8596" s="0" t="n">
        <v>1.7</v>
      </c>
      <c r="D8596" s="0" t="n">
        <v>0</v>
      </c>
    </row>
    <row r="8597" customFormat="false" ht="13.8" hidden="true" customHeight="false" outlineLevel="0" collapsed="false">
      <c r="A8597" s="0" t="s">
        <v>1000</v>
      </c>
      <c r="B8597" s="0" t="n">
        <v>25</v>
      </c>
      <c r="C8597" s="0" t="n">
        <v>1.75</v>
      </c>
      <c r="D8597" s="0" t="n">
        <v>0</v>
      </c>
    </row>
    <row r="8598" customFormat="false" ht="13.8" hidden="true" customHeight="false" outlineLevel="0" collapsed="false">
      <c r="A8598" s="0" t="s">
        <v>1000</v>
      </c>
      <c r="B8598" s="0" t="n">
        <v>25</v>
      </c>
      <c r="C8598" s="0" t="n">
        <v>1.8</v>
      </c>
      <c r="D8598" s="0" t="n">
        <v>0</v>
      </c>
    </row>
    <row r="8599" customFormat="false" ht="13.8" hidden="true" customHeight="false" outlineLevel="0" collapsed="false">
      <c r="A8599" s="0" t="s">
        <v>1000</v>
      </c>
      <c r="B8599" s="0" t="n">
        <v>25</v>
      </c>
      <c r="C8599" s="0" t="n">
        <v>1.85</v>
      </c>
      <c r="D8599" s="0" t="n">
        <v>0</v>
      </c>
    </row>
    <row r="8600" customFormat="false" ht="13.8" hidden="true" customHeight="false" outlineLevel="0" collapsed="false">
      <c r="A8600" s="0" t="s">
        <v>1000</v>
      </c>
      <c r="B8600" s="0" t="n">
        <v>25</v>
      </c>
      <c r="C8600" s="0" t="n">
        <v>1.9</v>
      </c>
      <c r="D8600" s="0" t="n">
        <v>0</v>
      </c>
    </row>
    <row r="8601" customFormat="false" ht="13.8" hidden="true" customHeight="false" outlineLevel="0" collapsed="false">
      <c r="A8601" s="0" t="s">
        <v>1000</v>
      </c>
      <c r="B8601" s="0" t="n">
        <v>25</v>
      </c>
      <c r="C8601" s="0" t="n">
        <v>1.95</v>
      </c>
      <c r="D8601" s="0" t="n">
        <v>0</v>
      </c>
    </row>
    <row r="8602" customFormat="false" ht="13.8" hidden="true" customHeight="false" outlineLevel="0" collapsed="false">
      <c r="A8602" s="0" t="s">
        <v>1000</v>
      </c>
      <c r="B8602" s="0" t="n">
        <v>25</v>
      </c>
      <c r="C8602" s="0" t="n">
        <v>2</v>
      </c>
      <c r="D8602" s="0" t="n">
        <v>0</v>
      </c>
    </row>
    <row r="8603" customFormat="false" ht="13.8" hidden="true" customHeight="false" outlineLevel="0" collapsed="false">
      <c r="A8603" s="0" t="s">
        <v>1000</v>
      </c>
      <c r="B8603" s="0" t="n">
        <v>25</v>
      </c>
      <c r="C8603" s="0" t="n">
        <v>2.05</v>
      </c>
      <c r="D8603" s="0" t="n">
        <v>0.595</v>
      </c>
    </row>
    <row r="8604" customFormat="false" ht="13.8" hidden="true" customHeight="false" outlineLevel="0" collapsed="false">
      <c r="A8604" s="0" t="s">
        <v>1000</v>
      </c>
      <c r="B8604" s="0" t="n">
        <v>25</v>
      </c>
      <c r="C8604" s="0" t="n">
        <v>2.1</v>
      </c>
      <c r="D8604" s="0" t="n">
        <v>0.61</v>
      </c>
    </row>
    <row r="8605" customFormat="false" ht="13.8" hidden="true" customHeight="false" outlineLevel="0" collapsed="false">
      <c r="A8605" s="0" t="s">
        <v>1000</v>
      </c>
      <c r="B8605" s="0" t="n">
        <v>25</v>
      </c>
      <c r="C8605" s="0" t="n">
        <v>2.15</v>
      </c>
      <c r="D8605" s="0" t="n">
        <v>0.6240375</v>
      </c>
    </row>
    <row r="8606" customFormat="false" ht="13.8" hidden="true" customHeight="false" outlineLevel="0" collapsed="false">
      <c r="A8606" s="0" t="s">
        <v>1000</v>
      </c>
      <c r="B8606" s="0" t="n">
        <v>25</v>
      </c>
      <c r="C8606" s="0" t="n">
        <v>2.2</v>
      </c>
      <c r="D8606" s="0" t="n">
        <v>0.63855</v>
      </c>
    </row>
    <row r="8607" customFormat="false" ht="13.8" hidden="true" customHeight="false" outlineLevel="0" collapsed="false">
      <c r="A8607" s="0" t="s">
        <v>1000</v>
      </c>
      <c r="B8607" s="0" t="n">
        <v>25</v>
      </c>
      <c r="C8607" s="0" t="n">
        <v>2.25</v>
      </c>
      <c r="D8607" s="0" t="n">
        <v>0.6530625</v>
      </c>
    </row>
    <row r="8608" customFormat="false" ht="13.8" hidden="true" customHeight="false" outlineLevel="0" collapsed="false">
      <c r="A8608" s="0" t="s">
        <v>1000</v>
      </c>
      <c r="B8608" s="0" t="n">
        <v>25</v>
      </c>
      <c r="C8608" s="0" t="n">
        <v>2.3</v>
      </c>
      <c r="D8608" s="0" t="n">
        <v>0</v>
      </c>
    </row>
    <row r="8609" customFormat="false" ht="13.8" hidden="true" customHeight="false" outlineLevel="0" collapsed="false">
      <c r="A8609" s="0" t="s">
        <v>1000</v>
      </c>
      <c r="B8609" s="0" t="n">
        <v>25</v>
      </c>
      <c r="C8609" s="0" t="n">
        <v>2.35</v>
      </c>
      <c r="D8609" s="0" t="n">
        <v>0</v>
      </c>
    </row>
    <row r="8610" customFormat="false" ht="13.8" hidden="true" customHeight="false" outlineLevel="0" collapsed="false">
      <c r="A8610" s="0" t="s">
        <v>1000</v>
      </c>
      <c r="B8610" s="0" t="n">
        <v>25</v>
      </c>
      <c r="C8610" s="0" t="n">
        <v>2.4</v>
      </c>
      <c r="D8610" s="0" t="n">
        <v>0</v>
      </c>
    </row>
    <row r="8611" customFormat="false" ht="13.8" hidden="true" customHeight="false" outlineLevel="0" collapsed="false">
      <c r="A8611" s="0" t="s">
        <v>1000</v>
      </c>
      <c r="B8611" s="0" t="n">
        <v>25</v>
      </c>
      <c r="C8611" s="0" t="n">
        <v>2.45</v>
      </c>
      <c r="D8611" s="0" t="n">
        <v>0</v>
      </c>
    </row>
    <row r="8612" customFormat="false" ht="13.8" hidden="true" customHeight="false" outlineLevel="0" collapsed="false">
      <c r="A8612" s="0" t="s">
        <v>1000</v>
      </c>
      <c r="B8612" s="0" t="n">
        <v>25</v>
      </c>
      <c r="C8612" s="0" t="n">
        <v>2.5</v>
      </c>
      <c r="D8612" s="0" t="n">
        <v>0</v>
      </c>
    </row>
    <row r="8613" customFormat="false" ht="13.8" hidden="true" customHeight="false" outlineLevel="0" collapsed="false">
      <c r="A8613" s="0" t="s">
        <v>1000</v>
      </c>
      <c r="B8613" s="0" t="n">
        <v>25</v>
      </c>
      <c r="C8613" s="0" t="n">
        <v>2.55</v>
      </c>
      <c r="D8613" s="0" t="n">
        <v>0</v>
      </c>
    </row>
    <row r="8614" customFormat="false" ht="13.8" hidden="true" customHeight="false" outlineLevel="0" collapsed="false">
      <c r="A8614" s="0" t="s">
        <v>1000</v>
      </c>
      <c r="B8614" s="0" t="n">
        <v>25</v>
      </c>
      <c r="C8614" s="0" t="n">
        <v>2.6</v>
      </c>
      <c r="D8614" s="0" t="n">
        <v>0</v>
      </c>
    </row>
    <row r="8615" customFormat="false" ht="13.8" hidden="true" customHeight="false" outlineLevel="0" collapsed="false">
      <c r="A8615" s="0" t="s">
        <v>1003</v>
      </c>
      <c r="B8615" s="0" t="n">
        <v>25</v>
      </c>
      <c r="C8615" s="0" t="n">
        <v>1.3</v>
      </c>
      <c r="D8615" s="0" t="n">
        <v>0</v>
      </c>
    </row>
    <row r="8616" customFormat="false" ht="13.8" hidden="true" customHeight="false" outlineLevel="0" collapsed="false">
      <c r="A8616" s="0" t="s">
        <v>1003</v>
      </c>
      <c r="B8616" s="0" t="n">
        <v>25</v>
      </c>
      <c r="C8616" s="0" t="n">
        <v>1.35</v>
      </c>
      <c r="D8616" s="0" t="n">
        <v>0</v>
      </c>
    </row>
    <row r="8617" customFormat="false" ht="13.8" hidden="true" customHeight="false" outlineLevel="0" collapsed="false">
      <c r="A8617" s="0" t="s">
        <v>1003</v>
      </c>
      <c r="B8617" s="0" t="n">
        <v>25</v>
      </c>
      <c r="C8617" s="0" t="n">
        <v>1.4</v>
      </c>
      <c r="D8617" s="0" t="n">
        <v>0</v>
      </c>
    </row>
    <row r="8618" customFormat="false" ht="13.8" hidden="true" customHeight="false" outlineLevel="0" collapsed="false">
      <c r="A8618" s="0" t="s">
        <v>1003</v>
      </c>
      <c r="B8618" s="0" t="n">
        <v>25</v>
      </c>
      <c r="C8618" s="0" t="n">
        <v>1.45</v>
      </c>
      <c r="D8618" s="0" t="n">
        <v>0</v>
      </c>
    </row>
    <row r="8619" customFormat="false" ht="13.8" hidden="true" customHeight="false" outlineLevel="0" collapsed="false">
      <c r="A8619" s="0" t="s">
        <v>1003</v>
      </c>
      <c r="B8619" s="0" t="n">
        <v>25</v>
      </c>
      <c r="C8619" s="0" t="n">
        <v>1.5</v>
      </c>
      <c r="D8619" s="0" t="n">
        <v>0</v>
      </c>
    </row>
    <row r="8620" customFormat="false" ht="13.8" hidden="true" customHeight="false" outlineLevel="0" collapsed="false">
      <c r="A8620" s="0" t="s">
        <v>1003</v>
      </c>
      <c r="B8620" s="0" t="n">
        <v>25</v>
      </c>
      <c r="C8620" s="0" t="n">
        <v>1.55</v>
      </c>
      <c r="D8620" s="0" t="n">
        <v>0</v>
      </c>
    </row>
    <row r="8621" customFormat="false" ht="13.8" hidden="true" customHeight="false" outlineLevel="0" collapsed="false">
      <c r="A8621" s="0" t="s">
        <v>1003</v>
      </c>
      <c r="B8621" s="0" t="n">
        <v>25</v>
      </c>
      <c r="C8621" s="0" t="n">
        <v>1.6</v>
      </c>
      <c r="D8621" s="0" t="n">
        <v>0.437</v>
      </c>
    </row>
    <row r="8622" customFormat="false" ht="13.8" hidden="true" customHeight="false" outlineLevel="0" collapsed="false">
      <c r="A8622" s="0" t="s">
        <v>1003</v>
      </c>
      <c r="B8622" s="0" t="n">
        <v>25</v>
      </c>
      <c r="C8622" s="0" t="n">
        <v>1.65</v>
      </c>
      <c r="D8622" s="0" t="n">
        <v>0.45</v>
      </c>
    </row>
    <row r="8623" customFormat="false" ht="13.8" hidden="true" customHeight="false" outlineLevel="0" collapsed="false">
      <c r="A8623" s="0" t="s">
        <v>1003</v>
      </c>
      <c r="B8623" s="0" t="n">
        <v>25</v>
      </c>
      <c r="C8623" s="0" t="n">
        <v>1.7</v>
      </c>
      <c r="D8623" s="0" t="n">
        <v>0.464</v>
      </c>
    </row>
    <row r="8624" customFormat="false" ht="13.8" hidden="true" customHeight="false" outlineLevel="0" collapsed="false">
      <c r="A8624" s="0" t="s">
        <v>1003</v>
      </c>
      <c r="B8624" s="0" t="n">
        <v>25</v>
      </c>
      <c r="C8624" s="0" t="n">
        <v>1.75</v>
      </c>
      <c r="D8624" s="0" t="n">
        <v>0.478</v>
      </c>
    </row>
    <row r="8625" customFormat="false" ht="13.8" hidden="true" customHeight="false" outlineLevel="0" collapsed="false">
      <c r="A8625" s="0" t="s">
        <v>1003</v>
      </c>
      <c r="B8625" s="0" t="n">
        <v>25</v>
      </c>
      <c r="C8625" s="0" t="n">
        <v>1.8</v>
      </c>
      <c r="D8625" s="0" t="n">
        <v>0.491</v>
      </c>
    </row>
    <row r="8626" customFormat="false" ht="13.8" hidden="true" customHeight="false" outlineLevel="0" collapsed="false">
      <c r="A8626" s="0" t="s">
        <v>1003</v>
      </c>
      <c r="B8626" s="0" t="n">
        <v>25</v>
      </c>
      <c r="C8626" s="0" t="n">
        <v>1.85</v>
      </c>
      <c r="D8626" s="0" t="n">
        <v>0.505</v>
      </c>
    </row>
    <row r="8627" customFormat="false" ht="13.8" hidden="true" customHeight="false" outlineLevel="0" collapsed="false">
      <c r="A8627" s="0" t="s">
        <v>1003</v>
      </c>
      <c r="B8627" s="0" t="n">
        <v>25</v>
      </c>
      <c r="C8627" s="0" t="n">
        <v>1.9</v>
      </c>
      <c r="D8627" s="0" t="n">
        <v>0.519</v>
      </c>
    </row>
    <row r="8628" customFormat="false" ht="13.8" hidden="true" customHeight="false" outlineLevel="0" collapsed="false">
      <c r="A8628" s="0" t="s">
        <v>1003</v>
      </c>
      <c r="B8628" s="0" t="n">
        <v>25</v>
      </c>
      <c r="C8628" s="0" t="n">
        <v>1.95</v>
      </c>
      <c r="D8628" s="0" t="n">
        <v>0.532</v>
      </c>
    </row>
    <row r="8629" customFormat="false" ht="13.8" hidden="true" customHeight="false" outlineLevel="0" collapsed="false">
      <c r="A8629" s="0" t="s">
        <v>1003</v>
      </c>
      <c r="B8629" s="0" t="n">
        <v>25</v>
      </c>
      <c r="C8629" s="0" t="n">
        <v>2</v>
      </c>
      <c r="D8629" s="0" t="n">
        <v>0.581</v>
      </c>
    </row>
    <row r="8630" customFormat="false" ht="13.8" hidden="true" customHeight="false" outlineLevel="0" collapsed="false">
      <c r="A8630" s="0" t="s">
        <v>1003</v>
      </c>
      <c r="B8630" s="0" t="n">
        <v>25</v>
      </c>
      <c r="C8630" s="0" t="n">
        <v>2.05</v>
      </c>
      <c r="D8630" s="0" t="n">
        <v>0.595</v>
      </c>
    </row>
    <row r="8631" customFormat="false" ht="13.8" hidden="true" customHeight="false" outlineLevel="0" collapsed="false">
      <c r="A8631" s="0" t="s">
        <v>1003</v>
      </c>
      <c r="B8631" s="0" t="n">
        <v>25</v>
      </c>
      <c r="C8631" s="0" t="n">
        <v>2.1</v>
      </c>
      <c r="D8631" s="0" t="n">
        <v>0.61</v>
      </c>
    </row>
    <row r="8632" customFormat="false" ht="13.8" hidden="true" customHeight="false" outlineLevel="0" collapsed="false">
      <c r="A8632" s="0" t="s">
        <v>1003</v>
      </c>
      <c r="B8632" s="0" t="n">
        <v>25</v>
      </c>
      <c r="C8632" s="0" t="n">
        <v>2.15</v>
      </c>
      <c r="D8632" s="0" t="n">
        <v>0.6240375</v>
      </c>
    </row>
    <row r="8633" customFormat="false" ht="13.8" hidden="true" customHeight="false" outlineLevel="0" collapsed="false">
      <c r="A8633" s="0" t="s">
        <v>1003</v>
      </c>
      <c r="B8633" s="0" t="n">
        <v>25</v>
      </c>
      <c r="C8633" s="0" t="n">
        <v>2.2</v>
      </c>
      <c r="D8633" s="0" t="n">
        <v>0.63855</v>
      </c>
    </row>
    <row r="8634" customFormat="false" ht="13.8" hidden="true" customHeight="false" outlineLevel="0" collapsed="false">
      <c r="A8634" s="0" t="s">
        <v>1003</v>
      </c>
      <c r="B8634" s="0" t="n">
        <v>25</v>
      </c>
      <c r="C8634" s="0" t="n">
        <v>2.25</v>
      </c>
      <c r="D8634" s="0" t="n">
        <v>0.6530625</v>
      </c>
    </row>
    <row r="8635" customFormat="false" ht="13.8" hidden="true" customHeight="false" outlineLevel="0" collapsed="false">
      <c r="A8635" s="0" t="s">
        <v>1003</v>
      </c>
      <c r="B8635" s="0" t="n">
        <v>25</v>
      </c>
      <c r="C8635" s="0" t="n">
        <v>2.3</v>
      </c>
      <c r="D8635" s="0" t="n">
        <v>0</v>
      </c>
    </row>
    <row r="8636" customFormat="false" ht="13.8" hidden="true" customHeight="false" outlineLevel="0" collapsed="false">
      <c r="A8636" s="0" t="s">
        <v>1003</v>
      </c>
      <c r="B8636" s="0" t="n">
        <v>25</v>
      </c>
      <c r="C8636" s="0" t="n">
        <v>2.35</v>
      </c>
      <c r="D8636" s="0" t="n">
        <v>0</v>
      </c>
    </row>
    <row r="8637" customFormat="false" ht="13.8" hidden="true" customHeight="false" outlineLevel="0" collapsed="false">
      <c r="A8637" s="0" t="s">
        <v>1003</v>
      </c>
      <c r="B8637" s="0" t="n">
        <v>25</v>
      </c>
      <c r="C8637" s="0" t="n">
        <v>2.4</v>
      </c>
      <c r="D8637" s="0" t="n">
        <v>0</v>
      </c>
    </row>
    <row r="8638" customFormat="false" ht="13.8" hidden="true" customHeight="false" outlineLevel="0" collapsed="false">
      <c r="A8638" s="0" t="s">
        <v>1003</v>
      </c>
      <c r="B8638" s="0" t="n">
        <v>25</v>
      </c>
      <c r="C8638" s="0" t="n">
        <v>2.45</v>
      </c>
      <c r="D8638" s="0" t="n">
        <v>0</v>
      </c>
    </row>
    <row r="8639" customFormat="false" ht="13.8" hidden="true" customHeight="false" outlineLevel="0" collapsed="false">
      <c r="A8639" s="0" t="s">
        <v>1003</v>
      </c>
      <c r="B8639" s="0" t="n">
        <v>25</v>
      </c>
      <c r="C8639" s="0" t="n">
        <v>2.5</v>
      </c>
      <c r="D8639" s="0" t="n">
        <v>0</v>
      </c>
    </row>
    <row r="8640" customFormat="false" ht="13.8" hidden="true" customHeight="false" outlineLevel="0" collapsed="false">
      <c r="A8640" s="0" t="s">
        <v>1003</v>
      </c>
      <c r="B8640" s="0" t="n">
        <v>25</v>
      </c>
      <c r="C8640" s="0" t="n">
        <v>2.55</v>
      </c>
      <c r="D8640" s="0" t="n">
        <v>0</v>
      </c>
    </row>
    <row r="8641" customFormat="false" ht="13.8" hidden="true" customHeight="false" outlineLevel="0" collapsed="false">
      <c r="A8641" s="0" t="s">
        <v>1003</v>
      </c>
      <c r="B8641" s="0" t="n">
        <v>25</v>
      </c>
      <c r="C8641" s="0" t="n">
        <v>2.6</v>
      </c>
      <c r="D8641" s="0" t="n">
        <v>0</v>
      </c>
    </row>
    <row r="8642" customFormat="false" ht="13.8" hidden="true" customHeight="false" outlineLevel="0" collapsed="false">
      <c r="A8642" s="0" t="s">
        <v>145</v>
      </c>
      <c r="B8642" s="0" t="n">
        <v>25</v>
      </c>
      <c r="C8642" s="0" t="n">
        <v>1.3</v>
      </c>
      <c r="D8642" s="0" t="n">
        <v>0</v>
      </c>
    </row>
    <row r="8643" customFormat="false" ht="13.8" hidden="true" customHeight="false" outlineLevel="0" collapsed="false">
      <c r="A8643" s="0" t="s">
        <v>145</v>
      </c>
      <c r="B8643" s="0" t="n">
        <v>25</v>
      </c>
      <c r="C8643" s="0" t="n">
        <v>1.35</v>
      </c>
      <c r="D8643" s="0" t="n">
        <v>0</v>
      </c>
    </row>
    <row r="8644" customFormat="false" ht="13.8" hidden="true" customHeight="false" outlineLevel="0" collapsed="false">
      <c r="A8644" s="0" t="s">
        <v>145</v>
      </c>
      <c r="B8644" s="0" t="n">
        <v>25</v>
      </c>
      <c r="C8644" s="0" t="n">
        <v>1.4</v>
      </c>
      <c r="D8644" s="0" t="n">
        <v>0</v>
      </c>
    </row>
    <row r="8645" customFormat="false" ht="13.8" hidden="true" customHeight="false" outlineLevel="0" collapsed="false">
      <c r="A8645" s="0" t="s">
        <v>145</v>
      </c>
      <c r="B8645" s="0" t="n">
        <v>25</v>
      </c>
      <c r="C8645" s="0" t="n">
        <v>1.45</v>
      </c>
      <c r="D8645" s="0" t="n">
        <v>0</v>
      </c>
    </row>
    <row r="8646" customFormat="false" ht="13.8" hidden="true" customHeight="false" outlineLevel="0" collapsed="false">
      <c r="A8646" s="0" t="s">
        <v>145</v>
      </c>
      <c r="B8646" s="0" t="n">
        <v>25</v>
      </c>
      <c r="C8646" s="0" t="n">
        <v>1.5</v>
      </c>
      <c r="D8646" s="0" t="n">
        <v>0</v>
      </c>
    </row>
    <row r="8647" customFormat="false" ht="13.8" hidden="true" customHeight="false" outlineLevel="0" collapsed="false">
      <c r="A8647" s="0" t="s">
        <v>145</v>
      </c>
      <c r="B8647" s="0" t="n">
        <v>25</v>
      </c>
      <c r="C8647" s="0" t="n">
        <v>1.55</v>
      </c>
      <c r="D8647" s="0" t="n">
        <v>0</v>
      </c>
    </row>
    <row r="8648" customFormat="false" ht="13.8" hidden="true" customHeight="false" outlineLevel="0" collapsed="false">
      <c r="A8648" s="0" t="s">
        <v>145</v>
      </c>
      <c r="B8648" s="0" t="n">
        <v>25</v>
      </c>
      <c r="C8648" s="0" t="n">
        <v>1.6</v>
      </c>
      <c r="D8648" s="0" t="n">
        <v>0</v>
      </c>
    </row>
    <row r="8649" customFormat="false" ht="13.8" hidden="true" customHeight="false" outlineLevel="0" collapsed="false">
      <c r="A8649" s="0" t="s">
        <v>145</v>
      </c>
      <c r="B8649" s="0" t="n">
        <v>25</v>
      </c>
      <c r="C8649" s="0" t="n">
        <v>1.65</v>
      </c>
      <c r="D8649" s="0" t="n">
        <v>0.45</v>
      </c>
    </row>
    <row r="8650" customFormat="false" ht="13.8" hidden="true" customHeight="false" outlineLevel="0" collapsed="false">
      <c r="A8650" s="0" t="s">
        <v>145</v>
      </c>
      <c r="B8650" s="0" t="n">
        <v>25</v>
      </c>
      <c r="C8650" s="0" t="n">
        <v>1.7</v>
      </c>
      <c r="D8650" s="0" t="n">
        <v>0.464</v>
      </c>
    </row>
    <row r="8651" customFormat="false" ht="13.8" hidden="true" customHeight="false" outlineLevel="0" collapsed="false">
      <c r="A8651" s="0" t="s">
        <v>145</v>
      </c>
      <c r="B8651" s="0" t="n">
        <v>25</v>
      </c>
      <c r="C8651" s="0" t="n">
        <v>1.75</v>
      </c>
      <c r="D8651" s="0" t="n">
        <v>0.478</v>
      </c>
    </row>
    <row r="8652" customFormat="false" ht="13.8" hidden="true" customHeight="false" outlineLevel="0" collapsed="false">
      <c r="A8652" s="0" t="s">
        <v>145</v>
      </c>
      <c r="B8652" s="0" t="n">
        <v>25</v>
      </c>
      <c r="C8652" s="0" t="n">
        <v>1.8</v>
      </c>
      <c r="D8652" s="0" t="n">
        <v>0.491</v>
      </c>
    </row>
    <row r="8653" customFormat="false" ht="13.8" hidden="true" customHeight="false" outlineLevel="0" collapsed="false">
      <c r="A8653" s="0" t="s">
        <v>145</v>
      </c>
      <c r="B8653" s="0" t="n">
        <v>25</v>
      </c>
      <c r="C8653" s="0" t="n">
        <v>1.85</v>
      </c>
      <c r="D8653" s="0" t="n">
        <v>0.505</v>
      </c>
    </row>
    <row r="8654" customFormat="false" ht="13.8" hidden="true" customHeight="false" outlineLevel="0" collapsed="false">
      <c r="A8654" s="0" t="s">
        <v>145</v>
      </c>
      <c r="B8654" s="0" t="n">
        <v>25</v>
      </c>
      <c r="C8654" s="0" t="n">
        <v>1.9</v>
      </c>
      <c r="D8654" s="0" t="n">
        <v>0.519</v>
      </c>
    </row>
    <row r="8655" customFormat="false" ht="13.8" hidden="true" customHeight="false" outlineLevel="0" collapsed="false">
      <c r="A8655" s="0" t="s">
        <v>145</v>
      </c>
      <c r="B8655" s="0" t="n">
        <v>25</v>
      </c>
      <c r="C8655" s="0" t="n">
        <v>1.95</v>
      </c>
      <c r="D8655" s="0" t="n">
        <v>0.532</v>
      </c>
    </row>
    <row r="8656" customFormat="false" ht="13.8" hidden="true" customHeight="false" outlineLevel="0" collapsed="false">
      <c r="A8656" s="0" t="s">
        <v>145</v>
      </c>
      <c r="B8656" s="0" t="n">
        <v>25</v>
      </c>
      <c r="C8656" s="0" t="n">
        <v>2</v>
      </c>
      <c r="D8656" s="0" t="n">
        <v>0</v>
      </c>
    </row>
    <row r="8657" customFormat="false" ht="13.8" hidden="true" customHeight="false" outlineLevel="0" collapsed="false">
      <c r="A8657" s="0" t="s">
        <v>145</v>
      </c>
      <c r="B8657" s="0" t="n">
        <v>25</v>
      </c>
      <c r="C8657" s="0" t="n">
        <v>2.05</v>
      </c>
      <c r="D8657" s="0" t="n">
        <v>0</v>
      </c>
    </row>
    <row r="8658" customFormat="false" ht="13.8" hidden="true" customHeight="false" outlineLevel="0" collapsed="false">
      <c r="A8658" s="0" t="s">
        <v>145</v>
      </c>
      <c r="B8658" s="0" t="n">
        <v>25</v>
      </c>
      <c r="C8658" s="0" t="n">
        <v>2.1</v>
      </c>
      <c r="D8658" s="0" t="n">
        <v>0</v>
      </c>
    </row>
    <row r="8659" customFormat="false" ht="13.8" hidden="true" customHeight="false" outlineLevel="0" collapsed="false">
      <c r="A8659" s="0" t="s">
        <v>145</v>
      </c>
      <c r="B8659" s="0" t="n">
        <v>25</v>
      </c>
      <c r="C8659" s="0" t="n">
        <v>2.15</v>
      </c>
      <c r="D8659" s="0" t="n">
        <v>0</v>
      </c>
    </row>
    <row r="8660" customFormat="false" ht="13.8" hidden="true" customHeight="false" outlineLevel="0" collapsed="false">
      <c r="A8660" s="0" t="s">
        <v>145</v>
      </c>
      <c r="B8660" s="0" t="n">
        <v>25</v>
      </c>
      <c r="C8660" s="0" t="n">
        <v>2.2</v>
      </c>
      <c r="D8660" s="0" t="n">
        <v>0</v>
      </c>
    </row>
    <row r="8661" customFormat="false" ht="13.8" hidden="true" customHeight="false" outlineLevel="0" collapsed="false">
      <c r="A8661" s="0" t="s">
        <v>145</v>
      </c>
      <c r="B8661" s="0" t="n">
        <v>25</v>
      </c>
      <c r="C8661" s="0" t="n">
        <v>2.25</v>
      </c>
      <c r="D8661" s="0" t="n">
        <v>0</v>
      </c>
    </row>
    <row r="8662" customFormat="false" ht="13.8" hidden="true" customHeight="false" outlineLevel="0" collapsed="false">
      <c r="A8662" s="0" t="s">
        <v>145</v>
      </c>
      <c r="B8662" s="0" t="n">
        <v>25</v>
      </c>
      <c r="C8662" s="0" t="n">
        <v>2.3</v>
      </c>
      <c r="D8662" s="0" t="n">
        <v>0</v>
      </c>
    </row>
    <row r="8663" customFormat="false" ht="13.8" hidden="true" customHeight="false" outlineLevel="0" collapsed="false">
      <c r="A8663" s="0" t="s">
        <v>145</v>
      </c>
      <c r="B8663" s="0" t="n">
        <v>25</v>
      </c>
      <c r="C8663" s="0" t="n">
        <v>2.35</v>
      </c>
      <c r="D8663" s="0" t="n">
        <v>0</v>
      </c>
    </row>
    <row r="8664" customFormat="false" ht="13.8" hidden="true" customHeight="false" outlineLevel="0" collapsed="false">
      <c r="A8664" s="0" t="s">
        <v>145</v>
      </c>
      <c r="B8664" s="0" t="n">
        <v>25</v>
      </c>
      <c r="C8664" s="0" t="n">
        <v>2.4</v>
      </c>
      <c r="D8664" s="0" t="n">
        <v>0</v>
      </c>
    </row>
    <row r="8665" customFormat="false" ht="13.8" hidden="true" customHeight="false" outlineLevel="0" collapsed="false">
      <c r="A8665" s="0" t="s">
        <v>145</v>
      </c>
      <c r="B8665" s="0" t="n">
        <v>25</v>
      </c>
      <c r="C8665" s="0" t="n">
        <v>2.45</v>
      </c>
      <c r="D8665" s="0" t="n">
        <v>0</v>
      </c>
    </row>
    <row r="8666" customFormat="false" ht="13.8" hidden="true" customHeight="false" outlineLevel="0" collapsed="false">
      <c r="A8666" s="0" t="s">
        <v>145</v>
      </c>
      <c r="B8666" s="0" t="n">
        <v>25</v>
      </c>
      <c r="C8666" s="0" t="n">
        <v>2.5</v>
      </c>
      <c r="D8666" s="0" t="n">
        <v>0</v>
      </c>
    </row>
    <row r="8667" customFormat="false" ht="13.8" hidden="true" customHeight="false" outlineLevel="0" collapsed="false">
      <c r="A8667" s="0" t="s">
        <v>145</v>
      </c>
      <c r="B8667" s="0" t="n">
        <v>25</v>
      </c>
      <c r="C8667" s="0" t="n">
        <v>2.55</v>
      </c>
      <c r="D8667" s="0" t="n">
        <v>0</v>
      </c>
    </row>
    <row r="8668" customFormat="false" ht="13.8" hidden="true" customHeight="false" outlineLevel="0" collapsed="false">
      <c r="A8668" s="0" t="s">
        <v>145</v>
      </c>
      <c r="B8668" s="0" t="n">
        <v>25</v>
      </c>
      <c r="C8668" s="0" t="n">
        <v>2.6</v>
      </c>
      <c r="D8668" s="0" t="n">
        <v>0</v>
      </c>
    </row>
    <row r="8669" customFormat="false" ht="13.8" hidden="true" customHeight="false" outlineLevel="0" collapsed="false">
      <c r="A8669" s="0" t="s">
        <v>262</v>
      </c>
      <c r="B8669" s="0" t="n">
        <v>25</v>
      </c>
      <c r="C8669" s="0" t="n">
        <v>1.3</v>
      </c>
      <c r="D8669" s="0" t="n">
        <v>0</v>
      </c>
    </row>
    <row r="8670" customFormat="false" ht="13.8" hidden="true" customHeight="false" outlineLevel="0" collapsed="false">
      <c r="A8670" s="0" t="s">
        <v>262</v>
      </c>
      <c r="B8670" s="0" t="n">
        <v>25</v>
      </c>
      <c r="C8670" s="0" t="n">
        <v>1.35</v>
      </c>
      <c r="D8670" s="0" t="n">
        <v>0</v>
      </c>
    </row>
    <row r="8671" customFormat="false" ht="13.8" hidden="true" customHeight="false" outlineLevel="0" collapsed="false">
      <c r="A8671" s="0" t="s">
        <v>262</v>
      </c>
      <c r="B8671" s="0" t="n">
        <v>25</v>
      </c>
      <c r="C8671" s="0" t="n">
        <v>1.4</v>
      </c>
      <c r="D8671" s="0" t="n">
        <v>0</v>
      </c>
    </row>
    <row r="8672" customFormat="false" ht="13.8" hidden="true" customHeight="false" outlineLevel="0" collapsed="false">
      <c r="A8672" s="0" t="s">
        <v>262</v>
      </c>
      <c r="B8672" s="0" t="n">
        <v>25</v>
      </c>
      <c r="C8672" s="0" t="n">
        <v>1.45</v>
      </c>
      <c r="D8672" s="0" t="n">
        <v>0</v>
      </c>
    </row>
    <row r="8673" customFormat="false" ht="13.8" hidden="true" customHeight="false" outlineLevel="0" collapsed="false">
      <c r="A8673" s="0" t="s">
        <v>262</v>
      </c>
      <c r="B8673" s="0" t="n">
        <v>25</v>
      </c>
      <c r="C8673" s="0" t="n">
        <v>1.5</v>
      </c>
      <c r="D8673" s="0" t="n">
        <v>0</v>
      </c>
    </row>
    <row r="8674" customFormat="false" ht="13.8" hidden="true" customHeight="false" outlineLevel="0" collapsed="false">
      <c r="A8674" s="0" t="s">
        <v>262</v>
      </c>
      <c r="B8674" s="0" t="n">
        <v>25</v>
      </c>
      <c r="C8674" s="0" t="n">
        <v>1.55</v>
      </c>
      <c r="D8674" s="0" t="n">
        <v>0</v>
      </c>
    </row>
    <row r="8675" customFormat="false" ht="13.8" hidden="true" customHeight="false" outlineLevel="0" collapsed="false">
      <c r="A8675" s="0" t="s">
        <v>262</v>
      </c>
      <c r="B8675" s="0" t="n">
        <v>25</v>
      </c>
      <c r="C8675" s="0" t="n">
        <v>1.6</v>
      </c>
      <c r="D8675" s="0" t="n">
        <v>0</v>
      </c>
    </row>
    <row r="8676" customFormat="false" ht="13.8" hidden="true" customHeight="false" outlineLevel="0" collapsed="false">
      <c r="A8676" s="0" t="s">
        <v>262</v>
      </c>
      <c r="B8676" s="0" t="n">
        <v>25</v>
      </c>
      <c r="C8676" s="0" t="n">
        <v>1.65</v>
      </c>
      <c r="D8676" s="0" t="n">
        <v>0.45</v>
      </c>
    </row>
    <row r="8677" customFormat="false" ht="13.8" hidden="true" customHeight="false" outlineLevel="0" collapsed="false">
      <c r="A8677" s="0" t="s">
        <v>262</v>
      </c>
      <c r="B8677" s="0" t="n">
        <v>25</v>
      </c>
      <c r="C8677" s="0" t="n">
        <v>1.7</v>
      </c>
      <c r="D8677" s="0" t="n">
        <v>0.464</v>
      </c>
    </row>
    <row r="8678" customFormat="false" ht="13.8" hidden="true" customHeight="false" outlineLevel="0" collapsed="false">
      <c r="A8678" s="0" t="s">
        <v>262</v>
      </c>
      <c r="B8678" s="0" t="n">
        <v>25</v>
      </c>
      <c r="C8678" s="0" t="n">
        <v>1.75</v>
      </c>
      <c r="D8678" s="0" t="n">
        <v>0.478</v>
      </c>
    </row>
    <row r="8679" customFormat="false" ht="13.8" hidden="true" customHeight="false" outlineLevel="0" collapsed="false">
      <c r="A8679" s="0" t="s">
        <v>262</v>
      </c>
      <c r="B8679" s="0" t="n">
        <v>25</v>
      </c>
      <c r="C8679" s="0" t="n">
        <v>1.8</v>
      </c>
      <c r="D8679" s="0" t="n">
        <v>0.491</v>
      </c>
    </row>
    <row r="8680" customFormat="false" ht="13.8" hidden="true" customHeight="false" outlineLevel="0" collapsed="false">
      <c r="A8680" s="0" t="s">
        <v>262</v>
      </c>
      <c r="B8680" s="0" t="n">
        <v>25</v>
      </c>
      <c r="C8680" s="0" t="n">
        <v>1.85</v>
      </c>
      <c r="D8680" s="0" t="n">
        <v>0.505</v>
      </c>
    </row>
    <row r="8681" customFormat="false" ht="13.8" hidden="true" customHeight="false" outlineLevel="0" collapsed="false">
      <c r="A8681" s="0" t="s">
        <v>262</v>
      </c>
      <c r="B8681" s="0" t="n">
        <v>25</v>
      </c>
      <c r="C8681" s="0" t="n">
        <v>1.9</v>
      </c>
      <c r="D8681" s="0" t="n">
        <v>0.519</v>
      </c>
    </row>
    <row r="8682" customFormat="false" ht="13.8" hidden="true" customHeight="false" outlineLevel="0" collapsed="false">
      <c r="A8682" s="0" t="s">
        <v>262</v>
      </c>
      <c r="B8682" s="0" t="n">
        <v>25</v>
      </c>
      <c r="C8682" s="0" t="n">
        <v>1.95</v>
      </c>
      <c r="D8682" s="0" t="n">
        <v>0.532</v>
      </c>
    </row>
    <row r="8683" customFormat="false" ht="13.8" hidden="true" customHeight="false" outlineLevel="0" collapsed="false">
      <c r="A8683" s="0" t="s">
        <v>262</v>
      </c>
      <c r="B8683" s="0" t="n">
        <v>25</v>
      </c>
      <c r="C8683" s="0" t="n">
        <v>2</v>
      </c>
      <c r="D8683" s="0" t="n">
        <v>0</v>
      </c>
    </row>
    <row r="8684" customFormat="false" ht="13.8" hidden="true" customHeight="false" outlineLevel="0" collapsed="false">
      <c r="A8684" s="0" t="s">
        <v>262</v>
      </c>
      <c r="B8684" s="0" t="n">
        <v>25</v>
      </c>
      <c r="C8684" s="0" t="n">
        <v>2.05</v>
      </c>
      <c r="D8684" s="0" t="n">
        <v>0</v>
      </c>
    </row>
    <row r="8685" customFormat="false" ht="13.8" hidden="true" customHeight="false" outlineLevel="0" collapsed="false">
      <c r="A8685" s="0" t="s">
        <v>262</v>
      </c>
      <c r="B8685" s="0" t="n">
        <v>25</v>
      </c>
      <c r="C8685" s="0" t="n">
        <v>2.1</v>
      </c>
      <c r="D8685" s="0" t="n">
        <v>0</v>
      </c>
    </row>
    <row r="8686" customFormat="false" ht="13.8" hidden="true" customHeight="false" outlineLevel="0" collapsed="false">
      <c r="A8686" s="0" t="s">
        <v>262</v>
      </c>
      <c r="B8686" s="0" t="n">
        <v>25</v>
      </c>
      <c r="C8686" s="0" t="n">
        <v>2.15</v>
      </c>
      <c r="D8686" s="0" t="n">
        <v>0</v>
      </c>
    </row>
    <row r="8687" customFormat="false" ht="13.8" hidden="true" customHeight="false" outlineLevel="0" collapsed="false">
      <c r="A8687" s="0" t="s">
        <v>262</v>
      </c>
      <c r="B8687" s="0" t="n">
        <v>25</v>
      </c>
      <c r="C8687" s="0" t="n">
        <v>2.2</v>
      </c>
      <c r="D8687" s="0" t="n">
        <v>0</v>
      </c>
    </row>
    <row r="8688" customFormat="false" ht="13.8" hidden="true" customHeight="false" outlineLevel="0" collapsed="false">
      <c r="A8688" s="0" t="s">
        <v>262</v>
      </c>
      <c r="B8688" s="0" t="n">
        <v>25</v>
      </c>
      <c r="C8688" s="0" t="n">
        <v>2.25</v>
      </c>
      <c r="D8688" s="0" t="n">
        <v>0</v>
      </c>
    </row>
    <row r="8689" customFormat="false" ht="13.8" hidden="true" customHeight="false" outlineLevel="0" collapsed="false">
      <c r="A8689" s="0" t="s">
        <v>262</v>
      </c>
      <c r="B8689" s="0" t="n">
        <v>25</v>
      </c>
      <c r="C8689" s="0" t="n">
        <v>2.3</v>
      </c>
      <c r="D8689" s="0" t="n">
        <v>0</v>
      </c>
    </row>
    <row r="8690" customFormat="false" ht="13.8" hidden="true" customHeight="false" outlineLevel="0" collapsed="false">
      <c r="A8690" s="0" t="s">
        <v>262</v>
      </c>
      <c r="B8690" s="0" t="n">
        <v>25</v>
      </c>
      <c r="C8690" s="0" t="n">
        <v>2.35</v>
      </c>
      <c r="D8690" s="0" t="n">
        <v>0</v>
      </c>
    </row>
    <row r="8691" customFormat="false" ht="13.8" hidden="true" customHeight="false" outlineLevel="0" collapsed="false">
      <c r="A8691" s="0" t="s">
        <v>262</v>
      </c>
      <c r="B8691" s="0" t="n">
        <v>25</v>
      </c>
      <c r="C8691" s="0" t="n">
        <v>2.4</v>
      </c>
      <c r="D8691" s="0" t="n">
        <v>0</v>
      </c>
    </row>
    <row r="8692" customFormat="false" ht="13.8" hidden="true" customHeight="false" outlineLevel="0" collapsed="false">
      <c r="A8692" s="0" t="s">
        <v>262</v>
      </c>
      <c r="B8692" s="0" t="n">
        <v>25</v>
      </c>
      <c r="C8692" s="0" t="n">
        <v>2.45</v>
      </c>
      <c r="D8692" s="0" t="n">
        <v>0</v>
      </c>
    </row>
    <row r="8693" customFormat="false" ht="13.8" hidden="true" customHeight="false" outlineLevel="0" collapsed="false">
      <c r="A8693" s="0" t="s">
        <v>262</v>
      </c>
      <c r="B8693" s="0" t="n">
        <v>25</v>
      </c>
      <c r="C8693" s="0" t="n">
        <v>2.5</v>
      </c>
      <c r="D8693" s="0" t="n">
        <v>0</v>
      </c>
    </row>
    <row r="8694" customFormat="false" ht="13.8" hidden="true" customHeight="false" outlineLevel="0" collapsed="false">
      <c r="A8694" s="0" t="s">
        <v>262</v>
      </c>
      <c r="B8694" s="0" t="n">
        <v>25</v>
      </c>
      <c r="C8694" s="0" t="n">
        <v>2.55</v>
      </c>
      <c r="D8694" s="0" t="n">
        <v>0</v>
      </c>
    </row>
    <row r="8695" customFormat="false" ht="13.8" hidden="true" customHeight="false" outlineLevel="0" collapsed="false">
      <c r="A8695" s="0" t="s">
        <v>262</v>
      </c>
      <c r="B8695" s="0" t="n">
        <v>25</v>
      </c>
      <c r="C8695" s="0" t="n">
        <v>2.6</v>
      </c>
      <c r="D8695" s="0" t="n">
        <v>0</v>
      </c>
    </row>
    <row r="8696" customFormat="false" ht="13.8" hidden="true" customHeight="false" outlineLevel="0" collapsed="false">
      <c r="A8696" s="0" t="s">
        <v>146</v>
      </c>
      <c r="B8696" s="0" t="n">
        <v>25</v>
      </c>
      <c r="C8696" s="0" t="n">
        <v>1.3</v>
      </c>
      <c r="D8696" s="0" t="n">
        <v>0</v>
      </c>
    </row>
    <row r="8697" customFormat="false" ht="13.8" hidden="true" customHeight="false" outlineLevel="0" collapsed="false">
      <c r="A8697" s="0" t="s">
        <v>146</v>
      </c>
      <c r="B8697" s="0" t="n">
        <v>25</v>
      </c>
      <c r="C8697" s="0" t="n">
        <v>1.35</v>
      </c>
      <c r="D8697" s="0" t="n">
        <v>0</v>
      </c>
    </row>
    <row r="8698" customFormat="false" ht="13.8" hidden="true" customHeight="false" outlineLevel="0" collapsed="false">
      <c r="A8698" s="0" t="s">
        <v>146</v>
      </c>
      <c r="B8698" s="0" t="n">
        <v>25</v>
      </c>
      <c r="C8698" s="0" t="n">
        <v>1.4</v>
      </c>
      <c r="D8698" s="0" t="n">
        <v>0</v>
      </c>
    </row>
    <row r="8699" customFormat="false" ht="13.8" hidden="true" customHeight="false" outlineLevel="0" collapsed="false">
      <c r="A8699" s="0" t="s">
        <v>146</v>
      </c>
      <c r="B8699" s="0" t="n">
        <v>25</v>
      </c>
      <c r="C8699" s="0" t="n">
        <v>1.45</v>
      </c>
      <c r="D8699" s="0" t="n">
        <v>0</v>
      </c>
    </row>
    <row r="8700" customFormat="false" ht="13.8" hidden="true" customHeight="false" outlineLevel="0" collapsed="false">
      <c r="A8700" s="0" t="s">
        <v>146</v>
      </c>
      <c r="B8700" s="0" t="n">
        <v>25</v>
      </c>
      <c r="C8700" s="0" t="n">
        <v>1.5</v>
      </c>
      <c r="D8700" s="0" t="n">
        <v>0</v>
      </c>
    </row>
    <row r="8701" customFormat="false" ht="13.8" hidden="true" customHeight="false" outlineLevel="0" collapsed="false">
      <c r="A8701" s="0" t="s">
        <v>146</v>
      </c>
      <c r="B8701" s="0" t="n">
        <v>25</v>
      </c>
      <c r="C8701" s="0" t="n">
        <v>1.55</v>
      </c>
      <c r="D8701" s="0" t="n">
        <v>0</v>
      </c>
    </row>
    <row r="8702" customFormat="false" ht="13.8" hidden="true" customHeight="false" outlineLevel="0" collapsed="false">
      <c r="A8702" s="0" t="s">
        <v>146</v>
      </c>
      <c r="B8702" s="0" t="n">
        <v>25</v>
      </c>
      <c r="C8702" s="0" t="n">
        <v>1.6</v>
      </c>
      <c r="D8702" s="0" t="n">
        <v>0</v>
      </c>
    </row>
    <row r="8703" customFormat="false" ht="13.8" hidden="true" customHeight="false" outlineLevel="0" collapsed="false">
      <c r="A8703" s="0" t="s">
        <v>146</v>
      </c>
      <c r="B8703" s="0" t="n">
        <v>25</v>
      </c>
      <c r="C8703" s="0" t="n">
        <v>1.65</v>
      </c>
      <c r="D8703" s="0" t="n">
        <v>0.45</v>
      </c>
    </row>
    <row r="8704" customFormat="false" ht="13.8" hidden="true" customHeight="false" outlineLevel="0" collapsed="false">
      <c r="A8704" s="0" t="s">
        <v>146</v>
      </c>
      <c r="B8704" s="0" t="n">
        <v>25</v>
      </c>
      <c r="C8704" s="0" t="n">
        <v>1.7</v>
      </c>
      <c r="D8704" s="0" t="n">
        <v>0.464</v>
      </c>
    </row>
    <row r="8705" customFormat="false" ht="13.8" hidden="true" customHeight="false" outlineLevel="0" collapsed="false">
      <c r="A8705" s="0" t="s">
        <v>146</v>
      </c>
      <c r="B8705" s="0" t="n">
        <v>25</v>
      </c>
      <c r="C8705" s="0" t="n">
        <v>1.75</v>
      </c>
      <c r="D8705" s="0" t="n">
        <v>0.478</v>
      </c>
    </row>
    <row r="8706" customFormat="false" ht="13.8" hidden="true" customHeight="false" outlineLevel="0" collapsed="false">
      <c r="A8706" s="0" t="s">
        <v>146</v>
      </c>
      <c r="B8706" s="0" t="n">
        <v>25</v>
      </c>
      <c r="C8706" s="0" t="n">
        <v>1.8</v>
      </c>
      <c r="D8706" s="0" t="n">
        <v>0.491</v>
      </c>
    </row>
    <row r="8707" customFormat="false" ht="13.8" hidden="true" customHeight="false" outlineLevel="0" collapsed="false">
      <c r="A8707" s="0" t="s">
        <v>146</v>
      </c>
      <c r="B8707" s="0" t="n">
        <v>25</v>
      </c>
      <c r="C8707" s="0" t="n">
        <v>1.85</v>
      </c>
      <c r="D8707" s="0" t="n">
        <v>0.505</v>
      </c>
    </row>
    <row r="8708" customFormat="false" ht="13.8" hidden="true" customHeight="false" outlineLevel="0" collapsed="false">
      <c r="A8708" s="0" t="s">
        <v>146</v>
      </c>
      <c r="B8708" s="0" t="n">
        <v>25</v>
      </c>
      <c r="C8708" s="0" t="n">
        <v>1.9</v>
      </c>
      <c r="D8708" s="0" t="n">
        <v>0.519</v>
      </c>
    </row>
    <row r="8709" customFormat="false" ht="13.8" hidden="true" customHeight="false" outlineLevel="0" collapsed="false">
      <c r="A8709" s="0" t="s">
        <v>146</v>
      </c>
      <c r="B8709" s="0" t="n">
        <v>25</v>
      </c>
      <c r="C8709" s="0" t="n">
        <v>1.95</v>
      </c>
      <c r="D8709" s="0" t="n">
        <v>0.532</v>
      </c>
    </row>
    <row r="8710" customFormat="false" ht="13.8" hidden="true" customHeight="false" outlineLevel="0" collapsed="false">
      <c r="A8710" s="0" t="s">
        <v>146</v>
      </c>
      <c r="B8710" s="0" t="n">
        <v>25</v>
      </c>
      <c r="C8710" s="0" t="n">
        <v>2</v>
      </c>
      <c r="D8710" s="0" t="n">
        <v>0</v>
      </c>
    </row>
    <row r="8711" customFormat="false" ht="13.8" hidden="true" customHeight="false" outlineLevel="0" collapsed="false">
      <c r="A8711" s="0" t="s">
        <v>146</v>
      </c>
      <c r="B8711" s="0" t="n">
        <v>25</v>
      </c>
      <c r="C8711" s="0" t="n">
        <v>2.05</v>
      </c>
      <c r="D8711" s="0" t="n">
        <v>0</v>
      </c>
    </row>
    <row r="8712" customFormat="false" ht="13.8" hidden="true" customHeight="false" outlineLevel="0" collapsed="false">
      <c r="A8712" s="0" t="s">
        <v>146</v>
      </c>
      <c r="B8712" s="0" t="n">
        <v>25</v>
      </c>
      <c r="C8712" s="0" t="n">
        <v>2.1</v>
      </c>
      <c r="D8712" s="0" t="n">
        <v>0</v>
      </c>
    </row>
    <row r="8713" customFormat="false" ht="13.8" hidden="true" customHeight="false" outlineLevel="0" collapsed="false">
      <c r="A8713" s="0" t="s">
        <v>146</v>
      </c>
      <c r="B8713" s="0" t="n">
        <v>25</v>
      </c>
      <c r="C8713" s="0" t="n">
        <v>2.15</v>
      </c>
      <c r="D8713" s="0" t="n">
        <v>0</v>
      </c>
    </row>
    <row r="8714" customFormat="false" ht="13.8" hidden="true" customHeight="false" outlineLevel="0" collapsed="false">
      <c r="A8714" s="0" t="s">
        <v>146</v>
      </c>
      <c r="B8714" s="0" t="n">
        <v>25</v>
      </c>
      <c r="C8714" s="0" t="n">
        <v>2.2</v>
      </c>
      <c r="D8714" s="0" t="n">
        <v>0</v>
      </c>
    </row>
    <row r="8715" customFormat="false" ht="13.8" hidden="true" customHeight="false" outlineLevel="0" collapsed="false">
      <c r="A8715" s="0" t="s">
        <v>146</v>
      </c>
      <c r="B8715" s="0" t="n">
        <v>25</v>
      </c>
      <c r="C8715" s="0" t="n">
        <v>2.25</v>
      </c>
      <c r="D8715" s="0" t="n">
        <v>0</v>
      </c>
    </row>
    <row r="8716" customFormat="false" ht="13.8" hidden="true" customHeight="false" outlineLevel="0" collapsed="false">
      <c r="A8716" s="0" t="s">
        <v>146</v>
      </c>
      <c r="B8716" s="0" t="n">
        <v>25</v>
      </c>
      <c r="C8716" s="0" t="n">
        <v>2.3</v>
      </c>
      <c r="D8716" s="0" t="n">
        <v>0</v>
      </c>
    </row>
    <row r="8717" customFormat="false" ht="13.8" hidden="true" customHeight="false" outlineLevel="0" collapsed="false">
      <c r="A8717" s="0" t="s">
        <v>146</v>
      </c>
      <c r="B8717" s="0" t="n">
        <v>25</v>
      </c>
      <c r="C8717" s="0" t="n">
        <v>2.35</v>
      </c>
      <c r="D8717" s="0" t="n">
        <v>0</v>
      </c>
    </row>
    <row r="8718" customFormat="false" ht="13.8" hidden="true" customHeight="false" outlineLevel="0" collapsed="false">
      <c r="A8718" s="0" t="s">
        <v>146</v>
      </c>
      <c r="B8718" s="0" t="n">
        <v>25</v>
      </c>
      <c r="C8718" s="0" t="n">
        <v>2.4</v>
      </c>
      <c r="D8718" s="0" t="n">
        <v>0</v>
      </c>
    </row>
    <row r="8719" customFormat="false" ht="13.8" hidden="true" customHeight="false" outlineLevel="0" collapsed="false">
      <c r="A8719" s="0" t="s">
        <v>146</v>
      </c>
      <c r="B8719" s="0" t="n">
        <v>25</v>
      </c>
      <c r="C8719" s="0" t="n">
        <v>2.45</v>
      </c>
      <c r="D8719" s="0" t="n">
        <v>0</v>
      </c>
    </row>
    <row r="8720" customFormat="false" ht="13.8" hidden="true" customHeight="false" outlineLevel="0" collapsed="false">
      <c r="A8720" s="0" t="s">
        <v>146</v>
      </c>
      <c r="B8720" s="0" t="n">
        <v>25</v>
      </c>
      <c r="C8720" s="0" t="n">
        <v>2.5</v>
      </c>
      <c r="D8720" s="0" t="n">
        <v>0</v>
      </c>
    </row>
    <row r="8721" customFormat="false" ht="13.8" hidden="true" customHeight="false" outlineLevel="0" collapsed="false">
      <c r="A8721" s="0" t="s">
        <v>146</v>
      </c>
      <c r="B8721" s="0" t="n">
        <v>25</v>
      </c>
      <c r="C8721" s="0" t="n">
        <v>2.55</v>
      </c>
      <c r="D8721" s="0" t="n">
        <v>0</v>
      </c>
    </row>
    <row r="8722" customFormat="false" ht="13.8" hidden="true" customHeight="false" outlineLevel="0" collapsed="false">
      <c r="A8722" s="0" t="s">
        <v>146</v>
      </c>
      <c r="B8722" s="0" t="n">
        <v>25</v>
      </c>
      <c r="C8722" s="0" t="n">
        <v>2.6</v>
      </c>
      <c r="D8722" s="0" t="n">
        <v>0</v>
      </c>
    </row>
    <row r="8723" customFormat="false" ht="13.8" hidden="true" customHeight="false" outlineLevel="0" collapsed="false">
      <c r="A8723" s="0" t="s">
        <v>263</v>
      </c>
      <c r="B8723" s="0" t="n">
        <v>25</v>
      </c>
      <c r="C8723" s="0" t="n">
        <v>1.3</v>
      </c>
      <c r="D8723" s="0" t="n">
        <v>0</v>
      </c>
    </row>
    <row r="8724" customFormat="false" ht="13.8" hidden="true" customHeight="false" outlineLevel="0" collapsed="false">
      <c r="A8724" s="0" t="s">
        <v>263</v>
      </c>
      <c r="B8724" s="0" t="n">
        <v>25</v>
      </c>
      <c r="C8724" s="0" t="n">
        <v>1.35</v>
      </c>
      <c r="D8724" s="0" t="n">
        <v>0</v>
      </c>
    </row>
    <row r="8725" customFormat="false" ht="13.8" hidden="true" customHeight="false" outlineLevel="0" collapsed="false">
      <c r="A8725" s="0" t="s">
        <v>263</v>
      </c>
      <c r="B8725" s="0" t="n">
        <v>25</v>
      </c>
      <c r="C8725" s="0" t="n">
        <v>1.4</v>
      </c>
      <c r="D8725" s="0" t="n">
        <v>0</v>
      </c>
    </row>
    <row r="8726" customFormat="false" ht="13.8" hidden="true" customHeight="false" outlineLevel="0" collapsed="false">
      <c r="A8726" s="0" t="s">
        <v>263</v>
      </c>
      <c r="B8726" s="0" t="n">
        <v>25</v>
      </c>
      <c r="C8726" s="0" t="n">
        <v>1.45</v>
      </c>
      <c r="D8726" s="0" t="n">
        <v>0</v>
      </c>
    </row>
    <row r="8727" customFormat="false" ht="13.8" hidden="true" customHeight="false" outlineLevel="0" collapsed="false">
      <c r="A8727" s="0" t="s">
        <v>263</v>
      </c>
      <c r="B8727" s="0" t="n">
        <v>25</v>
      </c>
      <c r="C8727" s="0" t="n">
        <v>1.5</v>
      </c>
      <c r="D8727" s="0" t="n">
        <v>0</v>
      </c>
    </row>
    <row r="8728" customFormat="false" ht="13.8" hidden="true" customHeight="false" outlineLevel="0" collapsed="false">
      <c r="A8728" s="0" t="s">
        <v>263</v>
      </c>
      <c r="B8728" s="0" t="n">
        <v>25</v>
      </c>
      <c r="C8728" s="0" t="n">
        <v>1.55</v>
      </c>
      <c r="D8728" s="0" t="n">
        <v>0</v>
      </c>
    </row>
    <row r="8729" customFormat="false" ht="13.8" hidden="true" customHeight="false" outlineLevel="0" collapsed="false">
      <c r="A8729" s="0" t="s">
        <v>263</v>
      </c>
      <c r="B8729" s="0" t="n">
        <v>25</v>
      </c>
      <c r="C8729" s="0" t="n">
        <v>1.6</v>
      </c>
      <c r="D8729" s="0" t="n">
        <v>0</v>
      </c>
    </row>
    <row r="8730" customFormat="false" ht="13.8" hidden="true" customHeight="false" outlineLevel="0" collapsed="false">
      <c r="A8730" s="0" t="s">
        <v>263</v>
      </c>
      <c r="B8730" s="0" t="n">
        <v>25</v>
      </c>
      <c r="C8730" s="0" t="n">
        <v>1.65</v>
      </c>
      <c r="D8730" s="0" t="n">
        <v>0.45</v>
      </c>
    </row>
    <row r="8731" customFormat="false" ht="13.8" hidden="true" customHeight="false" outlineLevel="0" collapsed="false">
      <c r="A8731" s="0" t="s">
        <v>263</v>
      </c>
      <c r="B8731" s="0" t="n">
        <v>25</v>
      </c>
      <c r="C8731" s="0" t="n">
        <v>1.7</v>
      </c>
      <c r="D8731" s="0" t="n">
        <v>0.464</v>
      </c>
    </row>
    <row r="8732" customFormat="false" ht="13.8" hidden="true" customHeight="false" outlineLevel="0" collapsed="false">
      <c r="A8732" s="0" t="s">
        <v>263</v>
      </c>
      <c r="B8732" s="0" t="n">
        <v>25</v>
      </c>
      <c r="C8732" s="0" t="n">
        <v>1.75</v>
      </c>
      <c r="D8732" s="0" t="n">
        <v>0.478</v>
      </c>
    </row>
    <row r="8733" customFormat="false" ht="13.8" hidden="true" customHeight="false" outlineLevel="0" collapsed="false">
      <c r="A8733" s="0" t="s">
        <v>263</v>
      </c>
      <c r="B8733" s="0" t="n">
        <v>25</v>
      </c>
      <c r="C8733" s="0" t="n">
        <v>1.8</v>
      </c>
      <c r="D8733" s="0" t="n">
        <v>0.491</v>
      </c>
    </row>
    <row r="8734" customFormat="false" ht="13.8" hidden="true" customHeight="false" outlineLevel="0" collapsed="false">
      <c r="A8734" s="0" t="s">
        <v>263</v>
      </c>
      <c r="B8734" s="0" t="n">
        <v>25</v>
      </c>
      <c r="C8734" s="0" t="n">
        <v>1.85</v>
      </c>
      <c r="D8734" s="0" t="n">
        <v>0.505</v>
      </c>
    </row>
    <row r="8735" customFormat="false" ht="13.8" hidden="true" customHeight="false" outlineLevel="0" collapsed="false">
      <c r="A8735" s="0" t="s">
        <v>263</v>
      </c>
      <c r="B8735" s="0" t="n">
        <v>25</v>
      </c>
      <c r="C8735" s="0" t="n">
        <v>1.9</v>
      </c>
      <c r="D8735" s="0" t="n">
        <v>0.519</v>
      </c>
    </row>
    <row r="8736" customFormat="false" ht="13.8" hidden="true" customHeight="false" outlineLevel="0" collapsed="false">
      <c r="A8736" s="0" t="s">
        <v>263</v>
      </c>
      <c r="B8736" s="0" t="n">
        <v>25</v>
      </c>
      <c r="C8736" s="0" t="n">
        <v>1.95</v>
      </c>
      <c r="D8736" s="0" t="n">
        <v>0.532</v>
      </c>
    </row>
    <row r="8737" customFormat="false" ht="13.8" hidden="true" customHeight="false" outlineLevel="0" collapsed="false">
      <c r="A8737" s="0" t="s">
        <v>263</v>
      </c>
      <c r="B8737" s="0" t="n">
        <v>25</v>
      </c>
      <c r="C8737" s="0" t="n">
        <v>2</v>
      </c>
      <c r="D8737" s="0" t="n">
        <v>0</v>
      </c>
    </row>
    <row r="8738" customFormat="false" ht="13.8" hidden="true" customHeight="false" outlineLevel="0" collapsed="false">
      <c r="A8738" s="0" t="s">
        <v>263</v>
      </c>
      <c r="B8738" s="0" t="n">
        <v>25</v>
      </c>
      <c r="C8738" s="0" t="n">
        <v>2.05</v>
      </c>
      <c r="D8738" s="0" t="n">
        <v>0</v>
      </c>
    </row>
    <row r="8739" customFormat="false" ht="13.8" hidden="true" customHeight="false" outlineLevel="0" collapsed="false">
      <c r="A8739" s="0" t="s">
        <v>263</v>
      </c>
      <c r="B8739" s="0" t="n">
        <v>25</v>
      </c>
      <c r="C8739" s="0" t="n">
        <v>2.1</v>
      </c>
      <c r="D8739" s="0" t="n">
        <v>0</v>
      </c>
    </row>
    <row r="8740" customFormat="false" ht="13.8" hidden="true" customHeight="false" outlineLevel="0" collapsed="false">
      <c r="A8740" s="0" t="s">
        <v>263</v>
      </c>
      <c r="B8740" s="0" t="n">
        <v>25</v>
      </c>
      <c r="C8740" s="0" t="n">
        <v>2.15</v>
      </c>
      <c r="D8740" s="0" t="n">
        <v>0</v>
      </c>
    </row>
    <row r="8741" customFormat="false" ht="13.8" hidden="true" customHeight="false" outlineLevel="0" collapsed="false">
      <c r="A8741" s="0" t="s">
        <v>263</v>
      </c>
      <c r="B8741" s="0" t="n">
        <v>25</v>
      </c>
      <c r="C8741" s="0" t="n">
        <v>2.2</v>
      </c>
      <c r="D8741" s="0" t="n">
        <v>0</v>
      </c>
    </row>
    <row r="8742" customFormat="false" ht="13.8" hidden="true" customHeight="false" outlineLevel="0" collapsed="false">
      <c r="A8742" s="0" t="s">
        <v>263</v>
      </c>
      <c r="B8742" s="0" t="n">
        <v>25</v>
      </c>
      <c r="C8742" s="0" t="n">
        <v>2.25</v>
      </c>
      <c r="D8742" s="0" t="n">
        <v>0</v>
      </c>
    </row>
    <row r="8743" customFormat="false" ht="13.8" hidden="true" customHeight="false" outlineLevel="0" collapsed="false">
      <c r="A8743" s="0" t="s">
        <v>263</v>
      </c>
      <c r="B8743" s="0" t="n">
        <v>25</v>
      </c>
      <c r="C8743" s="0" t="n">
        <v>2.3</v>
      </c>
      <c r="D8743" s="0" t="n">
        <v>0</v>
      </c>
    </row>
    <row r="8744" customFormat="false" ht="13.8" hidden="true" customHeight="false" outlineLevel="0" collapsed="false">
      <c r="A8744" s="0" t="s">
        <v>263</v>
      </c>
      <c r="B8744" s="0" t="n">
        <v>25</v>
      </c>
      <c r="C8744" s="0" t="n">
        <v>2.35</v>
      </c>
      <c r="D8744" s="0" t="n">
        <v>0</v>
      </c>
    </row>
    <row r="8745" customFormat="false" ht="13.8" hidden="true" customHeight="false" outlineLevel="0" collapsed="false">
      <c r="A8745" s="0" t="s">
        <v>263</v>
      </c>
      <c r="B8745" s="0" t="n">
        <v>25</v>
      </c>
      <c r="C8745" s="0" t="n">
        <v>2.4</v>
      </c>
      <c r="D8745" s="0" t="n">
        <v>0</v>
      </c>
    </row>
    <row r="8746" customFormat="false" ht="13.8" hidden="true" customHeight="false" outlineLevel="0" collapsed="false">
      <c r="A8746" s="0" t="s">
        <v>263</v>
      </c>
      <c r="B8746" s="0" t="n">
        <v>25</v>
      </c>
      <c r="C8746" s="0" t="n">
        <v>2.45</v>
      </c>
      <c r="D8746" s="0" t="n">
        <v>0</v>
      </c>
    </row>
    <row r="8747" customFormat="false" ht="13.8" hidden="true" customHeight="false" outlineLevel="0" collapsed="false">
      <c r="A8747" s="0" t="s">
        <v>263</v>
      </c>
      <c r="B8747" s="0" t="n">
        <v>25</v>
      </c>
      <c r="C8747" s="0" t="n">
        <v>2.5</v>
      </c>
      <c r="D8747" s="0" t="n">
        <v>0</v>
      </c>
    </row>
    <row r="8748" customFormat="false" ht="13.8" hidden="true" customHeight="false" outlineLevel="0" collapsed="false">
      <c r="A8748" s="0" t="s">
        <v>263</v>
      </c>
      <c r="B8748" s="0" t="n">
        <v>25</v>
      </c>
      <c r="C8748" s="0" t="n">
        <v>2.55</v>
      </c>
      <c r="D8748" s="0" t="n">
        <v>0</v>
      </c>
    </row>
    <row r="8749" customFormat="false" ht="13.8" hidden="true" customHeight="false" outlineLevel="0" collapsed="false">
      <c r="A8749" s="0" t="s">
        <v>263</v>
      </c>
      <c r="B8749" s="0" t="n">
        <v>25</v>
      </c>
      <c r="C8749" s="0" t="n">
        <v>2.6</v>
      </c>
      <c r="D8749" s="0" t="n">
        <v>0</v>
      </c>
    </row>
    <row r="8750" customFormat="false" ht="13.8" hidden="true" customHeight="false" outlineLevel="0" collapsed="false">
      <c r="A8750" s="0" t="s">
        <v>1012</v>
      </c>
      <c r="B8750" s="0" t="n">
        <v>25</v>
      </c>
      <c r="C8750" s="0" t="n">
        <v>1.3</v>
      </c>
      <c r="D8750" s="0" t="n">
        <v>0</v>
      </c>
    </row>
    <row r="8751" customFormat="false" ht="13.8" hidden="true" customHeight="false" outlineLevel="0" collapsed="false">
      <c r="A8751" s="0" t="s">
        <v>1012</v>
      </c>
      <c r="B8751" s="0" t="n">
        <v>25</v>
      </c>
      <c r="C8751" s="0" t="n">
        <v>1.35</v>
      </c>
      <c r="D8751" s="0" t="n">
        <v>0</v>
      </c>
    </row>
    <row r="8752" customFormat="false" ht="13.8" hidden="true" customHeight="false" outlineLevel="0" collapsed="false">
      <c r="A8752" s="0" t="s">
        <v>1012</v>
      </c>
      <c r="B8752" s="0" t="n">
        <v>25</v>
      </c>
      <c r="C8752" s="0" t="n">
        <v>1.4</v>
      </c>
      <c r="D8752" s="0" t="n">
        <v>0</v>
      </c>
    </row>
    <row r="8753" customFormat="false" ht="13.8" hidden="true" customHeight="false" outlineLevel="0" collapsed="false">
      <c r="A8753" s="0" t="s">
        <v>1012</v>
      </c>
      <c r="B8753" s="0" t="n">
        <v>25</v>
      </c>
      <c r="C8753" s="0" t="n">
        <v>1.45</v>
      </c>
      <c r="D8753" s="0" t="n">
        <v>0</v>
      </c>
    </row>
    <row r="8754" customFormat="false" ht="13.8" hidden="true" customHeight="false" outlineLevel="0" collapsed="false">
      <c r="A8754" s="0" t="s">
        <v>1012</v>
      </c>
      <c r="B8754" s="0" t="n">
        <v>25</v>
      </c>
      <c r="C8754" s="0" t="n">
        <v>1.5</v>
      </c>
      <c r="D8754" s="0" t="n">
        <v>0</v>
      </c>
    </row>
    <row r="8755" customFormat="false" ht="13.8" hidden="true" customHeight="false" outlineLevel="0" collapsed="false">
      <c r="A8755" s="0" t="s">
        <v>1012</v>
      </c>
      <c r="B8755" s="0" t="n">
        <v>25</v>
      </c>
      <c r="C8755" s="0" t="n">
        <v>1.55</v>
      </c>
      <c r="D8755" s="0" t="n">
        <v>0</v>
      </c>
    </row>
    <row r="8756" customFormat="false" ht="13.8" hidden="true" customHeight="false" outlineLevel="0" collapsed="false">
      <c r="A8756" s="0" t="s">
        <v>1012</v>
      </c>
      <c r="B8756" s="0" t="n">
        <v>25</v>
      </c>
      <c r="C8756" s="0" t="n">
        <v>1.6</v>
      </c>
      <c r="D8756" s="0" t="n">
        <v>0</v>
      </c>
    </row>
    <row r="8757" customFormat="false" ht="13.8" hidden="true" customHeight="false" outlineLevel="0" collapsed="false">
      <c r="A8757" s="0" t="s">
        <v>1012</v>
      </c>
      <c r="B8757" s="0" t="n">
        <v>25</v>
      </c>
      <c r="C8757" s="0" t="n">
        <v>1.65</v>
      </c>
      <c r="D8757" s="0" t="n">
        <v>0.45</v>
      </c>
    </row>
    <row r="8758" customFormat="false" ht="13.8" hidden="true" customHeight="false" outlineLevel="0" collapsed="false">
      <c r="A8758" s="0" t="s">
        <v>1012</v>
      </c>
      <c r="B8758" s="0" t="n">
        <v>25</v>
      </c>
      <c r="C8758" s="0" t="n">
        <v>1.7</v>
      </c>
      <c r="D8758" s="0" t="n">
        <v>0.464</v>
      </c>
    </row>
    <row r="8759" customFormat="false" ht="13.8" hidden="true" customHeight="false" outlineLevel="0" collapsed="false">
      <c r="A8759" s="0" t="s">
        <v>1012</v>
      </c>
      <c r="B8759" s="0" t="n">
        <v>25</v>
      </c>
      <c r="C8759" s="0" t="n">
        <v>1.75</v>
      </c>
      <c r="D8759" s="0" t="n">
        <v>0.478</v>
      </c>
    </row>
    <row r="8760" customFormat="false" ht="13.8" hidden="true" customHeight="false" outlineLevel="0" collapsed="false">
      <c r="A8760" s="0" t="s">
        <v>1012</v>
      </c>
      <c r="B8760" s="0" t="n">
        <v>25</v>
      </c>
      <c r="C8760" s="0" t="n">
        <v>1.8</v>
      </c>
      <c r="D8760" s="0" t="n">
        <v>0.491</v>
      </c>
    </row>
    <row r="8761" customFormat="false" ht="13.8" hidden="true" customHeight="false" outlineLevel="0" collapsed="false">
      <c r="A8761" s="0" t="s">
        <v>1012</v>
      </c>
      <c r="B8761" s="0" t="n">
        <v>25</v>
      </c>
      <c r="C8761" s="0" t="n">
        <v>1.85</v>
      </c>
      <c r="D8761" s="0" t="n">
        <v>0.505</v>
      </c>
    </row>
    <row r="8762" customFormat="false" ht="13.8" hidden="true" customHeight="false" outlineLevel="0" collapsed="false">
      <c r="A8762" s="0" t="s">
        <v>1012</v>
      </c>
      <c r="B8762" s="0" t="n">
        <v>25</v>
      </c>
      <c r="C8762" s="0" t="n">
        <v>1.9</v>
      </c>
      <c r="D8762" s="0" t="n">
        <v>0.519</v>
      </c>
    </row>
    <row r="8763" customFormat="false" ht="13.8" hidden="true" customHeight="false" outlineLevel="0" collapsed="false">
      <c r="A8763" s="0" t="s">
        <v>1012</v>
      </c>
      <c r="B8763" s="0" t="n">
        <v>25</v>
      </c>
      <c r="C8763" s="0" t="n">
        <v>1.95</v>
      </c>
      <c r="D8763" s="0" t="n">
        <v>0.532</v>
      </c>
    </row>
    <row r="8764" customFormat="false" ht="13.8" hidden="true" customHeight="false" outlineLevel="0" collapsed="false">
      <c r="A8764" s="0" t="s">
        <v>1012</v>
      </c>
      <c r="B8764" s="0" t="n">
        <v>25</v>
      </c>
      <c r="C8764" s="0" t="n">
        <v>2</v>
      </c>
      <c r="D8764" s="0" t="n">
        <v>0</v>
      </c>
    </row>
    <row r="8765" customFormat="false" ht="13.8" hidden="true" customHeight="false" outlineLevel="0" collapsed="false">
      <c r="A8765" s="0" t="s">
        <v>1012</v>
      </c>
      <c r="B8765" s="0" t="n">
        <v>25</v>
      </c>
      <c r="C8765" s="0" t="n">
        <v>2.05</v>
      </c>
      <c r="D8765" s="0" t="n">
        <v>0</v>
      </c>
    </row>
    <row r="8766" customFormat="false" ht="13.8" hidden="true" customHeight="false" outlineLevel="0" collapsed="false">
      <c r="A8766" s="0" t="s">
        <v>1012</v>
      </c>
      <c r="B8766" s="0" t="n">
        <v>25</v>
      </c>
      <c r="C8766" s="0" t="n">
        <v>2.1</v>
      </c>
      <c r="D8766" s="0" t="n">
        <v>0</v>
      </c>
    </row>
    <row r="8767" customFormat="false" ht="13.8" hidden="true" customHeight="false" outlineLevel="0" collapsed="false">
      <c r="A8767" s="0" t="s">
        <v>1012</v>
      </c>
      <c r="B8767" s="0" t="n">
        <v>25</v>
      </c>
      <c r="C8767" s="0" t="n">
        <v>2.15</v>
      </c>
      <c r="D8767" s="0" t="n">
        <v>0</v>
      </c>
    </row>
    <row r="8768" customFormat="false" ht="13.8" hidden="true" customHeight="false" outlineLevel="0" collapsed="false">
      <c r="A8768" s="0" t="s">
        <v>1012</v>
      </c>
      <c r="B8768" s="0" t="n">
        <v>25</v>
      </c>
      <c r="C8768" s="0" t="n">
        <v>2.2</v>
      </c>
      <c r="D8768" s="0" t="n">
        <v>0</v>
      </c>
    </row>
    <row r="8769" customFormat="false" ht="13.8" hidden="true" customHeight="false" outlineLevel="0" collapsed="false">
      <c r="A8769" s="0" t="s">
        <v>1012</v>
      </c>
      <c r="B8769" s="0" t="n">
        <v>25</v>
      </c>
      <c r="C8769" s="0" t="n">
        <v>2.25</v>
      </c>
      <c r="D8769" s="0" t="n">
        <v>0</v>
      </c>
    </row>
    <row r="8770" customFormat="false" ht="13.8" hidden="true" customHeight="false" outlineLevel="0" collapsed="false">
      <c r="A8770" s="0" t="s">
        <v>1012</v>
      </c>
      <c r="B8770" s="0" t="n">
        <v>25</v>
      </c>
      <c r="C8770" s="0" t="n">
        <v>2.3</v>
      </c>
      <c r="D8770" s="0" t="n">
        <v>0</v>
      </c>
    </row>
    <row r="8771" customFormat="false" ht="13.8" hidden="true" customHeight="false" outlineLevel="0" collapsed="false">
      <c r="A8771" s="0" t="s">
        <v>1012</v>
      </c>
      <c r="B8771" s="0" t="n">
        <v>25</v>
      </c>
      <c r="C8771" s="0" t="n">
        <v>2.35</v>
      </c>
      <c r="D8771" s="0" t="n">
        <v>0</v>
      </c>
    </row>
    <row r="8772" customFormat="false" ht="13.8" hidden="true" customHeight="false" outlineLevel="0" collapsed="false">
      <c r="A8772" s="0" t="s">
        <v>1012</v>
      </c>
      <c r="B8772" s="0" t="n">
        <v>25</v>
      </c>
      <c r="C8772" s="0" t="n">
        <v>2.4</v>
      </c>
      <c r="D8772" s="0" t="n">
        <v>0</v>
      </c>
    </row>
    <row r="8773" customFormat="false" ht="13.8" hidden="true" customHeight="false" outlineLevel="0" collapsed="false">
      <c r="A8773" s="0" t="s">
        <v>1012</v>
      </c>
      <c r="B8773" s="0" t="n">
        <v>25</v>
      </c>
      <c r="C8773" s="0" t="n">
        <v>2.45</v>
      </c>
      <c r="D8773" s="0" t="n">
        <v>0</v>
      </c>
    </row>
    <row r="8774" customFormat="false" ht="13.8" hidden="true" customHeight="false" outlineLevel="0" collapsed="false">
      <c r="A8774" s="0" t="s">
        <v>1012</v>
      </c>
      <c r="B8774" s="0" t="n">
        <v>25</v>
      </c>
      <c r="C8774" s="0" t="n">
        <v>2.5</v>
      </c>
      <c r="D8774" s="0" t="n">
        <v>0</v>
      </c>
    </row>
    <row r="8775" customFormat="false" ht="13.8" hidden="true" customHeight="false" outlineLevel="0" collapsed="false">
      <c r="A8775" s="0" t="s">
        <v>1012</v>
      </c>
      <c r="B8775" s="0" t="n">
        <v>25</v>
      </c>
      <c r="C8775" s="0" t="n">
        <v>2.55</v>
      </c>
      <c r="D8775" s="0" t="n">
        <v>0</v>
      </c>
    </row>
    <row r="8776" customFormat="false" ht="13.8" hidden="true" customHeight="false" outlineLevel="0" collapsed="false">
      <c r="A8776" s="0" t="s">
        <v>1012</v>
      </c>
      <c r="B8776" s="0" t="n">
        <v>25</v>
      </c>
      <c r="C8776" s="0" t="n">
        <v>2.6</v>
      </c>
      <c r="D8776" s="0" t="n">
        <v>0</v>
      </c>
    </row>
    <row r="8777" customFormat="false" ht="13.8" hidden="true" customHeight="false" outlineLevel="0" collapsed="false">
      <c r="A8777" s="0" t="s">
        <v>1015</v>
      </c>
      <c r="B8777" s="0" t="n">
        <v>25</v>
      </c>
      <c r="C8777" s="0" t="n">
        <v>1.3</v>
      </c>
      <c r="D8777" s="0" t="n">
        <v>0</v>
      </c>
    </row>
    <row r="8778" customFormat="false" ht="13.8" hidden="true" customHeight="false" outlineLevel="0" collapsed="false">
      <c r="A8778" s="0" t="s">
        <v>1015</v>
      </c>
      <c r="B8778" s="0" t="n">
        <v>25</v>
      </c>
      <c r="C8778" s="0" t="n">
        <v>1.35</v>
      </c>
      <c r="D8778" s="0" t="n">
        <v>0</v>
      </c>
    </row>
    <row r="8779" customFormat="false" ht="13.8" hidden="true" customHeight="false" outlineLevel="0" collapsed="false">
      <c r="A8779" s="0" t="s">
        <v>1015</v>
      </c>
      <c r="B8779" s="0" t="n">
        <v>25</v>
      </c>
      <c r="C8779" s="0" t="n">
        <v>1.4</v>
      </c>
      <c r="D8779" s="0" t="n">
        <v>0</v>
      </c>
    </row>
    <row r="8780" customFormat="false" ht="13.8" hidden="true" customHeight="false" outlineLevel="0" collapsed="false">
      <c r="A8780" s="0" t="s">
        <v>1015</v>
      </c>
      <c r="B8780" s="0" t="n">
        <v>25</v>
      </c>
      <c r="C8780" s="0" t="n">
        <v>1.45</v>
      </c>
      <c r="D8780" s="0" t="n">
        <v>0</v>
      </c>
    </row>
    <row r="8781" customFormat="false" ht="13.8" hidden="true" customHeight="false" outlineLevel="0" collapsed="false">
      <c r="A8781" s="0" t="s">
        <v>1015</v>
      </c>
      <c r="B8781" s="0" t="n">
        <v>25</v>
      </c>
      <c r="C8781" s="0" t="n">
        <v>1.5</v>
      </c>
      <c r="D8781" s="0" t="n">
        <v>0</v>
      </c>
    </row>
    <row r="8782" customFormat="false" ht="13.8" hidden="true" customHeight="false" outlineLevel="0" collapsed="false">
      <c r="A8782" s="0" t="s">
        <v>1015</v>
      </c>
      <c r="B8782" s="0" t="n">
        <v>25</v>
      </c>
      <c r="C8782" s="0" t="n">
        <v>1.55</v>
      </c>
      <c r="D8782" s="0" t="n">
        <v>0</v>
      </c>
    </row>
    <row r="8783" customFormat="false" ht="13.8" hidden="true" customHeight="false" outlineLevel="0" collapsed="false">
      <c r="A8783" s="0" t="s">
        <v>1015</v>
      </c>
      <c r="B8783" s="0" t="n">
        <v>25</v>
      </c>
      <c r="C8783" s="0" t="n">
        <v>1.6</v>
      </c>
      <c r="D8783" s="0" t="n">
        <v>0</v>
      </c>
    </row>
    <row r="8784" customFormat="false" ht="13.8" hidden="true" customHeight="false" outlineLevel="0" collapsed="false">
      <c r="A8784" s="0" t="s">
        <v>1015</v>
      </c>
      <c r="B8784" s="0" t="n">
        <v>25</v>
      </c>
      <c r="C8784" s="0" t="n">
        <v>1.65</v>
      </c>
      <c r="D8784" s="0" t="n">
        <v>0</v>
      </c>
    </row>
    <row r="8785" customFormat="false" ht="13.8" hidden="true" customHeight="false" outlineLevel="0" collapsed="false">
      <c r="A8785" s="0" t="s">
        <v>1015</v>
      </c>
      <c r="B8785" s="0" t="n">
        <v>25</v>
      </c>
      <c r="C8785" s="0" t="n">
        <v>1.7</v>
      </c>
      <c r="D8785" s="0" t="n">
        <v>0</v>
      </c>
    </row>
    <row r="8786" customFormat="false" ht="13.8" hidden="true" customHeight="false" outlineLevel="0" collapsed="false">
      <c r="A8786" s="0" t="s">
        <v>1015</v>
      </c>
      <c r="B8786" s="0" t="n">
        <v>25</v>
      </c>
      <c r="C8786" s="0" t="n">
        <v>1.75</v>
      </c>
      <c r="D8786" s="0" t="n">
        <v>0</v>
      </c>
    </row>
    <row r="8787" customFormat="false" ht="13.8" hidden="true" customHeight="false" outlineLevel="0" collapsed="false">
      <c r="A8787" s="0" t="s">
        <v>1015</v>
      </c>
      <c r="B8787" s="0" t="n">
        <v>25</v>
      </c>
      <c r="C8787" s="0" t="n">
        <v>1.8</v>
      </c>
      <c r="D8787" s="0" t="n">
        <v>0</v>
      </c>
    </row>
    <row r="8788" customFormat="false" ht="13.8" hidden="true" customHeight="false" outlineLevel="0" collapsed="false">
      <c r="A8788" s="0" t="s">
        <v>1015</v>
      </c>
      <c r="B8788" s="0" t="n">
        <v>25</v>
      </c>
      <c r="C8788" s="0" t="n">
        <v>1.85</v>
      </c>
      <c r="D8788" s="0" t="n">
        <v>0.505</v>
      </c>
    </row>
    <row r="8789" customFormat="false" ht="13.8" hidden="true" customHeight="false" outlineLevel="0" collapsed="false">
      <c r="A8789" s="0" t="s">
        <v>1015</v>
      </c>
      <c r="B8789" s="0" t="n">
        <v>25</v>
      </c>
      <c r="C8789" s="0" t="n">
        <v>1.9</v>
      </c>
      <c r="D8789" s="0" t="n">
        <v>0.519</v>
      </c>
    </row>
    <row r="8790" customFormat="false" ht="13.8" hidden="true" customHeight="false" outlineLevel="0" collapsed="false">
      <c r="A8790" s="0" t="s">
        <v>1015</v>
      </c>
      <c r="B8790" s="0" t="n">
        <v>25</v>
      </c>
      <c r="C8790" s="0" t="n">
        <v>1.95</v>
      </c>
      <c r="D8790" s="0" t="n">
        <v>0.532</v>
      </c>
    </row>
    <row r="8791" customFormat="false" ht="13.8" hidden="true" customHeight="false" outlineLevel="0" collapsed="false">
      <c r="A8791" s="0" t="s">
        <v>1015</v>
      </c>
      <c r="B8791" s="0" t="n">
        <v>25</v>
      </c>
      <c r="C8791" s="0" t="n">
        <v>2</v>
      </c>
      <c r="D8791" s="0" t="n">
        <v>0</v>
      </c>
    </row>
    <row r="8792" customFormat="false" ht="13.8" hidden="true" customHeight="false" outlineLevel="0" collapsed="false">
      <c r="A8792" s="0" t="s">
        <v>1015</v>
      </c>
      <c r="B8792" s="0" t="n">
        <v>25</v>
      </c>
      <c r="C8792" s="0" t="n">
        <v>2.05</v>
      </c>
      <c r="D8792" s="0" t="n">
        <v>0</v>
      </c>
    </row>
    <row r="8793" customFormat="false" ht="13.8" hidden="true" customHeight="false" outlineLevel="0" collapsed="false">
      <c r="A8793" s="0" t="s">
        <v>1015</v>
      </c>
      <c r="B8793" s="0" t="n">
        <v>25</v>
      </c>
      <c r="C8793" s="0" t="n">
        <v>2.1</v>
      </c>
      <c r="D8793" s="0" t="n">
        <v>0</v>
      </c>
    </row>
    <row r="8794" customFormat="false" ht="13.8" hidden="true" customHeight="false" outlineLevel="0" collapsed="false">
      <c r="A8794" s="0" t="s">
        <v>1015</v>
      </c>
      <c r="B8794" s="0" t="n">
        <v>25</v>
      </c>
      <c r="C8794" s="0" t="n">
        <v>2.15</v>
      </c>
      <c r="D8794" s="0" t="n">
        <v>0</v>
      </c>
    </row>
    <row r="8795" customFormat="false" ht="13.8" hidden="true" customHeight="false" outlineLevel="0" collapsed="false">
      <c r="A8795" s="0" t="s">
        <v>1015</v>
      </c>
      <c r="B8795" s="0" t="n">
        <v>25</v>
      </c>
      <c r="C8795" s="0" t="n">
        <v>2.2</v>
      </c>
      <c r="D8795" s="0" t="n">
        <v>0</v>
      </c>
    </row>
    <row r="8796" customFormat="false" ht="13.8" hidden="true" customHeight="false" outlineLevel="0" collapsed="false">
      <c r="A8796" s="0" t="s">
        <v>1015</v>
      </c>
      <c r="B8796" s="0" t="n">
        <v>25</v>
      </c>
      <c r="C8796" s="0" t="n">
        <v>2.25</v>
      </c>
      <c r="D8796" s="0" t="n">
        <v>0</v>
      </c>
    </row>
    <row r="8797" customFormat="false" ht="13.8" hidden="true" customHeight="false" outlineLevel="0" collapsed="false">
      <c r="A8797" s="0" t="s">
        <v>1015</v>
      </c>
      <c r="B8797" s="0" t="n">
        <v>25</v>
      </c>
      <c r="C8797" s="0" t="n">
        <v>2.3</v>
      </c>
      <c r="D8797" s="0" t="n">
        <v>0</v>
      </c>
    </row>
    <row r="8798" customFormat="false" ht="13.8" hidden="true" customHeight="false" outlineLevel="0" collapsed="false">
      <c r="A8798" s="0" t="s">
        <v>1015</v>
      </c>
      <c r="B8798" s="0" t="n">
        <v>25</v>
      </c>
      <c r="C8798" s="0" t="n">
        <v>2.35</v>
      </c>
      <c r="D8798" s="0" t="n">
        <v>0</v>
      </c>
    </row>
    <row r="8799" customFormat="false" ht="13.8" hidden="true" customHeight="false" outlineLevel="0" collapsed="false">
      <c r="A8799" s="0" t="s">
        <v>1015</v>
      </c>
      <c r="B8799" s="0" t="n">
        <v>25</v>
      </c>
      <c r="C8799" s="0" t="n">
        <v>2.4</v>
      </c>
      <c r="D8799" s="0" t="n">
        <v>0</v>
      </c>
    </row>
    <row r="8800" customFormat="false" ht="13.8" hidden="true" customHeight="false" outlineLevel="0" collapsed="false">
      <c r="A8800" s="0" t="s">
        <v>1015</v>
      </c>
      <c r="B8800" s="0" t="n">
        <v>25</v>
      </c>
      <c r="C8800" s="0" t="n">
        <v>2.45</v>
      </c>
      <c r="D8800" s="0" t="n">
        <v>0</v>
      </c>
    </row>
    <row r="8801" customFormat="false" ht="13.8" hidden="true" customHeight="false" outlineLevel="0" collapsed="false">
      <c r="A8801" s="0" t="s">
        <v>1015</v>
      </c>
      <c r="B8801" s="0" t="n">
        <v>25</v>
      </c>
      <c r="C8801" s="0" t="n">
        <v>2.5</v>
      </c>
      <c r="D8801" s="0" t="n">
        <v>0</v>
      </c>
    </row>
    <row r="8802" customFormat="false" ht="13.8" hidden="true" customHeight="false" outlineLevel="0" collapsed="false">
      <c r="A8802" s="0" t="s">
        <v>1015</v>
      </c>
      <c r="B8802" s="0" t="n">
        <v>25</v>
      </c>
      <c r="C8802" s="0" t="n">
        <v>2.55</v>
      </c>
      <c r="D8802" s="0" t="n">
        <v>0</v>
      </c>
    </row>
    <row r="8803" customFormat="false" ht="13.8" hidden="true" customHeight="false" outlineLevel="0" collapsed="false">
      <c r="A8803" s="0" t="s">
        <v>1015</v>
      </c>
      <c r="B8803" s="0" t="n">
        <v>25</v>
      </c>
      <c r="C8803" s="0" t="n">
        <v>2.6</v>
      </c>
      <c r="D8803" s="0" t="n">
        <v>0</v>
      </c>
    </row>
    <row r="8804" customFormat="false" ht="13.8" hidden="true" customHeight="false" outlineLevel="0" collapsed="false">
      <c r="A8804" s="0" t="s">
        <v>147</v>
      </c>
      <c r="B8804" s="0" t="n">
        <v>25</v>
      </c>
      <c r="C8804" s="0" t="n">
        <v>1.3</v>
      </c>
      <c r="D8804" s="0" t="n">
        <v>0</v>
      </c>
    </row>
    <row r="8805" customFormat="false" ht="13.8" hidden="true" customHeight="false" outlineLevel="0" collapsed="false">
      <c r="A8805" s="0" t="s">
        <v>147</v>
      </c>
      <c r="B8805" s="0" t="n">
        <v>25</v>
      </c>
      <c r="C8805" s="0" t="n">
        <v>1.35</v>
      </c>
      <c r="D8805" s="0" t="n">
        <v>0</v>
      </c>
    </row>
    <row r="8806" customFormat="false" ht="13.8" hidden="true" customHeight="false" outlineLevel="0" collapsed="false">
      <c r="A8806" s="0" t="s">
        <v>147</v>
      </c>
      <c r="B8806" s="0" t="n">
        <v>25</v>
      </c>
      <c r="C8806" s="0" t="n">
        <v>1.4</v>
      </c>
      <c r="D8806" s="0" t="n">
        <v>0</v>
      </c>
    </row>
    <row r="8807" customFormat="false" ht="13.8" hidden="true" customHeight="false" outlineLevel="0" collapsed="false">
      <c r="A8807" s="0" t="s">
        <v>147</v>
      </c>
      <c r="B8807" s="0" t="n">
        <v>25</v>
      </c>
      <c r="C8807" s="0" t="n">
        <v>1.45</v>
      </c>
      <c r="D8807" s="0" t="n">
        <v>0</v>
      </c>
    </row>
    <row r="8808" customFormat="false" ht="13.8" hidden="true" customHeight="false" outlineLevel="0" collapsed="false">
      <c r="A8808" s="0" t="s">
        <v>147</v>
      </c>
      <c r="B8808" s="0" t="n">
        <v>25</v>
      </c>
      <c r="C8808" s="0" t="n">
        <v>1.5</v>
      </c>
      <c r="D8808" s="0" t="n">
        <v>0</v>
      </c>
    </row>
    <row r="8809" customFormat="false" ht="13.8" hidden="true" customHeight="false" outlineLevel="0" collapsed="false">
      <c r="A8809" s="0" t="s">
        <v>147</v>
      </c>
      <c r="B8809" s="0" t="n">
        <v>25</v>
      </c>
      <c r="C8809" s="0" t="n">
        <v>1.55</v>
      </c>
      <c r="D8809" s="0" t="n">
        <v>0</v>
      </c>
    </row>
    <row r="8810" customFormat="false" ht="13.8" hidden="true" customHeight="false" outlineLevel="0" collapsed="false">
      <c r="A8810" s="0" t="s">
        <v>147</v>
      </c>
      <c r="B8810" s="0" t="n">
        <v>25</v>
      </c>
      <c r="C8810" s="0" t="n">
        <v>1.6</v>
      </c>
      <c r="D8810" s="0" t="n">
        <v>0</v>
      </c>
    </row>
    <row r="8811" customFormat="false" ht="13.8" hidden="true" customHeight="false" outlineLevel="0" collapsed="false">
      <c r="A8811" s="0" t="s">
        <v>147</v>
      </c>
      <c r="B8811" s="0" t="n">
        <v>25</v>
      </c>
      <c r="C8811" s="0" t="n">
        <v>1.65</v>
      </c>
      <c r="D8811" s="0" t="n">
        <v>0</v>
      </c>
    </row>
    <row r="8812" customFormat="false" ht="13.8" hidden="true" customHeight="false" outlineLevel="0" collapsed="false">
      <c r="A8812" s="0" t="s">
        <v>147</v>
      </c>
      <c r="B8812" s="0" t="n">
        <v>25</v>
      </c>
      <c r="C8812" s="0" t="n">
        <v>1.7</v>
      </c>
      <c r="D8812" s="0" t="n">
        <v>0</v>
      </c>
    </row>
    <row r="8813" customFormat="false" ht="13.8" hidden="true" customHeight="false" outlineLevel="0" collapsed="false">
      <c r="A8813" s="0" t="s">
        <v>147</v>
      </c>
      <c r="B8813" s="0" t="n">
        <v>25</v>
      </c>
      <c r="C8813" s="0" t="n">
        <v>1.75</v>
      </c>
      <c r="D8813" s="0" t="n">
        <v>0</v>
      </c>
    </row>
    <row r="8814" customFormat="false" ht="13.8" hidden="true" customHeight="false" outlineLevel="0" collapsed="false">
      <c r="A8814" s="0" t="s">
        <v>147</v>
      </c>
      <c r="B8814" s="0" t="n">
        <v>25</v>
      </c>
      <c r="C8814" s="0" t="n">
        <v>1.8</v>
      </c>
      <c r="D8814" s="0" t="n">
        <v>0</v>
      </c>
    </row>
    <row r="8815" customFormat="false" ht="13.8" hidden="true" customHeight="false" outlineLevel="0" collapsed="false">
      <c r="A8815" s="0" t="s">
        <v>147</v>
      </c>
      <c r="B8815" s="0" t="n">
        <v>25</v>
      </c>
      <c r="C8815" s="0" t="n">
        <v>1.85</v>
      </c>
      <c r="D8815" s="0" t="n">
        <v>0</v>
      </c>
    </row>
    <row r="8816" customFormat="false" ht="13.8" hidden="true" customHeight="false" outlineLevel="0" collapsed="false">
      <c r="A8816" s="0" t="s">
        <v>147</v>
      </c>
      <c r="B8816" s="0" t="n">
        <v>25</v>
      </c>
      <c r="C8816" s="0" t="n">
        <v>1.9</v>
      </c>
      <c r="D8816" s="0" t="n">
        <v>0.519</v>
      </c>
    </row>
    <row r="8817" customFormat="false" ht="13.8" hidden="true" customHeight="false" outlineLevel="0" collapsed="false">
      <c r="A8817" s="0" t="s">
        <v>147</v>
      </c>
      <c r="B8817" s="0" t="n">
        <v>25</v>
      </c>
      <c r="C8817" s="0" t="n">
        <v>1.95</v>
      </c>
      <c r="D8817" s="0" t="n">
        <v>0.532</v>
      </c>
    </row>
    <row r="8818" customFormat="false" ht="13.8" hidden="true" customHeight="false" outlineLevel="0" collapsed="false">
      <c r="A8818" s="0" t="s">
        <v>147</v>
      </c>
      <c r="B8818" s="0" t="n">
        <v>25</v>
      </c>
      <c r="C8818" s="0" t="n">
        <v>2</v>
      </c>
      <c r="D8818" s="0" t="n">
        <v>0.581</v>
      </c>
    </row>
    <row r="8819" customFormat="false" ht="13.8" hidden="true" customHeight="false" outlineLevel="0" collapsed="false">
      <c r="A8819" s="0" t="s">
        <v>147</v>
      </c>
      <c r="B8819" s="0" t="n">
        <v>25</v>
      </c>
      <c r="C8819" s="0" t="n">
        <v>2.05</v>
      </c>
      <c r="D8819" s="0" t="n">
        <v>0.595</v>
      </c>
    </row>
    <row r="8820" customFormat="false" ht="13.8" hidden="true" customHeight="false" outlineLevel="0" collapsed="false">
      <c r="A8820" s="0" t="s">
        <v>147</v>
      </c>
      <c r="B8820" s="0" t="n">
        <v>25</v>
      </c>
      <c r="C8820" s="0" t="n">
        <v>2.1</v>
      </c>
      <c r="D8820" s="0" t="n">
        <v>0.61</v>
      </c>
    </row>
    <row r="8821" customFormat="false" ht="13.8" hidden="true" customHeight="false" outlineLevel="0" collapsed="false">
      <c r="A8821" s="0" t="s">
        <v>147</v>
      </c>
      <c r="B8821" s="0" t="n">
        <v>25</v>
      </c>
      <c r="C8821" s="0" t="n">
        <v>2.15</v>
      </c>
      <c r="D8821" s="0" t="n">
        <v>0.6240375</v>
      </c>
    </row>
    <row r="8822" customFormat="false" ht="13.8" hidden="true" customHeight="false" outlineLevel="0" collapsed="false">
      <c r="A8822" s="0" t="s">
        <v>147</v>
      </c>
      <c r="B8822" s="0" t="n">
        <v>25</v>
      </c>
      <c r="C8822" s="0" t="n">
        <v>2.2</v>
      </c>
      <c r="D8822" s="0" t="n">
        <v>0.63855</v>
      </c>
    </row>
    <row r="8823" customFormat="false" ht="13.8" hidden="true" customHeight="false" outlineLevel="0" collapsed="false">
      <c r="A8823" s="0" t="s">
        <v>147</v>
      </c>
      <c r="B8823" s="0" t="n">
        <v>25</v>
      </c>
      <c r="C8823" s="0" t="n">
        <v>2.25</v>
      </c>
      <c r="D8823" s="0" t="n">
        <v>0.6530625</v>
      </c>
    </row>
    <row r="8824" customFormat="false" ht="13.8" hidden="true" customHeight="false" outlineLevel="0" collapsed="false">
      <c r="A8824" s="0" t="s">
        <v>147</v>
      </c>
      <c r="B8824" s="0" t="n">
        <v>25</v>
      </c>
      <c r="C8824" s="0" t="n">
        <v>2.3</v>
      </c>
      <c r="D8824" s="0" t="n">
        <v>0</v>
      </c>
    </row>
    <row r="8825" customFormat="false" ht="13.8" hidden="true" customHeight="false" outlineLevel="0" collapsed="false">
      <c r="A8825" s="0" t="s">
        <v>147</v>
      </c>
      <c r="B8825" s="0" t="n">
        <v>25</v>
      </c>
      <c r="C8825" s="0" t="n">
        <v>2.35</v>
      </c>
      <c r="D8825" s="0" t="n">
        <v>0</v>
      </c>
    </row>
    <row r="8826" customFormat="false" ht="13.8" hidden="true" customHeight="false" outlineLevel="0" collapsed="false">
      <c r="A8826" s="0" t="s">
        <v>147</v>
      </c>
      <c r="B8826" s="0" t="n">
        <v>25</v>
      </c>
      <c r="C8826" s="0" t="n">
        <v>2.4</v>
      </c>
      <c r="D8826" s="0" t="n">
        <v>0</v>
      </c>
    </row>
    <row r="8827" customFormat="false" ht="13.8" hidden="true" customHeight="false" outlineLevel="0" collapsed="false">
      <c r="A8827" s="0" t="s">
        <v>147</v>
      </c>
      <c r="B8827" s="0" t="n">
        <v>25</v>
      </c>
      <c r="C8827" s="0" t="n">
        <v>2.45</v>
      </c>
      <c r="D8827" s="0" t="n">
        <v>0</v>
      </c>
    </row>
    <row r="8828" customFormat="false" ht="13.8" hidden="true" customHeight="false" outlineLevel="0" collapsed="false">
      <c r="A8828" s="0" t="s">
        <v>147</v>
      </c>
      <c r="B8828" s="0" t="n">
        <v>25</v>
      </c>
      <c r="C8828" s="0" t="n">
        <v>2.5</v>
      </c>
      <c r="D8828" s="0" t="n">
        <v>0</v>
      </c>
    </row>
    <row r="8829" customFormat="false" ht="13.8" hidden="true" customHeight="false" outlineLevel="0" collapsed="false">
      <c r="A8829" s="0" t="s">
        <v>147</v>
      </c>
      <c r="B8829" s="0" t="n">
        <v>25</v>
      </c>
      <c r="C8829" s="0" t="n">
        <v>2.55</v>
      </c>
      <c r="D8829" s="0" t="n">
        <v>0</v>
      </c>
    </row>
    <row r="8830" customFormat="false" ht="13.8" hidden="true" customHeight="false" outlineLevel="0" collapsed="false">
      <c r="A8830" s="0" t="s">
        <v>147</v>
      </c>
      <c r="B8830" s="0" t="n">
        <v>25</v>
      </c>
      <c r="C8830" s="0" t="n">
        <v>2.6</v>
      </c>
      <c r="D8830" s="0" t="n">
        <v>0</v>
      </c>
    </row>
    <row r="8831" customFormat="false" ht="13.8" hidden="true" customHeight="false" outlineLevel="0" collapsed="false">
      <c r="A8831" s="0" t="s">
        <v>264</v>
      </c>
      <c r="B8831" s="0" t="n">
        <v>25</v>
      </c>
      <c r="C8831" s="0" t="n">
        <v>1.3</v>
      </c>
      <c r="D8831" s="0" t="n">
        <v>0</v>
      </c>
    </row>
    <row r="8832" customFormat="false" ht="13.8" hidden="true" customHeight="false" outlineLevel="0" collapsed="false">
      <c r="A8832" s="0" t="s">
        <v>264</v>
      </c>
      <c r="B8832" s="0" t="n">
        <v>25</v>
      </c>
      <c r="C8832" s="0" t="n">
        <v>1.35</v>
      </c>
      <c r="D8832" s="0" t="n">
        <v>0</v>
      </c>
    </row>
    <row r="8833" customFormat="false" ht="13.8" hidden="true" customHeight="false" outlineLevel="0" collapsed="false">
      <c r="A8833" s="0" t="s">
        <v>264</v>
      </c>
      <c r="B8833" s="0" t="n">
        <v>25</v>
      </c>
      <c r="C8833" s="0" t="n">
        <v>1.4</v>
      </c>
      <c r="D8833" s="0" t="n">
        <v>0</v>
      </c>
    </row>
    <row r="8834" customFormat="false" ht="13.8" hidden="true" customHeight="false" outlineLevel="0" collapsed="false">
      <c r="A8834" s="0" t="s">
        <v>264</v>
      </c>
      <c r="B8834" s="0" t="n">
        <v>25</v>
      </c>
      <c r="C8834" s="0" t="n">
        <v>1.45</v>
      </c>
      <c r="D8834" s="0" t="n">
        <v>0</v>
      </c>
    </row>
    <row r="8835" customFormat="false" ht="13.8" hidden="true" customHeight="false" outlineLevel="0" collapsed="false">
      <c r="A8835" s="0" t="s">
        <v>264</v>
      </c>
      <c r="B8835" s="0" t="n">
        <v>25</v>
      </c>
      <c r="C8835" s="0" t="n">
        <v>1.5</v>
      </c>
      <c r="D8835" s="0" t="n">
        <v>0</v>
      </c>
    </row>
    <row r="8836" customFormat="false" ht="13.8" hidden="true" customHeight="false" outlineLevel="0" collapsed="false">
      <c r="A8836" s="0" t="s">
        <v>264</v>
      </c>
      <c r="B8836" s="0" t="n">
        <v>25</v>
      </c>
      <c r="C8836" s="0" t="n">
        <v>1.55</v>
      </c>
      <c r="D8836" s="0" t="n">
        <v>0</v>
      </c>
    </row>
    <row r="8837" customFormat="false" ht="13.8" hidden="true" customHeight="false" outlineLevel="0" collapsed="false">
      <c r="A8837" s="0" t="s">
        <v>264</v>
      </c>
      <c r="B8837" s="0" t="n">
        <v>25</v>
      </c>
      <c r="C8837" s="0" t="n">
        <v>1.6</v>
      </c>
      <c r="D8837" s="0" t="n">
        <v>0</v>
      </c>
    </row>
    <row r="8838" customFormat="false" ht="13.8" hidden="true" customHeight="false" outlineLevel="0" collapsed="false">
      <c r="A8838" s="0" t="s">
        <v>264</v>
      </c>
      <c r="B8838" s="0" t="n">
        <v>25</v>
      </c>
      <c r="C8838" s="0" t="n">
        <v>1.65</v>
      </c>
      <c r="D8838" s="0" t="n">
        <v>0</v>
      </c>
    </row>
    <row r="8839" customFormat="false" ht="13.8" hidden="true" customHeight="false" outlineLevel="0" collapsed="false">
      <c r="A8839" s="0" t="s">
        <v>264</v>
      </c>
      <c r="B8839" s="0" t="n">
        <v>25</v>
      </c>
      <c r="C8839" s="0" t="n">
        <v>1.7</v>
      </c>
      <c r="D8839" s="0" t="n">
        <v>0</v>
      </c>
    </row>
    <row r="8840" customFormat="false" ht="13.8" hidden="true" customHeight="false" outlineLevel="0" collapsed="false">
      <c r="A8840" s="0" t="s">
        <v>264</v>
      </c>
      <c r="B8840" s="0" t="n">
        <v>25</v>
      </c>
      <c r="C8840" s="0" t="n">
        <v>1.75</v>
      </c>
      <c r="D8840" s="0" t="n">
        <v>0</v>
      </c>
    </row>
    <row r="8841" customFormat="false" ht="13.8" hidden="true" customHeight="false" outlineLevel="0" collapsed="false">
      <c r="A8841" s="0" t="s">
        <v>264</v>
      </c>
      <c r="B8841" s="0" t="n">
        <v>25</v>
      </c>
      <c r="C8841" s="0" t="n">
        <v>1.8</v>
      </c>
      <c r="D8841" s="0" t="n">
        <v>0</v>
      </c>
    </row>
    <row r="8842" customFormat="false" ht="13.8" hidden="true" customHeight="false" outlineLevel="0" collapsed="false">
      <c r="A8842" s="0" t="s">
        <v>264</v>
      </c>
      <c r="B8842" s="0" t="n">
        <v>25</v>
      </c>
      <c r="C8842" s="0" t="n">
        <v>1.85</v>
      </c>
      <c r="D8842" s="0" t="n">
        <v>0</v>
      </c>
    </row>
    <row r="8843" customFormat="false" ht="13.8" hidden="true" customHeight="false" outlineLevel="0" collapsed="false">
      <c r="A8843" s="0" t="s">
        <v>264</v>
      </c>
      <c r="B8843" s="0" t="n">
        <v>25</v>
      </c>
      <c r="C8843" s="0" t="n">
        <v>1.9</v>
      </c>
      <c r="D8843" s="0" t="n">
        <v>0.519</v>
      </c>
    </row>
    <row r="8844" customFormat="false" ht="13.8" hidden="true" customHeight="false" outlineLevel="0" collapsed="false">
      <c r="A8844" s="0" t="s">
        <v>264</v>
      </c>
      <c r="B8844" s="0" t="n">
        <v>25</v>
      </c>
      <c r="C8844" s="0" t="n">
        <v>1.95</v>
      </c>
      <c r="D8844" s="0" t="n">
        <v>0.532</v>
      </c>
    </row>
    <row r="8845" customFormat="false" ht="13.8" hidden="true" customHeight="false" outlineLevel="0" collapsed="false">
      <c r="A8845" s="0" t="s">
        <v>264</v>
      </c>
      <c r="B8845" s="0" t="n">
        <v>25</v>
      </c>
      <c r="C8845" s="0" t="n">
        <v>2</v>
      </c>
      <c r="D8845" s="0" t="n">
        <v>0.581</v>
      </c>
    </row>
    <row r="8846" customFormat="false" ht="13.8" hidden="true" customHeight="false" outlineLevel="0" collapsed="false">
      <c r="A8846" s="0" t="s">
        <v>264</v>
      </c>
      <c r="B8846" s="0" t="n">
        <v>25</v>
      </c>
      <c r="C8846" s="0" t="n">
        <v>2.05</v>
      </c>
      <c r="D8846" s="0" t="n">
        <v>0.595</v>
      </c>
    </row>
    <row r="8847" customFormat="false" ht="13.8" hidden="true" customHeight="false" outlineLevel="0" collapsed="false">
      <c r="A8847" s="0" t="s">
        <v>264</v>
      </c>
      <c r="B8847" s="0" t="n">
        <v>25</v>
      </c>
      <c r="C8847" s="0" t="n">
        <v>2.1</v>
      </c>
      <c r="D8847" s="0" t="n">
        <v>0.61</v>
      </c>
    </row>
    <row r="8848" customFormat="false" ht="13.8" hidden="true" customHeight="false" outlineLevel="0" collapsed="false">
      <c r="A8848" s="0" t="s">
        <v>264</v>
      </c>
      <c r="B8848" s="0" t="n">
        <v>25</v>
      </c>
      <c r="C8848" s="0" t="n">
        <v>2.15</v>
      </c>
      <c r="D8848" s="0" t="n">
        <v>0.6240375</v>
      </c>
    </row>
    <row r="8849" customFormat="false" ht="13.8" hidden="true" customHeight="false" outlineLevel="0" collapsed="false">
      <c r="A8849" s="0" t="s">
        <v>264</v>
      </c>
      <c r="B8849" s="0" t="n">
        <v>25</v>
      </c>
      <c r="C8849" s="0" t="n">
        <v>2.2</v>
      </c>
      <c r="D8849" s="0" t="n">
        <v>0.63855</v>
      </c>
    </row>
    <row r="8850" customFormat="false" ht="13.8" hidden="true" customHeight="false" outlineLevel="0" collapsed="false">
      <c r="A8850" s="0" t="s">
        <v>264</v>
      </c>
      <c r="B8850" s="0" t="n">
        <v>25</v>
      </c>
      <c r="C8850" s="0" t="n">
        <v>2.25</v>
      </c>
      <c r="D8850" s="0" t="n">
        <v>0.6530625</v>
      </c>
    </row>
    <row r="8851" customFormat="false" ht="13.8" hidden="true" customHeight="false" outlineLevel="0" collapsed="false">
      <c r="A8851" s="0" t="s">
        <v>264</v>
      </c>
      <c r="B8851" s="0" t="n">
        <v>25</v>
      </c>
      <c r="C8851" s="0" t="n">
        <v>2.3</v>
      </c>
      <c r="D8851" s="0" t="n">
        <v>0</v>
      </c>
    </row>
    <row r="8852" customFormat="false" ht="13.8" hidden="true" customHeight="false" outlineLevel="0" collapsed="false">
      <c r="A8852" s="0" t="s">
        <v>264</v>
      </c>
      <c r="B8852" s="0" t="n">
        <v>25</v>
      </c>
      <c r="C8852" s="0" t="n">
        <v>2.35</v>
      </c>
      <c r="D8852" s="0" t="n">
        <v>0</v>
      </c>
    </row>
    <row r="8853" customFormat="false" ht="13.8" hidden="true" customHeight="false" outlineLevel="0" collapsed="false">
      <c r="A8853" s="0" t="s">
        <v>264</v>
      </c>
      <c r="B8853" s="0" t="n">
        <v>25</v>
      </c>
      <c r="C8853" s="0" t="n">
        <v>2.4</v>
      </c>
      <c r="D8853" s="0" t="n">
        <v>0</v>
      </c>
    </row>
    <row r="8854" customFormat="false" ht="13.8" hidden="true" customHeight="false" outlineLevel="0" collapsed="false">
      <c r="A8854" s="0" t="s">
        <v>264</v>
      </c>
      <c r="B8854" s="0" t="n">
        <v>25</v>
      </c>
      <c r="C8854" s="0" t="n">
        <v>2.45</v>
      </c>
      <c r="D8854" s="0" t="n">
        <v>0</v>
      </c>
    </row>
    <row r="8855" customFormat="false" ht="13.8" hidden="true" customHeight="false" outlineLevel="0" collapsed="false">
      <c r="A8855" s="0" t="s">
        <v>264</v>
      </c>
      <c r="B8855" s="0" t="n">
        <v>25</v>
      </c>
      <c r="C8855" s="0" t="n">
        <v>2.5</v>
      </c>
      <c r="D8855" s="0" t="n">
        <v>0</v>
      </c>
    </row>
    <row r="8856" customFormat="false" ht="13.8" hidden="true" customHeight="false" outlineLevel="0" collapsed="false">
      <c r="A8856" s="0" t="s">
        <v>264</v>
      </c>
      <c r="B8856" s="0" t="n">
        <v>25</v>
      </c>
      <c r="C8856" s="0" t="n">
        <v>2.55</v>
      </c>
      <c r="D8856" s="0" t="n">
        <v>0</v>
      </c>
    </row>
    <row r="8857" customFormat="false" ht="13.8" hidden="true" customHeight="false" outlineLevel="0" collapsed="false">
      <c r="A8857" s="0" t="s">
        <v>264</v>
      </c>
      <c r="B8857" s="0" t="n">
        <v>25</v>
      </c>
      <c r="C8857" s="0" t="n">
        <v>2.6</v>
      </c>
      <c r="D8857" s="0" t="n">
        <v>0</v>
      </c>
    </row>
    <row r="8858" customFormat="false" ht="13.8" hidden="true" customHeight="false" outlineLevel="0" collapsed="false">
      <c r="A8858" s="0" t="s">
        <v>1021</v>
      </c>
      <c r="B8858" s="0" t="n">
        <v>25</v>
      </c>
      <c r="C8858" s="0" t="n">
        <v>1.3</v>
      </c>
      <c r="D8858" s="0" t="n">
        <v>0</v>
      </c>
    </row>
    <row r="8859" customFormat="false" ht="13.8" hidden="true" customHeight="false" outlineLevel="0" collapsed="false">
      <c r="A8859" s="0" t="s">
        <v>1021</v>
      </c>
      <c r="B8859" s="0" t="n">
        <v>25</v>
      </c>
      <c r="C8859" s="0" t="n">
        <v>1.35</v>
      </c>
      <c r="D8859" s="0" t="n">
        <v>0</v>
      </c>
    </row>
    <row r="8860" customFormat="false" ht="13.8" hidden="true" customHeight="false" outlineLevel="0" collapsed="false">
      <c r="A8860" s="0" t="s">
        <v>1021</v>
      </c>
      <c r="B8860" s="0" t="n">
        <v>25</v>
      </c>
      <c r="C8860" s="0" t="n">
        <v>1.4</v>
      </c>
      <c r="D8860" s="0" t="n">
        <v>0</v>
      </c>
    </row>
    <row r="8861" customFormat="false" ht="13.8" hidden="true" customHeight="false" outlineLevel="0" collapsed="false">
      <c r="A8861" s="0" t="s">
        <v>1021</v>
      </c>
      <c r="B8861" s="0" t="n">
        <v>25</v>
      </c>
      <c r="C8861" s="0" t="n">
        <v>1.45</v>
      </c>
      <c r="D8861" s="0" t="n">
        <v>0</v>
      </c>
    </row>
    <row r="8862" customFormat="false" ht="13.8" hidden="true" customHeight="false" outlineLevel="0" collapsed="false">
      <c r="A8862" s="0" t="s">
        <v>1021</v>
      </c>
      <c r="B8862" s="0" t="n">
        <v>25</v>
      </c>
      <c r="C8862" s="0" t="n">
        <v>1.5</v>
      </c>
      <c r="D8862" s="0" t="n">
        <v>0</v>
      </c>
    </row>
    <row r="8863" customFormat="false" ht="13.8" hidden="true" customHeight="false" outlineLevel="0" collapsed="false">
      <c r="A8863" s="0" t="s">
        <v>1021</v>
      </c>
      <c r="B8863" s="0" t="n">
        <v>25</v>
      </c>
      <c r="C8863" s="0" t="n">
        <v>1.55</v>
      </c>
      <c r="D8863" s="0" t="n">
        <v>0</v>
      </c>
    </row>
    <row r="8864" customFormat="false" ht="13.8" hidden="true" customHeight="false" outlineLevel="0" collapsed="false">
      <c r="A8864" s="0" t="s">
        <v>1021</v>
      </c>
      <c r="B8864" s="0" t="n">
        <v>25</v>
      </c>
      <c r="C8864" s="0" t="n">
        <v>1.6</v>
      </c>
      <c r="D8864" s="0" t="n">
        <v>0</v>
      </c>
    </row>
    <row r="8865" customFormat="false" ht="13.8" hidden="true" customHeight="false" outlineLevel="0" collapsed="false">
      <c r="A8865" s="0" t="s">
        <v>1021</v>
      </c>
      <c r="B8865" s="0" t="n">
        <v>25</v>
      </c>
      <c r="C8865" s="0" t="n">
        <v>1.65</v>
      </c>
      <c r="D8865" s="0" t="n">
        <v>0.45</v>
      </c>
    </row>
    <row r="8866" customFormat="false" ht="13.8" hidden="true" customHeight="false" outlineLevel="0" collapsed="false">
      <c r="A8866" s="0" t="s">
        <v>1021</v>
      </c>
      <c r="B8866" s="0" t="n">
        <v>25</v>
      </c>
      <c r="C8866" s="0" t="n">
        <v>1.7</v>
      </c>
      <c r="D8866" s="0" t="n">
        <v>0.464</v>
      </c>
    </row>
    <row r="8867" customFormat="false" ht="13.8" hidden="true" customHeight="false" outlineLevel="0" collapsed="false">
      <c r="A8867" s="0" t="s">
        <v>1021</v>
      </c>
      <c r="B8867" s="0" t="n">
        <v>25</v>
      </c>
      <c r="C8867" s="0" t="n">
        <v>1.75</v>
      </c>
      <c r="D8867" s="0" t="n">
        <v>0.478</v>
      </c>
    </row>
    <row r="8868" customFormat="false" ht="13.8" hidden="true" customHeight="false" outlineLevel="0" collapsed="false">
      <c r="A8868" s="0" t="s">
        <v>1021</v>
      </c>
      <c r="B8868" s="0" t="n">
        <v>25</v>
      </c>
      <c r="C8868" s="0" t="n">
        <v>1.8</v>
      </c>
      <c r="D8868" s="0" t="n">
        <v>0.491</v>
      </c>
    </row>
    <row r="8869" customFormat="false" ht="13.8" hidden="true" customHeight="false" outlineLevel="0" collapsed="false">
      <c r="A8869" s="0" t="s">
        <v>1021</v>
      </c>
      <c r="B8869" s="0" t="n">
        <v>25</v>
      </c>
      <c r="C8869" s="0" t="n">
        <v>1.85</v>
      </c>
      <c r="D8869" s="0" t="n">
        <v>0.505</v>
      </c>
    </row>
    <row r="8870" customFormat="false" ht="13.8" hidden="true" customHeight="false" outlineLevel="0" collapsed="false">
      <c r="A8870" s="0" t="s">
        <v>1021</v>
      </c>
      <c r="B8870" s="0" t="n">
        <v>25</v>
      </c>
      <c r="C8870" s="0" t="n">
        <v>1.9</v>
      </c>
      <c r="D8870" s="0" t="n">
        <v>0.519</v>
      </c>
    </row>
    <row r="8871" customFormat="false" ht="13.8" hidden="true" customHeight="false" outlineLevel="0" collapsed="false">
      <c r="A8871" s="0" t="s">
        <v>1021</v>
      </c>
      <c r="B8871" s="0" t="n">
        <v>25</v>
      </c>
      <c r="C8871" s="0" t="n">
        <v>1.95</v>
      </c>
      <c r="D8871" s="0" t="n">
        <v>0.532</v>
      </c>
    </row>
    <row r="8872" customFormat="false" ht="13.8" hidden="true" customHeight="false" outlineLevel="0" collapsed="false">
      <c r="A8872" s="0" t="s">
        <v>1021</v>
      </c>
      <c r="B8872" s="0" t="n">
        <v>25</v>
      </c>
      <c r="C8872" s="0" t="n">
        <v>2</v>
      </c>
      <c r="D8872" s="0" t="n">
        <v>0</v>
      </c>
    </row>
    <row r="8873" customFormat="false" ht="13.8" hidden="true" customHeight="false" outlineLevel="0" collapsed="false">
      <c r="A8873" s="0" t="s">
        <v>1021</v>
      </c>
      <c r="B8873" s="0" t="n">
        <v>25</v>
      </c>
      <c r="C8873" s="0" t="n">
        <v>2.05</v>
      </c>
      <c r="D8873" s="0" t="n">
        <v>0</v>
      </c>
    </row>
    <row r="8874" customFormat="false" ht="13.8" hidden="true" customHeight="false" outlineLevel="0" collapsed="false">
      <c r="A8874" s="0" t="s">
        <v>1021</v>
      </c>
      <c r="B8874" s="0" t="n">
        <v>25</v>
      </c>
      <c r="C8874" s="0" t="n">
        <v>2.1</v>
      </c>
      <c r="D8874" s="0" t="n">
        <v>0</v>
      </c>
    </row>
    <row r="8875" customFormat="false" ht="13.8" hidden="true" customHeight="false" outlineLevel="0" collapsed="false">
      <c r="A8875" s="0" t="s">
        <v>1021</v>
      </c>
      <c r="B8875" s="0" t="n">
        <v>25</v>
      </c>
      <c r="C8875" s="0" t="n">
        <v>2.15</v>
      </c>
      <c r="D8875" s="0" t="n">
        <v>0</v>
      </c>
    </row>
    <row r="8876" customFormat="false" ht="13.8" hidden="true" customHeight="false" outlineLevel="0" collapsed="false">
      <c r="A8876" s="0" t="s">
        <v>1021</v>
      </c>
      <c r="B8876" s="0" t="n">
        <v>25</v>
      </c>
      <c r="C8876" s="0" t="n">
        <v>2.2</v>
      </c>
      <c r="D8876" s="0" t="n">
        <v>0</v>
      </c>
    </row>
    <row r="8877" customFormat="false" ht="13.8" hidden="true" customHeight="false" outlineLevel="0" collapsed="false">
      <c r="A8877" s="0" t="s">
        <v>1021</v>
      </c>
      <c r="B8877" s="0" t="n">
        <v>25</v>
      </c>
      <c r="C8877" s="0" t="n">
        <v>2.25</v>
      </c>
      <c r="D8877" s="0" t="n">
        <v>0</v>
      </c>
    </row>
    <row r="8878" customFormat="false" ht="13.8" hidden="true" customHeight="false" outlineLevel="0" collapsed="false">
      <c r="A8878" s="0" t="s">
        <v>1021</v>
      </c>
      <c r="B8878" s="0" t="n">
        <v>25</v>
      </c>
      <c r="C8878" s="0" t="n">
        <v>2.3</v>
      </c>
      <c r="D8878" s="0" t="n">
        <v>0</v>
      </c>
    </row>
    <row r="8879" customFormat="false" ht="13.8" hidden="true" customHeight="false" outlineLevel="0" collapsed="false">
      <c r="A8879" s="0" t="s">
        <v>1021</v>
      </c>
      <c r="B8879" s="0" t="n">
        <v>25</v>
      </c>
      <c r="C8879" s="0" t="n">
        <v>2.35</v>
      </c>
      <c r="D8879" s="0" t="n">
        <v>0</v>
      </c>
    </row>
    <row r="8880" customFormat="false" ht="13.8" hidden="true" customHeight="false" outlineLevel="0" collapsed="false">
      <c r="A8880" s="0" t="s">
        <v>1021</v>
      </c>
      <c r="B8880" s="0" t="n">
        <v>25</v>
      </c>
      <c r="C8880" s="0" t="n">
        <v>2.4</v>
      </c>
      <c r="D8880" s="0" t="n">
        <v>0</v>
      </c>
    </row>
    <row r="8881" customFormat="false" ht="13.8" hidden="true" customHeight="false" outlineLevel="0" collapsed="false">
      <c r="A8881" s="0" t="s">
        <v>1021</v>
      </c>
      <c r="B8881" s="0" t="n">
        <v>25</v>
      </c>
      <c r="C8881" s="0" t="n">
        <v>2.45</v>
      </c>
      <c r="D8881" s="0" t="n">
        <v>0</v>
      </c>
    </row>
    <row r="8882" customFormat="false" ht="13.8" hidden="true" customHeight="false" outlineLevel="0" collapsed="false">
      <c r="A8882" s="0" t="s">
        <v>1021</v>
      </c>
      <c r="B8882" s="0" t="n">
        <v>25</v>
      </c>
      <c r="C8882" s="0" t="n">
        <v>2.5</v>
      </c>
      <c r="D8882" s="0" t="n">
        <v>0</v>
      </c>
    </row>
    <row r="8883" customFormat="false" ht="13.8" hidden="true" customHeight="false" outlineLevel="0" collapsed="false">
      <c r="A8883" s="0" t="s">
        <v>1021</v>
      </c>
      <c r="B8883" s="0" t="n">
        <v>25</v>
      </c>
      <c r="C8883" s="0" t="n">
        <v>2.55</v>
      </c>
      <c r="D8883" s="0" t="n">
        <v>0</v>
      </c>
    </row>
    <row r="8884" customFormat="false" ht="13.8" hidden="true" customHeight="false" outlineLevel="0" collapsed="false">
      <c r="A8884" s="0" t="s">
        <v>1021</v>
      </c>
      <c r="B8884" s="0" t="n">
        <v>25</v>
      </c>
      <c r="C8884" s="0" t="n">
        <v>2.6</v>
      </c>
      <c r="D8884" s="0" t="n">
        <v>0</v>
      </c>
    </row>
    <row r="8885" customFormat="false" ht="13.8" hidden="true" customHeight="false" outlineLevel="0" collapsed="false">
      <c r="A8885" s="0" t="s">
        <v>1024</v>
      </c>
      <c r="B8885" s="0" t="n">
        <v>1</v>
      </c>
      <c r="C8885" s="0" t="n">
        <v>1.3</v>
      </c>
      <c r="D8885" s="0" t="n">
        <v>0</v>
      </c>
    </row>
    <row r="8886" customFormat="false" ht="13.8" hidden="true" customHeight="false" outlineLevel="0" collapsed="false">
      <c r="A8886" s="0" t="s">
        <v>1024</v>
      </c>
      <c r="B8886" s="0" t="n">
        <v>1</v>
      </c>
      <c r="C8886" s="0" t="n">
        <v>1.35</v>
      </c>
      <c r="D8886" s="0" t="n">
        <v>0</v>
      </c>
    </row>
    <row r="8887" customFormat="false" ht="13.8" hidden="true" customHeight="false" outlineLevel="0" collapsed="false">
      <c r="A8887" s="0" t="s">
        <v>1024</v>
      </c>
      <c r="B8887" s="0" t="n">
        <v>1</v>
      </c>
      <c r="C8887" s="0" t="n">
        <v>1.4</v>
      </c>
      <c r="D8887" s="0" t="n">
        <v>0</v>
      </c>
    </row>
    <row r="8888" customFormat="false" ht="13.8" hidden="true" customHeight="false" outlineLevel="0" collapsed="false">
      <c r="A8888" s="0" t="s">
        <v>1024</v>
      </c>
      <c r="B8888" s="0" t="n">
        <v>1</v>
      </c>
      <c r="C8888" s="0" t="n">
        <v>1.45</v>
      </c>
      <c r="D8888" s="0" t="n">
        <v>0.302</v>
      </c>
    </row>
    <row r="8889" customFormat="false" ht="13.8" hidden="true" customHeight="false" outlineLevel="0" collapsed="false">
      <c r="A8889" s="0" t="s">
        <v>1024</v>
      </c>
      <c r="B8889" s="0" t="n">
        <v>1</v>
      </c>
      <c r="C8889" s="0" t="n">
        <v>1.5</v>
      </c>
      <c r="D8889" s="0" t="n">
        <v>0.312</v>
      </c>
    </row>
    <row r="8890" customFormat="false" ht="13.8" hidden="true" customHeight="false" outlineLevel="0" collapsed="false">
      <c r="A8890" s="0" t="s">
        <v>1024</v>
      </c>
      <c r="B8890" s="0" t="n">
        <v>1</v>
      </c>
      <c r="C8890" s="0" t="n">
        <v>1.55</v>
      </c>
      <c r="D8890" s="0" t="n">
        <v>0.323</v>
      </c>
    </row>
    <row r="8891" customFormat="false" ht="13.8" hidden="true" customHeight="false" outlineLevel="0" collapsed="false">
      <c r="A8891" s="0" t="s">
        <v>1024</v>
      </c>
      <c r="B8891" s="0" t="n">
        <v>1</v>
      </c>
      <c r="C8891" s="0" t="n">
        <v>1.6</v>
      </c>
      <c r="D8891" s="0" t="n">
        <v>0.333</v>
      </c>
    </row>
    <row r="8892" customFormat="false" ht="13.8" hidden="true" customHeight="false" outlineLevel="0" collapsed="false">
      <c r="A8892" s="0" t="s">
        <v>1024</v>
      </c>
      <c r="B8892" s="0" t="n">
        <v>1</v>
      </c>
      <c r="C8892" s="0" t="n">
        <v>1.65</v>
      </c>
      <c r="D8892" s="0" t="n">
        <v>0.344</v>
      </c>
    </row>
    <row r="8893" customFormat="false" ht="13.8" hidden="true" customHeight="false" outlineLevel="0" collapsed="false">
      <c r="A8893" s="0" t="s">
        <v>1024</v>
      </c>
      <c r="B8893" s="0" t="n">
        <v>1</v>
      </c>
      <c r="C8893" s="0" t="n">
        <v>1.7</v>
      </c>
      <c r="D8893" s="0" t="n">
        <v>0.354</v>
      </c>
    </row>
    <row r="8894" customFormat="false" ht="13.8" hidden="true" customHeight="false" outlineLevel="0" collapsed="false">
      <c r="A8894" s="0" t="s">
        <v>1024</v>
      </c>
      <c r="B8894" s="0" t="n">
        <v>1</v>
      </c>
      <c r="C8894" s="0" t="n">
        <v>1.75</v>
      </c>
      <c r="D8894" s="0" t="n">
        <v>0.364</v>
      </c>
    </row>
    <row r="8895" customFormat="false" ht="13.8" hidden="true" customHeight="false" outlineLevel="0" collapsed="false">
      <c r="A8895" s="0" t="s">
        <v>1024</v>
      </c>
      <c r="B8895" s="0" t="n">
        <v>1</v>
      </c>
      <c r="C8895" s="0" t="n">
        <v>1.8</v>
      </c>
      <c r="D8895" s="0" t="n">
        <v>0.375</v>
      </c>
    </row>
    <row r="8896" customFormat="false" ht="13.8" hidden="true" customHeight="false" outlineLevel="0" collapsed="false">
      <c r="A8896" s="0" t="s">
        <v>1024</v>
      </c>
      <c r="B8896" s="0" t="n">
        <v>1</v>
      </c>
      <c r="C8896" s="0" t="n">
        <v>1.85</v>
      </c>
      <c r="D8896" s="0" t="n">
        <v>0.385</v>
      </c>
    </row>
    <row r="8897" customFormat="false" ht="13.8" hidden="true" customHeight="false" outlineLevel="0" collapsed="false">
      <c r="A8897" s="0" t="s">
        <v>1024</v>
      </c>
      <c r="B8897" s="0" t="n">
        <v>1</v>
      </c>
      <c r="C8897" s="0" t="n">
        <v>1.9</v>
      </c>
      <c r="D8897" s="0" t="n">
        <v>0.396</v>
      </c>
    </row>
    <row r="8898" customFormat="false" ht="13.8" hidden="true" customHeight="false" outlineLevel="0" collapsed="false">
      <c r="A8898" s="0" t="s">
        <v>1024</v>
      </c>
      <c r="B8898" s="0" t="n">
        <v>1</v>
      </c>
      <c r="C8898" s="0" t="n">
        <v>1.95</v>
      </c>
      <c r="D8898" s="0" t="n">
        <v>0.406</v>
      </c>
    </row>
    <row r="8899" customFormat="false" ht="13.8" hidden="true" customHeight="false" outlineLevel="0" collapsed="false">
      <c r="A8899" s="0" t="s">
        <v>1024</v>
      </c>
      <c r="B8899" s="0" t="n">
        <v>1</v>
      </c>
      <c r="C8899" s="0" t="n">
        <v>2</v>
      </c>
      <c r="D8899" s="0" t="n">
        <v>0.426</v>
      </c>
    </row>
    <row r="8900" customFormat="false" ht="13.8" hidden="true" customHeight="false" outlineLevel="0" collapsed="false">
      <c r="A8900" s="0" t="s">
        <v>1024</v>
      </c>
      <c r="B8900" s="0" t="n">
        <v>1</v>
      </c>
      <c r="C8900" s="0" t="n">
        <v>2.05</v>
      </c>
      <c r="D8900" s="0" t="n">
        <v>0.436</v>
      </c>
    </row>
    <row r="8901" customFormat="false" ht="13.8" hidden="true" customHeight="false" outlineLevel="0" collapsed="false">
      <c r="A8901" s="0" t="s">
        <v>1024</v>
      </c>
      <c r="B8901" s="0" t="n">
        <v>1</v>
      </c>
      <c r="C8901" s="0" t="n">
        <v>2.1</v>
      </c>
      <c r="D8901" s="0" t="n">
        <v>0.447</v>
      </c>
    </row>
    <row r="8902" customFormat="false" ht="13.8" hidden="true" customHeight="false" outlineLevel="0" collapsed="false">
      <c r="A8902" s="0" t="s">
        <v>1024</v>
      </c>
      <c r="B8902" s="0" t="n">
        <v>1</v>
      </c>
      <c r="C8902" s="0" t="n">
        <v>2.15</v>
      </c>
      <c r="D8902" s="0" t="n">
        <v>0.45762325</v>
      </c>
    </row>
    <row r="8903" customFormat="false" ht="13.8" hidden="true" customHeight="false" outlineLevel="0" collapsed="false">
      <c r="A8903" s="0" t="s">
        <v>1024</v>
      </c>
      <c r="B8903" s="0" t="n">
        <v>1</v>
      </c>
      <c r="C8903" s="0" t="n">
        <v>2.2</v>
      </c>
      <c r="D8903" s="0" t="n">
        <v>0.468265651</v>
      </c>
    </row>
    <row r="8904" customFormat="false" ht="13.8" hidden="true" customHeight="false" outlineLevel="0" collapsed="false">
      <c r="A8904" s="0" t="s">
        <v>1024</v>
      </c>
      <c r="B8904" s="0" t="n">
        <v>1</v>
      </c>
      <c r="C8904" s="0" t="n">
        <v>2.25</v>
      </c>
      <c r="D8904" s="0" t="n">
        <v>0.478908052</v>
      </c>
    </row>
    <row r="8905" customFormat="false" ht="13.8" hidden="true" customHeight="false" outlineLevel="0" collapsed="false">
      <c r="A8905" s="0" t="s">
        <v>1024</v>
      </c>
      <c r="B8905" s="0" t="n">
        <v>1</v>
      </c>
      <c r="C8905" s="0" t="n">
        <v>2.3</v>
      </c>
      <c r="D8905" s="0" t="n">
        <v>0</v>
      </c>
    </row>
    <row r="8906" customFormat="false" ht="13.8" hidden="true" customHeight="false" outlineLevel="0" collapsed="false">
      <c r="A8906" s="0" t="s">
        <v>1024</v>
      </c>
      <c r="B8906" s="0" t="n">
        <v>1</v>
      </c>
      <c r="C8906" s="0" t="n">
        <v>2.35</v>
      </c>
      <c r="D8906" s="0" t="n">
        <v>0</v>
      </c>
    </row>
    <row r="8907" customFormat="false" ht="13.8" hidden="true" customHeight="false" outlineLevel="0" collapsed="false">
      <c r="A8907" s="0" t="s">
        <v>1024</v>
      </c>
      <c r="B8907" s="0" t="n">
        <v>1</v>
      </c>
      <c r="C8907" s="0" t="n">
        <v>2.4</v>
      </c>
      <c r="D8907" s="0" t="n">
        <v>0</v>
      </c>
    </row>
    <row r="8908" customFormat="false" ht="13.8" hidden="true" customHeight="false" outlineLevel="0" collapsed="false">
      <c r="A8908" s="0" t="s">
        <v>1024</v>
      </c>
      <c r="B8908" s="0" t="n">
        <v>1</v>
      </c>
      <c r="C8908" s="0" t="n">
        <v>2.45</v>
      </c>
      <c r="D8908" s="0" t="n">
        <v>0</v>
      </c>
    </row>
    <row r="8909" customFormat="false" ht="13.8" hidden="true" customHeight="false" outlineLevel="0" collapsed="false">
      <c r="A8909" s="0" t="s">
        <v>1024</v>
      </c>
      <c r="B8909" s="0" t="n">
        <v>1</v>
      </c>
      <c r="C8909" s="0" t="n">
        <v>2.5</v>
      </c>
      <c r="D8909" s="0" t="n">
        <v>0</v>
      </c>
    </row>
    <row r="8910" customFormat="false" ht="13.8" hidden="true" customHeight="false" outlineLevel="0" collapsed="false">
      <c r="A8910" s="0" t="s">
        <v>1024</v>
      </c>
      <c r="B8910" s="0" t="n">
        <v>1</v>
      </c>
      <c r="C8910" s="0" t="n">
        <v>2.55</v>
      </c>
      <c r="D8910" s="0" t="n">
        <v>0</v>
      </c>
    </row>
    <row r="8911" customFormat="false" ht="13.8" hidden="true" customHeight="false" outlineLevel="0" collapsed="false">
      <c r="A8911" s="0" t="s">
        <v>1024</v>
      </c>
      <c r="B8911" s="0" t="n">
        <v>1</v>
      </c>
      <c r="C8911" s="0" t="n">
        <v>2.6</v>
      </c>
      <c r="D8911" s="0" t="n">
        <v>0</v>
      </c>
    </row>
    <row r="8912" customFormat="false" ht="13.8" hidden="true" customHeight="false" outlineLevel="0" collapsed="false">
      <c r="A8912" s="0" t="s">
        <v>148</v>
      </c>
      <c r="B8912" s="0" t="n">
        <v>1</v>
      </c>
      <c r="C8912" s="0" t="n">
        <v>1.3</v>
      </c>
      <c r="D8912" s="0" t="n">
        <v>0</v>
      </c>
    </row>
    <row r="8913" customFormat="false" ht="13.8" hidden="true" customHeight="false" outlineLevel="0" collapsed="false">
      <c r="A8913" s="0" t="s">
        <v>148</v>
      </c>
      <c r="B8913" s="0" t="n">
        <v>1</v>
      </c>
      <c r="C8913" s="0" t="n">
        <v>1.35</v>
      </c>
      <c r="D8913" s="0" t="n">
        <v>0</v>
      </c>
    </row>
    <row r="8914" customFormat="false" ht="13.8" hidden="true" customHeight="false" outlineLevel="0" collapsed="false">
      <c r="A8914" s="0" t="s">
        <v>148</v>
      </c>
      <c r="B8914" s="0" t="n">
        <v>1</v>
      </c>
      <c r="C8914" s="0" t="n">
        <v>1.4</v>
      </c>
      <c r="D8914" s="0" t="n">
        <v>0</v>
      </c>
    </row>
    <row r="8915" customFormat="false" ht="13.8" hidden="true" customHeight="false" outlineLevel="0" collapsed="false">
      <c r="A8915" s="0" t="s">
        <v>148</v>
      </c>
      <c r="B8915" s="0" t="n">
        <v>1</v>
      </c>
      <c r="C8915" s="0" t="n">
        <v>1.45</v>
      </c>
      <c r="D8915" s="0" t="n">
        <v>0.302</v>
      </c>
    </row>
    <row r="8916" customFormat="false" ht="13.8" hidden="true" customHeight="false" outlineLevel="0" collapsed="false">
      <c r="A8916" s="0" t="s">
        <v>148</v>
      </c>
      <c r="B8916" s="0" t="n">
        <v>1</v>
      </c>
      <c r="C8916" s="0" t="n">
        <v>1.5</v>
      </c>
      <c r="D8916" s="0" t="n">
        <v>0.312</v>
      </c>
    </row>
    <row r="8917" customFormat="false" ht="13.8" hidden="true" customHeight="false" outlineLevel="0" collapsed="false">
      <c r="A8917" s="0" t="s">
        <v>148</v>
      </c>
      <c r="B8917" s="0" t="n">
        <v>1</v>
      </c>
      <c r="C8917" s="0" t="n">
        <v>1.55</v>
      </c>
      <c r="D8917" s="0" t="n">
        <v>0.323</v>
      </c>
    </row>
    <row r="8918" customFormat="false" ht="13.8" hidden="true" customHeight="false" outlineLevel="0" collapsed="false">
      <c r="A8918" s="0" t="s">
        <v>148</v>
      </c>
      <c r="B8918" s="0" t="n">
        <v>1</v>
      </c>
      <c r="C8918" s="0" t="n">
        <v>1.6</v>
      </c>
      <c r="D8918" s="0" t="n">
        <v>0.333</v>
      </c>
    </row>
    <row r="8919" customFormat="false" ht="13.8" hidden="true" customHeight="false" outlineLevel="0" collapsed="false">
      <c r="A8919" s="0" t="s">
        <v>148</v>
      </c>
      <c r="B8919" s="0" t="n">
        <v>1</v>
      </c>
      <c r="C8919" s="0" t="n">
        <v>1.65</v>
      </c>
      <c r="D8919" s="0" t="n">
        <v>0.344</v>
      </c>
    </row>
    <row r="8920" customFormat="false" ht="13.8" hidden="true" customHeight="false" outlineLevel="0" collapsed="false">
      <c r="A8920" s="0" t="s">
        <v>148</v>
      </c>
      <c r="B8920" s="0" t="n">
        <v>1</v>
      </c>
      <c r="C8920" s="0" t="n">
        <v>1.7</v>
      </c>
      <c r="D8920" s="0" t="n">
        <v>0.354</v>
      </c>
    </row>
    <row r="8921" customFormat="false" ht="13.8" hidden="true" customHeight="false" outlineLevel="0" collapsed="false">
      <c r="A8921" s="0" t="s">
        <v>148</v>
      </c>
      <c r="B8921" s="0" t="n">
        <v>1</v>
      </c>
      <c r="C8921" s="0" t="n">
        <v>1.75</v>
      </c>
      <c r="D8921" s="0" t="n">
        <v>0.364</v>
      </c>
    </row>
    <row r="8922" customFormat="false" ht="13.8" hidden="true" customHeight="false" outlineLevel="0" collapsed="false">
      <c r="A8922" s="0" t="s">
        <v>148</v>
      </c>
      <c r="B8922" s="0" t="n">
        <v>1</v>
      </c>
      <c r="C8922" s="0" t="n">
        <v>1.8</v>
      </c>
      <c r="D8922" s="0" t="n">
        <v>0.375</v>
      </c>
    </row>
    <row r="8923" customFormat="false" ht="13.8" hidden="true" customHeight="false" outlineLevel="0" collapsed="false">
      <c r="A8923" s="0" t="s">
        <v>148</v>
      </c>
      <c r="B8923" s="0" t="n">
        <v>1</v>
      </c>
      <c r="C8923" s="0" t="n">
        <v>1.85</v>
      </c>
      <c r="D8923" s="0" t="n">
        <v>0</v>
      </c>
    </row>
    <row r="8924" customFormat="false" ht="13.8" hidden="true" customHeight="false" outlineLevel="0" collapsed="false">
      <c r="A8924" s="0" t="s">
        <v>148</v>
      </c>
      <c r="B8924" s="0" t="n">
        <v>1</v>
      </c>
      <c r="C8924" s="0" t="n">
        <v>1.9</v>
      </c>
      <c r="D8924" s="0" t="n">
        <v>0</v>
      </c>
    </row>
    <row r="8925" customFormat="false" ht="13.8" hidden="true" customHeight="false" outlineLevel="0" collapsed="false">
      <c r="A8925" s="0" t="s">
        <v>148</v>
      </c>
      <c r="B8925" s="0" t="n">
        <v>1</v>
      </c>
      <c r="C8925" s="0" t="n">
        <v>1.95</v>
      </c>
      <c r="D8925" s="0" t="n">
        <v>0</v>
      </c>
    </row>
    <row r="8926" customFormat="false" ht="13.8" hidden="true" customHeight="false" outlineLevel="0" collapsed="false">
      <c r="A8926" s="0" t="s">
        <v>148</v>
      </c>
      <c r="B8926" s="0" t="n">
        <v>1</v>
      </c>
      <c r="C8926" s="0" t="n">
        <v>2</v>
      </c>
      <c r="D8926" s="0" t="n">
        <v>0</v>
      </c>
    </row>
    <row r="8927" customFormat="false" ht="13.8" hidden="true" customHeight="false" outlineLevel="0" collapsed="false">
      <c r="A8927" s="0" t="s">
        <v>148</v>
      </c>
      <c r="B8927" s="0" t="n">
        <v>1</v>
      </c>
      <c r="C8927" s="0" t="n">
        <v>2.05</v>
      </c>
      <c r="D8927" s="0" t="n">
        <v>0</v>
      </c>
    </row>
    <row r="8928" customFormat="false" ht="13.8" hidden="true" customHeight="false" outlineLevel="0" collapsed="false">
      <c r="A8928" s="0" t="s">
        <v>148</v>
      </c>
      <c r="B8928" s="0" t="n">
        <v>1</v>
      </c>
      <c r="C8928" s="0" t="n">
        <v>2.1</v>
      </c>
      <c r="D8928" s="0" t="n">
        <v>0</v>
      </c>
    </row>
    <row r="8929" customFormat="false" ht="13.8" hidden="true" customHeight="false" outlineLevel="0" collapsed="false">
      <c r="A8929" s="0" t="s">
        <v>148</v>
      </c>
      <c r="B8929" s="0" t="n">
        <v>1</v>
      </c>
      <c r="C8929" s="0" t="n">
        <v>2.15</v>
      </c>
      <c r="D8929" s="0" t="n">
        <v>0</v>
      </c>
    </row>
    <row r="8930" customFormat="false" ht="13.8" hidden="true" customHeight="false" outlineLevel="0" collapsed="false">
      <c r="A8930" s="0" t="s">
        <v>148</v>
      </c>
      <c r="B8930" s="0" t="n">
        <v>1</v>
      </c>
      <c r="C8930" s="0" t="n">
        <v>2.2</v>
      </c>
      <c r="D8930" s="0" t="n">
        <v>0</v>
      </c>
    </row>
    <row r="8931" customFormat="false" ht="13.8" hidden="true" customHeight="false" outlineLevel="0" collapsed="false">
      <c r="A8931" s="0" t="s">
        <v>148</v>
      </c>
      <c r="B8931" s="0" t="n">
        <v>1</v>
      </c>
      <c r="C8931" s="0" t="n">
        <v>2.25</v>
      </c>
      <c r="D8931" s="0" t="n">
        <v>0</v>
      </c>
    </row>
    <row r="8932" customFormat="false" ht="13.8" hidden="true" customHeight="false" outlineLevel="0" collapsed="false">
      <c r="A8932" s="0" t="s">
        <v>148</v>
      </c>
      <c r="B8932" s="0" t="n">
        <v>1</v>
      </c>
      <c r="C8932" s="0" t="n">
        <v>2.3</v>
      </c>
      <c r="D8932" s="0" t="n">
        <v>0</v>
      </c>
    </row>
    <row r="8933" customFormat="false" ht="13.8" hidden="true" customHeight="false" outlineLevel="0" collapsed="false">
      <c r="A8933" s="0" t="s">
        <v>148</v>
      </c>
      <c r="B8933" s="0" t="n">
        <v>1</v>
      </c>
      <c r="C8933" s="0" t="n">
        <v>2.35</v>
      </c>
      <c r="D8933" s="0" t="n">
        <v>0</v>
      </c>
    </row>
    <row r="8934" customFormat="false" ht="13.8" hidden="true" customHeight="false" outlineLevel="0" collapsed="false">
      <c r="A8934" s="0" t="s">
        <v>148</v>
      </c>
      <c r="B8934" s="0" t="n">
        <v>1</v>
      </c>
      <c r="C8934" s="0" t="n">
        <v>2.4</v>
      </c>
      <c r="D8934" s="0" t="n">
        <v>0</v>
      </c>
    </row>
    <row r="8935" customFormat="false" ht="13.8" hidden="true" customHeight="false" outlineLevel="0" collapsed="false">
      <c r="A8935" s="0" t="s">
        <v>148</v>
      </c>
      <c r="B8935" s="0" t="n">
        <v>1</v>
      </c>
      <c r="C8935" s="0" t="n">
        <v>2.45</v>
      </c>
      <c r="D8935" s="0" t="n">
        <v>0</v>
      </c>
    </row>
    <row r="8936" customFormat="false" ht="13.8" hidden="true" customHeight="false" outlineLevel="0" collapsed="false">
      <c r="A8936" s="0" t="s">
        <v>148</v>
      </c>
      <c r="B8936" s="0" t="n">
        <v>1</v>
      </c>
      <c r="C8936" s="0" t="n">
        <v>2.5</v>
      </c>
      <c r="D8936" s="0" t="n">
        <v>0</v>
      </c>
    </row>
    <row r="8937" customFormat="false" ht="13.8" hidden="true" customHeight="false" outlineLevel="0" collapsed="false">
      <c r="A8937" s="0" t="s">
        <v>148</v>
      </c>
      <c r="B8937" s="0" t="n">
        <v>1</v>
      </c>
      <c r="C8937" s="0" t="n">
        <v>2.55</v>
      </c>
      <c r="D8937" s="0" t="n">
        <v>0</v>
      </c>
    </row>
    <row r="8938" customFormat="false" ht="13.8" hidden="true" customHeight="false" outlineLevel="0" collapsed="false">
      <c r="A8938" s="0" t="s">
        <v>148</v>
      </c>
      <c r="B8938" s="0" t="n">
        <v>1</v>
      </c>
      <c r="C8938" s="0" t="n">
        <v>2.6</v>
      </c>
      <c r="D8938" s="0" t="n">
        <v>0</v>
      </c>
    </row>
    <row r="8939" customFormat="false" ht="13.8" hidden="true" customHeight="false" outlineLevel="0" collapsed="false">
      <c r="A8939" s="0" t="s">
        <v>265</v>
      </c>
      <c r="B8939" s="0" t="n">
        <v>1</v>
      </c>
      <c r="C8939" s="0" t="n">
        <v>1.3</v>
      </c>
      <c r="D8939" s="0" t="n">
        <v>0</v>
      </c>
    </row>
    <row r="8940" customFormat="false" ht="13.8" hidden="true" customHeight="false" outlineLevel="0" collapsed="false">
      <c r="A8940" s="0" t="s">
        <v>265</v>
      </c>
      <c r="B8940" s="0" t="n">
        <v>1</v>
      </c>
      <c r="C8940" s="0" t="n">
        <v>1.35</v>
      </c>
      <c r="D8940" s="0" t="n">
        <v>0</v>
      </c>
    </row>
    <row r="8941" customFormat="false" ht="13.8" hidden="true" customHeight="false" outlineLevel="0" collapsed="false">
      <c r="A8941" s="0" t="s">
        <v>265</v>
      </c>
      <c r="B8941" s="0" t="n">
        <v>1</v>
      </c>
      <c r="C8941" s="0" t="n">
        <v>1.4</v>
      </c>
      <c r="D8941" s="0" t="n">
        <v>0</v>
      </c>
    </row>
    <row r="8942" customFormat="false" ht="13.8" hidden="true" customHeight="false" outlineLevel="0" collapsed="false">
      <c r="A8942" s="0" t="s">
        <v>265</v>
      </c>
      <c r="B8942" s="0" t="n">
        <v>1</v>
      </c>
      <c r="C8942" s="0" t="n">
        <v>1.45</v>
      </c>
      <c r="D8942" s="0" t="n">
        <v>0.302</v>
      </c>
    </row>
    <row r="8943" customFormat="false" ht="13.8" hidden="true" customHeight="false" outlineLevel="0" collapsed="false">
      <c r="A8943" s="0" t="s">
        <v>265</v>
      </c>
      <c r="B8943" s="0" t="n">
        <v>1</v>
      </c>
      <c r="C8943" s="0" t="n">
        <v>1.5</v>
      </c>
      <c r="D8943" s="0" t="n">
        <v>0.312</v>
      </c>
    </row>
    <row r="8944" customFormat="false" ht="13.8" hidden="true" customHeight="false" outlineLevel="0" collapsed="false">
      <c r="A8944" s="0" t="s">
        <v>265</v>
      </c>
      <c r="B8944" s="0" t="n">
        <v>1</v>
      </c>
      <c r="C8944" s="0" t="n">
        <v>1.55</v>
      </c>
      <c r="D8944" s="0" t="n">
        <v>0.323</v>
      </c>
    </row>
    <row r="8945" customFormat="false" ht="13.8" hidden="true" customHeight="false" outlineLevel="0" collapsed="false">
      <c r="A8945" s="0" t="s">
        <v>265</v>
      </c>
      <c r="B8945" s="0" t="n">
        <v>1</v>
      </c>
      <c r="C8945" s="0" t="n">
        <v>1.6</v>
      </c>
      <c r="D8945" s="0" t="n">
        <v>0.333</v>
      </c>
    </row>
    <row r="8946" customFormat="false" ht="13.8" hidden="true" customHeight="false" outlineLevel="0" collapsed="false">
      <c r="A8946" s="0" t="s">
        <v>265</v>
      </c>
      <c r="B8946" s="0" t="n">
        <v>1</v>
      </c>
      <c r="C8946" s="0" t="n">
        <v>1.65</v>
      </c>
      <c r="D8946" s="0" t="n">
        <v>0.344</v>
      </c>
    </row>
    <row r="8947" customFormat="false" ht="13.8" hidden="true" customHeight="false" outlineLevel="0" collapsed="false">
      <c r="A8947" s="0" t="s">
        <v>265</v>
      </c>
      <c r="B8947" s="0" t="n">
        <v>1</v>
      </c>
      <c r="C8947" s="0" t="n">
        <v>1.7</v>
      </c>
      <c r="D8947" s="0" t="n">
        <v>0.354</v>
      </c>
    </row>
    <row r="8948" customFormat="false" ht="13.8" hidden="true" customHeight="false" outlineLevel="0" collapsed="false">
      <c r="A8948" s="0" t="s">
        <v>265</v>
      </c>
      <c r="B8948" s="0" t="n">
        <v>1</v>
      </c>
      <c r="C8948" s="0" t="n">
        <v>1.75</v>
      </c>
      <c r="D8948" s="0" t="n">
        <v>0.364</v>
      </c>
    </row>
    <row r="8949" customFormat="false" ht="13.8" hidden="true" customHeight="false" outlineLevel="0" collapsed="false">
      <c r="A8949" s="0" t="s">
        <v>265</v>
      </c>
      <c r="B8949" s="0" t="n">
        <v>1</v>
      </c>
      <c r="C8949" s="0" t="n">
        <v>1.8</v>
      </c>
      <c r="D8949" s="0" t="n">
        <v>0.375</v>
      </c>
    </row>
    <row r="8950" customFormat="false" ht="13.8" hidden="true" customHeight="false" outlineLevel="0" collapsed="false">
      <c r="A8950" s="0" t="s">
        <v>265</v>
      </c>
      <c r="B8950" s="0" t="n">
        <v>1</v>
      </c>
      <c r="C8950" s="0" t="n">
        <v>1.85</v>
      </c>
      <c r="D8950" s="0" t="n">
        <v>0</v>
      </c>
    </row>
    <row r="8951" customFormat="false" ht="13.8" hidden="true" customHeight="false" outlineLevel="0" collapsed="false">
      <c r="A8951" s="0" t="s">
        <v>265</v>
      </c>
      <c r="B8951" s="0" t="n">
        <v>1</v>
      </c>
      <c r="C8951" s="0" t="n">
        <v>1.9</v>
      </c>
      <c r="D8951" s="0" t="n">
        <v>0</v>
      </c>
    </row>
    <row r="8952" customFormat="false" ht="13.8" hidden="true" customHeight="false" outlineLevel="0" collapsed="false">
      <c r="A8952" s="0" t="s">
        <v>265</v>
      </c>
      <c r="B8952" s="0" t="n">
        <v>1</v>
      </c>
      <c r="C8952" s="0" t="n">
        <v>1.95</v>
      </c>
      <c r="D8952" s="0" t="n">
        <v>0</v>
      </c>
    </row>
    <row r="8953" customFormat="false" ht="13.8" hidden="true" customHeight="false" outlineLevel="0" collapsed="false">
      <c r="A8953" s="0" t="s">
        <v>265</v>
      </c>
      <c r="B8953" s="0" t="n">
        <v>1</v>
      </c>
      <c r="C8953" s="0" t="n">
        <v>2</v>
      </c>
      <c r="D8953" s="0" t="n">
        <v>0</v>
      </c>
    </row>
    <row r="8954" customFormat="false" ht="13.8" hidden="true" customHeight="false" outlineLevel="0" collapsed="false">
      <c r="A8954" s="0" t="s">
        <v>265</v>
      </c>
      <c r="B8954" s="0" t="n">
        <v>1</v>
      </c>
      <c r="C8954" s="0" t="n">
        <v>2.05</v>
      </c>
      <c r="D8954" s="0" t="n">
        <v>0</v>
      </c>
    </row>
    <row r="8955" customFormat="false" ht="13.8" hidden="true" customHeight="false" outlineLevel="0" collapsed="false">
      <c r="A8955" s="0" t="s">
        <v>265</v>
      </c>
      <c r="B8955" s="0" t="n">
        <v>1</v>
      </c>
      <c r="C8955" s="0" t="n">
        <v>2.1</v>
      </c>
      <c r="D8955" s="0" t="n">
        <v>0</v>
      </c>
    </row>
    <row r="8956" customFormat="false" ht="13.8" hidden="true" customHeight="false" outlineLevel="0" collapsed="false">
      <c r="A8956" s="0" t="s">
        <v>265</v>
      </c>
      <c r="B8956" s="0" t="n">
        <v>1</v>
      </c>
      <c r="C8956" s="0" t="n">
        <v>2.15</v>
      </c>
      <c r="D8956" s="0" t="n">
        <v>0</v>
      </c>
    </row>
    <row r="8957" customFormat="false" ht="13.8" hidden="true" customHeight="false" outlineLevel="0" collapsed="false">
      <c r="A8957" s="0" t="s">
        <v>265</v>
      </c>
      <c r="B8957" s="0" t="n">
        <v>1</v>
      </c>
      <c r="C8957" s="0" t="n">
        <v>2.2</v>
      </c>
      <c r="D8957" s="0" t="n">
        <v>0</v>
      </c>
    </row>
    <row r="8958" customFormat="false" ht="13.8" hidden="true" customHeight="false" outlineLevel="0" collapsed="false">
      <c r="A8958" s="0" t="s">
        <v>265</v>
      </c>
      <c r="B8958" s="0" t="n">
        <v>1</v>
      </c>
      <c r="C8958" s="0" t="n">
        <v>2.25</v>
      </c>
      <c r="D8958" s="0" t="n">
        <v>0</v>
      </c>
    </row>
    <row r="8959" customFormat="false" ht="13.8" hidden="true" customHeight="false" outlineLevel="0" collapsed="false">
      <c r="A8959" s="0" t="s">
        <v>265</v>
      </c>
      <c r="B8959" s="0" t="n">
        <v>1</v>
      </c>
      <c r="C8959" s="0" t="n">
        <v>2.3</v>
      </c>
      <c r="D8959" s="0" t="n">
        <v>0</v>
      </c>
    </row>
    <row r="8960" customFormat="false" ht="13.8" hidden="true" customHeight="false" outlineLevel="0" collapsed="false">
      <c r="A8960" s="0" t="s">
        <v>265</v>
      </c>
      <c r="B8960" s="0" t="n">
        <v>1</v>
      </c>
      <c r="C8960" s="0" t="n">
        <v>2.35</v>
      </c>
      <c r="D8960" s="0" t="n">
        <v>0</v>
      </c>
    </row>
    <row r="8961" customFormat="false" ht="13.8" hidden="true" customHeight="false" outlineLevel="0" collapsed="false">
      <c r="A8961" s="0" t="s">
        <v>265</v>
      </c>
      <c r="B8961" s="0" t="n">
        <v>1</v>
      </c>
      <c r="C8961" s="0" t="n">
        <v>2.4</v>
      </c>
      <c r="D8961" s="0" t="n">
        <v>0</v>
      </c>
    </row>
    <row r="8962" customFormat="false" ht="13.8" hidden="true" customHeight="false" outlineLevel="0" collapsed="false">
      <c r="A8962" s="0" t="s">
        <v>265</v>
      </c>
      <c r="B8962" s="0" t="n">
        <v>1</v>
      </c>
      <c r="C8962" s="0" t="n">
        <v>2.45</v>
      </c>
      <c r="D8962" s="0" t="n">
        <v>0</v>
      </c>
    </row>
    <row r="8963" customFormat="false" ht="13.8" hidden="true" customHeight="false" outlineLevel="0" collapsed="false">
      <c r="A8963" s="0" t="s">
        <v>265</v>
      </c>
      <c r="B8963" s="0" t="n">
        <v>1</v>
      </c>
      <c r="C8963" s="0" t="n">
        <v>2.5</v>
      </c>
      <c r="D8963" s="0" t="n">
        <v>0</v>
      </c>
    </row>
    <row r="8964" customFormat="false" ht="13.8" hidden="true" customHeight="false" outlineLevel="0" collapsed="false">
      <c r="A8964" s="0" t="s">
        <v>265</v>
      </c>
      <c r="B8964" s="0" t="n">
        <v>1</v>
      </c>
      <c r="C8964" s="0" t="n">
        <v>2.55</v>
      </c>
      <c r="D8964" s="0" t="n">
        <v>0</v>
      </c>
    </row>
    <row r="8965" customFormat="false" ht="13.8" hidden="true" customHeight="false" outlineLevel="0" collapsed="false">
      <c r="A8965" s="0" t="s">
        <v>265</v>
      </c>
      <c r="B8965" s="0" t="n">
        <v>1</v>
      </c>
      <c r="C8965" s="0" t="n">
        <v>2.6</v>
      </c>
      <c r="D8965" s="0" t="n">
        <v>0</v>
      </c>
    </row>
    <row r="8966" customFormat="false" ht="13.8" hidden="true" customHeight="false" outlineLevel="0" collapsed="false">
      <c r="A8966" s="0" t="s">
        <v>149</v>
      </c>
      <c r="B8966" s="0" t="n">
        <v>1</v>
      </c>
      <c r="C8966" s="0" t="n">
        <v>1.3</v>
      </c>
      <c r="D8966" s="0" t="n">
        <v>0</v>
      </c>
    </row>
    <row r="8967" customFormat="false" ht="13.8" hidden="true" customHeight="false" outlineLevel="0" collapsed="false">
      <c r="A8967" s="0" t="s">
        <v>149</v>
      </c>
      <c r="B8967" s="0" t="n">
        <v>1</v>
      </c>
      <c r="C8967" s="0" t="n">
        <v>1.35</v>
      </c>
      <c r="D8967" s="0" t="n">
        <v>0</v>
      </c>
    </row>
    <row r="8968" customFormat="false" ht="13.8" hidden="true" customHeight="false" outlineLevel="0" collapsed="false">
      <c r="A8968" s="0" t="s">
        <v>149</v>
      </c>
      <c r="B8968" s="0" t="n">
        <v>1</v>
      </c>
      <c r="C8968" s="0" t="n">
        <v>1.4</v>
      </c>
      <c r="D8968" s="0" t="n">
        <v>0</v>
      </c>
    </row>
    <row r="8969" customFormat="false" ht="13.8" hidden="true" customHeight="false" outlineLevel="0" collapsed="false">
      <c r="A8969" s="0" t="s">
        <v>149</v>
      </c>
      <c r="B8969" s="0" t="n">
        <v>1</v>
      </c>
      <c r="C8969" s="0" t="n">
        <v>1.45</v>
      </c>
      <c r="D8969" s="0" t="n">
        <v>0.302</v>
      </c>
    </row>
    <row r="8970" customFormat="false" ht="13.8" hidden="true" customHeight="false" outlineLevel="0" collapsed="false">
      <c r="A8970" s="0" t="s">
        <v>149</v>
      </c>
      <c r="B8970" s="0" t="n">
        <v>1</v>
      </c>
      <c r="C8970" s="0" t="n">
        <v>1.5</v>
      </c>
      <c r="D8970" s="0" t="n">
        <v>0.312</v>
      </c>
    </row>
    <row r="8971" customFormat="false" ht="13.8" hidden="true" customHeight="false" outlineLevel="0" collapsed="false">
      <c r="A8971" s="0" t="s">
        <v>149</v>
      </c>
      <c r="B8971" s="0" t="n">
        <v>1</v>
      </c>
      <c r="C8971" s="0" t="n">
        <v>1.55</v>
      </c>
      <c r="D8971" s="0" t="n">
        <v>0.323</v>
      </c>
    </row>
    <row r="8972" customFormat="false" ht="13.8" hidden="true" customHeight="false" outlineLevel="0" collapsed="false">
      <c r="A8972" s="0" t="s">
        <v>149</v>
      </c>
      <c r="B8972" s="0" t="n">
        <v>1</v>
      </c>
      <c r="C8972" s="0" t="n">
        <v>1.6</v>
      </c>
      <c r="D8972" s="0" t="n">
        <v>0.333</v>
      </c>
    </row>
    <row r="8973" customFormat="false" ht="13.8" hidden="true" customHeight="false" outlineLevel="0" collapsed="false">
      <c r="A8973" s="0" t="s">
        <v>149</v>
      </c>
      <c r="B8973" s="0" t="n">
        <v>1</v>
      </c>
      <c r="C8973" s="0" t="n">
        <v>1.65</v>
      </c>
      <c r="D8973" s="0" t="n">
        <v>0.344</v>
      </c>
    </row>
    <row r="8974" customFormat="false" ht="13.8" hidden="true" customHeight="false" outlineLevel="0" collapsed="false">
      <c r="A8974" s="0" t="s">
        <v>149</v>
      </c>
      <c r="B8974" s="0" t="n">
        <v>1</v>
      </c>
      <c r="C8974" s="0" t="n">
        <v>1.7</v>
      </c>
      <c r="D8974" s="0" t="n">
        <v>0.354</v>
      </c>
    </row>
    <row r="8975" customFormat="false" ht="13.8" hidden="true" customHeight="false" outlineLevel="0" collapsed="false">
      <c r="A8975" s="0" t="s">
        <v>149</v>
      </c>
      <c r="B8975" s="0" t="n">
        <v>1</v>
      </c>
      <c r="C8975" s="0" t="n">
        <v>1.75</v>
      </c>
      <c r="D8975" s="0" t="n">
        <v>0.364</v>
      </c>
    </row>
    <row r="8976" customFormat="false" ht="13.8" hidden="true" customHeight="false" outlineLevel="0" collapsed="false">
      <c r="A8976" s="0" t="s">
        <v>149</v>
      </c>
      <c r="B8976" s="0" t="n">
        <v>1</v>
      </c>
      <c r="C8976" s="0" t="n">
        <v>1.8</v>
      </c>
      <c r="D8976" s="0" t="n">
        <v>0.375</v>
      </c>
    </row>
    <row r="8977" customFormat="false" ht="13.8" hidden="true" customHeight="false" outlineLevel="0" collapsed="false">
      <c r="A8977" s="0" t="s">
        <v>149</v>
      </c>
      <c r="B8977" s="0" t="n">
        <v>1</v>
      </c>
      <c r="C8977" s="0" t="n">
        <v>1.85</v>
      </c>
      <c r="D8977" s="0" t="n">
        <v>0</v>
      </c>
    </row>
    <row r="8978" customFormat="false" ht="13.8" hidden="true" customHeight="false" outlineLevel="0" collapsed="false">
      <c r="A8978" s="0" t="s">
        <v>149</v>
      </c>
      <c r="B8978" s="0" t="n">
        <v>1</v>
      </c>
      <c r="C8978" s="0" t="n">
        <v>1.9</v>
      </c>
      <c r="D8978" s="0" t="n">
        <v>0</v>
      </c>
    </row>
    <row r="8979" customFormat="false" ht="13.8" hidden="true" customHeight="false" outlineLevel="0" collapsed="false">
      <c r="A8979" s="0" t="s">
        <v>149</v>
      </c>
      <c r="B8979" s="0" t="n">
        <v>1</v>
      </c>
      <c r="C8979" s="0" t="n">
        <v>1.95</v>
      </c>
      <c r="D8979" s="0" t="n">
        <v>0</v>
      </c>
    </row>
    <row r="8980" customFormat="false" ht="13.8" hidden="true" customHeight="false" outlineLevel="0" collapsed="false">
      <c r="A8980" s="0" t="s">
        <v>149</v>
      </c>
      <c r="B8980" s="0" t="n">
        <v>1</v>
      </c>
      <c r="C8980" s="0" t="n">
        <v>2</v>
      </c>
      <c r="D8980" s="0" t="n">
        <v>0</v>
      </c>
    </row>
    <row r="8981" customFormat="false" ht="13.8" hidden="true" customHeight="false" outlineLevel="0" collapsed="false">
      <c r="A8981" s="0" t="s">
        <v>149</v>
      </c>
      <c r="B8981" s="0" t="n">
        <v>1</v>
      </c>
      <c r="C8981" s="0" t="n">
        <v>2.05</v>
      </c>
      <c r="D8981" s="0" t="n">
        <v>0</v>
      </c>
    </row>
    <row r="8982" customFormat="false" ht="13.8" hidden="true" customHeight="false" outlineLevel="0" collapsed="false">
      <c r="A8982" s="0" t="s">
        <v>149</v>
      </c>
      <c r="B8982" s="0" t="n">
        <v>1</v>
      </c>
      <c r="C8982" s="0" t="n">
        <v>2.1</v>
      </c>
      <c r="D8982" s="0" t="n">
        <v>0</v>
      </c>
    </row>
    <row r="8983" customFormat="false" ht="13.8" hidden="true" customHeight="false" outlineLevel="0" collapsed="false">
      <c r="A8983" s="0" t="s">
        <v>149</v>
      </c>
      <c r="B8983" s="0" t="n">
        <v>1</v>
      </c>
      <c r="C8983" s="0" t="n">
        <v>2.15</v>
      </c>
      <c r="D8983" s="0" t="n">
        <v>0</v>
      </c>
    </row>
    <row r="8984" customFormat="false" ht="13.8" hidden="true" customHeight="false" outlineLevel="0" collapsed="false">
      <c r="A8984" s="0" t="s">
        <v>149</v>
      </c>
      <c r="B8984" s="0" t="n">
        <v>1</v>
      </c>
      <c r="C8984" s="0" t="n">
        <v>2.2</v>
      </c>
      <c r="D8984" s="0" t="n">
        <v>0</v>
      </c>
    </row>
    <row r="8985" customFormat="false" ht="13.8" hidden="true" customHeight="false" outlineLevel="0" collapsed="false">
      <c r="A8985" s="0" t="s">
        <v>149</v>
      </c>
      <c r="B8985" s="0" t="n">
        <v>1</v>
      </c>
      <c r="C8985" s="0" t="n">
        <v>2.25</v>
      </c>
      <c r="D8985" s="0" t="n">
        <v>0</v>
      </c>
    </row>
    <row r="8986" customFormat="false" ht="13.8" hidden="true" customHeight="false" outlineLevel="0" collapsed="false">
      <c r="A8986" s="0" t="s">
        <v>149</v>
      </c>
      <c r="B8986" s="0" t="n">
        <v>1</v>
      </c>
      <c r="C8986" s="0" t="n">
        <v>2.3</v>
      </c>
      <c r="D8986" s="0" t="n">
        <v>0</v>
      </c>
    </row>
    <row r="8987" customFormat="false" ht="13.8" hidden="true" customHeight="false" outlineLevel="0" collapsed="false">
      <c r="A8987" s="0" t="s">
        <v>149</v>
      </c>
      <c r="B8987" s="0" t="n">
        <v>1</v>
      </c>
      <c r="C8987" s="0" t="n">
        <v>2.35</v>
      </c>
      <c r="D8987" s="0" t="n">
        <v>0</v>
      </c>
    </row>
    <row r="8988" customFormat="false" ht="13.8" hidden="true" customHeight="false" outlineLevel="0" collapsed="false">
      <c r="A8988" s="0" t="s">
        <v>149</v>
      </c>
      <c r="B8988" s="0" t="n">
        <v>1</v>
      </c>
      <c r="C8988" s="0" t="n">
        <v>2.4</v>
      </c>
      <c r="D8988" s="0" t="n">
        <v>0</v>
      </c>
    </row>
    <row r="8989" customFormat="false" ht="13.8" hidden="true" customHeight="false" outlineLevel="0" collapsed="false">
      <c r="A8989" s="0" t="s">
        <v>149</v>
      </c>
      <c r="B8989" s="0" t="n">
        <v>1</v>
      </c>
      <c r="C8989" s="0" t="n">
        <v>2.45</v>
      </c>
      <c r="D8989" s="0" t="n">
        <v>0</v>
      </c>
    </row>
    <row r="8990" customFormat="false" ht="13.8" hidden="true" customHeight="false" outlineLevel="0" collapsed="false">
      <c r="A8990" s="0" t="s">
        <v>149</v>
      </c>
      <c r="B8990" s="0" t="n">
        <v>1</v>
      </c>
      <c r="C8990" s="0" t="n">
        <v>2.5</v>
      </c>
      <c r="D8990" s="0" t="n">
        <v>0</v>
      </c>
    </row>
    <row r="8991" customFormat="false" ht="13.8" hidden="true" customHeight="false" outlineLevel="0" collapsed="false">
      <c r="A8991" s="0" t="s">
        <v>149</v>
      </c>
      <c r="B8991" s="0" t="n">
        <v>1</v>
      </c>
      <c r="C8991" s="0" t="n">
        <v>2.55</v>
      </c>
      <c r="D8991" s="0" t="n">
        <v>0</v>
      </c>
    </row>
    <row r="8992" customFormat="false" ht="13.8" hidden="true" customHeight="false" outlineLevel="0" collapsed="false">
      <c r="A8992" s="0" t="s">
        <v>149</v>
      </c>
      <c r="B8992" s="0" t="n">
        <v>1</v>
      </c>
      <c r="C8992" s="0" t="n">
        <v>2.6</v>
      </c>
      <c r="D8992" s="0" t="n">
        <v>0</v>
      </c>
    </row>
    <row r="8993" customFormat="false" ht="13.8" hidden="true" customHeight="false" outlineLevel="0" collapsed="false">
      <c r="A8993" s="0" t="s">
        <v>150</v>
      </c>
      <c r="B8993" s="0" t="n">
        <v>1</v>
      </c>
      <c r="C8993" s="0" t="n">
        <v>1.3</v>
      </c>
      <c r="D8993" s="0" t="n">
        <v>0</v>
      </c>
    </row>
    <row r="8994" customFormat="false" ht="13.8" hidden="true" customHeight="false" outlineLevel="0" collapsed="false">
      <c r="A8994" s="0" t="s">
        <v>150</v>
      </c>
      <c r="B8994" s="0" t="n">
        <v>1</v>
      </c>
      <c r="C8994" s="0" t="n">
        <v>1.35</v>
      </c>
      <c r="D8994" s="0" t="n">
        <v>0</v>
      </c>
    </row>
    <row r="8995" customFormat="false" ht="13.8" hidden="true" customHeight="false" outlineLevel="0" collapsed="false">
      <c r="A8995" s="0" t="s">
        <v>150</v>
      </c>
      <c r="B8995" s="0" t="n">
        <v>1</v>
      </c>
      <c r="C8995" s="0" t="n">
        <v>1.4</v>
      </c>
      <c r="D8995" s="0" t="n">
        <v>0</v>
      </c>
    </row>
    <row r="8996" customFormat="false" ht="13.8" hidden="true" customHeight="false" outlineLevel="0" collapsed="false">
      <c r="A8996" s="0" t="s">
        <v>150</v>
      </c>
      <c r="B8996" s="0" t="n">
        <v>1</v>
      </c>
      <c r="C8996" s="0" t="n">
        <v>1.45</v>
      </c>
      <c r="D8996" s="0" t="n">
        <v>0</v>
      </c>
    </row>
    <row r="8997" customFormat="false" ht="13.8" hidden="true" customHeight="false" outlineLevel="0" collapsed="false">
      <c r="A8997" s="0" t="s">
        <v>150</v>
      </c>
      <c r="B8997" s="0" t="n">
        <v>1</v>
      </c>
      <c r="C8997" s="0" t="n">
        <v>1.5</v>
      </c>
      <c r="D8997" s="0" t="n">
        <v>0</v>
      </c>
    </row>
    <row r="8998" customFormat="false" ht="13.8" hidden="true" customHeight="false" outlineLevel="0" collapsed="false">
      <c r="A8998" s="0" t="s">
        <v>150</v>
      </c>
      <c r="B8998" s="0" t="n">
        <v>1</v>
      </c>
      <c r="C8998" s="0" t="n">
        <v>1.55</v>
      </c>
      <c r="D8998" s="0" t="n">
        <v>0</v>
      </c>
    </row>
    <row r="8999" customFormat="false" ht="13.8" hidden="true" customHeight="false" outlineLevel="0" collapsed="false">
      <c r="A8999" s="0" t="s">
        <v>150</v>
      </c>
      <c r="B8999" s="0" t="n">
        <v>1</v>
      </c>
      <c r="C8999" s="0" t="n">
        <v>1.6</v>
      </c>
      <c r="D8999" s="0" t="n">
        <v>0</v>
      </c>
    </row>
    <row r="9000" customFormat="false" ht="13.8" hidden="true" customHeight="false" outlineLevel="0" collapsed="false">
      <c r="A9000" s="0" t="s">
        <v>150</v>
      </c>
      <c r="B9000" s="0" t="n">
        <v>1</v>
      </c>
      <c r="C9000" s="0" t="n">
        <v>1.65</v>
      </c>
      <c r="D9000" s="0" t="n">
        <v>0</v>
      </c>
    </row>
    <row r="9001" customFormat="false" ht="13.8" hidden="true" customHeight="false" outlineLevel="0" collapsed="false">
      <c r="A9001" s="0" t="s">
        <v>150</v>
      </c>
      <c r="B9001" s="0" t="n">
        <v>1</v>
      </c>
      <c r="C9001" s="0" t="n">
        <v>1.7</v>
      </c>
      <c r="D9001" s="0" t="n">
        <v>0</v>
      </c>
    </row>
    <row r="9002" customFormat="false" ht="13.8" hidden="true" customHeight="false" outlineLevel="0" collapsed="false">
      <c r="A9002" s="0" t="s">
        <v>150</v>
      </c>
      <c r="B9002" s="0" t="n">
        <v>1</v>
      </c>
      <c r="C9002" s="0" t="n">
        <v>1.75</v>
      </c>
      <c r="D9002" s="0" t="n">
        <v>0</v>
      </c>
    </row>
    <row r="9003" customFormat="false" ht="13.8" hidden="true" customHeight="false" outlineLevel="0" collapsed="false">
      <c r="A9003" s="0" t="s">
        <v>150</v>
      </c>
      <c r="B9003" s="0" t="n">
        <v>1</v>
      </c>
      <c r="C9003" s="0" t="n">
        <v>1.8</v>
      </c>
      <c r="D9003" s="0" t="n">
        <v>0</v>
      </c>
    </row>
    <row r="9004" customFormat="false" ht="13.8" hidden="true" customHeight="false" outlineLevel="0" collapsed="false">
      <c r="A9004" s="0" t="s">
        <v>150</v>
      </c>
      <c r="B9004" s="0" t="n">
        <v>1</v>
      </c>
      <c r="C9004" s="0" t="n">
        <v>1.85</v>
      </c>
      <c r="D9004" s="0" t="n">
        <v>0.385</v>
      </c>
    </row>
    <row r="9005" customFormat="false" ht="13.8" hidden="true" customHeight="false" outlineLevel="0" collapsed="false">
      <c r="A9005" s="0" t="s">
        <v>150</v>
      </c>
      <c r="B9005" s="0" t="n">
        <v>1</v>
      </c>
      <c r="C9005" s="0" t="n">
        <v>1.9</v>
      </c>
      <c r="D9005" s="0" t="n">
        <v>0.396</v>
      </c>
    </row>
    <row r="9006" customFormat="false" ht="13.8" hidden="true" customHeight="false" outlineLevel="0" collapsed="false">
      <c r="A9006" s="0" t="s">
        <v>150</v>
      </c>
      <c r="B9006" s="0" t="n">
        <v>1</v>
      </c>
      <c r="C9006" s="0" t="n">
        <v>1.95</v>
      </c>
      <c r="D9006" s="0" t="n">
        <v>0.406</v>
      </c>
    </row>
    <row r="9007" customFormat="false" ht="13.8" hidden="true" customHeight="false" outlineLevel="0" collapsed="false">
      <c r="A9007" s="0" t="s">
        <v>150</v>
      </c>
      <c r="B9007" s="0" t="n">
        <v>1</v>
      </c>
      <c r="C9007" s="0" t="n">
        <v>2</v>
      </c>
      <c r="D9007" s="0" t="n">
        <v>0.426</v>
      </c>
    </row>
    <row r="9008" customFormat="false" ht="13.8" hidden="true" customHeight="false" outlineLevel="0" collapsed="false">
      <c r="A9008" s="0" t="s">
        <v>150</v>
      </c>
      <c r="B9008" s="0" t="n">
        <v>1</v>
      </c>
      <c r="C9008" s="0" t="n">
        <v>2.05</v>
      </c>
      <c r="D9008" s="0" t="n">
        <v>0.436</v>
      </c>
    </row>
    <row r="9009" customFormat="false" ht="13.8" hidden="true" customHeight="false" outlineLevel="0" collapsed="false">
      <c r="A9009" s="0" t="s">
        <v>150</v>
      </c>
      <c r="B9009" s="0" t="n">
        <v>1</v>
      </c>
      <c r="C9009" s="0" t="n">
        <v>2.1</v>
      </c>
      <c r="D9009" s="0" t="n">
        <v>0.447</v>
      </c>
    </row>
    <row r="9010" customFormat="false" ht="13.8" hidden="true" customHeight="false" outlineLevel="0" collapsed="false">
      <c r="A9010" s="0" t="s">
        <v>150</v>
      </c>
      <c r="B9010" s="0" t="n">
        <v>1</v>
      </c>
      <c r="C9010" s="0" t="n">
        <v>2.15</v>
      </c>
      <c r="D9010" s="0" t="n">
        <v>0.45762325</v>
      </c>
    </row>
    <row r="9011" customFormat="false" ht="13.8" hidden="true" customHeight="false" outlineLevel="0" collapsed="false">
      <c r="A9011" s="0" t="s">
        <v>150</v>
      </c>
      <c r="B9011" s="0" t="n">
        <v>1</v>
      </c>
      <c r="C9011" s="0" t="n">
        <v>2.2</v>
      </c>
      <c r="D9011" s="0" t="n">
        <v>0.468265651</v>
      </c>
    </row>
    <row r="9012" customFormat="false" ht="13.8" hidden="true" customHeight="false" outlineLevel="0" collapsed="false">
      <c r="A9012" s="0" t="s">
        <v>150</v>
      </c>
      <c r="B9012" s="0" t="n">
        <v>1</v>
      </c>
      <c r="C9012" s="0" t="n">
        <v>2.25</v>
      </c>
      <c r="D9012" s="0" t="n">
        <v>0.478908052</v>
      </c>
    </row>
    <row r="9013" customFormat="false" ht="13.8" hidden="true" customHeight="false" outlineLevel="0" collapsed="false">
      <c r="A9013" s="0" t="s">
        <v>150</v>
      </c>
      <c r="B9013" s="0" t="n">
        <v>1</v>
      </c>
      <c r="C9013" s="0" t="n">
        <v>2.3</v>
      </c>
      <c r="D9013" s="0" t="n">
        <v>0</v>
      </c>
    </row>
    <row r="9014" customFormat="false" ht="13.8" hidden="true" customHeight="false" outlineLevel="0" collapsed="false">
      <c r="A9014" s="0" t="s">
        <v>150</v>
      </c>
      <c r="B9014" s="0" t="n">
        <v>1</v>
      </c>
      <c r="C9014" s="0" t="n">
        <v>2.35</v>
      </c>
      <c r="D9014" s="0" t="n">
        <v>0</v>
      </c>
    </row>
    <row r="9015" customFormat="false" ht="13.8" hidden="true" customHeight="false" outlineLevel="0" collapsed="false">
      <c r="A9015" s="0" t="s">
        <v>150</v>
      </c>
      <c r="B9015" s="0" t="n">
        <v>1</v>
      </c>
      <c r="C9015" s="0" t="n">
        <v>2.4</v>
      </c>
      <c r="D9015" s="0" t="n">
        <v>0</v>
      </c>
    </row>
    <row r="9016" customFormat="false" ht="13.8" hidden="true" customHeight="false" outlineLevel="0" collapsed="false">
      <c r="A9016" s="0" t="s">
        <v>150</v>
      </c>
      <c r="B9016" s="0" t="n">
        <v>1</v>
      </c>
      <c r="C9016" s="0" t="n">
        <v>2.45</v>
      </c>
      <c r="D9016" s="0" t="n">
        <v>0</v>
      </c>
    </row>
    <row r="9017" customFormat="false" ht="13.8" hidden="true" customHeight="false" outlineLevel="0" collapsed="false">
      <c r="A9017" s="0" t="s">
        <v>150</v>
      </c>
      <c r="B9017" s="0" t="n">
        <v>1</v>
      </c>
      <c r="C9017" s="0" t="n">
        <v>2.5</v>
      </c>
      <c r="D9017" s="0" t="n">
        <v>0</v>
      </c>
    </row>
    <row r="9018" customFormat="false" ht="13.8" hidden="true" customHeight="false" outlineLevel="0" collapsed="false">
      <c r="A9018" s="0" t="s">
        <v>150</v>
      </c>
      <c r="B9018" s="0" t="n">
        <v>1</v>
      </c>
      <c r="C9018" s="0" t="n">
        <v>2.55</v>
      </c>
      <c r="D9018" s="0" t="n">
        <v>0</v>
      </c>
    </row>
    <row r="9019" customFormat="false" ht="13.8" hidden="true" customHeight="false" outlineLevel="0" collapsed="false">
      <c r="A9019" s="0" t="s">
        <v>150</v>
      </c>
      <c r="B9019" s="0" t="n">
        <v>1</v>
      </c>
      <c r="C9019" s="0" t="n">
        <v>2.6</v>
      </c>
      <c r="D9019" s="0" t="n">
        <v>0</v>
      </c>
    </row>
    <row r="9020" customFormat="false" ht="13.8" hidden="true" customHeight="false" outlineLevel="0" collapsed="false">
      <c r="A9020" s="0" t="s">
        <v>266</v>
      </c>
      <c r="B9020" s="0" t="n">
        <v>1</v>
      </c>
      <c r="C9020" s="0" t="n">
        <v>1.3</v>
      </c>
      <c r="D9020" s="0" t="n">
        <v>0</v>
      </c>
    </row>
    <row r="9021" customFormat="false" ht="13.8" hidden="true" customHeight="false" outlineLevel="0" collapsed="false">
      <c r="A9021" s="0" t="s">
        <v>266</v>
      </c>
      <c r="B9021" s="0" t="n">
        <v>1</v>
      </c>
      <c r="C9021" s="0" t="n">
        <v>1.35</v>
      </c>
      <c r="D9021" s="0" t="n">
        <v>0</v>
      </c>
    </row>
    <row r="9022" customFormat="false" ht="13.8" hidden="true" customHeight="false" outlineLevel="0" collapsed="false">
      <c r="A9022" s="0" t="s">
        <v>266</v>
      </c>
      <c r="B9022" s="0" t="n">
        <v>1</v>
      </c>
      <c r="C9022" s="0" t="n">
        <v>1.4</v>
      </c>
      <c r="D9022" s="0" t="n">
        <v>0</v>
      </c>
    </row>
    <row r="9023" customFormat="false" ht="13.8" hidden="true" customHeight="false" outlineLevel="0" collapsed="false">
      <c r="A9023" s="0" t="s">
        <v>266</v>
      </c>
      <c r="B9023" s="0" t="n">
        <v>1</v>
      </c>
      <c r="C9023" s="0" t="n">
        <v>1.45</v>
      </c>
      <c r="D9023" s="0" t="n">
        <v>0</v>
      </c>
    </row>
    <row r="9024" customFormat="false" ht="13.8" hidden="true" customHeight="false" outlineLevel="0" collapsed="false">
      <c r="A9024" s="0" t="s">
        <v>266</v>
      </c>
      <c r="B9024" s="0" t="n">
        <v>1</v>
      </c>
      <c r="C9024" s="0" t="n">
        <v>1.5</v>
      </c>
      <c r="D9024" s="0" t="n">
        <v>0</v>
      </c>
    </row>
    <row r="9025" customFormat="false" ht="13.8" hidden="true" customHeight="false" outlineLevel="0" collapsed="false">
      <c r="A9025" s="0" t="s">
        <v>266</v>
      </c>
      <c r="B9025" s="0" t="n">
        <v>1</v>
      </c>
      <c r="C9025" s="0" t="n">
        <v>1.55</v>
      </c>
      <c r="D9025" s="0" t="n">
        <v>0</v>
      </c>
    </row>
    <row r="9026" customFormat="false" ht="13.8" hidden="true" customHeight="false" outlineLevel="0" collapsed="false">
      <c r="A9026" s="0" t="s">
        <v>266</v>
      </c>
      <c r="B9026" s="0" t="n">
        <v>1</v>
      </c>
      <c r="C9026" s="0" t="n">
        <v>1.6</v>
      </c>
      <c r="D9026" s="0" t="n">
        <v>0</v>
      </c>
    </row>
    <row r="9027" customFormat="false" ht="13.8" hidden="true" customHeight="false" outlineLevel="0" collapsed="false">
      <c r="A9027" s="0" t="s">
        <v>266</v>
      </c>
      <c r="B9027" s="0" t="n">
        <v>1</v>
      </c>
      <c r="C9027" s="0" t="n">
        <v>1.65</v>
      </c>
      <c r="D9027" s="0" t="n">
        <v>0</v>
      </c>
    </row>
    <row r="9028" customFormat="false" ht="13.8" hidden="true" customHeight="false" outlineLevel="0" collapsed="false">
      <c r="A9028" s="0" t="s">
        <v>266</v>
      </c>
      <c r="B9028" s="0" t="n">
        <v>1</v>
      </c>
      <c r="C9028" s="0" t="n">
        <v>1.7</v>
      </c>
      <c r="D9028" s="0" t="n">
        <v>0</v>
      </c>
    </row>
    <row r="9029" customFormat="false" ht="13.8" hidden="true" customHeight="false" outlineLevel="0" collapsed="false">
      <c r="A9029" s="0" t="s">
        <v>266</v>
      </c>
      <c r="B9029" s="0" t="n">
        <v>1</v>
      </c>
      <c r="C9029" s="0" t="n">
        <v>1.75</v>
      </c>
      <c r="D9029" s="0" t="n">
        <v>0</v>
      </c>
    </row>
    <row r="9030" customFormat="false" ht="13.8" hidden="true" customHeight="false" outlineLevel="0" collapsed="false">
      <c r="A9030" s="0" t="s">
        <v>266</v>
      </c>
      <c r="B9030" s="0" t="n">
        <v>1</v>
      </c>
      <c r="C9030" s="0" t="n">
        <v>1.8</v>
      </c>
      <c r="D9030" s="0" t="n">
        <v>0</v>
      </c>
    </row>
    <row r="9031" customFormat="false" ht="13.8" hidden="true" customHeight="false" outlineLevel="0" collapsed="false">
      <c r="A9031" s="0" t="s">
        <v>266</v>
      </c>
      <c r="B9031" s="0" t="n">
        <v>1</v>
      </c>
      <c r="C9031" s="0" t="n">
        <v>1.85</v>
      </c>
      <c r="D9031" s="0" t="n">
        <v>0.385</v>
      </c>
    </row>
    <row r="9032" customFormat="false" ht="13.8" hidden="true" customHeight="false" outlineLevel="0" collapsed="false">
      <c r="A9032" s="0" t="s">
        <v>266</v>
      </c>
      <c r="B9032" s="0" t="n">
        <v>1</v>
      </c>
      <c r="C9032" s="0" t="n">
        <v>1.9</v>
      </c>
      <c r="D9032" s="0" t="n">
        <v>0.396</v>
      </c>
    </row>
    <row r="9033" customFormat="false" ht="13.8" hidden="true" customHeight="false" outlineLevel="0" collapsed="false">
      <c r="A9033" s="0" t="s">
        <v>266</v>
      </c>
      <c r="B9033" s="0" t="n">
        <v>1</v>
      </c>
      <c r="C9033" s="0" t="n">
        <v>1.95</v>
      </c>
      <c r="D9033" s="0" t="n">
        <v>0.406</v>
      </c>
    </row>
    <row r="9034" customFormat="false" ht="13.8" hidden="true" customHeight="false" outlineLevel="0" collapsed="false">
      <c r="A9034" s="0" t="s">
        <v>266</v>
      </c>
      <c r="B9034" s="0" t="n">
        <v>1</v>
      </c>
      <c r="C9034" s="0" t="n">
        <v>2</v>
      </c>
      <c r="D9034" s="0" t="n">
        <v>0.426</v>
      </c>
    </row>
    <row r="9035" customFormat="false" ht="13.8" hidden="true" customHeight="false" outlineLevel="0" collapsed="false">
      <c r="A9035" s="0" t="s">
        <v>266</v>
      </c>
      <c r="B9035" s="0" t="n">
        <v>1</v>
      </c>
      <c r="C9035" s="0" t="n">
        <v>2.05</v>
      </c>
      <c r="D9035" s="0" t="n">
        <v>0.436</v>
      </c>
    </row>
    <row r="9036" customFormat="false" ht="13.8" hidden="true" customHeight="false" outlineLevel="0" collapsed="false">
      <c r="A9036" s="0" t="s">
        <v>266</v>
      </c>
      <c r="B9036" s="0" t="n">
        <v>1</v>
      </c>
      <c r="C9036" s="0" t="n">
        <v>2.1</v>
      </c>
      <c r="D9036" s="0" t="n">
        <v>0.447</v>
      </c>
    </row>
    <row r="9037" customFormat="false" ht="13.8" hidden="true" customHeight="false" outlineLevel="0" collapsed="false">
      <c r="A9037" s="0" t="s">
        <v>266</v>
      </c>
      <c r="B9037" s="0" t="n">
        <v>1</v>
      </c>
      <c r="C9037" s="0" t="n">
        <v>2.15</v>
      </c>
      <c r="D9037" s="0" t="n">
        <v>0.45762325</v>
      </c>
    </row>
    <row r="9038" customFormat="false" ht="13.8" hidden="true" customHeight="false" outlineLevel="0" collapsed="false">
      <c r="A9038" s="0" t="s">
        <v>266</v>
      </c>
      <c r="B9038" s="0" t="n">
        <v>1</v>
      </c>
      <c r="C9038" s="0" t="n">
        <v>2.2</v>
      </c>
      <c r="D9038" s="0" t="n">
        <v>0.468265651</v>
      </c>
    </row>
    <row r="9039" customFormat="false" ht="13.8" hidden="true" customHeight="false" outlineLevel="0" collapsed="false">
      <c r="A9039" s="0" t="s">
        <v>266</v>
      </c>
      <c r="B9039" s="0" t="n">
        <v>1</v>
      </c>
      <c r="C9039" s="0" t="n">
        <v>2.25</v>
      </c>
      <c r="D9039" s="0" t="n">
        <v>0.478908052</v>
      </c>
    </row>
    <row r="9040" customFormat="false" ht="13.8" hidden="true" customHeight="false" outlineLevel="0" collapsed="false">
      <c r="A9040" s="0" t="s">
        <v>266</v>
      </c>
      <c r="B9040" s="0" t="n">
        <v>1</v>
      </c>
      <c r="C9040" s="0" t="n">
        <v>2.3</v>
      </c>
      <c r="D9040" s="0" t="n">
        <v>0</v>
      </c>
    </row>
    <row r="9041" customFormat="false" ht="13.8" hidden="true" customHeight="false" outlineLevel="0" collapsed="false">
      <c r="A9041" s="0" t="s">
        <v>266</v>
      </c>
      <c r="B9041" s="0" t="n">
        <v>1</v>
      </c>
      <c r="C9041" s="0" t="n">
        <v>2.35</v>
      </c>
      <c r="D9041" s="0" t="n">
        <v>0</v>
      </c>
    </row>
    <row r="9042" customFormat="false" ht="13.8" hidden="true" customHeight="false" outlineLevel="0" collapsed="false">
      <c r="A9042" s="0" t="s">
        <v>266</v>
      </c>
      <c r="B9042" s="0" t="n">
        <v>1</v>
      </c>
      <c r="C9042" s="0" t="n">
        <v>2.4</v>
      </c>
      <c r="D9042" s="0" t="n">
        <v>0</v>
      </c>
    </row>
    <row r="9043" customFormat="false" ht="13.8" hidden="true" customHeight="false" outlineLevel="0" collapsed="false">
      <c r="A9043" s="0" t="s">
        <v>266</v>
      </c>
      <c r="B9043" s="0" t="n">
        <v>1</v>
      </c>
      <c r="C9043" s="0" t="n">
        <v>2.45</v>
      </c>
      <c r="D9043" s="0" t="n">
        <v>0</v>
      </c>
    </row>
    <row r="9044" customFormat="false" ht="13.8" hidden="true" customHeight="false" outlineLevel="0" collapsed="false">
      <c r="A9044" s="0" t="s">
        <v>266</v>
      </c>
      <c r="B9044" s="0" t="n">
        <v>1</v>
      </c>
      <c r="C9044" s="0" t="n">
        <v>2.5</v>
      </c>
      <c r="D9044" s="0" t="n">
        <v>0</v>
      </c>
    </row>
    <row r="9045" customFormat="false" ht="13.8" hidden="true" customHeight="false" outlineLevel="0" collapsed="false">
      <c r="A9045" s="0" t="s">
        <v>266</v>
      </c>
      <c r="B9045" s="0" t="n">
        <v>1</v>
      </c>
      <c r="C9045" s="0" t="n">
        <v>2.55</v>
      </c>
      <c r="D9045" s="0" t="n">
        <v>0</v>
      </c>
    </row>
    <row r="9046" customFormat="false" ht="13.8" hidden="true" customHeight="false" outlineLevel="0" collapsed="false">
      <c r="A9046" s="0" t="s">
        <v>266</v>
      </c>
      <c r="B9046" s="0" t="n">
        <v>1</v>
      </c>
      <c r="C9046" s="0" t="n">
        <v>2.6</v>
      </c>
      <c r="D9046" s="0" t="n">
        <v>0</v>
      </c>
    </row>
    <row r="9047" customFormat="false" ht="13.8" hidden="true" customHeight="false" outlineLevel="0" collapsed="false">
      <c r="A9047" s="0" t="s">
        <v>151</v>
      </c>
      <c r="B9047" s="0" t="n">
        <v>1</v>
      </c>
      <c r="C9047" s="0" t="n">
        <v>1.3</v>
      </c>
      <c r="D9047" s="0" t="n">
        <v>0</v>
      </c>
    </row>
    <row r="9048" customFormat="false" ht="13.8" hidden="true" customHeight="false" outlineLevel="0" collapsed="false">
      <c r="A9048" s="0" t="s">
        <v>151</v>
      </c>
      <c r="B9048" s="0" t="n">
        <v>1</v>
      </c>
      <c r="C9048" s="0" t="n">
        <v>1.35</v>
      </c>
      <c r="D9048" s="0" t="n">
        <v>0</v>
      </c>
    </row>
    <row r="9049" customFormat="false" ht="13.8" hidden="true" customHeight="false" outlineLevel="0" collapsed="false">
      <c r="A9049" s="0" t="s">
        <v>151</v>
      </c>
      <c r="B9049" s="0" t="n">
        <v>1</v>
      </c>
      <c r="C9049" s="0" t="n">
        <v>1.4</v>
      </c>
      <c r="D9049" s="0" t="n">
        <v>0</v>
      </c>
    </row>
    <row r="9050" customFormat="false" ht="13.8" hidden="true" customHeight="false" outlineLevel="0" collapsed="false">
      <c r="A9050" s="0" t="s">
        <v>151</v>
      </c>
      <c r="B9050" s="0" t="n">
        <v>1</v>
      </c>
      <c r="C9050" s="0" t="n">
        <v>1.45</v>
      </c>
      <c r="D9050" s="0" t="n">
        <v>0.302</v>
      </c>
    </row>
    <row r="9051" customFormat="false" ht="13.8" hidden="true" customHeight="false" outlineLevel="0" collapsed="false">
      <c r="A9051" s="0" t="s">
        <v>151</v>
      </c>
      <c r="B9051" s="0" t="n">
        <v>1</v>
      </c>
      <c r="C9051" s="0" t="n">
        <v>1.5</v>
      </c>
      <c r="D9051" s="0" t="n">
        <v>0.312</v>
      </c>
    </row>
    <row r="9052" customFormat="false" ht="13.8" hidden="true" customHeight="false" outlineLevel="0" collapsed="false">
      <c r="A9052" s="0" t="s">
        <v>151</v>
      </c>
      <c r="B9052" s="0" t="n">
        <v>1</v>
      </c>
      <c r="C9052" s="0" t="n">
        <v>1.55</v>
      </c>
      <c r="D9052" s="0" t="n">
        <v>0.323</v>
      </c>
    </row>
    <row r="9053" customFormat="false" ht="13.8" hidden="true" customHeight="false" outlineLevel="0" collapsed="false">
      <c r="A9053" s="0" t="s">
        <v>151</v>
      </c>
      <c r="B9053" s="0" t="n">
        <v>1</v>
      </c>
      <c r="C9053" s="0" t="n">
        <v>1.6</v>
      </c>
      <c r="D9053" s="0" t="n">
        <v>0.333</v>
      </c>
    </row>
    <row r="9054" customFormat="false" ht="13.8" hidden="true" customHeight="false" outlineLevel="0" collapsed="false">
      <c r="A9054" s="0" t="s">
        <v>151</v>
      </c>
      <c r="B9054" s="0" t="n">
        <v>1</v>
      </c>
      <c r="C9054" s="0" t="n">
        <v>1.65</v>
      </c>
      <c r="D9054" s="0" t="n">
        <v>0.344</v>
      </c>
    </row>
    <row r="9055" customFormat="false" ht="13.8" hidden="true" customHeight="false" outlineLevel="0" collapsed="false">
      <c r="A9055" s="0" t="s">
        <v>151</v>
      </c>
      <c r="B9055" s="0" t="n">
        <v>1</v>
      </c>
      <c r="C9055" s="0" t="n">
        <v>1.7</v>
      </c>
      <c r="D9055" s="0" t="n">
        <v>0.354</v>
      </c>
    </row>
    <row r="9056" customFormat="false" ht="13.8" hidden="true" customHeight="false" outlineLevel="0" collapsed="false">
      <c r="A9056" s="0" t="s">
        <v>151</v>
      </c>
      <c r="B9056" s="0" t="n">
        <v>1</v>
      </c>
      <c r="C9056" s="0" t="n">
        <v>1.75</v>
      </c>
      <c r="D9056" s="0" t="n">
        <v>0.364</v>
      </c>
    </row>
    <row r="9057" customFormat="false" ht="13.8" hidden="true" customHeight="false" outlineLevel="0" collapsed="false">
      <c r="A9057" s="0" t="s">
        <v>151</v>
      </c>
      <c r="B9057" s="0" t="n">
        <v>1</v>
      </c>
      <c r="C9057" s="0" t="n">
        <v>1.8</v>
      </c>
      <c r="D9057" s="0" t="n">
        <v>0.375</v>
      </c>
    </row>
    <row r="9058" customFormat="false" ht="13.8" hidden="true" customHeight="false" outlineLevel="0" collapsed="false">
      <c r="A9058" s="0" t="s">
        <v>151</v>
      </c>
      <c r="B9058" s="0" t="n">
        <v>1</v>
      </c>
      <c r="C9058" s="0" t="n">
        <v>1.85</v>
      </c>
      <c r="D9058" s="0" t="n">
        <v>0</v>
      </c>
    </row>
    <row r="9059" customFormat="false" ht="13.8" hidden="true" customHeight="false" outlineLevel="0" collapsed="false">
      <c r="A9059" s="0" t="s">
        <v>151</v>
      </c>
      <c r="B9059" s="0" t="n">
        <v>1</v>
      </c>
      <c r="C9059" s="0" t="n">
        <v>1.9</v>
      </c>
      <c r="D9059" s="0" t="n">
        <v>0</v>
      </c>
    </row>
    <row r="9060" customFormat="false" ht="13.8" hidden="true" customHeight="false" outlineLevel="0" collapsed="false">
      <c r="A9060" s="0" t="s">
        <v>151</v>
      </c>
      <c r="B9060" s="0" t="n">
        <v>1</v>
      </c>
      <c r="C9060" s="0" t="n">
        <v>1.95</v>
      </c>
      <c r="D9060" s="0" t="n">
        <v>0</v>
      </c>
    </row>
    <row r="9061" customFormat="false" ht="13.8" hidden="true" customHeight="false" outlineLevel="0" collapsed="false">
      <c r="A9061" s="0" t="s">
        <v>151</v>
      </c>
      <c r="B9061" s="0" t="n">
        <v>1</v>
      </c>
      <c r="C9061" s="0" t="n">
        <v>2</v>
      </c>
      <c r="D9061" s="0" t="n">
        <v>0</v>
      </c>
    </row>
    <row r="9062" customFormat="false" ht="13.8" hidden="true" customHeight="false" outlineLevel="0" collapsed="false">
      <c r="A9062" s="0" t="s">
        <v>151</v>
      </c>
      <c r="B9062" s="0" t="n">
        <v>1</v>
      </c>
      <c r="C9062" s="0" t="n">
        <v>2.05</v>
      </c>
      <c r="D9062" s="0" t="n">
        <v>0</v>
      </c>
    </row>
    <row r="9063" customFormat="false" ht="13.8" hidden="true" customHeight="false" outlineLevel="0" collapsed="false">
      <c r="A9063" s="0" t="s">
        <v>151</v>
      </c>
      <c r="B9063" s="0" t="n">
        <v>1</v>
      </c>
      <c r="C9063" s="0" t="n">
        <v>2.1</v>
      </c>
      <c r="D9063" s="0" t="n">
        <v>0</v>
      </c>
    </row>
    <row r="9064" customFormat="false" ht="13.8" hidden="true" customHeight="false" outlineLevel="0" collapsed="false">
      <c r="A9064" s="0" t="s">
        <v>151</v>
      </c>
      <c r="B9064" s="0" t="n">
        <v>1</v>
      </c>
      <c r="C9064" s="0" t="n">
        <v>2.15</v>
      </c>
      <c r="D9064" s="0" t="n">
        <v>0</v>
      </c>
    </row>
    <row r="9065" customFormat="false" ht="13.8" hidden="true" customHeight="false" outlineLevel="0" collapsed="false">
      <c r="A9065" s="0" t="s">
        <v>151</v>
      </c>
      <c r="B9065" s="0" t="n">
        <v>1</v>
      </c>
      <c r="C9065" s="0" t="n">
        <v>2.2</v>
      </c>
      <c r="D9065" s="0" t="n">
        <v>0</v>
      </c>
    </row>
    <row r="9066" customFormat="false" ht="13.8" hidden="true" customHeight="false" outlineLevel="0" collapsed="false">
      <c r="A9066" s="0" t="s">
        <v>151</v>
      </c>
      <c r="B9066" s="0" t="n">
        <v>1</v>
      </c>
      <c r="C9066" s="0" t="n">
        <v>2.25</v>
      </c>
      <c r="D9066" s="0" t="n">
        <v>0</v>
      </c>
    </row>
    <row r="9067" customFormat="false" ht="13.8" hidden="true" customHeight="false" outlineLevel="0" collapsed="false">
      <c r="A9067" s="0" t="s">
        <v>151</v>
      </c>
      <c r="B9067" s="0" t="n">
        <v>1</v>
      </c>
      <c r="C9067" s="0" t="n">
        <v>2.3</v>
      </c>
      <c r="D9067" s="0" t="n">
        <v>0</v>
      </c>
    </row>
    <row r="9068" customFormat="false" ht="13.8" hidden="true" customHeight="false" outlineLevel="0" collapsed="false">
      <c r="A9068" s="0" t="s">
        <v>151</v>
      </c>
      <c r="B9068" s="0" t="n">
        <v>1</v>
      </c>
      <c r="C9068" s="0" t="n">
        <v>2.35</v>
      </c>
      <c r="D9068" s="0" t="n">
        <v>0</v>
      </c>
    </row>
    <row r="9069" customFormat="false" ht="13.8" hidden="true" customHeight="false" outlineLevel="0" collapsed="false">
      <c r="A9069" s="0" t="s">
        <v>151</v>
      </c>
      <c r="B9069" s="0" t="n">
        <v>1</v>
      </c>
      <c r="C9069" s="0" t="n">
        <v>2.4</v>
      </c>
      <c r="D9069" s="0" t="n">
        <v>0</v>
      </c>
    </row>
    <row r="9070" customFormat="false" ht="13.8" hidden="true" customHeight="false" outlineLevel="0" collapsed="false">
      <c r="A9070" s="0" t="s">
        <v>151</v>
      </c>
      <c r="B9070" s="0" t="n">
        <v>1</v>
      </c>
      <c r="C9070" s="0" t="n">
        <v>2.45</v>
      </c>
      <c r="D9070" s="0" t="n">
        <v>0</v>
      </c>
    </row>
    <row r="9071" customFormat="false" ht="13.8" hidden="true" customHeight="false" outlineLevel="0" collapsed="false">
      <c r="A9071" s="0" t="s">
        <v>151</v>
      </c>
      <c r="B9071" s="0" t="n">
        <v>1</v>
      </c>
      <c r="C9071" s="0" t="n">
        <v>2.5</v>
      </c>
      <c r="D9071" s="0" t="n">
        <v>0</v>
      </c>
    </row>
    <row r="9072" customFormat="false" ht="13.8" hidden="true" customHeight="false" outlineLevel="0" collapsed="false">
      <c r="A9072" s="0" t="s">
        <v>151</v>
      </c>
      <c r="B9072" s="0" t="n">
        <v>1</v>
      </c>
      <c r="C9072" s="0" t="n">
        <v>2.55</v>
      </c>
      <c r="D9072" s="0" t="n">
        <v>0</v>
      </c>
    </row>
    <row r="9073" customFormat="false" ht="13.8" hidden="true" customHeight="false" outlineLevel="0" collapsed="false">
      <c r="A9073" s="0" t="s">
        <v>151</v>
      </c>
      <c r="B9073" s="0" t="n">
        <v>1</v>
      </c>
      <c r="C9073" s="0" t="n">
        <v>2.6</v>
      </c>
      <c r="D9073" s="0" t="n">
        <v>0</v>
      </c>
    </row>
    <row r="9074" customFormat="false" ht="13.8" hidden="true" customHeight="false" outlineLevel="0" collapsed="false">
      <c r="A9074" s="0" t="s">
        <v>1039</v>
      </c>
      <c r="B9074" s="0" t="n">
        <v>1</v>
      </c>
      <c r="C9074" s="0" t="n">
        <v>1.3</v>
      </c>
      <c r="D9074" s="0" t="n">
        <v>0</v>
      </c>
    </row>
    <row r="9075" customFormat="false" ht="13.8" hidden="true" customHeight="false" outlineLevel="0" collapsed="false">
      <c r="A9075" s="0" t="s">
        <v>1039</v>
      </c>
      <c r="B9075" s="0" t="n">
        <v>1</v>
      </c>
      <c r="C9075" s="0" t="n">
        <v>1.35</v>
      </c>
      <c r="D9075" s="0" t="n">
        <v>0</v>
      </c>
    </row>
    <row r="9076" customFormat="false" ht="13.8" hidden="true" customHeight="false" outlineLevel="0" collapsed="false">
      <c r="A9076" s="0" t="s">
        <v>1039</v>
      </c>
      <c r="B9076" s="0" t="n">
        <v>1</v>
      </c>
      <c r="C9076" s="0" t="n">
        <v>1.4</v>
      </c>
      <c r="D9076" s="0" t="n">
        <v>0</v>
      </c>
    </row>
    <row r="9077" customFormat="false" ht="13.8" hidden="true" customHeight="false" outlineLevel="0" collapsed="false">
      <c r="A9077" s="0" t="s">
        <v>1039</v>
      </c>
      <c r="B9077" s="0" t="n">
        <v>1</v>
      </c>
      <c r="C9077" s="0" t="n">
        <v>1.45</v>
      </c>
      <c r="D9077" s="0" t="n">
        <v>0</v>
      </c>
    </row>
    <row r="9078" customFormat="false" ht="13.8" hidden="true" customHeight="false" outlineLevel="0" collapsed="false">
      <c r="A9078" s="0" t="s">
        <v>1039</v>
      </c>
      <c r="B9078" s="0" t="n">
        <v>1</v>
      </c>
      <c r="C9078" s="0" t="n">
        <v>1.5</v>
      </c>
      <c r="D9078" s="0" t="n">
        <v>0</v>
      </c>
    </row>
    <row r="9079" customFormat="false" ht="13.8" hidden="true" customHeight="false" outlineLevel="0" collapsed="false">
      <c r="A9079" s="0" t="s">
        <v>1039</v>
      </c>
      <c r="B9079" s="0" t="n">
        <v>1</v>
      </c>
      <c r="C9079" s="0" t="n">
        <v>1.55</v>
      </c>
      <c r="D9079" s="0" t="n">
        <v>0</v>
      </c>
    </row>
    <row r="9080" customFormat="false" ht="13.8" hidden="true" customHeight="false" outlineLevel="0" collapsed="false">
      <c r="A9080" s="0" t="s">
        <v>1039</v>
      </c>
      <c r="B9080" s="0" t="n">
        <v>1</v>
      </c>
      <c r="C9080" s="0" t="n">
        <v>1.6</v>
      </c>
      <c r="D9080" s="0" t="n">
        <v>0</v>
      </c>
    </row>
    <row r="9081" customFormat="false" ht="13.8" hidden="true" customHeight="false" outlineLevel="0" collapsed="false">
      <c r="A9081" s="0" t="s">
        <v>1039</v>
      </c>
      <c r="B9081" s="0" t="n">
        <v>1</v>
      </c>
      <c r="C9081" s="0" t="n">
        <v>1.65</v>
      </c>
      <c r="D9081" s="0" t="n">
        <v>0</v>
      </c>
    </row>
    <row r="9082" customFormat="false" ht="13.8" hidden="true" customHeight="false" outlineLevel="0" collapsed="false">
      <c r="A9082" s="0" t="s">
        <v>1039</v>
      </c>
      <c r="B9082" s="0" t="n">
        <v>1</v>
      </c>
      <c r="C9082" s="0" t="n">
        <v>1.7</v>
      </c>
      <c r="D9082" s="0" t="n">
        <v>0</v>
      </c>
    </row>
    <row r="9083" customFormat="false" ht="13.8" hidden="true" customHeight="false" outlineLevel="0" collapsed="false">
      <c r="A9083" s="0" t="s">
        <v>1039</v>
      </c>
      <c r="B9083" s="0" t="n">
        <v>1</v>
      </c>
      <c r="C9083" s="0" t="n">
        <v>1.75</v>
      </c>
      <c r="D9083" s="0" t="n">
        <v>0</v>
      </c>
    </row>
    <row r="9084" customFormat="false" ht="13.8" hidden="true" customHeight="false" outlineLevel="0" collapsed="false">
      <c r="A9084" s="0" t="s">
        <v>1039</v>
      </c>
      <c r="B9084" s="0" t="n">
        <v>1</v>
      </c>
      <c r="C9084" s="0" t="n">
        <v>1.8</v>
      </c>
      <c r="D9084" s="0" t="n">
        <v>0</v>
      </c>
    </row>
    <row r="9085" customFormat="false" ht="13.8" hidden="true" customHeight="false" outlineLevel="0" collapsed="false">
      <c r="A9085" s="0" t="s">
        <v>1039</v>
      </c>
      <c r="B9085" s="0" t="n">
        <v>1</v>
      </c>
      <c r="C9085" s="0" t="n">
        <v>1.85</v>
      </c>
      <c r="D9085" s="0" t="n">
        <v>0.385</v>
      </c>
    </row>
    <row r="9086" customFormat="false" ht="13.8" hidden="true" customHeight="false" outlineLevel="0" collapsed="false">
      <c r="A9086" s="0" t="s">
        <v>1039</v>
      </c>
      <c r="B9086" s="0" t="n">
        <v>1</v>
      </c>
      <c r="C9086" s="0" t="n">
        <v>1.9</v>
      </c>
      <c r="D9086" s="0" t="n">
        <v>0.396</v>
      </c>
    </row>
    <row r="9087" customFormat="false" ht="13.8" hidden="true" customHeight="false" outlineLevel="0" collapsed="false">
      <c r="A9087" s="0" t="s">
        <v>1039</v>
      </c>
      <c r="B9087" s="0" t="n">
        <v>1</v>
      </c>
      <c r="C9087" s="0" t="n">
        <v>1.95</v>
      </c>
      <c r="D9087" s="0" t="n">
        <v>0.406</v>
      </c>
    </row>
    <row r="9088" customFormat="false" ht="13.8" hidden="true" customHeight="false" outlineLevel="0" collapsed="false">
      <c r="A9088" s="0" t="s">
        <v>1039</v>
      </c>
      <c r="B9088" s="0" t="n">
        <v>1</v>
      </c>
      <c r="C9088" s="0" t="n">
        <v>2</v>
      </c>
      <c r="D9088" s="0" t="n">
        <v>0.426</v>
      </c>
    </row>
    <row r="9089" customFormat="false" ht="13.8" hidden="true" customHeight="false" outlineLevel="0" collapsed="false">
      <c r="A9089" s="0" t="s">
        <v>1039</v>
      </c>
      <c r="B9089" s="0" t="n">
        <v>1</v>
      </c>
      <c r="C9089" s="0" t="n">
        <v>2.05</v>
      </c>
      <c r="D9089" s="0" t="n">
        <v>0.436</v>
      </c>
    </row>
    <row r="9090" customFormat="false" ht="13.8" hidden="true" customHeight="false" outlineLevel="0" collapsed="false">
      <c r="A9090" s="0" t="s">
        <v>1039</v>
      </c>
      <c r="B9090" s="0" t="n">
        <v>1</v>
      </c>
      <c r="C9090" s="0" t="n">
        <v>2.1</v>
      </c>
      <c r="D9090" s="0" t="n">
        <v>0.447</v>
      </c>
    </row>
    <row r="9091" customFormat="false" ht="13.8" hidden="true" customHeight="false" outlineLevel="0" collapsed="false">
      <c r="A9091" s="0" t="s">
        <v>1039</v>
      </c>
      <c r="B9091" s="0" t="n">
        <v>1</v>
      </c>
      <c r="C9091" s="0" t="n">
        <v>2.15</v>
      </c>
      <c r="D9091" s="0" t="n">
        <v>0.45762325</v>
      </c>
    </row>
    <row r="9092" customFormat="false" ht="13.8" hidden="true" customHeight="false" outlineLevel="0" collapsed="false">
      <c r="A9092" s="0" t="s">
        <v>1039</v>
      </c>
      <c r="B9092" s="0" t="n">
        <v>1</v>
      </c>
      <c r="C9092" s="0" t="n">
        <v>2.2</v>
      </c>
      <c r="D9092" s="0" t="n">
        <v>0.468265651</v>
      </c>
    </row>
    <row r="9093" customFormat="false" ht="13.8" hidden="true" customHeight="false" outlineLevel="0" collapsed="false">
      <c r="A9093" s="0" t="s">
        <v>1039</v>
      </c>
      <c r="B9093" s="0" t="n">
        <v>1</v>
      </c>
      <c r="C9093" s="0" t="n">
        <v>2.25</v>
      </c>
      <c r="D9093" s="0" t="n">
        <v>0.478908052</v>
      </c>
    </row>
    <row r="9094" customFormat="false" ht="13.8" hidden="true" customHeight="false" outlineLevel="0" collapsed="false">
      <c r="A9094" s="0" t="s">
        <v>1039</v>
      </c>
      <c r="B9094" s="0" t="n">
        <v>1</v>
      </c>
      <c r="C9094" s="0" t="n">
        <v>2.3</v>
      </c>
      <c r="D9094" s="0" t="n">
        <v>0</v>
      </c>
    </row>
    <row r="9095" customFormat="false" ht="13.8" hidden="true" customHeight="false" outlineLevel="0" collapsed="false">
      <c r="A9095" s="0" t="s">
        <v>1039</v>
      </c>
      <c r="B9095" s="0" t="n">
        <v>1</v>
      </c>
      <c r="C9095" s="0" t="n">
        <v>2.35</v>
      </c>
      <c r="D9095" s="0" t="n">
        <v>0</v>
      </c>
    </row>
    <row r="9096" customFormat="false" ht="13.8" hidden="true" customHeight="false" outlineLevel="0" collapsed="false">
      <c r="A9096" s="0" t="s">
        <v>1039</v>
      </c>
      <c r="B9096" s="0" t="n">
        <v>1</v>
      </c>
      <c r="C9096" s="0" t="n">
        <v>2.4</v>
      </c>
      <c r="D9096" s="0" t="n">
        <v>0</v>
      </c>
    </row>
    <row r="9097" customFormat="false" ht="13.8" hidden="true" customHeight="false" outlineLevel="0" collapsed="false">
      <c r="A9097" s="0" t="s">
        <v>1039</v>
      </c>
      <c r="B9097" s="0" t="n">
        <v>1</v>
      </c>
      <c r="C9097" s="0" t="n">
        <v>2.45</v>
      </c>
      <c r="D9097" s="0" t="n">
        <v>0</v>
      </c>
    </row>
    <row r="9098" customFormat="false" ht="13.8" hidden="true" customHeight="false" outlineLevel="0" collapsed="false">
      <c r="A9098" s="0" t="s">
        <v>1039</v>
      </c>
      <c r="B9098" s="0" t="n">
        <v>1</v>
      </c>
      <c r="C9098" s="0" t="n">
        <v>2.5</v>
      </c>
      <c r="D9098" s="0" t="n">
        <v>0</v>
      </c>
    </row>
    <row r="9099" customFormat="false" ht="13.8" hidden="true" customHeight="false" outlineLevel="0" collapsed="false">
      <c r="A9099" s="0" t="s">
        <v>1039</v>
      </c>
      <c r="B9099" s="0" t="n">
        <v>1</v>
      </c>
      <c r="C9099" s="0" t="n">
        <v>2.55</v>
      </c>
      <c r="D9099" s="0" t="n">
        <v>0</v>
      </c>
    </row>
    <row r="9100" customFormat="false" ht="13.8" hidden="true" customHeight="false" outlineLevel="0" collapsed="false">
      <c r="A9100" s="0" t="s">
        <v>1039</v>
      </c>
      <c r="B9100" s="0" t="n">
        <v>1</v>
      </c>
      <c r="C9100" s="0" t="n">
        <v>2.6</v>
      </c>
      <c r="D9100" s="0" t="n">
        <v>0</v>
      </c>
    </row>
    <row r="9101" customFormat="false" ht="13.8" hidden="true" customHeight="false" outlineLevel="0" collapsed="false">
      <c r="A9101" s="0" t="s">
        <v>267</v>
      </c>
      <c r="B9101" s="0" t="n">
        <v>1</v>
      </c>
      <c r="C9101" s="0" t="n">
        <v>1.3</v>
      </c>
      <c r="D9101" s="0" t="n">
        <v>0</v>
      </c>
    </row>
    <row r="9102" customFormat="false" ht="13.8" hidden="true" customHeight="false" outlineLevel="0" collapsed="false">
      <c r="A9102" s="0" t="s">
        <v>267</v>
      </c>
      <c r="B9102" s="0" t="n">
        <v>1</v>
      </c>
      <c r="C9102" s="0" t="n">
        <v>1.35</v>
      </c>
      <c r="D9102" s="0" t="n">
        <v>0</v>
      </c>
    </row>
    <row r="9103" customFormat="false" ht="13.8" hidden="true" customHeight="false" outlineLevel="0" collapsed="false">
      <c r="A9103" s="0" t="s">
        <v>267</v>
      </c>
      <c r="B9103" s="0" t="n">
        <v>1</v>
      </c>
      <c r="C9103" s="0" t="n">
        <v>1.4</v>
      </c>
      <c r="D9103" s="0" t="n">
        <v>0</v>
      </c>
    </row>
    <row r="9104" customFormat="false" ht="13.8" hidden="true" customHeight="false" outlineLevel="0" collapsed="false">
      <c r="A9104" s="0" t="s">
        <v>267</v>
      </c>
      <c r="B9104" s="0" t="n">
        <v>1</v>
      </c>
      <c r="C9104" s="0" t="n">
        <v>1.45</v>
      </c>
      <c r="D9104" s="0" t="n">
        <v>0</v>
      </c>
    </row>
    <row r="9105" customFormat="false" ht="13.8" hidden="true" customHeight="false" outlineLevel="0" collapsed="false">
      <c r="A9105" s="0" t="s">
        <v>267</v>
      </c>
      <c r="B9105" s="0" t="n">
        <v>1</v>
      </c>
      <c r="C9105" s="0" t="n">
        <v>1.5</v>
      </c>
      <c r="D9105" s="0" t="n">
        <v>0</v>
      </c>
    </row>
    <row r="9106" customFormat="false" ht="13.8" hidden="true" customHeight="false" outlineLevel="0" collapsed="false">
      <c r="A9106" s="0" t="s">
        <v>267</v>
      </c>
      <c r="B9106" s="0" t="n">
        <v>1</v>
      </c>
      <c r="C9106" s="0" t="n">
        <v>1.55</v>
      </c>
      <c r="D9106" s="0" t="n">
        <v>0</v>
      </c>
    </row>
    <row r="9107" customFormat="false" ht="13.8" hidden="true" customHeight="false" outlineLevel="0" collapsed="false">
      <c r="A9107" s="0" t="s">
        <v>267</v>
      </c>
      <c r="B9107" s="0" t="n">
        <v>1</v>
      </c>
      <c r="C9107" s="0" t="n">
        <v>1.6</v>
      </c>
      <c r="D9107" s="0" t="n">
        <v>0</v>
      </c>
    </row>
    <row r="9108" customFormat="false" ht="13.8" hidden="true" customHeight="false" outlineLevel="0" collapsed="false">
      <c r="A9108" s="0" t="s">
        <v>267</v>
      </c>
      <c r="B9108" s="0" t="n">
        <v>1</v>
      </c>
      <c r="C9108" s="0" t="n">
        <v>1.65</v>
      </c>
      <c r="D9108" s="0" t="n">
        <v>0</v>
      </c>
    </row>
    <row r="9109" customFormat="false" ht="13.8" hidden="true" customHeight="false" outlineLevel="0" collapsed="false">
      <c r="A9109" s="0" t="s">
        <v>267</v>
      </c>
      <c r="B9109" s="0" t="n">
        <v>1</v>
      </c>
      <c r="C9109" s="0" t="n">
        <v>1.7</v>
      </c>
      <c r="D9109" s="0" t="n">
        <v>0</v>
      </c>
    </row>
    <row r="9110" customFormat="false" ht="13.8" hidden="true" customHeight="false" outlineLevel="0" collapsed="false">
      <c r="A9110" s="0" t="s">
        <v>267</v>
      </c>
      <c r="B9110" s="0" t="n">
        <v>1</v>
      </c>
      <c r="C9110" s="0" t="n">
        <v>1.75</v>
      </c>
      <c r="D9110" s="0" t="n">
        <v>0</v>
      </c>
    </row>
    <row r="9111" customFormat="false" ht="13.8" hidden="true" customHeight="false" outlineLevel="0" collapsed="false">
      <c r="A9111" s="0" t="s">
        <v>267</v>
      </c>
      <c r="B9111" s="0" t="n">
        <v>1</v>
      </c>
      <c r="C9111" s="0" t="n">
        <v>1.8</v>
      </c>
      <c r="D9111" s="0" t="n">
        <v>0</v>
      </c>
    </row>
    <row r="9112" customFormat="false" ht="13.8" hidden="true" customHeight="false" outlineLevel="0" collapsed="false">
      <c r="A9112" s="0" t="s">
        <v>267</v>
      </c>
      <c r="B9112" s="0" t="n">
        <v>1</v>
      </c>
      <c r="C9112" s="0" t="n">
        <v>1.85</v>
      </c>
      <c r="D9112" s="0" t="n">
        <v>0.385</v>
      </c>
    </row>
    <row r="9113" customFormat="false" ht="13.8" hidden="true" customHeight="false" outlineLevel="0" collapsed="false">
      <c r="A9113" s="0" t="s">
        <v>267</v>
      </c>
      <c r="B9113" s="0" t="n">
        <v>1</v>
      </c>
      <c r="C9113" s="0" t="n">
        <v>1.9</v>
      </c>
      <c r="D9113" s="0" t="n">
        <v>0.396</v>
      </c>
    </row>
    <row r="9114" customFormat="false" ht="13.8" hidden="true" customHeight="false" outlineLevel="0" collapsed="false">
      <c r="A9114" s="0" t="s">
        <v>267</v>
      </c>
      <c r="B9114" s="0" t="n">
        <v>1</v>
      </c>
      <c r="C9114" s="0" t="n">
        <v>1.95</v>
      </c>
      <c r="D9114" s="0" t="n">
        <v>0.406</v>
      </c>
    </row>
    <row r="9115" customFormat="false" ht="13.8" hidden="true" customHeight="false" outlineLevel="0" collapsed="false">
      <c r="A9115" s="0" t="s">
        <v>267</v>
      </c>
      <c r="B9115" s="0" t="n">
        <v>1</v>
      </c>
      <c r="C9115" s="0" t="n">
        <v>2</v>
      </c>
      <c r="D9115" s="0" t="n">
        <v>0.426</v>
      </c>
    </row>
    <row r="9116" customFormat="false" ht="13.8" hidden="true" customHeight="false" outlineLevel="0" collapsed="false">
      <c r="A9116" s="0" t="s">
        <v>267</v>
      </c>
      <c r="B9116" s="0" t="n">
        <v>1</v>
      </c>
      <c r="C9116" s="0" t="n">
        <v>2.05</v>
      </c>
      <c r="D9116" s="0" t="n">
        <v>0.436</v>
      </c>
    </row>
    <row r="9117" customFormat="false" ht="13.8" hidden="true" customHeight="false" outlineLevel="0" collapsed="false">
      <c r="A9117" s="0" t="s">
        <v>267</v>
      </c>
      <c r="B9117" s="0" t="n">
        <v>1</v>
      </c>
      <c r="C9117" s="0" t="n">
        <v>2.1</v>
      </c>
      <c r="D9117" s="0" t="n">
        <v>0.447</v>
      </c>
    </row>
    <row r="9118" customFormat="false" ht="13.8" hidden="true" customHeight="false" outlineLevel="0" collapsed="false">
      <c r="A9118" s="0" t="s">
        <v>267</v>
      </c>
      <c r="B9118" s="0" t="n">
        <v>1</v>
      </c>
      <c r="C9118" s="0" t="n">
        <v>2.15</v>
      </c>
      <c r="D9118" s="0" t="n">
        <v>0.45762325</v>
      </c>
    </row>
    <row r="9119" customFormat="false" ht="13.8" hidden="true" customHeight="false" outlineLevel="0" collapsed="false">
      <c r="A9119" s="0" t="s">
        <v>267</v>
      </c>
      <c r="B9119" s="0" t="n">
        <v>1</v>
      </c>
      <c r="C9119" s="0" t="n">
        <v>2.2</v>
      </c>
      <c r="D9119" s="0" t="n">
        <v>0.468265651</v>
      </c>
    </row>
    <row r="9120" customFormat="false" ht="13.8" hidden="true" customHeight="false" outlineLevel="0" collapsed="false">
      <c r="A9120" s="0" t="s">
        <v>267</v>
      </c>
      <c r="B9120" s="0" t="n">
        <v>1</v>
      </c>
      <c r="C9120" s="0" t="n">
        <v>2.25</v>
      </c>
      <c r="D9120" s="0" t="n">
        <v>0.478908052</v>
      </c>
    </row>
    <row r="9121" customFormat="false" ht="13.8" hidden="true" customHeight="false" outlineLevel="0" collapsed="false">
      <c r="A9121" s="0" t="s">
        <v>267</v>
      </c>
      <c r="B9121" s="0" t="n">
        <v>1</v>
      </c>
      <c r="C9121" s="0" t="n">
        <v>2.3</v>
      </c>
      <c r="D9121" s="0" t="n">
        <v>0</v>
      </c>
    </row>
    <row r="9122" customFormat="false" ht="13.8" hidden="true" customHeight="false" outlineLevel="0" collapsed="false">
      <c r="A9122" s="0" t="s">
        <v>267</v>
      </c>
      <c r="B9122" s="0" t="n">
        <v>1</v>
      </c>
      <c r="C9122" s="0" t="n">
        <v>2.35</v>
      </c>
      <c r="D9122" s="0" t="n">
        <v>0</v>
      </c>
    </row>
    <row r="9123" customFormat="false" ht="13.8" hidden="true" customHeight="false" outlineLevel="0" collapsed="false">
      <c r="A9123" s="0" t="s">
        <v>267</v>
      </c>
      <c r="B9123" s="0" t="n">
        <v>1</v>
      </c>
      <c r="C9123" s="0" t="n">
        <v>2.4</v>
      </c>
      <c r="D9123" s="0" t="n">
        <v>0</v>
      </c>
    </row>
    <row r="9124" customFormat="false" ht="13.8" hidden="true" customHeight="false" outlineLevel="0" collapsed="false">
      <c r="A9124" s="0" t="s">
        <v>267</v>
      </c>
      <c r="B9124" s="0" t="n">
        <v>1</v>
      </c>
      <c r="C9124" s="0" t="n">
        <v>2.45</v>
      </c>
      <c r="D9124" s="0" t="n">
        <v>0</v>
      </c>
    </row>
    <row r="9125" customFormat="false" ht="13.8" hidden="true" customHeight="false" outlineLevel="0" collapsed="false">
      <c r="A9125" s="0" t="s">
        <v>267</v>
      </c>
      <c r="B9125" s="0" t="n">
        <v>1</v>
      </c>
      <c r="C9125" s="0" t="n">
        <v>2.5</v>
      </c>
      <c r="D9125" s="0" t="n">
        <v>0</v>
      </c>
    </row>
    <row r="9126" customFormat="false" ht="13.8" hidden="true" customHeight="false" outlineLevel="0" collapsed="false">
      <c r="A9126" s="0" t="s">
        <v>267</v>
      </c>
      <c r="B9126" s="0" t="n">
        <v>1</v>
      </c>
      <c r="C9126" s="0" t="n">
        <v>2.55</v>
      </c>
      <c r="D9126" s="0" t="n">
        <v>0</v>
      </c>
    </row>
    <row r="9127" customFormat="false" ht="13.8" hidden="true" customHeight="false" outlineLevel="0" collapsed="false">
      <c r="A9127" s="0" t="s">
        <v>267</v>
      </c>
      <c r="B9127" s="0" t="n">
        <v>1</v>
      </c>
      <c r="C9127" s="0" t="n">
        <v>2.6</v>
      </c>
      <c r="D9127" s="0" t="n">
        <v>0</v>
      </c>
    </row>
    <row r="9128" customFormat="false" ht="13.8" hidden="true" customHeight="false" outlineLevel="0" collapsed="false">
      <c r="A9128" s="0" t="s">
        <v>1043</v>
      </c>
      <c r="B9128" s="0" t="n">
        <v>25</v>
      </c>
      <c r="C9128" s="0" t="n">
        <v>1.3</v>
      </c>
      <c r="D9128" s="0" t="n">
        <v>0</v>
      </c>
    </row>
    <row r="9129" customFormat="false" ht="13.8" hidden="true" customHeight="false" outlineLevel="0" collapsed="false">
      <c r="A9129" s="0" t="s">
        <v>1043</v>
      </c>
      <c r="B9129" s="0" t="n">
        <v>25</v>
      </c>
      <c r="C9129" s="0" t="n">
        <v>1.35</v>
      </c>
      <c r="D9129" s="0" t="n">
        <v>0</v>
      </c>
    </row>
    <row r="9130" customFormat="false" ht="13.8" hidden="true" customHeight="false" outlineLevel="0" collapsed="false">
      <c r="A9130" s="0" t="s">
        <v>1043</v>
      </c>
      <c r="B9130" s="0" t="n">
        <v>25</v>
      </c>
      <c r="C9130" s="0" t="n">
        <v>1.4</v>
      </c>
      <c r="D9130" s="0" t="n">
        <v>0</v>
      </c>
    </row>
    <row r="9131" customFormat="false" ht="13.8" hidden="true" customHeight="false" outlineLevel="0" collapsed="false">
      <c r="A9131" s="0" t="s">
        <v>1043</v>
      </c>
      <c r="B9131" s="0" t="n">
        <v>25</v>
      </c>
      <c r="C9131" s="0" t="n">
        <v>1.45</v>
      </c>
      <c r="D9131" s="0" t="n">
        <v>0</v>
      </c>
    </row>
    <row r="9132" customFormat="false" ht="13.8" hidden="true" customHeight="false" outlineLevel="0" collapsed="false">
      <c r="A9132" s="0" t="s">
        <v>1043</v>
      </c>
      <c r="B9132" s="0" t="n">
        <v>25</v>
      </c>
      <c r="C9132" s="0" t="n">
        <v>1.5</v>
      </c>
      <c r="D9132" s="0" t="n">
        <v>0</v>
      </c>
    </row>
    <row r="9133" customFormat="false" ht="13.8" hidden="true" customHeight="false" outlineLevel="0" collapsed="false">
      <c r="A9133" s="0" t="s">
        <v>1043</v>
      </c>
      <c r="B9133" s="0" t="n">
        <v>25</v>
      </c>
      <c r="C9133" s="0" t="n">
        <v>1.55</v>
      </c>
      <c r="D9133" s="0" t="n">
        <v>0</v>
      </c>
    </row>
    <row r="9134" customFormat="false" ht="13.8" hidden="true" customHeight="false" outlineLevel="0" collapsed="false">
      <c r="A9134" s="0" t="s">
        <v>1043</v>
      </c>
      <c r="B9134" s="0" t="n">
        <v>25</v>
      </c>
      <c r="C9134" s="0" t="n">
        <v>1.6</v>
      </c>
      <c r="D9134" s="0" t="n">
        <v>0</v>
      </c>
    </row>
    <row r="9135" customFormat="false" ht="13.8" hidden="true" customHeight="false" outlineLevel="0" collapsed="false">
      <c r="A9135" s="0" t="s">
        <v>1043</v>
      </c>
      <c r="B9135" s="0" t="n">
        <v>25</v>
      </c>
      <c r="C9135" s="0" t="n">
        <v>1.65</v>
      </c>
      <c r="D9135" s="0" t="n">
        <v>0</v>
      </c>
    </row>
    <row r="9136" customFormat="false" ht="13.8" hidden="true" customHeight="false" outlineLevel="0" collapsed="false">
      <c r="A9136" s="0" t="s">
        <v>1043</v>
      </c>
      <c r="B9136" s="0" t="n">
        <v>25</v>
      </c>
      <c r="C9136" s="0" t="n">
        <v>1.7</v>
      </c>
      <c r="D9136" s="0" t="n">
        <v>0</v>
      </c>
    </row>
    <row r="9137" customFormat="false" ht="13.8" hidden="true" customHeight="false" outlineLevel="0" collapsed="false">
      <c r="A9137" s="0" t="s">
        <v>1043</v>
      </c>
      <c r="B9137" s="0" t="n">
        <v>25</v>
      </c>
      <c r="C9137" s="0" t="n">
        <v>1.75</v>
      </c>
      <c r="D9137" s="0" t="n">
        <v>0</v>
      </c>
    </row>
    <row r="9138" customFormat="false" ht="13.8" hidden="true" customHeight="false" outlineLevel="0" collapsed="false">
      <c r="A9138" s="0" t="s">
        <v>1043</v>
      </c>
      <c r="B9138" s="0" t="n">
        <v>25</v>
      </c>
      <c r="C9138" s="0" t="n">
        <v>1.8</v>
      </c>
      <c r="D9138" s="0" t="n">
        <v>0</v>
      </c>
    </row>
    <row r="9139" customFormat="false" ht="13.8" hidden="true" customHeight="false" outlineLevel="0" collapsed="false">
      <c r="A9139" s="0" t="s">
        <v>1043</v>
      </c>
      <c r="B9139" s="0" t="n">
        <v>25</v>
      </c>
      <c r="C9139" s="0" t="n">
        <v>1.85</v>
      </c>
      <c r="D9139" s="0" t="n">
        <v>0</v>
      </c>
    </row>
    <row r="9140" customFormat="false" ht="13.8" hidden="true" customHeight="false" outlineLevel="0" collapsed="false">
      <c r="A9140" s="0" t="s">
        <v>1043</v>
      </c>
      <c r="B9140" s="0" t="n">
        <v>25</v>
      </c>
      <c r="C9140" s="0" t="n">
        <v>1.9</v>
      </c>
      <c r="D9140" s="0" t="n">
        <v>0.519</v>
      </c>
    </row>
    <row r="9141" customFormat="false" ht="13.8" hidden="true" customHeight="false" outlineLevel="0" collapsed="false">
      <c r="A9141" s="0" t="s">
        <v>1043</v>
      </c>
      <c r="B9141" s="0" t="n">
        <v>25</v>
      </c>
      <c r="C9141" s="0" t="n">
        <v>1.95</v>
      </c>
      <c r="D9141" s="0" t="n">
        <v>0.532</v>
      </c>
    </row>
    <row r="9142" customFormat="false" ht="13.8" hidden="true" customHeight="false" outlineLevel="0" collapsed="false">
      <c r="A9142" s="0" t="s">
        <v>1043</v>
      </c>
      <c r="B9142" s="0" t="n">
        <v>25</v>
      </c>
      <c r="C9142" s="0" t="n">
        <v>2</v>
      </c>
      <c r="D9142" s="0" t="n">
        <v>0.581</v>
      </c>
    </row>
    <row r="9143" customFormat="false" ht="13.8" hidden="true" customHeight="false" outlineLevel="0" collapsed="false">
      <c r="A9143" s="0" t="s">
        <v>1043</v>
      </c>
      <c r="B9143" s="0" t="n">
        <v>25</v>
      </c>
      <c r="C9143" s="0" t="n">
        <v>2.05</v>
      </c>
      <c r="D9143" s="0" t="n">
        <v>0.595</v>
      </c>
    </row>
    <row r="9144" customFormat="false" ht="13.8" hidden="true" customHeight="false" outlineLevel="0" collapsed="false">
      <c r="A9144" s="0" t="s">
        <v>1043</v>
      </c>
      <c r="B9144" s="0" t="n">
        <v>25</v>
      </c>
      <c r="C9144" s="0" t="n">
        <v>2.1</v>
      </c>
      <c r="D9144" s="0" t="n">
        <v>0.61</v>
      </c>
    </row>
    <row r="9145" customFormat="false" ht="13.8" hidden="true" customHeight="false" outlineLevel="0" collapsed="false">
      <c r="A9145" s="0" t="s">
        <v>1043</v>
      </c>
      <c r="B9145" s="0" t="n">
        <v>25</v>
      </c>
      <c r="C9145" s="0" t="n">
        <v>2.15</v>
      </c>
      <c r="D9145" s="0" t="n">
        <v>0.6240375</v>
      </c>
    </row>
    <row r="9146" customFormat="false" ht="13.8" hidden="true" customHeight="false" outlineLevel="0" collapsed="false">
      <c r="A9146" s="0" t="s">
        <v>1043</v>
      </c>
      <c r="B9146" s="0" t="n">
        <v>25</v>
      </c>
      <c r="C9146" s="0" t="n">
        <v>2.2</v>
      </c>
      <c r="D9146" s="0" t="n">
        <v>0.63855</v>
      </c>
    </row>
    <row r="9147" customFormat="false" ht="13.8" hidden="true" customHeight="false" outlineLevel="0" collapsed="false">
      <c r="A9147" s="0" t="s">
        <v>1043</v>
      </c>
      <c r="B9147" s="0" t="n">
        <v>25</v>
      </c>
      <c r="C9147" s="0" t="n">
        <v>2.25</v>
      </c>
      <c r="D9147" s="0" t="n">
        <v>0.6530625</v>
      </c>
    </row>
    <row r="9148" customFormat="false" ht="13.8" hidden="true" customHeight="false" outlineLevel="0" collapsed="false">
      <c r="A9148" s="0" t="s">
        <v>1043</v>
      </c>
      <c r="B9148" s="0" t="n">
        <v>25</v>
      </c>
      <c r="C9148" s="0" t="n">
        <v>2.3</v>
      </c>
      <c r="D9148" s="0" t="n">
        <v>0</v>
      </c>
    </row>
    <row r="9149" customFormat="false" ht="13.8" hidden="true" customHeight="false" outlineLevel="0" collapsed="false">
      <c r="A9149" s="0" t="s">
        <v>1043</v>
      </c>
      <c r="B9149" s="0" t="n">
        <v>25</v>
      </c>
      <c r="C9149" s="0" t="n">
        <v>2.35</v>
      </c>
      <c r="D9149" s="0" t="n">
        <v>0</v>
      </c>
    </row>
    <row r="9150" customFormat="false" ht="13.8" hidden="true" customHeight="false" outlineLevel="0" collapsed="false">
      <c r="A9150" s="0" t="s">
        <v>1043</v>
      </c>
      <c r="B9150" s="0" t="n">
        <v>25</v>
      </c>
      <c r="C9150" s="0" t="n">
        <v>2.4</v>
      </c>
      <c r="D9150" s="0" t="n">
        <v>0</v>
      </c>
    </row>
    <row r="9151" customFormat="false" ht="13.8" hidden="true" customHeight="false" outlineLevel="0" collapsed="false">
      <c r="A9151" s="0" t="s">
        <v>1043</v>
      </c>
      <c r="B9151" s="0" t="n">
        <v>25</v>
      </c>
      <c r="C9151" s="0" t="n">
        <v>2.45</v>
      </c>
      <c r="D9151" s="0" t="n">
        <v>0</v>
      </c>
    </row>
    <row r="9152" customFormat="false" ht="13.8" hidden="true" customHeight="false" outlineLevel="0" collapsed="false">
      <c r="A9152" s="0" t="s">
        <v>1043</v>
      </c>
      <c r="B9152" s="0" t="n">
        <v>25</v>
      </c>
      <c r="C9152" s="0" t="n">
        <v>2.5</v>
      </c>
      <c r="D9152" s="0" t="n">
        <v>0</v>
      </c>
    </row>
    <row r="9153" customFormat="false" ht="13.8" hidden="true" customHeight="false" outlineLevel="0" collapsed="false">
      <c r="A9153" s="0" t="s">
        <v>1043</v>
      </c>
      <c r="B9153" s="0" t="n">
        <v>25</v>
      </c>
      <c r="C9153" s="0" t="n">
        <v>2.55</v>
      </c>
      <c r="D9153" s="0" t="n">
        <v>0</v>
      </c>
    </row>
    <row r="9154" customFormat="false" ht="13.8" hidden="true" customHeight="false" outlineLevel="0" collapsed="false">
      <c r="A9154" s="0" t="s">
        <v>1043</v>
      </c>
      <c r="B9154" s="0" t="n">
        <v>25</v>
      </c>
      <c r="C9154" s="0" t="n">
        <v>2.6</v>
      </c>
      <c r="D9154" s="0" t="n">
        <v>0</v>
      </c>
    </row>
    <row r="9155" customFormat="false" ht="13.8" hidden="true" customHeight="false" outlineLevel="0" collapsed="false">
      <c r="A9155" s="0" t="s">
        <v>1046</v>
      </c>
      <c r="B9155" s="0" t="n">
        <v>26</v>
      </c>
      <c r="C9155" s="0" t="n">
        <v>1.3</v>
      </c>
      <c r="D9155" s="0" t="n">
        <v>0</v>
      </c>
    </row>
    <row r="9156" customFormat="false" ht="13.8" hidden="true" customHeight="false" outlineLevel="0" collapsed="false">
      <c r="A9156" s="0" t="s">
        <v>1046</v>
      </c>
      <c r="B9156" s="0" t="n">
        <v>26</v>
      </c>
      <c r="C9156" s="0" t="n">
        <v>1.35</v>
      </c>
      <c r="D9156" s="0" t="n">
        <v>0</v>
      </c>
    </row>
    <row r="9157" customFormat="false" ht="13.8" hidden="true" customHeight="false" outlineLevel="0" collapsed="false">
      <c r="A9157" s="0" t="s">
        <v>1046</v>
      </c>
      <c r="B9157" s="0" t="n">
        <v>26</v>
      </c>
      <c r="C9157" s="0" t="n">
        <v>1.4</v>
      </c>
      <c r="D9157" s="0" t="n">
        <v>0</v>
      </c>
    </row>
    <row r="9158" customFormat="false" ht="13.8" hidden="true" customHeight="false" outlineLevel="0" collapsed="false">
      <c r="A9158" s="0" t="s">
        <v>1046</v>
      </c>
      <c r="B9158" s="0" t="n">
        <v>26</v>
      </c>
      <c r="C9158" s="0" t="n">
        <v>1.45</v>
      </c>
      <c r="D9158" s="0" t="n">
        <v>0</v>
      </c>
    </row>
    <row r="9159" customFormat="false" ht="13.8" hidden="true" customHeight="false" outlineLevel="0" collapsed="false">
      <c r="A9159" s="0" t="s">
        <v>1046</v>
      </c>
      <c r="B9159" s="0" t="n">
        <v>26</v>
      </c>
      <c r="C9159" s="0" t="n">
        <v>1.5</v>
      </c>
      <c r="D9159" s="0" t="n">
        <v>0</v>
      </c>
    </row>
    <row r="9160" customFormat="false" ht="13.8" hidden="true" customHeight="false" outlineLevel="0" collapsed="false">
      <c r="A9160" s="0" t="s">
        <v>1046</v>
      </c>
      <c r="B9160" s="0" t="n">
        <v>26</v>
      </c>
      <c r="C9160" s="0" t="n">
        <v>1.55</v>
      </c>
      <c r="D9160" s="0" t="n">
        <v>0.246</v>
      </c>
    </row>
    <row r="9161" customFormat="false" ht="13.8" hidden="true" customHeight="false" outlineLevel="0" collapsed="false">
      <c r="A9161" s="0" t="s">
        <v>1046</v>
      </c>
      <c r="B9161" s="0" t="n">
        <v>26</v>
      </c>
      <c r="C9161" s="0" t="n">
        <v>1.6</v>
      </c>
      <c r="D9161" s="0" t="n">
        <v>0.254</v>
      </c>
    </row>
    <row r="9162" customFormat="false" ht="13.8" hidden="true" customHeight="false" outlineLevel="0" collapsed="false">
      <c r="A9162" s="0" t="s">
        <v>1046</v>
      </c>
      <c r="B9162" s="0" t="n">
        <v>26</v>
      </c>
      <c r="C9162" s="0" t="n">
        <v>1.65</v>
      </c>
      <c r="D9162" s="0" t="n">
        <v>0.262</v>
      </c>
    </row>
    <row r="9163" customFormat="false" ht="13.8" hidden="true" customHeight="false" outlineLevel="0" collapsed="false">
      <c r="A9163" s="0" t="s">
        <v>1046</v>
      </c>
      <c r="B9163" s="0" t="n">
        <v>26</v>
      </c>
      <c r="C9163" s="0" t="n">
        <v>1.7</v>
      </c>
      <c r="D9163" s="0" t="n">
        <v>0.27</v>
      </c>
    </row>
    <row r="9164" customFormat="false" ht="13.8" hidden="true" customHeight="false" outlineLevel="0" collapsed="false">
      <c r="A9164" s="0" t="s">
        <v>1046</v>
      </c>
      <c r="B9164" s="0" t="n">
        <v>26</v>
      </c>
      <c r="C9164" s="0" t="n">
        <v>1.75</v>
      </c>
      <c r="D9164" s="0" t="n">
        <v>0.278</v>
      </c>
    </row>
    <row r="9165" customFormat="false" ht="13.8" hidden="true" customHeight="false" outlineLevel="0" collapsed="false">
      <c r="A9165" s="0" t="s">
        <v>1046</v>
      </c>
      <c r="B9165" s="0" t="n">
        <v>26</v>
      </c>
      <c r="C9165" s="0" t="n">
        <v>1.8</v>
      </c>
      <c r="D9165" s="0" t="n">
        <v>0.286</v>
      </c>
    </row>
    <row r="9166" customFormat="false" ht="13.8" hidden="true" customHeight="false" outlineLevel="0" collapsed="false">
      <c r="A9166" s="0" t="s">
        <v>1046</v>
      </c>
      <c r="B9166" s="0" t="n">
        <v>26</v>
      </c>
      <c r="C9166" s="0" t="n">
        <v>1.85</v>
      </c>
      <c r="D9166" s="0" t="n">
        <v>0.294</v>
      </c>
    </row>
    <row r="9167" customFormat="false" ht="13.8" hidden="true" customHeight="false" outlineLevel="0" collapsed="false">
      <c r="A9167" s="0" t="s">
        <v>1046</v>
      </c>
      <c r="B9167" s="0" t="n">
        <v>26</v>
      </c>
      <c r="C9167" s="0" t="n">
        <v>1.9</v>
      </c>
      <c r="D9167" s="0" t="n">
        <v>0.302</v>
      </c>
    </row>
    <row r="9168" customFormat="false" ht="13.8" hidden="true" customHeight="false" outlineLevel="0" collapsed="false">
      <c r="A9168" s="0" t="s">
        <v>1046</v>
      </c>
      <c r="B9168" s="0" t="n">
        <v>26</v>
      </c>
      <c r="C9168" s="0" t="n">
        <v>1.95</v>
      </c>
      <c r="D9168" s="0" t="n">
        <v>0.31</v>
      </c>
    </row>
    <row r="9169" customFormat="false" ht="13.8" hidden="true" customHeight="false" outlineLevel="0" collapsed="false">
      <c r="A9169" s="0" t="s">
        <v>1046</v>
      </c>
      <c r="B9169" s="0" t="n">
        <v>26</v>
      </c>
      <c r="C9169" s="0" t="n">
        <v>2</v>
      </c>
      <c r="D9169" s="0" t="n">
        <v>0.347</v>
      </c>
    </row>
    <row r="9170" customFormat="false" ht="13.8" hidden="true" customHeight="false" outlineLevel="0" collapsed="false">
      <c r="A9170" s="0" t="s">
        <v>1046</v>
      </c>
      <c r="B9170" s="0" t="n">
        <v>26</v>
      </c>
      <c r="C9170" s="0" t="n">
        <v>2.05</v>
      </c>
      <c r="D9170" s="0" t="n">
        <v>0.355</v>
      </c>
    </row>
    <row r="9171" customFormat="false" ht="13.8" hidden="true" customHeight="false" outlineLevel="0" collapsed="false">
      <c r="A9171" s="0" t="s">
        <v>1046</v>
      </c>
      <c r="B9171" s="0" t="n">
        <v>26</v>
      </c>
      <c r="C9171" s="0" t="n">
        <v>2.1</v>
      </c>
      <c r="D9171" s="0" t="n">
        <v>0.364</v>
      </c>
    </row>
    <row r="9172" customFormat="false" ht="13.8" hidden="true" customHeight="false" outlineLevel="0" collapsed="false">
      <c r="A9172" s="0" t="s">
        <v>1046</v>
      </c>
      <c r="B9172" s="0" t="n">
        <v>26</v>
      </c>
      <c r="C9172" s="0" t="n">
        <v>2.15</v>
      </c>
      <c r="D9172" s="0" t="n">
        <v>0.3724875</v>
      </c>
    </row>
    <row r="9173" customFormat="false" ht="13.8" hidden="true" customHeight="false" outlineLevel="0" collapsed="false">
      <c r="A9173" s="0" t="s">
        <v>1046</v>
      </c>
      <c r="B9173" s="0" t="n">
        <v>26</v>
      </c>
      <c r="C9173" s="0" t="n">
        <v>2.2</v>
      </c>
      <c r="D9173" s="0" t="n">
        <v>0.38115</v>
      </c>
    </row>
    <row r="9174" customFormat="false" ht="13.8" hidden="true" customHeight="false" outlineLevel="0" collapsed="false">
      <c r="A9174" s="0" t="s">
        <v>1046</v>
      </c>
      <c r="B9174" s="0" t="n">
        <v>26</v>
      </c>
      <c r="C9174" s="0" t="n">
        <v>2.25</v>
      </c>
      <c r="D9174" s="0" t="n">
        <v>0.3898125</v>
      </c>
    </row>
    <row r="9175" customFormat="false" ht="13.8" hidden="true" customHeight="false" outlineLevel="0" collapsed="false">
      <c r="A9175" s="0" t="s">
        <v>1046</v>
      </c>
      <c r="B9175" s="0" t="n">
        <v>26</v>
      </c>
      <c r="C9175" s="0" t="n">
        <v>2.3</v>
      </c>
      <c r="D9175" s="0" t="n">
        <v>0</v>
      </c>
    </row>
    <row r="9176" customFormat="false" ht="13.8" hidden="true" customHeight="false" outlineLevel="0" collapsed="false">
      <c r="A9176" s="0" t="s">
        <v>1046</v>
      </c>
      <c r="B9176" s="0" t="n">
        <v>26</v>
      </c>
      <c r="C9176" s="0" t="n">
        <v>2.35</v>
      </c>
      <c r="D9176" s="0" t="n">
        <v>0</v>
      </c>
    </row>
    <row r="9177" customFormat="false" ht="13.8" hidden="true" customHeight="false" outlineLevel="0" collapsed="false">
      <c r="A9177" s="0" t="s">
        <v>1046</v>
      </c>
      <c r="B9177" s="0" t="n">
        <v>26</v>
      </c>
      <c r="C9177" s="0" t="n">
        <v>2.4</v>
      </c>
      <c r="D9177" s="0" t="n">
        <v>0</v>
      </c>
    </row>
    <row r="9178" customFormat="false" ht="13.8" hidden="true" customHeight="false" outlineLevel="0" collapsed="false">
      <c r="A9178" s="0" t="s">
        <v>1046</v>
      </c>
      <c r="B9178" s="0" t="n">
        <v>26</v>
      </c>
      <c r="C9178" s="0" t="n">
        <v>2.45</v>
      </c>
      <c r="D9178" s="0" t="n">
        <v>0</v>
      </c>
    </row>
    <row r="9179" customFormat="false" ht="13.8" hidden="true" customHeight="false" outlineLevel="0" collapsed="false">
      <c r="A9179" s="0" t="s">
        <v>1046</v>
      </c>
      <c r="B9179" s="0" t="n">
        <v>26</v>
      </c>
      <c r="C9179" s="0" t="n">
        <v>2.5</v>
      </c>
      <c r="D9179" s="0" t="n">
        <v>0</v>
      </c>
    </row>
    <row r="9180" customFormat="false" ht="13.8" hidden="true" customHeight="false" outlineLevel="0" collapsed="false">
      <c r="A9180" s="0" t="s">
        <v>1046</v>
      </c>
      <c r="B9180" s="0" t="n">
        <v>26</v>
      </c>
      <c r="C9180" s="0" t="n">
        <v>2.55</v>
      </c>
      <c r="D9180" s="0" t="n">
        <v>0</v>
      </c>
    </row>
    <row r="9181" customFormat="false" ht="13.8" hidden="true" customHeight="false" outlineLevel="0" collapsed="false">
      <c r="A9181" s="0" t="s">
        <v>1046</v>
      </c>
      <c r="B9181" s="0" t="n">
        <v>26</v>
      </c>
      <c r="C9181" s="0" t="n">
        <v>2.6</v>
      </c>
      <c r="D9181" s="0" t="n">
        <v>0</v>
      </c>
    </row>
    <row r="9182" customFormat="false" ht="13.8" hidden="true" customHeight="false" outlineLevel="0" collapsed="false">
      <c r="A9182" s="0" t="s">
        <v>152</v>
      </c>
      <c r="B9182" s="0" t="n">
        <v>26</v>
      </c>
      <c r="C9182" s="0" t="n">
        <v>1.3</v>
      </c>
      <c r="D9182" s="0" t="n">
        <v>0</v>
      </c>
    </row>
    <row r="9183" customFormat="false" ht="13.8" hidden="true" customHeight="false" outlineLevel="0" collapsed="false">
      <c r="A9183" s="0" t="s">
        <v>152</v>
      </c>
      <c r="B9183" s="0" t="n">
        <v>26</v>
      </c>
      <c r="C9183" s="0" t="n">
        <v>1.35</v>
      </c>
      <c r="D9183" s="0" t="n">
        <v>0</v>
      </c>
    </row>
    <row r="9184" customFormat="false" ht="13.8" hidden="true" customHeight="false" outlineLevel="0" collapsed="false">
      <c r="A9184" s="0" t="s">
        <v>152</v>
      </c>
      <c r="B9184" s="0" t="n">
        <v>26</v>
      </c>
      <c r="C9184" s="0" t="n">
        <v>1.4</v>
      </c>
      <c r="D9184" s="0" t="n">
        <v>0</v>
      </c>
    </row>
    <row r="9185" customFormat="false" ht="13.8" hidden="true" customHeight="false" outlineLevel="0" collapsed="false">
      <c r="A9185" s="0" t="s">
        <v>152</v>
      </c>
      <c r="B9185" s="0" t="n">
        <v>26</v>
      </c>
      <c r="C9185" s="0" t="n">
        <v>1.45</v>
      </c>
      <c r="D9185" s="0" t="n">
        <v>0</v>
      </c>
    </row>
    <row r="9186" customFormat="false" ht="13.8" hidden="true" customHeight="false" outlineLevel="0" collapsed="false">
      <c r="A9186" s="0" t="s">
        <v>152</v>
      </c>
      <c r="B9186" s="0" t="n">
        <v>26</v>
      </c>
      <c r="C9186" s="0" t="n">
        <v>1.5</v>
      </c>
      <c r="D9186" s="0" t="n">
        <v>0</v>
      </c>
    </row>
    <row r="9187" customFormat="false" ht="13.8" hidden="true" customHeight="false" outlineLevel="0" collapsed="false">
      <c r="A9187" s="0" t="s">
        <v>152</v>
      </c>
      <c r="B9187" s="0" t="n">
        <v>26</v>
      </c>
      <c r="C9187" s="0" t="n">
        <v>1.55</v>
      </c>
      <c r="D9187" s="0" t="n">
        <v>0.246</v>
      </c>
    </row>
    <row r="9188" customFormat="false" ht="13.8" hidden="true" customHeight="false" outlineLevel="0" collapsed="false">
      <c r="A9188" s="0" t="s">
        <v>152</v>
      </c>
      <c r="B9188" s="0" t="n">
        <v>26</v>
      </c>
      <c r="C9188" s="0" t="n">
        <v>1.6</v>
      </c>
      <c r="D9188" s="0" t="n">
        <v>0.254</v>
      </c>
    </row>
    <row r="9189" customFormat="false" ht="13.8" hidden="true" customHeight="false" outlineLevel="0" collapsed="false">
      <c r="A9189" s="0" t="s">
        <v>152</v>
      </c>
      <c r="B9189" s="0" t="n">
        <v>26</v>
      </c>
      <c r="C9189" s="0" t="n">
        <v>1.65</v>
      </c>
      <c r="D9189" s="0" t="n">
        <v>0.262</v>
      </c>
    </row>
    <row r="9190" customFormat="false" ht="13.8" hidden="true" customHeight="false" outlineLevel="0" collapsed="false">
      <c r="A9190" s="0" t="s">
        <v>152</v>
      </c>
      <c r="B9190" s="0" t="n">
        <v>26</v>
      </c>
      <c r="C9190" s="0" t="n">
        <v>1.7</v>
      </c>
      <c r="D9190" s="0" t="n">
        <v>0.27</v>
      </c>
    </row>
    <row r="9191" customFormat="false" ht="13.8" hidden="true" customHeight="false" outlineLevel="0" collapsed="false">
      <c r="A9191" s="0" t="s">
        <v>152</v>
      </c>
      <c r="B9191" s="0" t="n">
        <v>26</v>
      </c>
      <c r="C9191" s="0" t="n">
        <v>1.75</v>
      </c>
      <c r="D9191" s="0" t="n">
        <v>0.278</v>
      </c>
    </row>
    <row r="9192" customFormat="false" ht="13.8" hidden="true" customHeight="false" outlineLevel="0" collapsed="false">
      <c r="A9192" s="0" t="s">
        <v>152</v>
      </c>
      <c r="B9192" s="0" t="n">
        <v>26</v>
      </c>
      <c r="C9192" s="0" t="n">
        <v>1.8</v>
      </c>
      <c r="D9192" s="0" t="n">
        <v>0.286</v>
      </c>
    </row>
    <row r="9193" customFormat="false" ht="13.8" hidden="true" customHeight="false" outlineLevel="0" collapsed="false">
      <c r="A9193" s="0" t="s">
        <v>152</v>
      </c>
      <c r="B9193" s="0" t="n">
        <v>26</v>
      </c>
      <c r="C9193" s="0" t="n">
        <v>1.85</v>
      </c>
      <c r="D9193" s="0" t="n">
        <v>0.294</v>
      </c>
    </row>
    <row r="9194" customFormat="false" ht="13.8" hidden="true" customHeight="false" outlineLevel="0" collapsed="false">
      <c r="A9194" s="0" t="s">
        <v>152</v>
      </c>
      <c r="B9194" s="0" t="n">
        <v>26</v>
      </c>
      <c r="C9194" s="0" t="n">
        <v>1.9</v>
      </c>
      <c r="D9194" s="0" t="n">
        <v>0.302</v>
      </c>
    </row>
    <row r="9195" customFormat="false" ht="13.8" hidden="true" customHeight="false" outlineLevel="0" collapsed="false">
      <c r="A9195" s="0" t="s">
        <v>152</v>
      </c>
      <c r="B9195" s="0" t="n">
        <v>26</v>
      </c>
      <c r="C9195" s="0" t="n">
        <v>1.95</v>
      </c>
      <c r="D9195" s="0" t="n">
        <v>0.31</v>
      </c>
    </row>
    <row r="9196" customFormat="false" ht="13.8" hidden="true" customHeight="false" outlineLevel="0" collapsed="false">
      <c r="A9196" s="0" t="s">
        <v>152</v>
      </c>
      <c r="B9196" s="0" t="n">
        <v>26</v>
      </c>
      <c r="C9196" s="0" t="n">
        <v>2</v>
      </c>
      <c r="D9196" s="0" t="n">
        <v>0</v>
      </c>
    </row>
    <row r="9197" customFormat="false" ht="13.8" hidden="true" customHeight="false" outlineLevel="0" collapsed="false">
      <c r="A9197" s="0" t="s">
        <v>152</v>
      </c>
      <c r="B9197" s="0" t="n">
        <v>26</v>
      </c>
      <c r="C9197" s="0" t="n">
        <v>2.05</v>
      </c>
      <c r="D9197" s="0" t="n">
        <v>0</v>
      </c>
    </row>
    <row r="9198" customFormat="false" ht="13.8" hidden="true" customHeight="false" outlineLevel="0" collapsed="false">
      <c r="A9198" s="0" t="s">
        <v>152</v>
      </c>
      <c r="B9198" s="0" t="n">
        <v>26</v>
      </c>
      <c r="C9198" s="0" t="n">
        <v>2.1</v>
      </c>
      <c r="D9198" s="0" t="n">
        <v>0</v>
      </c>
    </row>
    <row r="9199" customFormat="false" ht="13.8" hidden="true" customHeight="false" outlineLevel="0" collapsed="false">
      <c r="A9199" s="0" t="s">
        <v>152</v>
      </c>
      <c r="B9199" s="0" t="n">
        <v>26</v>
      </c>
      <c r="C9199" s="0" t="n">
        <v>2.15</v>
      </c>
      <c r="D9199" s="0" t="n">
        <v>0</v>
      </c>
    </row>
    <row r="9200" customFormat="false" ht="13.8" hidden="true" customHeight="false" outlineLevel="0" collapsed="false">
      <c r="A9200" s="0" t="s">
        <v>152</v>
      </c>
      <c r="B9200" s="0" t="n">
        <v>26</v>
      </c>
      <c r="C9200" s="0" t="n">
        <v>2.2</v>
      </c>
      <c r="D9200" s="0" t="n">
        <v>0</v>
      </c>
    </row>
    <row r="9201" customFormat="false" ht="13.8" hidden="true" customHeight="false" outlineLevel="0" collapsed="false">
      <c r="A9201" s="0" t="s">
        <v>152</v>
      </c>
      <c r="B9201" s="0" t="n">
        <v>26</v>
      </c>
      <c r="C9201" s="0" t="n">
        <v>2.25</v>
      </c>
      <c r="D9201" s="0" t="n">
        <v>0</v>
      </c>
    </row>
    <row r="9202" customFormat="false" ht="13.8" hidden="true" customHeight="false" outlineLevel="0" collapsed="false">
      <c r="A9202" s="0" t="s">
        <v>152</v>
      </c>
      <c r="B9202" s="0" t="n">
        <v>26</v>
      </c>
      <c r="C9202" s="0" t="n">
        <v>2.3</v>
      </c>
      <c r="D9202" s="0" t="n">
        <v>0</v>
      </c>
    </row>
    <row r="9203" customFormat="false" ht="13.8" hidden="true" customHeight="false" outlineLevel="0" collapsed="false">
      <c r="A9203" s="0" t="s">
        <v>152</v>
      </c>
      <c r="B9203" s="0" t="n">
        <v>26</v>
      </c>
      <c r="C9203" s="0" t="n">
        <v>2.35</v>
      </c>
      <c r="D9203" s="0" t="n">
        <v>0</v>
      </c>
    </row>
    <row r="9204" customFormat="false" ht="13.8" hidden="true" customHeight="false" outlineLevel="0" collapsed="false">
      <c r="A9204" s="0" t="s">
        <v>152</v>
      </c>
      <c r="B9204" s="0" t="n">
        <v>26</v>
      </c>
      <c r="C9204" s="0" t="n">
        <v>2.4</v>
      </c>
      <c r="D9204" s="0" t="n">
        <v>0</v>
      </c>
    </row>
    <row r="9205" customFormat="false" ht="13.8" hidden="true" customHeight="false" outlineLevel="0" collapsed="false">
      <c r="A9205" s="0" t="s">
        <v>152</v>
      </c>
      <c r="B9205" s="0" t="n">
        <v>26</v>
      </c>
      <c r="C9205" s="0" t="n">
        <v>2.45</v>
      </c>
      <c r="D9205" s="0" t="n">
        <v>0</v>
      </c>
    </row>
    <row r="9206" customFormat="false" ht="13.8" hidden="true" customHeight="false" outlineLevel="0" collapsed="false">
      <c r="A9206" s="0" t="s">
        <v>152</v>
      </c>
      <c r="B9206" s="0" t="n">
        <v>26</v>
      </c>
      <c r="C9206" s="0" t="n">
        <v>2.5</v>
      </c>
      <c r="D9206" s="0" t="n">
        <v>0</v>
      </c>
    </row>
    <row r="9207" customFormat="false" ht="13.8" hidden="true" customHeight="false" outlineLevel="0" collapsed="false">
      <c r="A9207" s="0" t="s">
        <v>152</v>
      </c>
      <c r="B9207" s="0" t="n">
        <v>26</v>
      </c>
      <c r="C9207" s="0" t="n">
        <v>2.55</v>
      </c>
      <c r="D9207" s="0" t="n">
        <v>0</v>
      </c>
    </row>
    <row r="9208" customFormat="false" ht="13.8" hidden="true" customHeight="false" outlineLevel="0" collapsed="false">
      <c r="A9208" s="0" t="s">
        <v>152</v>
      </c>
      <c r="B9208" s="0" t="n">
        <v>26</v>
      </c>
      <c r="C9208" s="0" t="n">
        <v>2.6</v>
      </c>
      <c r="D9208" s="0" t="n">
        <v>0</v>
      </c>
    </row>
    <row r="9209" customFormat="false" ht="13.8" hidden="true" customHeight="false" outlineLevel="0" collapsed="false">
      <c r="A9209" s="0" t="s">
        <v>268</v>
      </c>
      <c r="B9209" s="0" t="n">
        <v>26</v>
      </c>
      <c r="C9209" s="0" t="n">
        <v>1.3</v>
      </c>
      <c r="D9209" s="0" t="n">
        <v>0</v>
      </c>
    </row>
    <row r="9210" customFormat="false" ht="13.8" hidden="true" customHeight="false" outlineLevel="0" collapsed="false">
      <c r="A9210" s="0" t="s">
        <v>268</v>
      </c>
      <c r="B9210" s="0" t="n">
        <v>26</v>
      </c>
      <c r="C9210" s="0" t="n">
        <v>1.35</v>
      </c>
      <c r="D9210" s="0" t="n">
        <v>0</v>
      </c>
    </row>
    <row r="9211" customFormat="false" ht="13.8" hidden="true" customHeight="false" outlineLevel="0" collapsed="false">
      <c r="A9211" s="0" t="s">
        <v>268</v>
      </c>
      <c r="B9211" s="0" t="n">
        <v>26</v>
      </c>
      <c r="C9211" s="0" t="n">
        <v>1.4</v>
      </c>
      <c r="D9211" s="0" t="n">
        <v>0</v>
      </c>
    </row>
    <row r="9212" customFormat="false" ht="13.8" hidden="true" customHeight="false" outlineLevel="0" collapsed="false">
      <c r="A9212" s="0" t="s">
        <v>268</v>
      </c>
      <c r="B9212" s="0" t="n">
        <v>26</v>
      </c>
      <c r="C9212" s="0" t="n">
        <v>1.45</v>
      </c>
      <c r="D9212" s="0" t="n">
        <v>0</v>
      </c>
    </row>
    <row r="9213" customFormat="false" ht="13.8" hidden="true" customHeight="false" outlineLevel="0" collapsed="false">
      <c r="A9213" s="0" t="s">
        <v>268</v>
      </c>
      <c r="B9213" s="0" t="n">
        <v>26</v>
      </c>
      <c r="C9213" s="0" t="n">
        <v>1.5</v>
      </c>
      <c r="D9213" s="0" t="n">
        <v>0</v>
      </c>
    </row>
    <row r="9214" customFormat="false" ht="13.8" hidden="true" customHeight="false" outlineLevel="0" collapsed="false">
      <c r="A9214" s="0" t="s">
        <v>268</v>
      </c>
      <c r="B9214" s="0" t="n">
        <v>26</v>
      </c>
      <c r="C9214" s="0" t="n">
        <v>1.55</v>
      </c>
      <c r="D9214" s="0" t="n">
        <v>0.246</v>
      </c>
    </row>
    <row r="9215" customFormat="false" ht="13.8" hidden="true" customHeight="false" outlineLevel="0" collapsed="false">
      <c r="A9215" s="0" t="s">
        <v>268</v>
      </c>
      <c r="B9215" s="0" t="n">
        <v>26</v>
      </c>
      <c r="C9215" s="0" t="n">
        <v>1.6</v>
      </c>
      <c r="D9215" s="0" t="n">
        <v>0.254</v>
      </c>
    </row>
    <row r="9216" customFormat="false" ht="13.8" hidden="true" customHeight="false" outlineLevel="0" collapsed="false">
      <c r="A9216" s="0" t="s">
        <v>268</v>
      </c>
      <c r="B9216" s="0" t="n">
        <v>26</v>
      </c>
      <c r="C9216" s="0" t="n">
        <v>1.65</v>
      </c>
      <c r="D9216" s="0" t="n">
        <v>0.262</v>
      </c>
    </row>
    <row r="9217" customFormat="false" ht="13.8" hidden="true" customHeight="false" outlineLevel="0" collapsed="false">
      <c r="A9217" s="0" t="s">
        <v>268</v>
      </c>
      <c r="B9217" s="0" t="n">
        <v>26</v>
      </c>
      <c r="C9217" s="0" t="n">
        <v>1.7</v>
      </c>
      <c r="D9217" s="0" t="n">
        <v>0.27</v>
      </c>
    </row>
    <row r="9218" customFormat="false" ht="13.8" hidden="true" customHeight="false" outlineLevel="0" collapsed="false">
      <c r="A9218" s="0" t="s">
        <v>268</v>
      </c>
      <c r="B9218" s="0" t="n">
        <v>26</v>
      </c>
      <c r="C9218" s="0" t="n">
        <v>1.75</v>
      </c>
      <c r="D9218" s="0" t="n">
        <v>0.278</v>
      </c>
    </row>
    <row r="9219" customFormat="false" ht="13.8" hidden="true" customHeight="false" outlineLevel="0" collapsed="false">
      <c r="A9219" s="0" t="s">
        <v>268</v>
      </c>
      <c r="B9219" s="0" t="n">
        <v>26</v>
      </c>
      <c r="C9219" s="0" t="n">
        <v>1.8</v>
      </c>
      <c r="D9219" s="0" t="n">
        <v>0.286</v>
      </c>
    </row>
    <row r="9220" customFormat="false" ht="13.8" hidden="true" customHeight="false" outlineLevel="0" collapsed="false">
      <c r="A9220" s="0" t="s">
        <v>268</v>
      </c>
      <c r="B9220" s="0" t="n">
        <v>26</v>
      </c>
      <c r="C9220" s="0" t="n">
        <v>1.85</v>
      </c>
      <c r="D9220" s="0" t="n">
        <v>0.294</v>
      </c>
    </row>
    <row r="9221" customFormat="false" ht="13.8" hidden="true" customHeight="false" outlineLevel="0" collapsed="false">
      <c r="A9221" s="0" t="s">
        <v>268</v>
      </c>
      <c r="B9221" s="0" t="n">
        <v>26</v>
      </c>
      <c r="C9221" s="0" t="n">
        <v>1.9</v>
      </c>
      <c r="D9221" s="0" t="n">
        <v>0.302</v>
      </c>
    </row>
    <row r="9222" customFormat="false" ht="13.8" hidden="true" customHeight="false" outlineLevel="0" collapsed="false">
      <c r="A9222" s="0" t="s">
        <v>268</v>
      </c>
      <c r="B9222" s="0" t="n">
        <v>26</v>
      </c>
      <c r="C9222" s="0" t="n">
        <v>1.95</v>
      </c>
      <c r="D9222" s="0" t="n">
        <v>0.31</v>
      </c>
    </row>
    <row r="9223" customFormat="false" ht="13.8" hidden="true" customHeight="false" outlineLevel="0" collapsed="false">
      <c r="A9223" s="0" t="s">
        <v>268</v>
      </c>
      <c r="B9223" s="0" t="n">
        <v>26</v>
      </c>
      <c r="C9223" s="0" t="n">
        <v>2</v>
      </c>
      <c r="D9223" s="0" t="n">
        <v>0</v>
      </c>
    </row>
    <row r="9224" customFormat="false" ht="13.8" hidden="true" customHeight="false" outlineLevel="0" collapsed="false">
      <c r="A9224" s="0" t="s">
        <v>268</v>
      </c>
      <c r="B9224" s="0" t="n">
        <v>26</v>
      </c>
      <c r="C9224" s="0" t="n">
        <v>2.05</v>
      </c>
      <c r="D9224" s="0" t="n">
        <v>0</v>
      </c>
    </row>
    <row r="9225" customFormat="false" ht="13.8" hidden="true" customHeight="false" outlineLevel="0" collapsed="false">
      <c r="A9225" s="0" t="s">
        <v>268</v>
      </c>
      <c r="B9225" s="0" t="n">
        <v>26</v>
      </c>
      <c r="C9225" s="0" t="n">
        <v>2.1</v>
      </c>
      <c r="D9225" s="0" t="n">
        <v>0</v>
      </c>
    </row>
    <row r="9226" customFormat="false" ht="13.8" hidden="true" customHeight="false" outlineLevel="0" collapsed="false">
      <c r="A9226" s="0" t="s">
        <v>268</v>
      </c>
      <c r="B9226" s="0" t="n">
        <v>26</v>
      </c>
      <c r="C9226" s="0" t="n">
        <v>2.15</v>
      </c>
      <c r="D9226" s="0" t="n">
        <v>0</v>
      </c>
    </row>
    <row r="9227" customFormat="false" ht="13.8" hidden="true" customHeight="false" outlineLevel="0" collapsed="false">
      <c r="A9227" s="0" t="s">
        <v>268</v>
      </c>
      <c r="B9227" s="0" t="n">
        <v>26</v>
      </c>
      <c r="C9227" s="0" t="n">
        <v>2.2</v>
      </c>
      <c r="D9227" s="0" t="n">
        <v>0</v>
      </c>
    </row>
    <row r="9228" customFormat="false" ht="13.8" hidden="true" customHeight="false" outlineLevel="0" collapsed="false">
      <c r="A9228" s="0" t="s">
        <v>268</v>
      </c>
      <c r="B9228" s="0" t="n">
        <v>26</v>
      </c>
      <c r="C9228" s="0" t="n">
        <v>2.25</v>
      </c>
      <c r="D9228" s="0" t="n">
        <v>0</v>
      </c>
    </row>
    <row r="9229" customFormat="false" ht="13.8" hidden="true" customHeight="false" outlineLevel="0" collapsed="false">
      <c r="A9229" s="0" t="s">
        <v>268</v>
      </c>
      <c r="B9229" s="0" t="n">
        <v>26</v>
      </c>
      <c r="C9229" s="0" t="n">
        <v>2.3</v>
      </c>
      <c r="D9229" s="0" t="n">
        <v>0</v>
      </c>
    </row>
    <row r="9230" customFormat="false" ht="13.8" hidden="true" customHeight="false" outlineLevel="0" collapsed="false">
      <c r="A9230" s="0" t="s">
        <v>268</v>
      </c>
      <c r="B9230" s="0" t="n">
        <v>26</v>
      </c>
      <c r="C9230" s="0" t="n">
        <v>2.35</v>
      </c>
      <c r="D9230" s="0" t="n">
        <v>0</v>
      </c>
    </row>
    <row r="9231" customFormat="false" ht="13.8" hidden="true" customHeight="false" outlineLevel="0" collapsed="false">
      <c r="A9231" s="0" t="s">
        <v>268</v>
      </c>
      <c r="B9231" s="0" t="n">
        <v>26</v>
      </c>
      <c r="C9231" s="0" t="n">
        <v>2.4</v>
      </c>
      <c r="D9231" s="0" t="n">
        <v>0</v>
      </c>
    </row>
    <row r="9232" customFormat="false" ht="13.8" hidden="true" customHeight="false" outlineLevel="0" collapsed="false">
      <c r="A9232" s="0" t="s">
        <v>268</v>
      </c>
      <c r="B9232" s="0" t="n">
        <v>26</v>
      </c>
      <c r="C9232" s="0" t="n">
        <v>2.45</v>
      </c>
      <c r="D9232" s="0" t="n">
        <v>0</v>
      </c>
    </row>
    <row r="9233" customFormat="false" ht="13.8" hidden="true" customHeight="false" outlineLevel="0" collapsed="false">
      <c r="A9233" s="0" t="s">
        <v>268</v>
      </c>
      <c r="B9233" s="0" t="n">
        <v>26</v>
      </c>
      <c r="C9233" s="0" t="n">
        <v>2.5</v>
      </c>
      <c r="D9233" s="0" t="n">
        <v>0</v>
      </c>
    </row>
    <row r="9234" customFormat="false" ht="13.8" hidden="true" customHeight="false" outlineLevel="0" collapsed="false">
      <c r="A9234" s="0" t="s">
        <v>268</v>
      </c>
      <c r="B9234" s="0" t="n">
        <v>26</v>
      </c>
      <c r="C9234" s="0" t="n">
        <v>2.55</v>
      </c>
      <c r="D9234" s="0" t="n">
        <v>0</v>
      </c>
    </row>
    <row r="9235" customFormat="false" ht="13.8" hidden="true" customHeight="false" outlineLevel="0" collapsed="false">
      <c r="A9235" s="0" t="s">
        <v>268</v>
      </c>
      <c r="B9235" s="0" t="n">
        <v>26</v>
      </c>
      <c r="C9235" s="0" t="n">
        <v>2.6</v>
      </c>
      <c r="D9235" s="0" t="n">
        <v>0</v>
      </c>
    </row>
    <row r="9236" customFormat="false" ht="13.8" hidden="true" customHeight="false" outlineLevel="0" collapsed="false">
      <c r="A9236" s="0" t="s">
        <v>1050</v>
      </c>
      <c r="B9236" s="0" t="n">
        <v>26</v>
      </c>
      <c r="C9236" s="0" t="n">
        <v>1.3</v>
      </c>
      <c r="D9236" s="0" t="n">
        <v>0</v>
      </c>
    </row>
    <row r="9237" customFormat="false" ht="13.8" hidden="true" customHeight="false" outlineLevel="0" collapsed="false">
      <c r="A9237" s="0" t="s">
        <v>1050</v>
      </c>
      <c r="B9237" s="0" t="n">
        <v>26</v>
      </c>
      <c r="C9237" s="0" t="n">
        <v>1.35</v>
      </c>
      <c r="D9237" s="0" t="n">
        <v>0</v>
      </c>
    </row>
    <row r="9238" customFormat="false" ht="13.8" hidden="true" customHeight="false" outlineLevel="0" collapsed="false">
      <c r="A9238" s="0" t="s">
        <v>1050</v>
      </c>
      <c r="B9238" s="0" t="n">
        <v>26</v>
      </c>
      <c r="C9238" s="0" t="n">
        <v>1.4</v>
      </c>
      <c r="D9238" s="0" t="n">
        <v>0</v>
      </c>
    </row>
    <row r="9239" customFormat="false" ht="13.8" hidden="true" customHeight="false" outlineLevel="0" collapsed="false">
      <c r="A9239" s="0" t="s">
        <v>1050</v>
      </c>
      <c r="B9239" s="0" t="n">
        <v>26</v>
      </c>
      <c r="C9239" s="0" t="n">
        <v>1.45</v>
      </c>
      <c r="D9239" s="0" t="n">
        <v>0</v>
      </c>
    </row>
    <row r="9240" customFormat="false" ht="13.8" hidden="true" customHeight="false" outlineLevel="0" collapsed="false">
      <c r="A9240" s="0" t="s">
        <v>1050</v>
      </c>
      <c r="B9240" s="0" t="n">
        <v>26</v>
      </c>
      <c r="C9240" s="0" t="n">
        <v>1.5</v>
      </c>
      <c r="D9240" s="0" t="n">
        <v>0</v>
      </c>
    </row>
    <row r="9241" customFormat="false" ht="13.8" hidden="true" customHeight="false" outlineLevel="0" collapsed="false">
      <c r="A9241" s="0" t="s">
        <v>1050</v>
      </c>
      <c r="B9241" s="0" t="n">
        <v>26</v>
      </c>
      <c r="C9241" s="0" t="n">
        <v>1.55</v>
      </c>
      <c r="D9241" s="0" t="n">
        <v>0.246</v>
      </c>
    </row>
    <row r="9242" customFormat="false" ht="13.8" hidden="true" customHeight="false" outlineLevel="0" collapsed="false">
      <c r="A9242" s="0" t="s">
        <v>1050</v>
      </c>
      <c r="B9242" s="0" t="n">
        <v>26</v>
      </c>
      <c r="C9242" s="0" t="n">
        <v>1.6</v>
      </c>
      <c r="D9242" s="0" t="n">
        <v>0.254</v>
      </c>
    </row>
    <row r="9243" customFormat="false" ht="13.8" hidden="true" customHeight="false" outlineLevel="0" collapsed="false">
      <c r="A9243" s="0" t="s">
        <v>1050</v>
      </c>
      <c r="B9243" s="0" t="n">
        <v>26</v>
      </c>
      <c r="C9243" s="0" t="n">
        <v>1.65</v>
      </c>
      <c r="D9243" s="0" t="n">
        <v>0.262</v>
      </c>
    </row>
    <row r="9244" customFormat="false" ht="13.8" hidden="true" customHeight="false" outlineLevel="0" collapsed="false">
      <c r="A9244" s="0" t="s">
        <v>1050</v>
      </c>
      <c r="B9244" s="0" t="n">
        <v>26</v>
      </c>
      <c r="C9244" s="0" t="n">
        <v>1.7</v>
      </c>
      <c r="D9244" s="0" t="n">
        <v>0.27</v>
      </c>
    </row>
    <row r="9245" customFormat="false" ht="13.8" hidden="true" customHeight="false" outlineLevel="0" collapsed="false">
      <c r="A9245" s="0" t="s">
        <v>1050</v>
      </c>
      <c r="B9245" s="0" t="n">
        <v>26</v>
      </c>
      <c r="C9245" s="0" t="n">
        <v>1.75</v>
      </c>
      <c r="D9245" s="0" t="n">
        <v>0.278</v>
      </c>
    </row>
    <row r="9246" customFormat="false" ht="13.8" hidden="true" customHeight="false" outlineLevel="0" collapsed="false">
      <c r="A9246" s="0" t="s">
        <v>1050</v>
      </c>
      <c r="B9246" s="0" t="n">
        <v>26</v>
      </c>
      <c r="C9246" s="0" t="n">
        <v>1.8</v>
      </c>
      <c r="D9246" s="0" t="n">
        <v>0.286</v>
      </c>
    </row>
    <row r="9247" customFormat="false" ht="13.8" hidden="true" customHeight="false" outlineLevel="0" collapsed="false">
      <c r="A9247" s="0" t="s">
        <v>1050</v>
      </c>
      <c r="B9247" s="0" t="n">
        <v>26</v>
      </c>
      <c r="C9247" s="0" t="n">
        <v>1.85</v>
      </c>
      <c r="D9247" s="0" t="n">
        <v>0.294</v>
      </c>
    </row>
    <row r="9248" customFormat="false" ht="13.8" hidden="true" customHeight="false" outlineLevel="0" collapsed="false">
      <c r="A9248" s="0" t="s">
        <v>1050</v>
      </c>
      <c r="B9248" s="0" t="n">
        <v>26</v>
      </c>
      <c r="C9248" s="0" t="n">
        <v>1.9</v>
      </c>
      <c r="D9248" s="0" t="n">
        <v>0.302</v>
      </c>
    </row>
    <row r="9249" customFormat="false" ht="13.8" hidden="true" customHeight="false" outlineLevel="0" collapsed="false">
      <c r="A9249" s="0" t="s">
        <v>1050</v>
      </c>
      <c r="B9249" s="0" t="n">
        <v>26</v>
      </c>
      <c r="C9249" s="0" t="n">
        <v>1.95</v>
      </c>
      <c r="D9249" s="0" t="n">
        <v>0.31</v>
      </c>
    </row>
    <row r="9250" customFormat="false" ht="13.8" hidden="true" customHeight="false" outlineLevel="0" collapsed="false">
      <c r="A9250" s="0" t="s">
        <v>1050</v>
      </c>
      <c r="B9250" s="0" t="n">
        <v>26</v>
      </c>
      <c r="C9250" s="0" t="n">
        <v>2</v>
      </c>
      <c r="D9250" s="0" t="n">
        <v>0</v>
      </c>
    </row>
    <row r="9251" customFormat="false" ht="13.8" hidden="true" customHeight="false" outlineLevel="0" collapsed="false">
      <c r="A9251" s="0" t="s">
        <v>1050</v>
      </c>
      <c r="B9251" s="0" t="n">
        <v>26</v>
      </c>
      <c r="C9251" s="0" t="n">
        <v>2.05</v>
      </c>
      <c r="D9251" s="0" t="n">
        <v>0</v>
      </c>
    </row>
    <row r="9252" customFormat="false" ht="13.8" hidden="true" customHeight="false" outlineLevel="0" collapsed="false">
      <c r="A9252" s="0" t="s">
        <v>1050</v>
      </c>
      <c r="B9252" s="0" t="n">
        <v>26</v>
      </c>
      <c r="C9252" s="0" t="n">
        <v>2.1</v>
      </c>
      <c r="D9252" s="0" t="n">
        <v>0</v>
      </c>
    </row>
    <row r="9253" customFormat="false" ht="13.8" hidden="true" customHeight="false" outlineLevel="0" collapsed="false">
      <c r="A9253" s="0" t="s">
        <v>1050</v>
      </c>
      <c r="B9253" s="0" t="n">
        <v>26</v>
      </c>
      <c r="C9253" s="0" t="n">
        <v>2.15</v>
      </c>
      <c r="D9253" s="0" t="n">
        <v>0</v>
      </c>
    </row>
    <row r="9254" customFormat="false" ht="13.8" hidden="true" customHeight="false" outlineLevel="0" collapsed="false">
      <c r="A9254" s="0" t="s">
        <v>1050</v>
      </c>
      <c r="B9254" s="0" t="n">
        <v>26</v>
      </c>
      <c r="C9254" s="0" t="n">
        <v>2.2</v>
      </c>
      <c r="D9254" s="0" t="n">
        <v>0</v>
      </c>
    </row>
    <row r="9255" customFormat="false" ht="13.8" hidden="true" customHeight="false" outlineLevel="0" collapsed="false">
      <c r="A9255" s="0" t="s">
        <v>1050</v>
      </c>
      <c r="B9255" s="0" t="n">
        <v>26</v>
      </c>
      <c r="C9255" s="0" t="n">
        <v>2.25</v>
      </c>
      <c r="D9255" s="0" t="n">
        <v>0</v>
      </c>
    </row>
    <row r="9256" customFormat="false" ht="13.8" hidden="true" customHeight="false" outlineLevel="0" collapsed="false">
      <c r="A9256" s="0" t="s">
        <v>1050</v>
      </c>
      <c r="B9256" s="0" t="n">
        <v>26</v>
      </c>
      <c r="C9256" s="0" t="n">
        <v>2.3</v>
      </c>
      <c r="D9256" s="0" t="n">
        <v>0</v>
      </c>
    </row>
    <row r="9257" customFormat="false" ht="13.8" hidden="true" customHeight="false" outlineLevel="0" collapsed="false">
      <c r="A9257" s="0" t="s">
        <v>1050</v>
      </c>
      <c r="B9257" s="0" t="n">
        <v>26</v>
      </c>
      <c r="C9257" s="0" t="n">
        <v>2.35</v>
      </c>
      <c r="D9257" s="0" t="n">
        <v>0</v>
      </c>
    </row>
    <row r="9258" customFormat="false" ht="13.8" hidden="true" customHeight="false" outlineLevel="0" collapsed="false">
      <c r="A9258" s="0" t="s">
        <v>1050</v>
      </c>
      <c r="B9258" s="0" t="n">
        <v>26</v>
      </c>
      <c r="C9258" s="0" t="n">
        <v>2.4</v>
      </c>
      <c r="D9258" s="0" t="n">
        <v>0</v>
      </c>
    </row>
    <row r="9259" customFormat="false" ht="13.8" hidden="true" customHeight="false" outlineLevel="0" collapsed="false">
      <c r="A9259" s="0" t="s">
        <v>1050</v>
      </c>
      <c r="B9259" s="0" t="n">
        <v>26</v>
      </c>
      <c r="C9259" s="0" t="n">
        <v>2.45</v>
      </c>
      <c r="D9259" s="0" t="n">
        <v>0</v>
      </c>
    </row>
    <row r="9260" customFormat="false" ht="13.8" hidden="true" customHeight="false" outlineLevel="0" collapsed="false">
      <c r="A9260" s="0" t="s">
        <v>1050</v>
      </c>
      <c r="B9260" s="0" t="n">
        <v>26</v>
      </c>
      <c r="C9260" s="0" t="n">
        <v>2.5</v>
      </c>
      <c r="D9260" s="0" t="n">
        <v>0</v>
      </c>
    </row>
    <row r="9261" customFormat="false" ht="13.8" hidden="true" customHeight="false" outlineLevel="0" collapsed="false">
      <c r="A9261" s="0" t="s">
        <v>1050</v>
      </c>
      <c r="B9261" s="0" t="n">
        <v>26</v>
      </c>
      <c r="C9261" s="0" t="n">
        <v>2.55</v>
      </c>
      <c r="D9261" s="0" t="n">
        <v>0</v>
      </c>
    </row>
    <row r="9262" customFormat="false" ht="13.8" hidden="true" customHeight="false" outlineLevel="0" collapsed="false">
      <c r="A9262" s="0" t="s">
        <v>1050</v>
      </c>
      <c r="B9262" s="0" t="n">
        <v>26</v>
      </c>
      <c r="C9262" s="0" t="n">
        <v>2.6</v>
      </c>
      <c r="D9262" s="0" t="n">
        <v>0</v>
      </c>
    </row>
    <row r="9263" customFormat="false" ht="13.8" hidden="true" customHeight="false" outlineLevel="0" collapsed="false">
      <c r="A9263" s="0" t="s">
        <v>1053</v>
      </c>
      <c r="B9263" s="0" t="n">
        <v>26</v>
      </c>
      <c r="C9263" s="0" t="n">
        <v>1.3</v>
      </c>
      <c r="D9263" s="0" t="n">
        <v>0</v>
      </c>
    </row>
    <row r="9264" customFormat="false" ht="13.8" hidden="true" customHeight="false" outlineLevel="0" collapsed="false">
      <c r="A9264" s="0" t="s">
        <v>1053</v>
      </c>
      <c r="B9264" s="0" t="n">
        <v>26</v>
      </c>
      <c r="C9264" s="0" t="n">
        <v>1.35</v>
      </c>
      <c r="D9264" s="0" t="n">
        <v>0</v>
      </c>
    </row>
    <row r="9265" customFormat="false" ht="13.8" hidden="true" customHeight="false" outlineLevel="0" collapsed="false">
      <c r="A9265" s="0" t="s">
        <v>1053</v>
      </c>
      <c r="B9265" s="0" t="n">
        <v>26</v>
      </c>
      <c r="C9265" s="0" t="n">
        <v>1.4</v>
      </c>
      <c r="D9265" s="0" t="n">
        <v>0</v>
      </c>
    </row>
    <row r="9266" customFormat="false" ht="13.8" hidden="true" customHeight="false" outlineLevel="0" collapsed="false">
      <c r="A9266" s="0" t="s">
        <v>1053</v>
      </c>
      <c r="B9266" s="0" t="n">
        <v>26</v>
      </c>
      <c r="C9266" s="0" t="n">
        <v>1.45</v>
      </c>
      <c r="D9266" s="0" t="n">
        <v>0</v>
      </c>
    </row>
    <row r="9267" customFormat="false" ht="13.8" hidden="true" customHeight="false" outlineLevel="0" collapsed="false">
      <c r="A9267" s="0" t="s">
        <v>1053</v>
      </c>
      <c r="B9267" s="0" t="n">
        <v>26</v>
      </c>
      <c r="C9267" s="0" t="n">
        <v>1.5</v>
      </c>
      <c r="D9267" s="0" t="n">
        <v>0</v>
      </c>
    </row>
    <row r="9268" customFormat="false" ht="13.8" hidden="true" customHeight="false" outlineLevel="0" collapsed="false">
      <c r="A9268" s="0" t="s">
        <v>1053</v>
      </c>
      <c r="B9268" s="0" t="n">
        <v>26</v>
      </c>
      <c r="C9268" s="0" t="n">
        <v>1.55</v>
      </c>
      <c r="D9268" s="0" t="n">
        <v>0</v>
      </c>
    </row>
    <row r="9269" customFormat="false" ht="13.8" hidden="true" customHeight="false" outlineLevel="0" collapsed="false">
      <c r="A9269" s="0" t="s">
        <v>1053</v>
      </c>
      <c r="B9269" s="0" t="n">
        <v>26</v>
      </c>
      <c r="C9269" s="0" t="n">
        <v>1.6</v>
      </c>
      <c r="D9269" s="0" t="n">
        <v>0</v>
      </c>
    </row>
    <row r="9270" customFormat="false" ht="13.8" hidden="true" customHeight="false" outlineLevel="0" collapsed="false">
      <c r="A9270" s="0" t="s">
        <v>1053</v>
      </c>
      <c r="B9270" s="0" t="n">
        <v>26</v>
      </c>
      <c r="C9270" s="0" t="n">
        <v>1.65</v>
      </c>
      <c r="D9270" s="0" t="n">
        <v>0.262</v>
      </c>
    </row>
    <row r="9271" customFormat="false" ht="13.8" hidden="true" customHeight="false" outlineLevel="0" collapsed="false">
      <c r="A9271" s="0" t="s">
        <v>1053</v>
      </c>
      <c r="B9271" s="0" t="n">
        <v>26</v>
      </c>
      <c r="C9271" s="0" t="n">
        <v>1.7</v>
      </c>
      <c r="D9271" s="0" t="n">
        <v>0.27</v>
      </c>
    </row>
    <row r="9272" customFormat="false" ht="13.8" hidden="true" customHeight="false" outlineLevel="0" collapsed="false">
      <c r="A9272" s="0" t="s">
        <v>1053</v>
      </c>
      <c r="B9272" s="0" t="n">
        <v>26</v>
      </c>
      <c r="C9272" s="0" t="n">
        <v>1.75</v>
      </c>
      <c r="D9272" s="0" t="n">
        <v>0.278</v>
      </c>
    </row>
    <row r="9273" customFormat="false" ht="13.8" hidden="true" customHeight="false" outlineLevel="0" collapsed="false">
      <c r="A9273" s="0" t="s">
        <v>1053</v>
      </c>
      <c r="B9273" s="0" t="n">
        <v>26</v>
      </c>
      <c r="C9273" s="0" t="n">
        <v>1.8</v>
      </c>
      <c r="D9273" s="0" t="n">
        <v>0.286</v>
      </c>
    </row>
    <row r="9274" customFormat="false" ht="13.8" hidden="true" customHeight="false" outlineLevel="0" collapsed="false">
      <c r="A9274" s="0" t="s">
        <v>1053</v>
      </c>
      <c r="B9274" s="0" t="n">
        <v>26</v>
      </c>
      <c r="C9274" s="0" t="n">
        <v>1.85</v>
      </c>
      <c r="D9274" s="0" t="n">
        <v>0.294</v>
      </c>
    </row>
    <row r="9275" customFormat="false" ht="13.8" hidden="true" customHeight="false" outlineLevel="0" collapsed="false">
      <c r="A9275" s="0" t="s">
        <v>1053</v>
      </c>
      <c r="B9275" s="0" t="n">
        <v>26</v>
      </c>
      <c r="C9275" s="0" t="n">
        <v>1.9</v>
      </c>
      <c r="D9275" s="0" t="n">
        <v>0.302</v>
      </c>
    </row>
    <row r="9276" customFormat="false" ht="13.8" hidden="true" customHeight="false" outlineLevel="0" collapsed="false">
      <c r="A9276" s="0" t="s">
        <v>1053</v>
      </c>
      <c r="B9276" s="0" t="n">
        <v>26</v>
      </c>
      <c r="C9276" s="0" t="n">
        <v>1.95</v>
      </c>
      <c r="D9276" s="0" t="n">
        <v>0.31</v>
      </c>
    </row>
    <row r="9277" customFormat="false" ht="13.8" hidden="true" customHeight="false" outlineLevel="0" collapsed="false">
      <c r="A9277" s="0" t="s">
        <v>1053</v>
      </c>
      <c r="B9277" s="0" t="n">
        <v>26</v>
      </c>
      <c r="C9277" s="0" t="n">
        <v>2</v>
      </c>
      <c r="D9277" s="0" t="n">
        <v>0</v>
      </c>
    </row>
    <row r="9278" customFormat="false" ht="13.8" hidden="true" customHeight="false" outlineLevel="0" collapsed="false">
      <c r="A9278" s="0" t="s">
        <v>1053</v>
      </c>
      <c r="B9278" s="0" t="n">
        <v>26</v>
      </c>
      <c r="C9278" s="0" t="n">
        <v>2.05</v>
      </c>
      <c r="D9278" s="0" t="n">
        <v>0</v>
      </c>
    </row>
    <row r="9279" customFormat="false" ht="13.8" hidden="true" customHeight="false" outlineLevel="0" collapsed="false">
      <c r="A9279" s="0" t="s">
        <v>1053</v>
      </c>
      <c r="B9279" s="0" t="n">
        <v>26</v>
      </c>
      <c r="C9279" s="0" t="n">
        <v>2.1</v>
      </c>
      <c r="D9279" s="0" t="n">
        <v>0</v>
      </c>
    </row>
    <row r="9280" customFormat="false" ht="13.8" hidden="true" customHeight="false" outlineLevel="0" collapsed="false">
      <c r="A9280" s="0" t="s">
        <v>1053</v>
      </c>
      <c r="B9280" s="0" t="n">
        <v>26</v>
      </c>
      <c r="C9280" s="0" t="n">
        <v>2.15</v>
      </c>
      <c r="D9280" s="0" t="n">
        <v>0</v>
      </c>
    </row>
    <row r="9281" customFormat="false" ht="13.8" hidden="true" customHeight="false" outlineLevel="0" collapsed="false">
      <c r="A9281" s="0" t="s">
        <v>1053</v>
      </c>
      <c r="B9281" s="0" t="n">
        <v>26</v>
      </c>
      <c r="C9281" s="0" t="n">
        <v>2.2</v>
      </c>
      <c r="D9281" s="0" t="n">
        <v>0</v>
      </c>
    </row>
    <row r="9282" customFormat="false" ht="13.8" hidden="true" customHeight="false" outlineLevel="0" collapsed="false">
      <c r="A9282" s="0" t="s">
        <v>1053</v>
      </c>
      <c r="B9282" s="0" t="n">
        <v>26</v>
      </c>
      <c r="C9282" s="0" t="n">
        <v>2.25</v>
      </c>
      <c r="D9282" s="0" t="n">
        <v>0</v>
      </c>
    </row>
    <row r="9283" customFormat="false" ht="13.8" hidden="true" customHeight="false" outlineLevel="0" collapsed="false">
      <c r="A9283" s="0" t="s">
        <v>1053</v>
      </c>
      <c r="B9283" s="0" t="n">
        <v>26</v>
      </c>
      <c r="C9283" s="0" t="n">
        <v>2.3</v>
      </c>
      <c r="D9283" s="0" t="n">
        <v>0</v>
      </c>
    </row>
    <row r="9284" customFormat="false" ht="13.8" hidden="true" customHeight="false" outlineLevel="0" collapsed="false">
      <c r="A9284" s="0" t="s">
        <v>1053</v>
      </c>
      <c r="B9284" s="0" t="n">
        <v>26</v>
      </c>
      <c r="C9284" s="0" t="n">
        <v>2.35</v>
      </c>
      <c r="D9284" s="0" t="n">
        <v>0</v>
      </c>
    </row>
    <row r="9285" customFormat="false" ht="13.8" hidden="true" customHeight="false" outlineLevel="0" collapsed="false">
      <c r="A9285" s="0" t="s">
        <v>1053</v>
      </c>
      <c r="B9285" s="0" t="n">
        <v>26</v>
      </c>
      <c r="C9285" s="0" t="n">
        <v>2.4</v>
      </c>
      <c r="D9285" s="0" t="n">
        <v>0</v>
      </c>
    </row>
    <row r="9286" customFormat="false" ht="13.8" hidden="true" customHeight="false" outlineLevel="0" collapsed="false">
      <c r="A9286" s="0" t="s">
        <v>1053</v>
      </c>
      <c r="B9286" s="0" t="n">
        <v>26</v>
      </c>
      <c r="C9286" s="0" t="n">
        <v>2.45</v>
      </c>
      <c r="D9286" s="0" t="n">
        <v>0</v>
      </c>
    </row>
    <row r="9287" customFormat="false" ht="13.8" hidden="true" customHeight="false" outlineLevel="0" collapsed="false">
      <c r="A9287" s="0" t="s">
        <v>1053</v>
      </c>
      <c r="B9287" s="0" t="n">
        <v>26</v>
      </c>
      <c r="C9287" s="0" t="n">
        <v>2.5</v>
      </c>
      <c r="D9287" s="0" t="n">
        <v>0</v>
      </c>
    </row>
    <row r="9288" customFormat="false" ht="13.8" hidden="true" customHeight="false" outlineLevel="0" collapsed="false">
      <c r="A9288" s="0" t="s">
        <v>1053</v>
      </c>
      <c r="B9288" s="0" t="n">
        <v>26</v>
      </c>
      <c r="C9288" s="0" t="n">
        <v>2.55</v>
      </c>
      <c r="D9288" s="0" t="n">
        <v>0</v>
      </c>
    </row>
    <row r="9289" customFormat="false" ht="13.8" hidden="true" customHeight="false" outlineLevel="0" collapsed="false">
      <c r="A9289" s="0" t="s">
        <v>1053</v>
      </c>
      <c r="B9289" s="0" t="n">
        <v>26</v>
      </c>
      <c r="C9289" s="0" t="n">
        <v>2.6</v>
      </c>
      <c r="D9289" s="0" t="n">
        <v>0</v>
      </c>
    </row>
    <row r="9290" customFormat="false" ht="13.8" hidden="true" customHeight="false" outlineLevel="0" collapsed="false">
      <c r="A9290" s="0" t="s">
        <v>1056</v>
      </c>
      <c r="B9290" s="0" t="n">
        <v>26</v>
      </c>
      <c r="C9290" s="0" t="n">
        <v>1.3</v>
      </c>
      <c r="D9290" s="0" t="n">
        <v>0</v>
      </c>
    </row>
    <row r="9291" customFormat="false" ht="13.8" hidden="true" customHeight="false" outlineLevel="0" collapsed="false">
      <c r="A9291" s="0" t="s">
        <v>1056</v>
      </c>
      <c r="B9291" s="0" t="n">
        <v>26</v>
      </c>
      <c r="C9291" s="0" t="n">
        <v>1.35</v>
      </c>
      <c r="D9291" s="0" t="n">
        <v>0</v>
      </c>
    </row>
    <row r="9292" customFormat="false" ht="13.8" hidden="true" customHeight="false" outlineLevel="0" collapsed="false">
      <c r="A9292" s="0" t="s">
        <v>1056</v>
      </c>
      <c r="B9292" s="0" t="n">
        <v>26</v>
      </c>
      <c r="C9292" s="0" t="n">
        <v>1.4</v>
      </c>
      <c r="D9292" s="0" t="n">
        <v>0</v>
      </c>
    </row>
    <row r="9293" customFormat="false" ht="13.8" hidden="true" customHeight="false" outlineLevel="0" collapsed="false">
      <c r="A9293" s="0" t="s">
        <v>1056</v>
      </c>
      <c r="B9293" s="0" t="n">
        <v>26</v>
      </c>
      <c r="C9293" s="0" t="n">
        <v>1.45</v>
      </c>
      <c r="D9293" s="0" t="n">
        <v>0</v>
      </c>
    </row>
    <row r="9294" customFormat="false" ht="13.8" hidden="true" customHeight="false" outlineLevel="0" collapsed="false">
      <c r="A9294" s="0" t="s">
        <v>1056</v>
      </c>
      <c r="B9294" s="0" t="n">
        <v>26</v>
      </c>
      <c r="C9294" s="0" t="n">
        <v>1.5</v>
      </c>
      <c r="D9294" s="0" t="n">
        <v>0</v>
      </c>
    </row>
    <row r="9295" customFormat="false" ht="13.8" hidden="true" customHeight="false" outlineLevel="0" collapsed="false">
      <c r="A9295" s="0" t="s">
        <v>1056</v>
      </c>
      <c r="B9295" s="0" t="n">
        <v>26</v>
      </c>
      <c r="C9295" s="0" t="n">
        <v>1.55</v>
      </c>
      <c r="D9295" s="0" t="n">
        <v>0</v>
      </c>
    </row>
    <row r="9296" customFormat="false" ht="13.8" hidden="true" customHeight="false" outlineLevel="0" collapsed="false">
      <c r="A9296" s="0" t="s">
        <v>1056</v>
      </c>
      <c r="B9296" s="0" t="n">
        <v>26</v>
      </c>
      <c r="C9296" s="0" t="n">
        <v>1.6</v>
      </c>
      <c r="D9296" s="0" t="n">
        <v>0</v>
      </c>
    </row>
    <row r="9297" customFormat="false" ht="13.8" hidden="true" customHeight="false" outlineLevel="0" collapsed="false">
      <c r="A9297" s="0" t="s">
        <v>1056</v>
      </c>
      <c r="B9297" s="0" t="n">
        <v>26</v>
      </c>
      <c r="C9297" s="0" t="n">
        <v>1.65</v>
      </c>
      <c r="D9297" s="0" t="n">
        <v>0.262</v>
      </c>
    </row>
    <row r="9298" customFormat="false" ht="13.8" hidden="true" customHeight="false" outlineLevel="0" collapsed="false">
      <c r="A9298" s="0" t="s">
        <v>1056</v>
      </c>
      <c r="B9298" s="0" t="n">
        <v>26</v>
      </c>
      <c r="C9298" s="0" t="n">
        <v>1.7</v>
      </c>
      <c r="D9298" s="0" t="n">
        <v>0.27</v>
      </c>
    </row>
    <row r="9299" customFormat="false" ht="13.8" hidden="true" customHeight="false" outlineLevel="0" collapsed="false">
      <c r="A9299" s="0" t="s">
        <v>1056</v>
      </c>
      <c r="B9299" s="0" t="n">
        <v>26</v>
      </c>
      <c r="C9299" s="0" t="n">
        <v>1.75</v>
      </c>
      <c r="D9299" s="0" t="n">
        <v>0.278</v>
      </c>
    </row>
    <row r="9300" customFormat="false" ht="13.8" hidden="true" customHeight="false" outlineLevel="0" collapsed="false">
      <c r="A9300" s="0" t="s">
        <v>1056</v>
      </c>
      <c r="B9300" s="0" t="n">
        <v>26</v>
      </c>
      <c r="C9300" s="0" t="n">
        <v>1.8</v>
      </c>
      <c r="D9300" s="0" t="n">
        <v>0.286</v>
      </c>
    </row>
    <row r="9301" customFormat="false" ht="13.8" hidden="true" customHeight="false" outlineLevel="0" collapsed="false">
      <c r="A9301" s="0" t="s">
        <v>1056</v>
      </c>
      <c r="B9301" s="0" t="n">
        <v>26</v>
      </c>
      <c r="C9301" s="0" t="n">
        <v>1.85</v>
      </c>
      <c r="D9301" s="0" t="n">
        <v>0.294</v>
      </c>
    </row>
    <row r="9302" customFormat="false" ht="13.8" hidden="true" customHeight="false" outlineLevel="0" collapsed="false">
      <c r="A9302" s="0" t="s">
        <v>1056</v>
      </c>
      <c r="B9302" s="0" t="n">
        <v>26</v>
      </c>
      <c r="C9302" s="0" t="n">
        <v>1.9</v>
      </c>
      <c r="D9302" s="0" t="n">
        <v>0.302</v>
      </c>
    </row>
    <row r="9303" customFormat="false" ht="13.8" hidden="true" customHeight="false" outlineLevel="0" collapsed="false">
      <c r="A9303" s="0" t="s">
        <v>1056</v>
      </c>
      <c r="B9303" s="0" t="n">
        <v>26</v>
      </c>
      <c r="C9303" s="0" t="n">
        <v>1.95</v>
      </c>
      <c r="D9303" s="0" t="n">
        <v>0.31</v>
      </c>
    </row>
    <row r="9304" customFormat="false" ht="13.8" hidden="true" customHeight="false" outlineLevel="0" collapsed="false">
      <c r="A9304" s="0" t="s">
        <v>1056</v>
      </c>
      <c r="B9304" s="0" t="n">
        <v>26</v>
      </c>
      <c r="C9304" s="0" t="n">
        <v>2</v>
      </c>
      <c r="D9304" s="0" t="n">
        <v>0</v>
      </c>
    </row>
    <row r="9305" customFormat="false" ht="13.8" hidden="true" customHeight="false" outlineLevel="0" collapsed="false">
      <c r="A9305" s="0" t="s">
        <v>1056</v>
      </c>
      <c r="B9305" s="0" t="n">
        <v>26</v>
      </c>
      <c r="C9305" s="0" t="n">
        <v>2.05</v>
      </c>
      <c r="D9305" s="0" t="n">
        <v>0</v>
      </c>
    </row>
    <row r="9306" customFormat="false" ht="13.8" hidden="true" customHeight="false" outlineLevel="0" collapsed="false">
      <c r="A9306" s="0" t="s">
        <v>1056</v>
      </c>
      <c r="B9306" s="0" t="n">
        <v>26</v>
      </c>
      <c r="C9306" s="0" t="n">
        <v>2.1</v>
      </c>
      <c r="D9306" s="0" t="n">
        <v>0</v>
      </c>
    </row>
    <row r="9307" customFormat="false" ht="13.8" hidden="true" customHeight="false" outlineLevel="0" collapsed="false">
      <c r="A9307" s="0" t="s">
        <v>1056</v>
      </c>
      <c r="B9307" s="0" t="n">
        <v>26</v>
      </c>
      <c r="C9307" s="0" t="n">
        <v>2.15</v>
      </c>
      <c r="D9307" s="0" t="n">
        <v>0</v>
      </c>
    </row>
    <row r="9308" customFormat="false" ht="13.8" hidden="true" customHeight="false" outlineLevel="0" collapsed="false">
      <c r="A9308" s="0" t="s">
        <v>1056</v>
      </c>
      <c r="B9308" s="0" t="n">
        <v>26</v>
      </c>
      <c r="C9308" s="0" t="n">
        <v>2.2</v>
      </c>
      <c r="D9308" s="0" t="n">
        <v>0</v>
      </c>
    </row>
    <row r="9309" customFormat="false" ht="13.8" hidden="true" customHeight="false" outlineLevel="0" collapsed="false">
      <c r="A9309" s="0" t="s">
        <v>1056</v>
      </c>
      <c r="B9309" s="0" t="n">
        <v>26</v>
      </c>
      <c r="C9309" s="0" t="n">
        <v>2.25</v>
      </c>
      <c r="D9309" s="0" t="n">
        <v>0</v>
      </c>
    </row>
    <row r="9310" customFormat="false" ht="13.8" hidden="true" customHeight="false" outlineLevel="0" collapsed="false">
      <c r="A9310" s="0" t="s">
        <v>1056</v>
      </c>
      <c r="B9310" s="0" t="n">
        <v>26</v>
      </c>
      <c r="C9310" s="0" t="n">
        <v>2.3</v>
      </c>
      <c r="D9310" s="0" t="n">
        <v>0</v>
      </c>
    </row>
    <row r="9311" customFormat="false" ht="13.8" hidden="true" customHeight="false" outlineLevel="0" collapsed="false">
      <c r="A9311" s="0" t="s">
        <v>1056</v>
      </c>
      <c r="B9311" s="0" t="n">
        <v>26</v>
      </c>
      <c r="C9311" s="0" t="n">
        <v>2.35</v>
      </c>
      <c r="D9311" s="0" t="n">
        <v>0</v>
      </c>
    </row>
    <row r="9312" customFormat="false" ht="13.8" hidden="true" customHeight="false" outlineLevel="0" collapsed="false">
      <c r="A9312" s="0" t="s">
        <v>1056</v>
      </c>
      <c r="B9312" s="0" t="n">
        <v>26</v>
      </c>
      <c r="C9312" s="0" t="n">
        <v>2.4</v>
      </c>
      <c r="D9312" s="0" t="n">
        <v>0</v>
      </c>
    </row>
    <row r="9313" customFormat="false" ht="13.8" hidden="true" customHeight="false" outlineLevel="0" collapsed="false">
      <c r="A9313" s="0" t="s">
        <v>1056</v>
      </c>
      <c r="B9313" s="0" t="n">
        <v>26</v>
      </c>
      <c r="C9313" s="0" t="n">
        <v>2.45</v>
      </c>
      <c r="D9313" s="0" t="n">
        <v>0</v>
      </c>
    </row>
    <row r="9314" customFormat="false" ht="13.8" hidden="true" customHeight="false" outlineLevel="0" collapsed="false">
      <c r="A9314" s="0" t="s">
        <v>1056</v>
      </c>
      <c r="B9314" s="0" t="n">
        <v>26</v>
      </c>
      <c r="C9314" s="0" t="n">
        <v>2.5</v>
      </c>
      <c r="D9314" s="0" t="n">
        <v>0</v>
      </c>
    </row>
    <row r="9315" customFormat="false" ht="13.8" hidden="true" customHeight="false" outlineLevel="0" collapsed="false">
      <c r="A9315" s="0" t="s">
        <v>1056</v>
      </c>
      <c r="B9315" s="0" t="n">
        <v>26</v>
      </c>
      <c r="C9315" s="0" t="n">
        <v>2.55</v>
      </c>
      <c r="D9315" s="0" t="n">
        <v>0</v>
      </c>
    </row>
    <row r="9316" customFormat="false" ht="13.8" hidden="true" customHeight="false" outlineLevel="0" collapsed="false">
      <c r="A9316" s="0" t="s">
        <v>1056</v>
      </c>
      <c r="B9316" s="0" t="n">
        <v>26</v>
      </c>
      <c r="C9316" s="0" t="n">
        <v>2.6</v>
      </c>
      <c r="D9316" s="0" t="n">
        <v>0</v>
      </c>
    </row>
    <row r="9317" customFormat="false" ht="13.8" hidden="true" customHeight="false" outlineLevel="0" collapsed="false">
      <c r="A9317" s="0" t="s">
        <v>269</v>
      </c>
      <c r="B9317" s="0" t="n">
        <v>26</v>
      </c>
      <c r="C9317" s="0" t="n">
        <v>1.3</v>
      </c>
      <c r="D9317" s="0" t="n">
        <v>0</v>
      </c>
    </row>
    <row r="9318" customFormat="false" ht="13.8" hidden="true" customHeight="false" outlineLevel="0" collapsed="false">
      <c r="A9318" s="0" t="s">
        <v>269</v>
      </c>
      <c r="B9318" s="0" t="n">
        <v>26</v>
      </c>
      <c r="C9318" s="0" t="n">
        <v>1.35</v>
      </c>
      <c r="D9318" s="0" t="n">
        <v>0</v>
      </c>
    </row>
    <row r="9319" customFormat="false" ht="13.8" hidden="true" customHeight="false" outlineLevel="0" collapsed="false">
      <c r="A9319" s="0" t="s">
        <v>269</v>
      </c>
      <c r="B9319" s="0" t="n">
        <v>26</v>
      </c>
      <c r="C9319" s="0" t="n">
        <v>1.4</v>
      </c>
      <c r="D9319" s="0" t="n">
        <v>0</v>
      </c>
    </row>
    <row r="9320" customFormat="false" ht="13.8" hidden="true" customHeight="false" outlineLevel="0" collapsed="false">
      <c r="A9320" s="0" t="s">
        <v>269</v>
      </c>
      <c r="B9320" s="0" t="n">
        <v>26</v>
      </c>
      <c r="C9320" s="0" t="n">
        <v>1.45</v>
      </c>
      <c r="D9320" s="0" t="n">
        <v>0</v>
      </c>
    </row>
    <row r="9321" customFormat="false" ht="13.8" hidden="true" customHeight="false" outlineLevel="0" collapsed="false">
      <c r="A9321" s="0" t="s">
        <v>269</v>
      </c>
      <c r="B9321" s="0" t="n">
        <v>26</v>
      </c>
      <c r="C9321" s="0" t="n">
        <v>1.5</v>
      </c>
      <c r="D9321" s="0" t="n">
        <v>0</v>
      </c>
    </row>
    <row r="9322" customFormat="false" ht="13.8" hidden="true" customHeight="false" outlineLevel="0" collapsed="false">
      <c r="A9322" s="0" t="s">
        <v>269</v>
      </c>
      <c r="B9322" s="0" t="n">
        <v>26</v>
      </c>
      <c r="C9322" s="0" t="n">
        <v>1.55</v>
      </c>
      <c r="D9322" s="0" t="n">
        <v>0</v>
      </c>
    </row>
    <row r="9323" customFormat="false" ht="13.8" hidden="true" customHeight="false" outlineLevel="0" collapsed="false">
      <c r="A9323" s="0" t="s">
        <v>269</v>
      </c>
      <c r="B9323" s="0" t="n">
        <v>26</v>
      </c>
      <c r="C9323" s="0" t="n">
        <v>1.6</v>
      </c>
      <c r="D9323" s="0" t="n">
        <v>0</v>
      </c>
    </row>
    <row r="9324" customFormat="false" ht="13.8" hidden="true" customHeight="false" outlineLevel="0" collapsed="false">
      <c r="A9324" s="0" t="s">
        <v>269</v>
      </c>
      <c r="B9324" s="0" t="n">
        <v>26</v>
      </c>
      <c r="C9324" s="0" t="n">
        <v>1.65</v>
      </c>
      <c r="D9324" s="0" t="n">
        <v>0</v>
      </c>
    </row>
    <row r="9325" customFormat="false" ht="13.8" hidden="true" customHeight="false" outlineLevel="0" collapsed="false">
      <c r="A9325" s="0" t="s">
        <v>269</v>
      </c>
      <c r="B9325" s="0" t="n">
        <v>26</v>
      </c>
      <c r="C9325" s="0" t="n">
        <v>1.7</v>
      </c>
      <c r="D9325" s="0" t="n">
        <v>0</v>
      </c>
    </row>
    <row r="9326" customFormat="false" ht="13.8" hidden="true" customHeight="false" outlineLevel="0" collapsed="false">
      <c r="A9326" s="0" t="s">
        <v>269</v>
      </c>
      <c r="B9326" s="0" t="n">
        <v>26</v>
      </c>
      <c r="C9326" s="0" t="n">
        <v>1.75</v>
      </c>
      <c r="D9326" s="0" t="n">
        <v>0</v>
      </c>
    </row>
    <row r="9327" customFormat="false" ht="13.8" hidden="true" customHeight="false" outlineLevel="0" collapsed="false">
      <c r="A9327" s="0" t="s">
        <v>269</v>
      </c>
      <c r="B9327" s="0" t="n">
        <v>26</v>
      </c>
      <c r="C9327" s="0" t="n">
        <v>1.8</v>
      </c>
      <c r="D9327" s="0" t="n">
        <v>0</v>
      </c>
    </row>
    <row r="9328" customFormat="false" ht="13.8" hidden="true" customHeight="false" outlineLevel="0" collapsed="false">
      <c r="A9328" s="0" t="s">
        <v>269</v>
      </c>
      <c r="B9328" s="0" t="n">
        <v>26</v>
      </c>
      <c r="C9328" s="0" t="n">
        <v>1.85</v>
      </c>
      <c r="D9328" s="0" t="n">
        <v>0</v>
      </c>
    </row>
    <row r="9329" customFormat="false" ht="13.8" hidden="true" customHeight="false" outlineLevel="0" collapsed="false">
      <c r="A9329" s="0" t="s">
        <v>269</v>
      </c>
      <c r="B9329" s="0" t="n">
        <v>26</v>
      </c>
      <c r="C9329" s="0" t="n">
        <v>1.9</v>
      </c>
      <c r="D9329" s="0" t="n">
        <v>0.302</v>
      </c>
    </row>
    <row r="9330" customFormat="false" ht="13.8" hidden="true" customHeight="false" outlineLevel="0" collapsed="false">
      <c r="A9330" s="0" t="s">
        <v>269</v>
      </c>
      <c r="B9330" s="0" t="n">
        <v>26</v>
      </c>
      <c r="C9330" s="0" t="n">
        <v>1.95</v>
      </c>
      <c r="D9330" s="0" t="n">
        <v>0.31</v>
      </c>
    </row>
    <row r="9331" customFormat="false" ht="13.8" hidden="true" customHeight="false" outlineLevel="0" collapsed="false">
      <c r="A9331" s="0" t="s">
        <v>269</v>
      </c>
      <c r="B9331" s="0" t="n">
        <v>26</v>
      </c>
      <c r="C9331" s="0" t="n">
        <v>2</v>
      </c>
      <c r="D9331" s="0" t="n">
        <v>0.347</v>
      </c>
    </row>
    <row r="9332" customFormat="false" ht="13.8" hidden="true" customHeight="false" outlineLevel="0" collapsed="false">
      <c r="A9332" s="0" t="s">
        <v>269</v>
      </c>
      <c r="B9332" s="0" t="n">
        <v>26</v>
      </c>
      <c r="C9332" s="0" t="n">
        <v>2.05</v>
      </c>
      <c r="D9332" s="0" t="n">
        <v>0.355</v>
      </c>
    </row>
    <row r="9333" customFormat="false" ht="13.8" hidden="true" customHeight="false" outlineLevel="0" collapsed="false">
      <c r="A9333" s="0" t="s">
        <v>269</v>
      </c>
      <c r="B9333" s="0" t="n">
        <v>26</v>
      </c>
      <c r="C9333" s="0" t="n">
        <v>2.1</v>
      </c>
      <c r="D9333" s="0" t="n">
        <v>0.364</v>
      </c>
    </row>
    <row r="9334" customFormat="false" ht="13.8" hidden="true" customHeight="false" outlineLevel="0" collapsed="false">
      <c r="A9334" s="0" t="s">
        <v>269</v>
      </c>
      <c r="B9334" s="0" t="n">
        <v>26</v>
      </c>
      <c r="C9334" s="0" t="n">
        <v>2.15</v>
      </c>
      <c r="D9334" s="0" t="n">
        <v>0.3724875</v>
      </c>
    </row>
    <row r="9335" customFormat="false" ht="13.8" hidden="true" customHeight="false" outlineLevel="0" collapsed="false">
      <c r="A9335" s="0" t="s">
        <v>269</v>
      </c>
      <c r="B9335" s="0" t="n">
        <v>26</v>
      </c>
      <c r="C9335" s="0" t="n">
        <v>2.2</v>
      </c>
      <c r="D9335" s="0" t="n">
        <v>0.38115</v>
      </c>
    </row>
    <row r="9336" customFormat="false" ht="13.8" hidden="true" customHeight="false" outlineLevel="0" collapsed="false">
      <c r="A9336" s="0" t="s">
        <v>269</v>
      </c>
      <c r="B9336" s="0" t="n">
        <v>26</v>
      </c>
      <c r="C9336" s="0" t="n">
        <v>2.25</v>
      </c>
      <c r="D9336" s="0" t="n">
        <v>0.3898125</v>
      </c>
    </row>
    <row r="9337" customFormat="false" ht="13.8" hidden="true" customHeight="false" outlineLevel="0" collapsed="false">
      <c r="A9337" s="0" t="s">
        <v>269</v>
      </c>
      <c r="B9337" s="0" t="n">
        <v>26</v>
      </c>
      <c r="C9337" s="0" t="n">
        <v>2.3</v>
      </c>
      <c r="D9337" s="0" t="n">
        <v>0</v>
      </c>
    </row>
    <row r="9338" customFormat="false" ht="13.8" hidden="true" customHeight="false" outlineLevel="0" collapsed="false">
      <c r="A9338" s="0" t="s">
        <v>269</v>
      </c>
      <c r="B9338" s="0" t="n">
        <v>26</v>
      </c>
      <c r="C9338" s="0" t="n">
        <v>2.35</v>
      </c>
      <c r="D9338" s="0" t="n">
        <v>0</v>
      </c>
    </row>
    <row r="9339" customFormat="false" ht="13.8" hidden="true" customHeight="false" outlineLevel="0" collapsed="false">
      <c r="A9339" s="0" t="s">
        <v>269</v>
      </c>
      <c r="B9339" s="0" t="n">
        <v>26</v>
      </c>
      <c r="C9339" s="0" t="n">
        <v>2.4</v>
      </c>
      <c r="D9339" s="0" t="n">
        <v>0</v>
      </c>
    </row>
    <row r="9340" customFormat="false" ht="13.8" hidden="true" customHeight="false" outlineLevel="0" collapsed="false">
      <c r="A9340" s="0" t="s">
        <v>269</v>
      </c>
      <c r="B9340" s="0" t="n">
        <v>26</v>
      </c>
      <c r="C9340" s="0" t="n">
        <v>2.45</v>
      </c>
      <c r="D9340" s="0" t="n">
        <v>0</v>
      </c>
    </row>
    <row r="9341" customFormat="false" ht="13.8" hidden="true" customHeight="false" outlineLevel="0" collapsed="false">
      <c r="A9341" s="0" t="s">
        <v>269</v>
      </c>
      <c r="B9341" s="0" t="n">
        <v>26</v>
      </c>
      <c r="C9341" s="0" t="n">
        <v>2.5</v>
      </c>
      <c r="D9341" s="0" t="n">
        <v>0</v>
      </c>
    </row>
    <row r="9342" customFormat="false" ht="13.8" hidden="true" customHeight="false" outlineLevel="0" collapsed="false">
      <c r="A9342" s="0" t="s">
        <v>269</v>
      </c>
      <c r="B9342" s="0" t="n">
        <v>26</v>
      </c>
      <c r="C9342" s="0" t="n">
        <v>2.55</v>
      </c>
      <c r="D9342" s="0" t="n">
        <v>0</v>
      </c>
    </row>
    <row r="9343" customFormat="false" ht="13.8" hidden="true" customHeight="false" outlineLevel="0" collapsed="false">
      <c r="A9343" s="0" t="s">
        <v>269</v>
      </c>
      <c r="B9343" s="0" t="n">
        <v>26</v>
      </c>
      <c r="C9343" s="0" t="n">
        <v>2.6</v>
      </c>
      <c r="D9343" s="0" t="n">
        <v>0</v>
      </c>
    </row>
    <row r="9344" customFormat="false" ht="13.8" hidden="true" customHeight="false" outlineLevel="0" collapsed="false">
      <c r="A9344" s="0" t="s">
        <v>270</v>
      </c>
      <c r="B9344" s="0" t="n">
        <v>26</v>
      </c>
      <c r="C9344" s="0" t="n">
        <v>1.3</v>
      </c>
      <c r="D9344" s="0" t="n">
        <v>0</v>
      </c>
    </row>
    <row r="9345" customFormat="false" ht="13.8" hidden="true" customHeight="false" outlineLevel="0" collapsed="false">
      <c r="A9345" s="0" t="s">
        <v>270</v>
      </c>
      <c r="B9345" s="0" t="n">
        <v>26</v>
      </c>
      <c r="C9345" s="0" t="n">
        <v>1.35</v>
      </c>
      <c r="D9345" s="0" t="n">
        <v>0</v>
      </c>
    </row>
    <row r="9346" customFormat="false" ht="13.8" hidden="true" customHeight="false" outlineLevel="0" collapsed="false">
      <c r="A9346" s="0" t="s">
        <v>270</v>
      </c>
      <c r="B9346" s="0" t="n">
        <v>26</v>
      </c>
      <c r="C9346" s="0" t="n">
        <v>1.4</v>
      </c>
      <c r="D9346" s="0" t="n">
        <v>0</v>
      </c>
    </row>
    <row r="9347" customFormat="false" ht="13.8" hidden="true" customHeight="false" outlineLevel="0" collapsed="false">
      <c r="A9347" s="0" t="s">
        <v>270</v>
      </c>
      <c r="B9347" s="0" t="n">
        <v>26</v>
      </c>
      <c r="C9347" s="0" t="n">
        <v>1.45</v>
      </c>
      <c r="D9347" s="0" t="n">
        <v>0</v>
      </c>
    </row>
    <row r="9348" customFormat="false" ht="13.8" hidden="true" customHeight="false" outlineLevel="0" collapsed="false">
      <c r="A9348" s="0" t="s">
        <v>270</v>
      </c>
      <c r="B9348" s="0" t="n">
        <v>26</v>
      </c>
      <c r="C9348" s="0" t="n">
        <v>1.5</v>
      </c>
      <c r="D9348" s="0" t="n">
        <v>0</v>
      </c>
    </row>
    <row r="9349" customFormat="false" ht="13.8" hidden="true" customHeight="false" outlineLevel="0" collapsed="false">
      <c r="A9349" s="0" t="s">
        <v>270</v>
      </c>
      <c r="B9349" s="0" t="n">
        <v>26</v>
      </c>
      <c r="C9349" s="0" t="n">
        <v>1.55</v>
      </c>
      <c r="D9349" s="0" t="n">
        <v>0</v>
      </c>
    </row>
    <row r="9350" customFormat="false" ht="13.8" hidden="true" customHeight="false" outlineLevel="0" collapsed="false">
      <c r="A9350" s="0" t="s">
        <v>270</v>
      </c>
      <c r="B9350" s="0" t="n">
        <v>26</v>
      </c>
      <c r="C9350" s="0" t="n">
        <v>1.6</v>
      </c>
      <c r="D9350" s="0" t="n">
        <v>0</v>
      </c>
    </row>
    <row r="9351" customFormat="false" ht="13.8" hidden="true" customHeight="false" outlineLevel="0" collapsed="false">
      <c r="A9351" s="0" t="s">
        <v>270</v>
      </c>
      <c r="B9351" s="0" t="n">
        <v>26</v>
      </c>
      <c r="C9351" s="0" t="n">
        <v>1.65</v>
      </c>
      <c r="D9351" s="0" t="n">
        <v>0</v>
      </c>
    </row>
    <row r="9352" customFormat="false" ht="13.8" hidden="true" customHeight="false" outlineLevel="0" collapsed="false">
      <c r="A9352" s="0" t="s">
        <v>270</v>
      </c>
      <c r="B9352" s="0" t="n">
        <v>26</v>
      </c>
      <c r="C9352" s="0" t="n">
        <v>1.7</v>
      </c>
      <c r="D9352" s="0" t="n">
        <v>0</v>
      </c>
    </row>
    <row r="9353" customFormat="false" ht="13.8" hidden="true" customHeight="false" outlineLevel="0" collapsed="false">
      <c r="A9353" s="0" t="s">
        <v>270</v>
      </c>
      <c r="B9353" s="0" t="n">
        <v>26</v>
      </c>
      <c r="C9353" s="0" t="n">
        <v>1.75</v>
      </c>
      <c r="D9353" s="0" t="n">
        <v>0</v>
      </c>
    </row>
    <row r="9354" customFormat="false" ht="13.8" hidden="true" customHeight="false" outlineLevel="0" collapsed="false">
      <c r="A9354" s="0" t="s">
        <v>270</v>
      </c>
      <c r="B9354" s="0" t="n">
        <v>26</v>
      </c>
      <c r="C9354" s="0" t="n">
        <v>1.8</v>
      </c>
      <c r="D9354" s="0" t="n">
        <v>0</v>
      </c>
    </row>
    <row r="9355" customFormat="false" ht="13.8" hidden="true" customHeight="false" outlineLevel="0" collapsed="false">
      <c r="A9355" s="0" t="s">
        <v>270</v>
      </c>
      <c r="B9355" s="0" t="n">
        <v>26</v>
      </c>
      <c r="C9355" s="0" t="n">
        <v>1.85</v>
      </c>
      <c r="D9355" s="0" t="n">
        <v>0</v>
      </c>
    </row>
    <row r="9356" customFormat="false" ht="13.8" hidden="true" customHeight="false" outlineLevel="0" collapsed="false">
      <c r="A9356" s="0" t="s">
        <v>270</v>
      </c>
      <c r="B9356" s="0" t="n">
        <v>26</v>
      </c>
      <c r="C9356" s="0" t="n">
        <v>1.9</v>
      </c>
      <c r="D9356" s="0" t="n">
        <v>0</v>
      </c>
    </row>
    <row r="9357" customFormat="false" ht="13.8" hidden="true" customHeight="false" outlineLevel="0" collapsed="false">
      <c r="A9357" s="0" t="s">
        <v>270</v>
      </c>
      <c r="B9357" s="0" t="n">
        <v>26</v>
      </c>
      <c r="C9357" s="0" t="n">
        <v>1.95</v>
      </c>
      <c r="D9357" s="0" t="n">
        <v>0</v>
      </c>
    </row>
    <row r="9358" customFormat="false" ht="13.8" hidden="true" customHeight="false" outlineLevel="0" collapsed="false">
      <c r="A9358" s="0" t="s">
        <v>270</v>
      </c>
      <c r="B9358" s="0" t="n">
        <v>26</v>
      </c>
      <c r="C9358" s="0" t="n">
        <v>2</v>
      </c>
      <c r="D9358" s="0" t="n">
        <v>0.347</v>
      </c>
    </row>
    <row r="9359" customFormat="false" ht="13.8" hidden="true" customHeight="false" outlineLevel="0" collapsed="false">
      <c r="A9359" s="0" t="s">
        <v>270</v>
      </c>
      <c r="B9359" s="0" t="n">
        <v>26</v>
      </c>
      <c r="C9359" s="0" t="n">
        <v>2.05</v>
      </c>
      <c r="D9359" s="0" t="n">
        <v>0.355</v>
      </c>
    </row>
    <row r="9360" customFormat="false" ht="13.8" hidden="true" customHeight="false" outlineLevel="0" collapsed="false">
      <c r="A9360" s="0" t="s">
        <v>270</v>
      </c>
      <c r="B9360" s="0" t="n">
        <v>26</v>
      </c>
      <c r="C9360" s="0" t="n">
        <v>2.1</v>
      </c>
      <c r="D9360" s="0" t="n">
        <v>0.364</v>
      </c>
    </row>
    <row r="9361" customFormat="false" ht="13.8" hidden="true" customHeight="false" outlineLevel="0" collapsed="false">
      <c r="A9361" s="0" t="s">
        <v>270</v>
      </c>
      <c r="B9361" s="0" t="n">
        <v>26</v>
      </c>
      <c r="C9361" s="0" t="n">
        <v>2.15</v>
      </c>
      <c r="D9361" s="0" t="n">
        <v>0.3724875</v>
      </c>
    </row>
    <row r="9362" customFormat="false" ht="13.8" hidden="true" customHeight="false" outlineLevel="0" collapsed="false">
      <c r="A9362" s="0" t="s">
        <v>270</v>
      </c>
      <c r="B9362" s="0" t="n">
        <v>26</v>
      </c>
      <c r="C9362" s="0" t="n">
        <v>2.2</v>
      </c>
      <c r="D9362" s="0" t="n">
        <v>0.38115</v>
      </c>
    </row>
    <row r="9363" customFormat="false" ht="13.8" hidden="true" customHeight="false" outlineLevel="0" collapsed="false">
      <c r="A9363" s="0" t="s">
        <v>270</v>
      </c>
      <c r="B9363" s="0" t="n">
        <v>26</v>
      </c>
      <c r="C9363" s="0" t="n">
        <v>2.25</v>
      </c>
      <c r="D9363" s="0" t="n">
        <v>0.3898125</v>
      </c>
    </row>
    <row r="9364" customFormat="false" ht="13.8" hidden="true" customHeight="false" outlineLevel="0" collapsed="false">
      <c r="A9364" s="0" t="s">
        <v>270</v>
      </c>
      <c r="B9364" s="0" t="n">
        <v>26</v>
      </c>
      <c r="C9364" s="0" t="n">
        <v>2.3</v>
      </c>
      <c r="D9364" s="0" t="n">
        <v>0</v>
      </c>
    </row>
    <row r="9365" customFormat="false" ht="13.8" hidden="true" customHeight="false" outlineLevel="0" collapsed="false">
      <c r="A9365" s="0" t="s">
        <v>270</v>
      </c>
      <c r="B9365" s="0" t="n">
        <v>26</v>
      </c>
      <c r="C9365" s="0" t="n">
        <v>2.35</v>
      </c>
      <c r="D9365" s="0" t="n">
        <v>0</v>
      </c>
    </row>
    <row r="9366" customFormat="false" ht="13.8" hidden="true" customHeight="false" outlineLevel="0" collapsed="false">
      <c r="A9366" s="0" t="s">
        <v>270</v>
      </c>
      <c r="B9366" s="0" t="n">
        <v>26</v>
      </c>
      <c r="C9366" s="0" t="n">
        <v>2.4</v>
      </c>
      <c r="D9366" s="0" t="n">
        <v>0</v>
      </c>
    </row>
    <row r="9367" customFormat="false" ht="13.8" hidden="true" customHeight="false" outlineLevel="0" collapsed="false">
      <c r="A9367" s="0" t="s">
        <v>270</v>
      </c>
      <c r="B9367" s="0" t="n">
        <v>26</v>
      </c>
      <c r="C9367" s="0" t="n">
        <v>2.45</v>
      </c>
      <c r="D9367" s="0" t="n">
        <v>0</v>
      </c>
    </row>
    <row r="9368" customFormat="false" ht="13.8" hidden="true" customHeight="false" outlineLevel="0" collapsed="false">
      <c r="A9368" s="0" t="s">
        <v>270</v>
      </c>
      <c r="B9368" s="0" t="n">
        <v>26</v>
      </c>
      <c r="C9368" s="0" t="n">
        <v>2.5</v>
      </c>
      <c r="D9368" s="0" t="n">
        <v>0</v>
      </c>
    </row>
    <row r="9369" customFormat="false" ht="13.8" hidden="true" customHeight="false" outlineLevel="0" collapsed="false">
      <c r="A9369" s="0" t="s">
        <v>270</v>
      </c>
      <c r="B9369" s="0" t="n">
        <v>26</v>
      </c>
      <c r="C9369" s="0" t="n">
        <v>2.55</v>
      </c>
      <c r="D9369" s="0" t="n">
        <v>0</v>
      </c>
    </row>
    <row r="9370" customFormat="false" ht="13.8" hidden="true" customHeight="false" outlineLevel="0" collapsed="false">
      <c r="A9370" s="0" t="s">
        <v>270</v>
      </c>
      <c r="B9370" s="0" t="n">
        <v>26</v>
      </c>
      <c r="C9370" s="0" t="n">
        <v>2.6</v>
      </c>
      <c r="D9370" s="0" t="n">
        <v>0</v>
      </c>
    </row>
    <row r="9371" customFormat="false" ht="13.8" hidden="true" customHeight="false" outlineLevel="0" collapsed="false">
      <c r="A9371" s="0" t="s">
        <v>153</v>
      </c>
      <c r="B9371" s="0" t="n">
        <v>26</v>
      </c>
      <c r="C9371" s="0" t="n">
        <v>1.3</v>
      </c>
      <c r="D9371" s="0" t="n">
        <v>0</v>
      </c>
    </row>
    <row r="9372" customFormat="false" ht="13.8" hidden="true" customHeight="false" outlineLevel="0" collapsed="false">
      <c r="A9372" s="0" t="s">
        <v>153</v>
      </c>
      <c r="B9372" s="0" t="n">
        <v>26</v>
      </c>
      <c r="C9372" s="0" t="n">
        <v>1.35</v>
      </c>
      <c r="D9372" s="0" t="n">
        <v>0</v>
      </c>
    </row>
    <row r="9373" customFormat="false" ht="13.8" hidden="true" customHeight="false" outlineLevel="0" collapsed="false">
      <c r="A9373" s="0" t="s">
        <v>153</v>
      </c>
      <c r="B9373" s="0" t="n">
        <v>26</v>
      </c>
      <c r="C9373" s="0" t="n">
        <v>1.4</v>
      </c>
      <c r="D9373" s="0" t="n">
        <v>0</v>
      </c>
    </row>
    <row r="9374" customFormat="false" ht="13.8" hidden="true" customHeight="false" outlineLevel="0" collapsed="false">
      <c r="A9374" s="0" t="s">
        <v>153</v>
      </c>
      <c r="B9374" s="0" t="n">
        <v>26</v>
      </c>
      <c r="C9374" s="0" t="n">
        <v>1.45</v>
      </c>
      <c r="D9374" s="0" t="n">
        <v>0</v>
      </c>
    </row>
    <row r="9375" customFormat="false" ht="13.8" hidden="true" customHeight="false" outlineLevel="0" collapsed="false">
      <c r="A9375" s="0" t="s">
        <v>153</v>
      </c>
      <c r="B9375" s="0" t="n">
        <v>26</v>
      </c>
      <c r="C9375" s="0" t="n">
        <v>1.5</v>
      </c>
      <c r="D9375" s="0" t="n">
        <v>0</v>
      </c>
    </row>
    <row r="9376" customFormat="false" ht="13.8" hidden="true" customHeight="false" outlineLevel="0" collapsed="false">
      <c r="A9376" s="0" t="s">
        <v>153</v>
      </c>
      <c r="B9376" s="0" t="n">
        <v>26</v>
      </c>
      <c r="C9376" s="0" t="n">
        <v>1.55</v>
      </c>
      <c r="D9376" s="0" t="n">
        <v>0</v>
      </c>
    </row>
    <row r="9377" customFormat="false" ht="13.8" hidden="true" customHeight="false" outlineLevel="0" collapsed="false">
      <c r="A9377" s="0" t="s">
        <v>153</v>
      </c>
      <c r="B9377" s="0" t="n">
        <v>26</v>
      </c>
      <c r="C9377" s="0" t="n">
        <v>1.6</v>
      </c>
      <c r="D9377" s="0" t="n">
        <v>0</v>
      </c>
    </row>
    <row r="9378" customFormat="false" ht="13.8" hidden="true" customHeight="false" outlineLevel="0" collapsed="false">
      <c r="A9378" s="0" t="s">
        <v>153</v>
      </c>
      <c r="B9378" s="0" t="n">
        <v>26</v>
      </c>
      <c r="C9378" s="0" t="n">
        <v>1.65</v>
      </c>
      <c r="D9378" s="0" t="n">
        <v>0</v>
      </c>
    </row>
    <row r="9379" customFormat="false" ht="13.8" hidden="true" customHeight="false" outlineLevel="0" collapsed="false">
      <c r="A9379" s="0" t="s">
        <v>153</v>
      </c>
      <c r="B9379" s="0" t="n">
        <v>26</v>
      </c>
      <c r="C9379" s="0" t="n">
        <v>1.7</v>
      </c>
      <c r="D9379" s="0" t="n">
        <v>0</v>
      </c>
    </row>
    <row r="9380" customFormat="false" ht="13.8" hidden="true" customHeight="false" outlineLevel="0" collapsed="false">
      <c r="A9380" s="0" t="s">
        <v>153</v>
      </c>
      <c r="B9380" s="0" t="n">
        <v>26</v>
      </c>
      <c r="C9380" s="0" t="n">
        <v>1.75</v>
      </c>
      <c r="D9380" s="0" t="n">
        <v>0</v>
      </c>
    </row>
    <row r="9381" customFormat="false" ht="13.8" hidden="true" customHeight="false" outlineLevel="0" collapsed="false">
      <c r="A9381" s="0" t="s">
        <v>153</v>
      </c>
      <c r="B9381" s="0" t="n">
        <v>26</v>
      </c>
      <c r="C9381" s="0" t="n">
        <v>1.8</v>
      </c>
      <c r="D9381" s="0" t="n">
        <v>0</v>
      </c>
    </row>
    <row r="9382" customFormat="false" ht="13.8" hidden="true" customHeight="false" outlineLevel="0" collapsed="false">
      <c r="A9382" s="0" t="s">
        <v>153</v>
      </c>
      <c r="B9382" s="0" t="n">
        <v>26</v>
      </c>
      <c r="C9382" s="0" t="n">
        <v>1.85</v>
      </c>
      <c r="D9382" s="0" t="n">
        <v>0</v>
      </c>
    </row>
    <row r="9383" customFormat="false" ht="13.8" hidden="true" customHeight="false" outlineLevel="0" collapsed="false">
      <c r="A9383" s="0" t="s">
        <v>153</v>
      </c>
      <c r="B9383" s="0" t="n">
        <v>26</v>
      </c>
      <c r="C9383" s="0" t="n">
        <v>1.9</v>
      </c>
      <c r="D9383" s="0" t="n">
        <v>0</v>
      </c>
    </row>
    <row r="9384" customFormat="false" ht="13.8" hidden="true" customHeight="false" outlineLevel="0" collapsed="false">
      <c r="A9384" s="0" t="s">
        <v>153</v>
      </c>
      <c r="B9384" s="0" t="n">
        <v>26</v>
      </c>
      <c r="C9384" s="0" t="n">
        <v>1.95</v>
      </c>
      <c r="D9384" s="0" t="n">
        <v>0</v>
      </c>
    </row>
    <row r="9385" customFormat="false" ht="13.8" hidden="true" customHeight="false" outlineLevel="0" collapsed="false">
      <c r="A9385" s="0" t="s">
        <v>153</v>
      </c>
      <c r="B9385" s="0" t="n">
        <v>26</v>
      </c>
      <c r="C9385" s="0" t="n">
        <v>2</v>
      </c>
      <c r="D9385" s="0" t="n">
        <v>0.347</v>
      </c>
    </row>
    <row r="9386" customFormat="false" ht="13.8" hidden="true" customHeight="false" outlineLevel="0" collapsed="false">
      <c r="A9386" s="0" t="s">
        <v>153</v>
      </c>
      <c r="B9386" s="0" t="n">
        <v>26</v>
      </c>
      <c r="C9386" s="0" t="n">
        <v>2.05</v>
      </c>
      <c r="D9386" s="0" t="n">
        <v>0.355</v>
      </c>
    </row>
    <row r="9387" customFormat="false" ht="13.8" hidden="true" customHeight="false" outlineLevel="0" collapsed="false">
      <c r="A9387" s="0" t="s">
        <v>153</v>
      </c>
      <c r="B9387" s="0" t="n">
        <v>26</v>
      </c>
      <c r="C9387" s="0" t="n">
        <v>2.1</v>
      </c>
      <c r="D9387" s="0" t="n">
        <v>0.364</v>
      </c>
    </row>
    <row r="9388" customFormat="false" ht="13.8" hidden="true" customHeight="false" outlineLevel="0" collapsed="false">
      <c r="A9388" s="0" t="s">
        <v>153</v>
      </c>
      <c r="B9388" s="0" t="n">
        <v>26</v>
      </c>
      <c r="C9388" s="0" t="n">
        <v>2.15</v>
      </c>
      <c r="D9388" s="0" t="n">
        <v>0.3724875</v>
      </c>
    </row>
    <row r="9389" customFormat="false" ht="13.8" hidden="true" customHeight="false" outlineLevel="0" collapsed="false">
      <c r="A9389" s="0" t="s">
        <v>153</v>
      </c>
      <c r="B9389" s="0" t="n">
        <v>26</v>
      </c>
      <c r="C9389" s="0" t="n">
        <v>2.2</v>
      </c>
      <c r="D9389" s="0" t="n">
        <v>0.38115</v>
      </c>
    </row>
    <row r="9390" customFormat="false" ht="13.8" hidden="true" customHeight="false" outlineLevel="0" collapsed="false">
      <c r="A9390" s="0" t="s">
        <v>153</v>
      </c>
      <c r="B9390" s="0" t="n">
        <v>26</v>
      </c>
      <c r="C9390" s="0" t="n">
        <v>2.25</v>
      </c>
      <c r="D9390" s="0" t="n">
        <v>0.3898125</v>
      </c>
    </row>
    <row r="9391" customFormat="false" ht="13.8" hidden="true" customHeight="false" outlineLevel="0" collapsed="false">
      <c r="A9391" s="0" t="s">
        <v>153</v>
      </c>
      <c r="B9391" s="0" t="n">
        <v>26</v>
      </c>
      <c r="C9391" s="0" t="n">
        <v>2.3</v>
      </c>
      <c r="D9391" s="0" t="n">
        <v>0</v>
      </c>
    </row>
    <row r="9392" customFormat="false" ht="13.8" hidden="true" customHeight="false" outlineLevel="0" collapsed="false">
      <c r="A9392" s="0" t="s">
        <v>153</v>
      </c>
      <c r="B9392" s="0" t="n">
        <v>26</v>
      </c>
      <c r="C9392" s="0" t="n">
        <v>2.35</v>
      </c>
      <c r="D9392" s="0" t="n">
        <v>0</v>
      </c>
    </row>
    <row r="9393" customFormat="false" ht="13.8" hidden="true" customHeight="false" outlineLevel="0" collapsed="false">
      <c r="A9393" s="0" t="s">
        <v>153</v>
      </c>
      <c r="B9393" s="0" t="n">
        <v>26</v>
      </c>
      <c r="C9393" s="0" t="n">
        <v>2.4</v>
      </c>
      <c r="D9393" s="0" t="n">
        <v>0</v>
      </c>
    </row>
    <row r="9394" customFormat="false" ht="13.8" hidden="true" customHeight="false" outlineLevel="0" collapsed="false">
      <c r="A9394" s="0" t="s">
        <v>153</v>
      </c>
      <c r="B9394" s="0" t="n">
        <v>26</v>
      </c>
      <c r="C9394" s="0" t="n">
        <v>2.45</v>
      </c>
      <c r="D9394" s="0" t="n">
        <v>0</v>
      </c>
    </row>
    <row r="9395" customFormat="false" ht="13.8" hidden="true" customHeight="false" outlineLevel="0" collapsed="false">
      <c r="A9395" s="0" t="s">
        <v>153</v>
      </c>
      <c r="B9395" s="0" t="n">
        <v>26</v>
      </c>
      <c r="C9395" s="0" t="n">
        <v>2.5</v>
      </c>
      <c r="D9395" s="0" t="n">
        <v>0</v>
      </c>
    </row>
    <row r="9396" customFormat="false" ht="13.8" hidden="true" customHeight="false" outlineLevel="0" collapsed="false">
      <c r="A9396" s="0" t="s">
        <v>153</v>
      </c>
      <c r="B9396" s="0" t="n">
        <v>26</v>
      </c>
      <c r="C9396" s="0" t="n">
        <v>2.55</v>
      </c>
      <c r="D9396" s="0" t="n">
        <v>0</v>
      </c>
    </row>
    <row r="9397" customFormat="false" ht="13.8" hidden="true" customHeight="false" outlineLevel="0" collapsed="false">
      <c r="A9397" s="0" t="s">
        <v>153</v>
      </c>
      <c r="B9397" s="0" t="n">
        <v>26</v>
      </c>
      <c r="C9397" s="0" t="n">
        <v>2.6</v>
      </c>
      <c r="D9397" s="0" t="n">
        <v>0</v>
      </c>
    </row>
    <row r="9398" customFormat="false" ht="13.8" hidden="true" customHeight="false" outlineLevel="0" collapsed="false">
      <c r="A9398" s="0" t="s">
        <v>271</v>
      </c>
      <c r="B9398" s="0" t="n">
        <v>26</v>
      </c>
      <c r="C9398" s="0" t="n">
        <v>1.3</v>
      </c>
      <c r="D9398" s="0" t="n">
        <v>0</v>
      </c>
    </row>
    <row r="9399" customFormat="false" ht="13.8" hidden="true" customHeight="false" outlineLevel="0" collapsed="false">
      <c r="A9399" s="0" t="s">
        <v>271</v>
      </c>
      <c r="B9399" s="0" t="n">
        <v>26</v>
      </c>
      <c r="C9399" s="0" t="n">
        <v>1.35</v>
      </c>
      <c r="D9399" s="0" t="n">
        <v>0</v>
      </c>
    </row>
    <row r="9400" customFormat="false" ht="13.8" hidden="true" customHeight="false" outlineLevel="0" collapsed="false">
      <c r="A9400" s="0" t="s">
        <v>271</v>
      </c>
      <c r="B9400" s="0" t="n">
        <v>26</v>
      </c>
      <c r="C9400" s="0" t="n">
        <v>1.4</v>
      </c>
      <c r="D9400" s="0" t="n">
        <v>0</v>
      </c>
    </row>
    <row r="9401" customFormat="false" ht="13.8" hidden="true" customHeight="false" outlineLevel="0" collapsed="false">
      <c r="A9401" s="0" t="s">
        <v>271</v>
      </c>
      <c r="B9401" s="0" t="n">
        <v>26</v>
      </c>
      <c r="C9401" s="0" t="n">
        <v>1.45</v>
      </c>
      <c r="D9401" s="0" t="n">
        <v>0</v>
      </c>
    </row>
    <row r="9402" customFormat="false" ht="13.8" hidden="true" customHeight="false" outlineLevel="0" collapsed="false">
      <c r="A9402" s="0" t="s">
        <v>271</v>
      </c>
      <c r="B9402" s="0" t="n">
        <v>26</v>
      </c>
      <c r="C9402" s="0" t="n">
        <v>1.5</v>
      </c>
      <c r="D9402" s="0" t="n">
        <v>0</v>
      </c>
    </row>
    <row r="9403" customFormat="false" ht="13.8" hidden="true" customHeight="false" outlineLevel="0" collapsed="false">
      <c r="A9403" s="0" t="s">
        <v>271</v>
      </c>
      <c r="B9403" s="0" t="n">
        <v>26</v>
      </c>
      <c r="C9403" s="0" t="n">
        <v>1.55</v>
      </c>
      <c r="D9403" s="0" t="n">
        <v>0</v>
      </c>
    </row>
    <row r="9404" customFormat="false" ht="13.8" hidden="true" customHeight="false" outlineLevel="0" collapsed="false">
      <c r="A9404" s="0" t="s">
        <v>271</v>
      </c>
      <c r="B9404" s="0" t="n">
        <v>26</v>
      </c>
      <c r="C9404" s="0" t="n">
        <v>1.6</v>
      </c>
      <c r="D9404" s="0" t="n">
        <v>0</v>
      </c>
    </row>
    <row r="9405" customFormat="false" ht="13.8" hidden="true" customHeight="false" outlineLevel="0" collapsed="false">
      <c r="A9405" s="0" t="s">
        <v>271</v>
      </c>
      <c r="B9405" s="0" t="n">
        <v>26</v>
      </c>
      <c r="C9405" s="0" t="n">
        <v>1.65</v>
      </c>
      <c r="D9405" s="0" t="n">
        <v>0</v>
      </c>
    </row>
    <row r="9406" customFormat="false" ht="13.8" hidden="true" customHeight="false" outlineLevel="0" collapsed="false">
      <c r="A9406" s="0" t="s">
        <v>271</v>
      </c>
      <c r="B9406" s="0" t="n">
        <v>26</v>
      </c>
      <c r="C9406" s="0" t="n">
        <v>1.7</v>
      </c>
      <c r="D9406" s="0" t="n">
        <v>0</v>
      </c>
    </row>
    <row r="9407" customFormat="false" ht="13.8" hidden="true" customHeight="false" outlineLevel="0" collapsed="false">
      <c r="A9407" s="0" t="s">
        <v>271</v>
      </c>
      <c r="B9407" s="0" t="n">
        <v>26</v>
      </c>
      <c r="C9407" s="0" t="n">
        <v>1.75</v>
      </c>
      <c r="D9407" s="0" t="n">
        <v>0</v>
      </c>
    </row>
    <row r="9408" customFormat="false" ht="13.8" hidden="true" customHeight="false" outlineLevel="0" collapsed="false">
      <c r="A9408" s="0" t="s">
        <v>271</v>
      </c>
      <c r="B9408" s="0" t="n">
        <v>26</v>
      </c>
      <c r="C9408" s="0" t="n">
        <v>1.8</v>
      </c>
      <c r="D9408" s="0" t="n">
        <v>0</v>
      </c>
    </row>
    <row r="9409" customFormat="false" ht="13.8" hidden="true" customHeight="false" outlineLevel="0" collapsed="false">
      <c r="A9409" s="0" t="s">
        <v>271</v>
      </c>
      <c r="B9409" s="0" t="n">
        <v>26</v>
      </c>
      <c r="C9409" s="0" t="n">
        <v>1.85</v>
      </c>
      <c r="D9409" s="0" t="n">
        <v>0</v>
      </c>
    </row>
    <row r="9410" customFormat="false" ht="13.8" hidden="true" customHeight="false" outlineLevel="0" collapsed="false">
      <c r="A9410" s="0" t="s">
        <v>271</v>
      </c>
      <c r="B9410" s="0" t="n">
        <v>26</v>
      </c>
      <c r="C9410" s="0" t="n">
        <v>1.9</v>
      </c>
      <c r="D9410" s="0" t="n">
        <v>0</v>
      </c>
    </row>
    <row r="9411" customFormat="false" ht="13.8" hidden="true" customHeight="false" outlineLevel="0" collapsed="false">
      <c r="A9411" s="0" t="s">
        <v>271</v>
      </c>
      <c r="B9411" s="0" t="n">
        <v>26</v>
      </c>
      <c r="C9411" s="0" t="n">
        <v>1.95</v>
      </c>
      <c r="D9411" s="0" t="n">
        <v>0</v>
      </c>
    </row>
    <row r="9412" customFormat="false" ht="13.8" hidden="true" customHeight="false" outlineLevel="0" collapsed="false">
      <c r="A9412" s="0" t="s">
        <v>271</v>
      </c>
      <c r="B9412" s="0" t="n">
        <v>26</v>
      </c>
      <c r="C9412" s="0" t="n">
        <v>2</v>
      </c>
      <c r="D9412" s="0" t="n">
        <v>0.347</v>
      </c>
    </row>
    <row r="9413" customFormat="false" ht="13.8" hidden="true" customHeight="false" outlineLevel="0" collapsed="false">
      <c r="A9413" s="0" t="s">
        <v>271</v>
      </c>
      <c r="B9413" s="0" t="n">
        <v>26</v>
      </c>
      <c r="C9413" s="0" t="n">
        <v>2.05</v>
      </c>
      <c r="D9413" s="0" t="n">
        <v>0.355</v>
      </c>
    </row>
    <row r="9414" customFormat="false" ht="13.8" hidden="true" customHeight="false" outlineLevel="0" collapsed="false">
      <c r="A9414" s="0" t="s">
        <v>271</v>
      </c>
      <c r="B9414" s="0" t="n">
        <v>26</v>
      </c>
      <c r="C9414" s="0" t="n">
        <v>2.1</v>
      </c>
      <c r="D9414" s="0" t="n">
        <v>0.364</v>
      </c>
    </row>
    <row r="9415" customFormat="false" ht="13.8" hidden="true" customHeight="false" outlineLevel="0" collapsed="false">
      <c r="A9415" s="0" t="s">
        <v>271</v>
      </c>
      <c r="B9415" s="0" t="n">
        <v>26</v>
      </c>
      <c r="C9415" s="0" t="n">
        <v>2.15</v>
      </c>
      <c r="D9415" s="0" t="n">
        <v>0.3724875</v>
      </c>
    </row>
    <row r="9416" customFormat="false" ht="13.8" hidden="true" customHeight="false" outlineLevel="0" collapsed="false">
      <c r="A9416" s="0" t="s">
        <v>271</v>
      </c>
      <c r="B9416" s="0" t="n">
        <v>26</v>
      </c>
      <c r="C9416" s="0" t="n">
        <v>2.2</v>
      </c>
      <c r="D9416" s="0" t="n">
        <v>0.38115</v>
      </c>
    </row>
    <row r="9417" customFormat="false" ht="13.8" hidden="true" customHeight="false" outlineLevel="0" collapsed="false">
      <c r="A9417" s="0" t="s">
        <v>271</v>
      </c>
      <c r="B9417" s="0" t="n">
        <v>26</v>
      </c>
      <c r="C9417" s="0" t="n">
        <v>2.25</v>
      </c>
      <c r="D9417" s="0" t="n">
        <v>0.3898125</v>
      </c>
    </row>
    <row r="9418" customFormat="false" ht="13.8" hidden="true" customHeight="false" outlineLevel="0" collapsed="false">
      <c r="A9418" s="0" t="s">
        <v>271</v>
      </c>
      <c r="B9418" s="0" t="n">
        <v>26</v>
      </c>
      <c r="C9418" s="0" t="n">
        <v>2.3</v>
      </c>
      <c r="D9418" s="0" t="n">
        <v>0</v>
      </c>
    </row>
    <row r="9419" customFormat="false" ht="13.8" hidden="true" customHeight="false" outlineLevel="0" collapsed="false">
      <c r="A9419" s="0" t="s">
        <v>271</v>
      </c>
      <c r="B9419" s="0" t="n">
        <v>26</v>
      </c>
      <c r="C9419" s="0" t="n">
        <v>2.35</v>
      </c>
      <c r="D9419" s="0" t="n">
        <v>0</v>
      </c>
    </row>
    <row r="9420" customFormat="false" ht="13.8" hidden="true" customHeight="false" outlineLevel="0" collapsed="false">
      <c r="A9420" s="0" t="s">
        <v>271</v>
      </c>
      <c r="B9420" s="0" t="n">
        <v>26</v>
      </c>
      <c r="C9420" s="0" t="n">
        <v>2.4</v>
      </c>
      <c r="D9420" s="0" t="n">
        <v>0</v>
      </c>
    </row>
    <row r="9421" customFormat="false" ht="13.8" hidden="true" customHeight="false" outlineLevel="0" collapsed="false">
      <c r="A9421" s="0" t="s">
        <v>271</v>
      </c>
      <c r="B9421" s="0" t="n">
        <v>26</v>
      </c>
      <c r="C9421" s="0" t="n">
        <v>2.45</v>
      </c>
      <c r="D9421" s="0" t="n">
        <v>0</v>
      </c>
    </row>
    <row r="9422" customFormat="false" ht="13.8" hidden="true" customHeight="false" outlineLevel="0" collapsed="false">
      <c r="A9422" s="0" t="s">
        <v>271</v>
      </c>
      <c r="B9422" s="0" t="n">
        <v>26</v>
      </c>
      <c r="C9422" s="0" t="n">
        <v>2.5</v>
      </c>
      <c r="D9422" s="0" t="n">
        <v>0</v>
      </c>
    </row>
    <row r="9423" customFormat="false" ht="13.8" hidden="true" customHeight="false" outlineLevel="0" collapsed="false">
      <c r="A9423" s="0" t="s">
        <v>271</v>
      </c>
      <c r="B9423" s="0" t="n">
        <v>26</v>
      </c>
      <c r="C9423" s="0" t="n">
        <v>2.55</v>
      </c>
      <c r="D9423" s="0" t="n">
        <v>0</v>
      </c>
    </row>
    <row r="9424" customFormat="false" ht="13.8" hidden="true" customHeight="false" outlineLevel="0" collapsed="false">
      <c r="A9424" s="0" t="s">
        <v>271</v>
      </c>
      <c r="B9424" s="0" t="n">
        <v>26</v>
      </c>
      <c r="C9424" s="0" t="n">
        <v>2.6</v>
      </c>
      <c r="D9424" s="0" t="n">
        <v>0</v>
      </c>
    </row>
    <row r="9425" customFormat="false" ht="13.8" hidden="true" customHeight="false" outlineLevel="0" collapsed="false">
      <c r="A9425" s="0" t="s">
        <v>1068</v>
      </c>
      <c r="B9425" s="0" t="n">
        <v>26</v>
      </c>
      <c r="C9425" s="0" t="n">
        <v>1.3</v>
      </c>
      <c r="D9425" s="0" t="n">
        <v>0</v>
      </c>
    </row>
    <row r="9426" customFormat="false" ht="13.8" hidden="true" customHeight="false" outlineLevel="0" collapsed="false">
      <c r="A9426" s="0" t="s">
        <v>1068</v>
      </c>
      <c r="B9426" s="0" t="n">
        <v>26</v>
      </c>
      <c r="C9426" s="0" t="n">
        <v>1.35</v>
      </c>
      <c r="D9426" s="0" t="n">
        <v>0</v>
      </c>
    </row>
    <row r="9427" customFormat="false" ht="13.8" hidden="true" customHeight="false" outlineLevel="0" collapsed="false">
      <c r="A9427" s="0" t="s">
        <v>1068</v>
      </c>
      <c r="B9427" s="0" t="n">
        <v>26</v>
      </c>
      <c r="C9427" s="0" t="n">
        <v>1.4</v>
      </c>
      <c r="D9427" s="0" t="n">
        <v>0</v>
      </c>
    </row>
    <row r="9428" customFormat="false" ht="13.8" hidden="true" customHeight="false" outlineLevel="0" collapsed="false">
      <c r="A9428" s="0" t="s">
        <v>1068</v>
      </c>
      <c r="B9428" s="0" t="n">
        <v>26</v>
      </c>
      <c r="C9428" s="0" t="n">
        <v>1.45</v>
      </c>
      <c r="D9428" s="0" t="n">
        <v>0</v>
      </c>
    </row>
    <row r="9429" customFormat="false" ht="13.8" hidden="true" customHeight="false" outlineLevel="0" collapsed="false">
      <c r="A9429" s="0" t="s">
        <v>1068</v>
      </c>
      <c r="B9429" s="0" t="n">
        <v>26</v>
      </c>
      <c r="C9429" s="0" t="n">
        <v>1.5</v>
      </c>
      <c r="D9429" s="0" t="n">
        <v>0</v>
      </c>
    </row>
    <row r="9430" customFormat="false" ht="13.8" hidden="true" customHeight="false" outlineLevel="0" collapsed="false">
      <c r="A9430" s="0" t="s">
        <v>1068</v>
      </c>
      <c r="B9430" s="0" t="n">
        <v>26</v>
      </c>
      <c r="C9430" s="0" t="n">
        <v>1.55</v>
      </c>
      <c r="D9430" s="0" t="n">
        <v>0</v>
      </c>
    </row>
    <row r="9431" customFormat="false" ht="13.8" hidden="true" customHeight="false" outlineLevel="0" collapsed="false">
      <c r="A9431" s="0" t="s">
        <v>1068</v>
      </c>
      <c r="B9431" s="0" t="n">
        <v>26</v>
      </c>
      <c r="C9431" s="0" t="n">
        <v>1.6</v>
      </c>
      <c r="D9431" s="0" t="n">
        <v>0</v>
      </c>
    </row>
    <row r="9432" customFormat="false" ht="13.8" hidden="true" customHeight="false" outlineLevel="0" collapsed="false">
      <c r="A9432" s="0" t="s">
        <v>1068</v>
      </c>
      <c r="B9432" s="0" t="n">
        <v>26</v>
      </c>
      <c r="C9432" s="0" t="n">
        <v>1.65</v>
      </c>
      <c r="D9432" s="0" t="n">
        <v>0</v>
      </c>
    </row>
    <row r="9433" customFormat="false" ht="13.8" hidden="true" customHeight="false" outlineLevel="0" collapsed="false">
      <c r="A9433" s="0" t="s">
        <v>1068</v>
      </c>
      <c r="B9433" s="0" t="n">
        <v>26</v>
      </c>
      <c r="C9433" s="0" t="n">
        <v>1.7</v>
      </c>
      <c r="D9433" s="0" t="n">
        <v>0</v>
      </c>
    </row>
    <row r="9434" customFormat="false" ht="13.8" hidden="true" customHeight="false" outlineLevel="0" collapsed="false">
      <c r="A9434" s="0" t="s">
        <v>1068</v>
      </c>
      <c r="B9434" s="0" t="n">
        <v>26</v>
      </c>
      <c r="C9434" s="0" t="n">
        <v>1.75</v>
      </c>
      <c r="D9434" s="0" t="n">
        <v>0</v>
      </c>
    </row>
    <row r="9435" customFormat="false" ht="13.8" hidden="true" customHeight="false" outlineLevel="0" collapsed="false">
      <c r="A9435" s="0" t="s">
        <v>1068</v>
      </c>
      <c r="B9435" s="0" t="n">
        <v>26</v>
      </c>
      <c r="C9435" s="0" t="n">
        <v>1.8</v>
      </c>
      <c r="D9435" s="0" t="n">
        <v>0</v>
      </c>
    </row>
    <row r="9436" customFormat="false" ht="13.8" hidden="true" customHeight="false" outlineLevel="0" collapsed="false">
      <c r="A9436" s="0" t="s">
        <v>1068</v>
      </c>
      <c r="B9436" s="0" t="n">
        <v>26</v>
      </c>
      <c r="C9436" s="0" t="n">
        <v>1.85</v>
      </c>
      <c r="D9436" s="0" t="n">
        <v>0</v>
      </c>
    </row>
    <row r="9437" customFormat="false" ht="13.8" hidden="true" customHeight="false" outlineLevel="0" collapsed="false">
      <c r="A9437" s="0" t="s">
        <v>1068</v>
      </c>
      <c r="B9437" s="0" t="n">
        <v>26</v>
      </c>
      <c r="C9437" s="0" t="n">
        <v>1.9</v>
      </c>
      <c r="D9437" s="0" t="n">
        <v>0</v>
      </c>
    </row>
    <row r="9438" customFormat="false" ht="13.8" hidden="true" customHeight="false" outlineLevel="0" collapsed="false">
      <c r="A9438" s="0" t="s">
        <v>1068</v>
      </c>
      <c r="B9438" s="0" t="n">
        <v>26</v>
      </c>
      <c r="C9438" s="0" t="n">
        <v>1.95</v>
      </c>
      <c r="D9438" s="0" t="n">
        <v>0</v>
      </c>
    </row>
    <row r="9439" customFormat="false" ht="13.8" hidden="true" customHeight="false" outlineLevel="0" collapsed="false">
      <c r="A9439" s="0" t="s">
        <v>1068</v>
      </c>
      <c r="B9439" s="0" t="n">
        <v>26</v>
      </c>
      <c r="C9439" s="0" t="n">
        <v>2</v>
      </c>
      <c r="D9439" s="0" t="n">
        <v>0.347</v>
      </c>
    </row>
    <row r="9440" customFormat="false" ht="13.8" hidden="true" customHeight="false" outlineLevel="0" collapsed="false">
      <c r="A9440" s="0" t="s">
        <v>1068</v>
      </c>
      <c r="B9440" s="0" t="n">
        <v>26</v>
      </c>
      <c r="C9440" s="0" t="n">
        <v>2.05</v>
      </c>
      <c r="D9440" s="0" t="n">
        <v>0.355</v>
      </c>
    </row>
    <row r="9441" customFormat="false" ht="13.8" hidden="true" customHeight="false" outlineLevel="0" collapsed="false">
      <c r="A9441" s="0" t="s">
        <v>1068</v>
      </c>
      <c r="B9441" s="0" t="n">
        <v>26</v>
      </c>
      <c r="C9441" s="0" t="n">
        <v>2.1</v>
      </c>
      <c r="D9441" s="0" t="n">
        <v>0.364</v>
      </c>
    </row>
    <row r="9442" customFormat="false" ht="13.8" hidden="true" customHeight="false" outlineLevel="0" collapsed="false">
      <c r="A9442" s="0" t="s">
        <v>1068</v>
      </c>
      <c r="B9442" s="0" t="n">
        <v>26</v>
      </c>
      <c r="C9442" s="0" t="n">
        <v>2.15</v>
      </c>
      <c r="D9442" s="0" t="n">
        <v>0.3724875</v>
      </c>
    </row>
    <row r="9443" customFormat="false" ht="13.8" hidden="true" customHeight="false" outlineLevel="0" collapsed="false">
      <c r="A9443" s="0" t="s">
        <v>1068</v>
      </c>
      <c r="B9443" s="0" t="n">
        <v>26</v>
      </c>
      <c r="C9443" s="0" t="n">
        <v>2.2</v>
      </c>
      <c r="D9443" s="0" t="n">
        <v>0.38115</v>
      </c>
    </row>
    <row r="9444" customFormat="false" ht="13.8" hidden="true" customHeight="false" outlineLevel="0" collapsed="false">
      <c r="A9444" s="0" t="s">
        <v>1068</v>
      </c>
      <c r="B9444" s="0" t="n">
        <v>26</v>
      </c>
      <c r="C9444" s="0" t="n">
        <v>2.25</v>
      </c>
      <c r="D9444" s="0" t="n">
        <v>0.3898125</v>
      </c>
    </row>
    <row r="9445" customFormat="false" ht="13.8" hidden="true" customHeight="false" outlineLevel="0" collapsed="false">
      <c r="A9445" s="0" t="s">
        <v>1068</v>
      </c>
      <c r="B9445" s="0" t="n">
        <v>26</v>
      </c>
      <c r="C9445" s="0" t="n">
        <v>2.3</v>
      </c>
      <c r="D9445" s="0" t="n">
        <v>0</v>
      </c>
    </row>
    <row r="9446" customFormat="false" ht="13.8" hidden="true" customHeight="false" outlineLevel="0" collapsed="false">
      <c r="A9446" s="0" t="s">
        <v>1068</v>
      </c>
      <c r="B9446" s="0" t="n">
        <v>26</v>
      </c>
      <c r="C9446" s="0" t="n">
        <v>2.35</v>
      </c>
      <c r="D9446" s="0" t="n">
        <v>0</v>
      </c>
    </row>
    <row r="9447" customFormat="false" ht="13.8" hidden="true" customHeight="false" outlineLevel="0" collapsed="false">
      <c r="A9447" s="0" t="s">
        <v>1068</v>
      </c>
      <c r="B9447" s="0" t="n">
        <v>26</v>
      </c>
      <c r="C9447" s="0" t="n">
        <v>2.4</v>
      </c>
      <c r="D9447" s="0" t="n">
        <v>0</v>
      </c>
    </row>
    <row r="9448" customFormat="false" ht="13.8" hidden="true" customHeight="false" outlineLevel="0" collapsed="false">
      <c r="A9448" s="0" t="s">
        <v>1068</v>
      </c>
      <c r="B9448" s="0" t="n">
        <v>26</v>
      </c>
      <c r="C9448" s="0" t="n">
        <v>2.45</v>
      </c>
      <c r="D9448" s="0" t="n">
        <v>0</v>
      </c>
    </row>
    <row r="9449" customFormat="false" ht="13.8" hidden="true" customHeight="false" outlineLevel="0" collapsed="false">
      <c r="A9449" s="0" t="s">
        <v>1068</v>
      </c>
      <c r="B9449" s="0" t="n">
        <v>26</v>
      </c>
      <c r="C9449" s="0" t="n">
        <v>2.5</v>
      </c>
      <c r="D9449" s="0" t="n">
        <v>0</v>
      </c>
    </row>
    <row r="9450" customFormat="false" ht="13.8" hidden="true" customHeight="false" outlineLevel="0" collapsed="false">
      <c r="A9450" s="0" t="s">
        <v>1068</v>
      </c>
      <c r="B9450" s="0" t="n">
        <v>26</v>
      </c>
      <c r="C9450" s="0" t="n">
        <v>2.55</v>
      </c>
      <c r="D9450" s="0" t="n">
        <v>0</v>
      </c>
    </row>
    <row r="9451" customFormat="false" ht="13.8" hidden="true" customHeight="false" outlineLevel="0" collapsed="false">
      <c r="A9451" s="0" t="s">
        <v>1068</v>
      </c>
      <c r="B9451" s="0" t="n">
        <v>26</v>
      </c>
      <c r="C9451" s="0" t="n">
        <v>2.6</v>
      </c>
      <c r="D9451" s="0" t="n">
        <v>0</v>
      </c>
    </row>
    <row r="9452" customFormat="false" ht="13.8" hidden="true" customHeight="false" outlineLevel="0" collapsed="false">
      <c r="A9452" s="0" t="s">
        <v>1072</v>
      </c>
      <c r="B9452" s="0" t="n">
        <v>26</v>
      </c>
      <c r="C9452" s="0" t="n">
        <v>1.3</v>
      </c>
      <c r="D9452" s="0" t="n">
        <v>0</v>
      </c>
    </row>
    <row r="9453" customFormat="false" ht="13.8" hidden="true" customHeight="false" outlineLevel="0" collapsed="false">
      <c r="A9453" s="0" t="s">
        <v>1072</v>
      </c>
      <c r="B9453" s="0" t="n">
        <v>26</v>
      </c>
      <c r="C9453" s="0" t="n">
        <v>1.35</v>
      </c>
      <c r="D9453" s="0" t="n">
        <v>0</v>
      </c>
    </row>
    <row r="9454" customFormat="false" ht="13.8" hidden="true" customHeight="false" outlineLevel="0" collapsed="false">
      <c r="A9454" s="0" t="s">
        <v>1072</v>
      </c>
      <c r="B9454" s="0" t="n">
        <v>26</v>
      </c>
      <c r="C9454" s="0" t="n">
        <v>1.4</v>
      </c>
      <c r="D9454" s="0" t="n">
        <v>0</v>
      </c>
    </row>
    <row r="9455" customFormat="false" ht="13.8" hidden="true" customHeight="false" outlineLevel="0" collapsed="false">
      <c r="A9455" s="0" t="s">
        <v>1072</v>
      </c>
      <c r="B9455" s="0" t="n">
        <v>26</v>
      </c>
      <c r="C9455" s="0" t="n">
        <v>1.45</v>
      </c>
      <c r="D9455" s="0" t="n">
        <v>0</v>
      </c>
    </row>
    <row r="9456" customFormat="false" ht="13.8" hidden="true" customHeight="false" outlineLevel="0" collapsed="false">
      <c r="A9456" s="0" t="s">
        <v>1072</v>
      </c>
      <c r="B9456" s="0" t="n">
        <v>26</v>
      </c>
      <c r="C9456" s="0" t="n">
        <v>1.5</v>
      </c>
      <c r="D9456" s="0" t="n">
        <v>0</v>
      </c>
    </row>
    <row r="9457" customFormat="false" ht="13.8" hidden="true" customHeight="false" outlineLevel="0" collapsed="false">
      <c r="A9457" s="0" t="s">
        <v>1072</v>
      </c>
      <c r="B9457" s="0" t="n">
        <v>26</v>
      </c>
      <c r="C9457" s="0" t="n">
        <v>1.55</v>
      </c>
      <c r="D9457" s="0" t="n">
        <v>0</v>
      </c>
    </row>
    <row r="9458" customFormat="false" ht="13.8" hidden="true" customHeight="false" outlineLevel="0" collapsed="false">
      <c r="A9458" s="0" t="s">
        <v>1072</v>
      </c>
      <c r="B9458" s="0" t="n">
        <v>26</v>
      </c>
      <c r="C9458" s="0" t="n">
        <v>1.6</v>
      </c>
      <c r="D9458" s="0" t="n">
        <v>0</v>
      </c>
    </row>
    <row r="9459" customFormat="false" ht="13.8" hidden="true" customHeight="false" outlineLevel="0" collapsed="false">
      <c r="A9459" s="0" t="s">
        <v>1072</v>
      </c>
      <c r="B9459" s="0" t="n">
        <v>26</v>
      </c>
      <c r="C9459" s="0" t="n">
        <v>1.65</v>
      </c>
      <c r="D9459" s="0" t="n">
        <v>0</v>
      </c>
    </row>
    <row r="9460" customFormat="false" ht="13.8" hidden="true" customHeight="false" outlineLevel="0" collapsed="false">
      <c r="A9460" s="0" t="s">
        <v>1072</v>
      </c>
      <c r="B9460" s="0" t="n">
        <v>26</v>
      </c>
      <c r="C9460" s="0" t="n">
        <v>1.7</v>
      </c>
      <c r="D9460" s="0" t="n">
        <v>0</v>
      </c>
    </row>
    <row r="9461" customFormat="false" ht="13.8" hidden="true" customHeight="false" outlineLevel="0" collapsed="false">
      <c r="A9461" s="0" t="s">
        <v>1072</v>
      </c>
      <c r="B9461" s="0" t="n">
        <v>26</v>
      </c>
      <c r="C9461" s="0" t="n">
        <v>1.75</v>
      </c>
      <c r="D9461" s="0" t="n">
        <v>0</v>
      </c>
    </row>
    <row r="9462" customFormat="false" ht="13.8" hidden="true" customHeight="false" outlineLevel="0" collapsed="false">
      <c r="A9462" s="0" t="s">
        <v>1072</v>
      </c>
      <c r="B9462" s="0" t="n">
        <v>26</v>
      </c>
      <c r="C9462" s="0" t="n">
        <v>1.8</v>
      </c>
      <c r="D9462" s="0" t="n">
        <v>0</v>
      </c>
    </row>
    <row r="9463" customFormat="false" ht="13.8" hidden="true" customHeight="false" outlineLevel="0" collapsed="false">
      <c r="A9463" s="0" t="s">
        <v>1072</v>
      </c>
      <c r="B9463" s="0" t="n">
        <v>26</v>
      </c>
      <c r="C9463" s="0" t="n">
        <v>1.85</v>
      </c>
      <c r="D9463" s="0" t="n">
        <v>0</v>
      </c>
    </row>
    <row r="9464" customFormat="false" ht="13.8" hidden="true" customHeight="false" outlineLevel="0" collapsed="false">
      <c r="A9464" s="0" t="s">
        <v>1072</v>
      </c>
      <c r="B9464" s="0" t="n">
        <v>26</v>
      </c>
      <c r="C9464" s="0" t="n">
        <v>1.9</v>
      </c>
      <c r="D9464" s="0" t="n">
        <v>0</v>
      </c>
    </row>
    <row r="9465" customFormat="false" ht="13.8" hidden="true" customHeight="false" outlineLevel="0" collapsed="false">
      <c r="A9465" s="0" t="s">
        <v>1072</v>
      </c>
      <c r="B9465" s="0" t="n">
        <v>26</v>
      </c>
      <c r="C9465" s="0" t="n">
        <v>1.95</v>
      </c>
      <c r="D9465" s="0" t="n">
        <v>0</v>
      </c>
    </row>
    <row r="9466" customFormat="false" ht="13.8" hidden="true" customHeight="false" outlineLevel="0" collapsed="false">
      <c r="A9466" s="0" t="s">
        <v>1072</v>
      </c>
      <c r="B9466" s="0" t="n">
        <v>26</v>
      </c>
      <c r="C9466" s="0" t="n">
        <v>2</v>
      </c>
      <c r="D9466" s="0" t="n">
        <v>0.347</v>
      </c>
    </row>
    <row r="9467" customFormat="false" ht="13.8" hidden="true" customHeight="false" outlineLevel="0" collapsed="false">
      <c r="A9467" s="0" t="s">
        <v>1072</v>
      </c>
      <c r="B9467" s="0" t="n">
        <v>26</v>
      </c>
      <c r="C9467" s="0" t="n">
        <v>2.05</v>
      </c>
      <c r="D9467" s="0" t="n">
        <v>0.355</v>
      </c>
    </row>
    <row r="9468" customFormat="false" ht="13.8" hidden="true" customHeight="false" outlineLevel="0" collapsed="false">
      <c r="A9468" s="0" t="s">
        <v>1072</v>
      </c>
      <c r="B9468" s="0" t="n">
        <v>26</v>
      </c>
      <c r="C9468" s="0" t="n">
        <v>2.1</v>
      </c>
      <c r="D9468" s="0" t="n">
        <v>0.364</v>
      </c>
    </row>
    <row r="9469" customFormat="false" ht="13.8" hidden="true" customHeight="false" outlineLevel="0" collapsed="false">
      <c r="A9469" s="0" t="s">
        <v>1072</v>
      </c>
      <c r="B9469" s="0" t="n">
        <v>26</v>
      </c>
      <c r="C9469" s="0" t="n">
        <v>2.15</v>
      </c>
      <c r="D9469" s="0" t="n">
        <v>0.3724875</v>
      </c>
    </row>
    <row r="9470" customFormat="false" ht="13.8" hidden="true" customHeight="false" outlineLevel="0" collapsed="false">
      <c r="A9470" s="0" t="s">
        <v>1072</v>
      </c>
      <c r="B9470" s="0" t="n">
        <v>26</v>
      </c>
      <c r="C9470" s="0" t="n">
        <v>2.2</v>
      </c>
      <c r="D9470" s="0" t="n">
        <v>0.38115</v>
      </c>
    </row>
    <row r="9471" customFormat="false" ht="13.8" hidden="true" customHeight="false" outlineLevel="0" collapsed="false">
      <c r="A9471" s="0" t="s">
        <v>1072</v>
      </c>
      <c r="B9471" s="0" t="n">
        <v>26</v>
      </c>
      <c r="C9471" s="0" t="n">
        <v>2.25</v>
      </c>
      <c r="D9471" s="0" t="n">
        <v>0.3898125</v>
      </c>
    </row>
    <row r="9472" customFormat="false" ht="13.8" hidden="true" customHeight="false" outlineLevel="0" collapsed="false">
      <c r="A9472" s="0" t="s">
        <v>1072</v>
      </c>
      <c r="B9472" s="0" t="n">
        <v>26</v>
      </c>
      <c r="C9472" s="0" t="n">
        <v>2.3</v>
      </c>
      <c r="D9472" s="0" t="n">
        <v>0</v>
      </c>
    </row>
    <row r="9473" customFormat="false" ht="13.8" hidden="true" customHeight="false" outlineLevel="0" collapsed="false">
      <c r="A9473" s="0" t="s">
        <v>1072</v>
      </c>
      <c r="B9473" s="0" t="n">
        <v>26</v>
      </c>
      <c r="C9473" s="0" t="n">
        <v>2.35</v>
      </c>
      <c r="D9473" s="0" t="n">
        <v>0</v>
      </c>
    </row>
    <row r="9474" customFormat="false" ht="13.8" hidden="true" customHeight="false" outlineLevel="0" collapsed="false">
      <c r="A9474" s="0" t="s">
        <v>1072</v>
      </c>
      <c r="B9474" s="0" t="n">
        <v>26</v>
      </c>
      <c r="C9474" s="0" t="n">
        <v>2.4</v>
      </c>
      <c r="D9474" s="0" t="n">
        <v>0</v>
      </c>
    </row>
    <row r="9475" customFormat="false" ht="13.8" hidden="true" customHeight="false" outlineLevel="0" collapsed="false">
      <c r="A9475" s="0" t="s">
        <v>1072</v>
      </c>
      <c r="B9475" s="0" t="n">
        <v>26</v>
      </c>
      <c r="C9475" s="0" t="n">
        <v>2.45</v>
      </c>
      <c r="D9475" s="0" t="n">
        <v>0</v>
      </c>
    </row>
    <row r="9476" customFormat="false" ht="13.8" hidden="true" customHeight="false" outlineLevel="0" collapsed="false">
      <c r="A9476" s="0" t="s">
        <v>1072</v>
      </c>
      <c r="B9476" s="0" t="n">
        <v>26</v>
      </c>
      <c r="C9476" s="0" t="n">
        <v>2.5</v>
      </c>
      <c r="D9476" s="0" t="n">
        <v>0</v>
      </c>
    </row>
    <row r="9477" customFormat="false" ht="13.8" hidden="true" customHeight="false" outlineLevel="0" collapsed="false">
      <c r="A9477" s="0" t="s">
        <v>1072</v>
      </c>
      <c r="B9477" s="0" t="n">
        <v>26</v>
      </c>
      <c r="C9477" s="0" t="n">
        <v>2.55</v>
      </c>
      <c r="D9477" s="0" t="n">
        <v>0</v>
      </c>
    </row>
    <row r="9478" customFormat="false" ht="13.8" hidden="true" customHeight="false" outlineLevel="0" collapsed="false">
      <c r="A9478" s="0" t="s">
        <v>1072</v>
      </c>
      <c r="B9478" s="0" t="n">
        <v>26</v>
      </c>
      <c r="C9478" s="0" t="n">
        <v>2.6</v>
      </c>
      <c r="D9478" s="0" t="n">
        <v>0</v>
      </c>
    </row>
    <row r="9479" customFormat="false" ht="13.8" hidden="true" customHeight="false" outlineLevel="0" collapsed="false">
      <c r="A9479" s="0" t="s">
        <v>272</v>
      </c>
      <c r="B9479" s="0" t="n">
        <v>26</v>
      </c>
      <c r="C9479" s="0" t="n">
        <v>1.3</v>
      </c>
      <c r="D9479" s="0" t="n">
        <v>0</v>
      </c>
    </row>
    <row r="9480" customFormat="false" ht="13.8" hidden="true" customHeight="false" outlineLevel="0" collapsed="false">
      <c r="A9480" s="0" t="s">
        <v>272</v>
      </c>
      <c r="B9480" s="0" t="n">
        <v>26</v>
      </c>
      <c r="C9480" s="0" t="n">
        <v>1.35</v>
      </c>
      <c r="D9480" s="0" t="n">
        <v>0</v>
      </c>
    </row>
    <row r="9481" customFormat="false" ht="13.8" hidden="true" customHeight="false" outlineLevel="0" collapsed="false">
      <c r="A9481" s="0" t="s">
        <v>272</v>
      </c>
      <c r="B9481" s="0" t="n">
        <v>26</v>
      </c>
      <c r="C9481" s="0" t="n">
        <v>1.4</v>
      </c>
      <c r="D9481" s="0" t="n">
        <v>0</v>
      </c>
    </row>
    <row r="9482" customFormat="false" ht="13.8" hidden="true" customHeight="false" outlineLevel="0" collapsed="false">
      <c r="A9482" s="0" t="s">
        <v>272</v>
      </c>
      <c r="B9482" s="0" t="n">
        <v>26</v>
      </c>
      <c r="C9482" s="0" t="n">
        <v>1.45</v>
      </c>
      <c r="D9482" s="0" t="n">
        <v>0</v>
      </c>
    </row>
    <row r="9483" customFormat="false" ht="13.8" hidden="true" customHeight="false" outlineLevel="0" collapsed="false">
      <c r="A9483" s="0" t="s">
        <v>272</v>
      </c>
      <c r="B9483" s="0" t="n">
        <v>26</v>
      </c>
      <c r="C9483" s="0" t="n">
        <v>1.5</v>
      </c>
      <c r="D9483" s="0" t="n">
        <v>0</v>
      </c>
    </row>
    <row r="9484" customFormat="false" ht="13.8" hidden="true" customHeight="false" outlineLevel="0" collapsed="false">
      <c r="A9484" s="0" t="s">
        <v>272</v>
      </c>
      <c r="B9484" s="0" t="n">
        <v>26</v>
      </c>
      <c r="C9484" s="0" t="n">
        <v>1.55</v>
      </c>
      <c r="D9484" s="0" t="n">
        <v>0</v>
      </c>
    </row>
    <row r="9485" customFormat="false" ht="13.8" hidden="true" customHeight="false" outlineLevel="0" collapsed="false">
      <c r="A9485" s="0" t="s">
        <v>272</v>
      </c>
      <c r="B9485" s="0" t="n">
        <v>26</v>
      </c>
      <c r="C9485" s="0" t="n">
        <v>1.6</v>
      </c>
      <c r="D9485" s="0" t="n">
        <v>0</v>
      </c>
    </row>
    <row r="9486" customFormat="false" ht="13.8" hidden="true" customHeight="false" outlineLevel="0" collapsed="false">
      <c r="A9486" s="0" t="s">
        <v>272</v>
      </c>
      <c r="B9486" s="0" t="n">
        <v>26</v>
      </c>
      <c r="C9486" s="0" t="n">
        <v>1.65</v>
      </c>
      <c r="D9486" s="0" t="n">
        <v>0</v>
      </c>
    </row>
    <row r="9487" customFormat="false" ht="13.8" hidden="true" customHeight="false" outlineLevel="0" collapsed="false">
      <c r="A9487" s="0" t="s">
        <v>272</v>
      </c>
      <c r="B9487" s="0" t="n">
        <v>26</v>
      </c>
      <c r="C9487" s="0" t="n">
        <v>1.7</v>
      </c>
      <c r="D9487" s="0" t="n">
        <v>0</v>
      </c>
    </row>
    <row r="9488" customFormat="false" ht="13.8" hidden="true" customHeight="false" outlineLevel="0" collapsed="false">
      <c r="A9488" s="0" t="s">
        <v>272</v>
      </c>
      <c r="B9488" s="0" t="n">
        <v>26</v>
      </c>
      <c r="C9488" s="0" t="n">
        <v>1.75</v>
      </c>
      <c r="D9488" s="0" t="n">
        <v>0</v>
      </c>
    </row>
    <row r="9489" customFormat="false" ht="13.8" hidden="true" customHeight="false" outlineLevel="0" collapsed="false">
      <c r="A9489" s="0" t="s">
        <v>272</v>
      </c>
      <c r="B9489" s="0" t="n">
        <v>26</v>
      </c>
      <c r="C9489" s="0" t="n">
        <v>1.8</v>
      </c>
      <c r="D9489" s="0" t="n">
        <v>0</v>
      </c>
    </row>
    <row r="9490" customFormat="false" ht="13.8" hidden="true" customHeight="false" outlineLevel="0" collapsed="false">
      <c r="A9490" s="0" t="s">
        <v>272</v>
      </c>
      <c r="B9490" s="0" t="n">
        <v>26</v>
      </c>
      <c r="C9490" s="0" t="n">
        <v>1.85</v>
      </c>
      <c r="D9490" s="0" t="n">
        <v>0</v>
      </c>
    </row>
    <row r="9491" customFormat="false" ht="13.8" hidden="true" customHeight="false" outlineLevel="0" collapsed="false">
      <c r="A9491" s="0" t="s">
        <v>272</v>
      </c>
      <c r="B9491" s="0" t="n">
        <v>26</v>
      </c>
      <c r="C9491" s="0" t="n">
        <v>1.9</v>
      </c>
      <c r="D9491" s="0" t="n">
        <v>0</v>
      </c>
    </row>
    <row r="9492" customFormat="false" ht="13.8" hidden="true" customHeight="false" outlineLevel="0" collapsed="false">
      <c r="A9492" s="0" t="s">
        <v>272</v>
      </c>
      <c r="B9492" s="0" t="n">
        <v>26</v>
      </c>
      <c r="C9492" s="0" t="n">
        <v>1.95</v>
      </c>
      <c r="D9492" s="0" t="n">
        <v>0</v>
      </c>
    </row>
    <row r="9493" customFormat="false" ht="13.8" hidden="true" customHeight="false" outlineLevel="0" collapsed="false">
      <c r="A9493" s="0" t="s">
        <v>272</v>
      </c>
      <c r="B9493" s="0" t="n">
        <v>26</v>
      </c>
      <c r="C9493" s="0" t="n">
        <v>2</v>
      </c>
      <c r="D9493" s="0" t="n">
        <v>0.347</v>
      </c>
    </row>
    <row r="9494" customFormat="false" ht="13.8" hidden="true" customHeight="false" outlineLevel="0" collapsed="false">
      <c r="A9494" s="0" t="s">
        <v>272</v>
      </c>
      <c r="B9494" s="0" t="n">
        <v>26</v>
      </c>
      <c r="C9494" s="0" t="n">
        <v>2.05</v>
      </c>
      <c r="D9494" s="0" t="n">
        <v>0.355</v>
      </c>
    </row>
    <row r="9495" customFormat="false" ht="13.8" hidden="true" customHeight="false" outlineLevel="0" collapsed="false">
      <c r="A9495" s="0" t="s">
        <v>272</v>
      </c>
      <c r="B9495" s="0" t="n">
        <v>26</v>
      </c>
      <c r="C9495" s="0" t="n">
        <v>2.1</v>
      </c>
      <c r="D9495" s="0" t="n">
        <v>0.364</v>
      </c>
    </row>
    <row r="9496" customFormat="false" ht="13.8" hidden="true" customHeight="false" outlineLevel="0" collapsed="false">
      <c r="A9496" s="0" t="s">
        <v>272</v>
      </c>
      <c r="B9496" s="0" t="n">
        <v>26</v>
      </c>
      <c r="C9496" s="0" t="n">
        <v>2.15</v>
      </c>
      <c r="D9496" s="0" t="n">
        <v>0.3724875</v>
      </c>
    </row>
    <row r="9497" customFormat="false" ht="13.8" hidden="true" customHeight="false" outlineLevel="0" collapsed="false">
      <c r="A9497" s="0" t="s">
        <v>272</v>
      </c>
      <c r="B9497" s="0" t="n">
        <v>26</v>
      </c>
      <c r="C9497" s="0" t="n">
        <v>2.2</v>
      </c>
      <c r="D9497" s="0" t="n">
        <v>0.38115</v>
      </c>
    </row>
    <row r="9498" customFormat="false" ht="13.8" hidden="true" customHeight="false" outlineLevel="0" collapsed="false">
      <c r="A9498" s="0" t="s">
        <v>272</v>
      </c>
      <c r="B9498" s="0" t="n">
        <v>26</v>
      </c>
      <c r="C9498" s="0" t="n">
        <v>2.25</v>
      </c>
      <c r="D9498" s="0" t="n">
        <v>0.3898125</v>
      </c>
    </row>
    <row r="9499" customFormat="false" ht="13.8" hidden="true" customHeight="false" outlineLevel="0" collapsed="false">
      <c r="A9499" s="0" t="s">
        <v>272</v>
      </c>
      <c r="B9499" s="0" t="n">
        <v>26</v>
      </c>
      <c r="C9499" s="0" t="n">
        <v>2.3</v>
      </c>
      <c r="D9499" s="0" t="n">
        <v>0</v>
      </c>
    </row>
    <row r="9500" customFormat="false" ht="13.8" hidden="true" customHeight="false" outlineLevel="0" collapsed="false">
      <c r="A9500" s="0" t="s">
        <v>272</v>
      </c>
      <c r="B9500" s="0" t="n">
        <v>26</v>
      </c>
      <c r="C9500" s="0" t="n">
        <v>2.35</v>
      </c>
      <c r="D9500" s="0" t="n">
        <v>0</v>
      </c>
    </row>
    <row r="9501" customFormat="false" ht="13.8" hidden="true" customHeight="false" outlineLevel="0" collapsed="false">
      <c r="A9501" s="0" t="s">
        <v>272</v>
      </c>
      <c r="B9501" s="0" t="n">
        <v>26</v>
      </c>
      <c r="C9501" s="0" t="n">
        <v>2.4</v>
      </c>
      <c r="D9501" s="0" t="n">
        <v>0</v>
      </c>
    </row>
    <row r="9502" customFormat="false" ht="13.8" hidden="true" customHeight="false" outlineLevel="0" collapsed="false">
      <c r="A9502" s="0" t="s">
        <v>272</v>
      </c>
      <c r="B9502" s="0" t="n">
        <v>26</v>
      </c>
      <c r="C9502" s="0" t="n">
        <v>2.45</v>
      </c>
      <c r="D9502" s="0" t="n">
        <v>0</v>
      </c>
    </row>
    <row r="9503" customFormat="false" ht="13.8" hidden="true" customHeight="false" outlineLevel="0" collapsed="false">
      <c r="A9503" s="0" t="s">
        <v>272</v>
      </c>
      <c r="B9503" s="0" t="n">
        <v>26</v>
      </c>
      <c r="C9503" s="0" t="n">
        <v>2.5</v>
      </c>
      <c r="D9503" s="0" t="n">
        <v>0</v>
      </c>
    </row>
    <row r="9504" customFormat="false" ht="13.8" hidden="true" customHeight="false" outlineLevel="0" collapsed="false">
      <c r="A9504" s="0" t="s">
        <v>272</v>
      </c>
      <c r="B9504" s="0" t="n">
        <v>26</v>
      </c>
      <c r="C9504" s="0" t="n">
        <v>2.55</v>
      </c>
      <c r="D9504" s="0" t="n">
        <v>0</v>
      </c>
    </row>
    <row r="9505" customFormat="false" ht="13.8" hidden="true" customHeight="false" outlineLevel="0" collapsed="false">
      <c r="A9505" s="0" t="s">
        <v>272</v>
      </c>
      <c r="B9505" s="0" t="n">
        <v>26</v>
      </c>
      <c r="C9505" s="0" t="n">
        <v>2.6</v>
      </c>
      <c r="D9505" s="0" t="n">
        <v>0</v>
      </c>
    </row>
    <row r="9506" customFormat="false" ht="13.8" hidden="true" customHeight="false" outlineLevel="0" collapsed="false">
      <c r="A9506" s="0" t="s">
        <v>171</v>
      </c>
      <c r="B9506" s="0" t="n">
        <v>2</v>
      </c>
      <c r="C9506" s="0" t="n">
        <v>1.3</v>
      </c>
      <c r="D9506" s="0" t="n">
        <v>0</v>
      </c>
      <c r="E9506" s="0" t="n">
        <v>111</v>
      </c>
    </row>
    <row r="9507" customFormat="false" ht="13.8" hidden="true" customHeight="false" outlineLevel="0" collapsed="false">
      <c r="A9507" s="0" t="s">
        <v>171</v>
      </c>
      <c r="B9507" s="0" t="n">
        <v>2</v>
      </c>
      <c r="C9507" s="0" t="n">
        <v>1.35</v>
      </c>
      <c r="D9507" s="0" t="n">
        <v>0</v>
      </c>
      <c r="E9507" s="0" t="n">
        <v>111</v>
      </c>
    </row>
    <row r="9508" customFormat="false" ht="13.8" hidden="true" customHeight="false" outlineLevel="0" collapsed="false">
      <c r="A9508" s="0" t="s">
        <v>171</v>
      </c>
      <c r="B9508" s="0" t="n">
        <v>2</v>
      </c>
      <c r="C9508" s="0" t="n">
        <v>1.4</v>
      </c>
      <c r="D9508" s="0" t="n">
        <v>0</v>
      </c>
      <c r="E9508" s="0" t="n">
        <v>111</v>
      </c>
    </row>
    <row r="9509" customFormat="false" ht="13.8" hidden="true" customHeight="false" outlineLevel="0" collapsed="false">
      <c r="A9509" s="0" t="s">
        <v>171</v>
      </c>
      <c r="B9509" s="0" t="n">
        <v>2</v>
      </c>
      <c r="C9509" s="0" t="n">
        <v>1.45</v>
      </c>
      <c r="D9509" s="0" t="n">
        <v>0</v>
      </c>
      <c r="E9509" s="0" t="n">
        <v>111</v>
      </c>
    </row>
    <row r="9510" customFormat="false" ht="13.8" hidden="true" customHeight="false" outlineLevel="0" collapsed="false">
      <c r="A9510" s="0" t="s">
        <v>171</v>
      </c>
      <c r="B9510" s="0" t="n">
        <v>2</v>
      </c>
      <c r="C9510" s="0" t="n">
        <v>1.5</v>
      </c>
      <c r="D9510" s="0" t="n">
        <v>0</v>
      </c>
      <c r="E9510" s="0" t="n">
        <v>111</v>
      </c>
    </row>
    <row r="9511" customFormat="false" ht="13.8" hidden="true" customHeight="false" outlineLevel="0" collapsed="false">
      <c r="A9511" s="0" t="s">
        <v>171</v>
      </c>
      <c r="B9511" s="0" t="n">
        <v>2</v>
      </c>
      <c r="C9511" s="0" t="n">
        <v>1.55</v>
      </c>
      <c r="D9511" s="0" t="n">
        <v>0</v>
      </c>
      <c r="E9511" s="0" t="n">
        <v>111</v>
      </c>
    </row>
    <row r="9512" customFormat="false" ht="13.8" hidden="true" customHeight="false" outlineLevel="0" collapsed="false">
      <c r="A9512" s="0" t="s">
        <v>171</v>
      </c>
      <c r="B9512" s="0" t="n">
        <v>2</v>
      </c>
      <c r="C9512" s="0" t="n">
        <v>1.6</v>
      </c>
      <c r="D9512" s="0" t="n">
        <v>0</v>
      </c>
      <c r="E9512" s="0" t="n">
        <v>111</v>
      </c>
    </row>
    <row r="9513" customFormat="false" ht="13.8" hidden="true" customHeight="false" outlineLevel="0" collapsed="false">
      <c r="A9513" s="0" t="s">
        <v>171</v>
      </c>
      <c r="B9513" s="0" t="n">
        <v>2</v>
      </c>
      <c r="C9513" s="0" t="n">
        <v>1.65</v>
      </c>
      <c r="D9513" s="0" t="n">
        <v>0</v>
      </c>
      <c r="E9513" s="0" t="n">
        <v>111</v>
      </c>
    </row>
    <row r="9514" customFormat="false" ht="13.8" hidden="true" customHeight="false" outlineLevel="0" collapsed="false">
      <c r="A9514" s="0" t="s">
        <v>171</v>
      </c>
      <c r="B9514" s="0" t="n">
        <v>2</v>
      </c>
      <c r="C9514" s="0" t="n">
        <v>1.7</v>
      </c>
      <c r="D9514" s="0" t="n">
        <v>1.1475</v>
      </c>
      <c r="E9514" s="0" t="n">
        <v>111</v>
      </c>
    </row>
    <row r="9515" customFormat="false" ht="13.8" hidden="true" customHeight="false" outlineLevel="0" collapsed="false">
      <c r="A9515" s="0" t="s">
        <v>171</v>
      </c>
      <c r="B9515" s="0" t="n">
        <v>2</v>
      </c>
      <c r="C9515" s="0" t="n">
        <v>1.75</v>
      </c>
      <c r="D9515" s="0" t="n">
        <v>1.18125</v>
      </c>
      <c r="E9515" s="0" t="n">
        <v>111</v>
      </c>
    </row>
    <row r="9516" customFormat="false" ht="13.8" hidden="true" customHeight="false" outlineLevel="0" collapsed="false">
      <c r="A9516" s="0" t="s">
        <v>171</v>
      </c>
      <c r="B9516" s="0" t="n">
        <v>2</v>
      </c>
      <c r="C9516" s="0" t="n">
        <v>1.8</v>
      </c>
      <c r="D9516" s="0" t="n">
        <v>1.215</v>
      </c>
      <c r="E9516" s="0" t="n">
        <v>111</v>
      </c>
    </row>
    <row r="9517" customFormat="false" ht="13.8" hidden="true" customHeight="false" outlineLevel="0" collapsed="false">
      <c r="A9517" s="0" t="s">
        <v>171</v>
      </c>
      <c r="B9517" s="0" t="n">
        <v>2</v>
      </c>
      <c r="C9517" s="0" t="n">
        <v>1.85</v>
      </c>
      <c r="D9517" s="0" t="n">
        <v>1.24875</v>
      </c>
      <c r="E9517" s="0" t="n">
        <v>111</v>
      </c>
    </row>
    <row r="9518" customFormat="false" ht="13.8" hidden="true" customHeight="false" outlineLevel="0" collapsed="false">
      <c r="A9518" s="0" t="s">
        <v>171</v>
      </c>
      <c r="B9518" s="0" t="n">
        <v>2</v>
      </c>
      <c r="C9518" s="0" t="n">
        <v>1.9</v>
      </c>
      <c r="D9518" s="0" t="n">
        <v>0</v>
      </c>
      <c r="E9518" s="0" t="n">
        <v>111</v>
      </c>
    </row>
    <row r="9519" customFormat="false" ht="13.8" hidden="true" customHeight="false" outlineLevel="0" collapsed="false">
      <c r="A9519" s="0" t="s">
        <v>171</v>
      </c>
      <c r="B9519" s="0" t="n">
        <v>2</v>
      </c>
      <c r="C9519" s="0" t="n">
        <v>1.95</v>
      </c>
      <c r="D9519" s="0" t="n">
        <v>0</v>
      </c>
      <c r="E9519" s="0" t="n">
        <v>111</v>
      </c>
    </row>
    <row r="9520" customFormat="false" ht="13.8" hidden="true" customHeight="false" outlineLevel="0" collapsed="false">
      <c r="A9520" s="0" t="s">
        <v>171</v>
      </c>
      <c r="B9520" s="0" t="n">
        <v>2</v>
      </c>
      <c r="C9520" s="0" t="n">
        <v>2</v>
      </c>
      <c r="D9520" s="0" t="n">
        <v>0</v>
      </c>
      <c r="E9520" s="0" t="n">
        <v>111</v>
      </c>
    </row>
    <row r="9521" customFormat="false" ht="13.8" hidden="true" customHeight="false" outlineLevel="0" collapsed="false">
      <c r="A9521" s="0" t="s">
        <v>171</v>
      </c>
      <c r="B9521" s="0" t="n">
        <v>2</v>
      </c>
      <c r="C9521" s="0" t="n">
        <v>2.05</v>
      </c>
      <c r="D9521" s="0" t="n">
        <v>0</v>
      </c>
      <c r="E9521" s="0" t="n">
        <v>111</v>
      </c>
    </row>
    <row r="9522" customFormat="false" ht="13.8" hidden="true" customHeight="false" outlineLevel="0" collapsed="false">
      <c r="A9522" s="0" t="s">
        <v>171</v>
      </c>
      <c r="B9522" s="0" t="n">
        <v>2</v>
      </c>
      <c r="C9522" s="0" t="n">
        <v>2.1</v>
      </c>
      <c r="D9522" s="0" t="n">
        <v>0</v>
      </c>
      <c r="E9522" s="0" t="n">
        <v>111</v>
      </c>
    </row>
    <row r="9523" customFormat="false" ht="13.8" hidden="true" customHeight="false" outlineLevel="0" collapsed="false">
      <c r="A9523" s="0" t="s">
        <v>171</v>
      </c>
      <c r="B9523" s="0" t="n">
        <v>2</v>
      </c>
      <c r="C9523" s="0" t="n">
        <v>2.15</v>
      </c>
      <c r="D9523" s="0" t="n">
        <v>0</v>
      </c>
      <c r="E9523" s="0" t="n">
        <v>111</v>
      </c>
    </row>
    <row r="9524" customFormat="false" ht="13.8" hidden="true" customHeight="false" outlineLevel="0" collapsed="false">
      <c r="A9524" s="0" t="s">
        <v>171</v>
      </c>
      <c r="B9524" s="0" t="n">
        <v>2</v>
      </c>
      <c r="C9524" s="0" t="n">
        <v>2.2</v>
      </c>
      <c r="D9524" s="0" t="n">
        <v>0</v>
      </c>
      <c r="E9524" s="0" t="n">
        <v>111</v>
      </c>
    </row>
    <row r="9525" customFormat="false" ht="13.8" hidden="true" customHeight="false" outlineLevel="0" collapsed="false">
      <c r="A9525" s="0" t="s">
        <v>171</v>
      </c>
      <c r="B9525" s="0" t="n">
        <v>2</v>
      </c>
      <c r="C9525" s="0" t="n">
        <v>2.25</v>
      </c>
      <c r="D9525" s="0" t="n">
        <v>0</v>
      </c>
      <c r="E9525" s="0" t="n">
        <v>111</v>
      </c>
    </row>
    <row r="9526" customFormat="false" ht="13.8" hidden="true" customHeight="false" outlineLevel="0" collapsed="false">
      <c r="A9526" s="0" t="s">
        <v>171</v>
      </c>
      <c r="B9526" s="0" t="n">
        <v>2</v>
      </c>
      <c r="C9526" s="0" t="n">
        <v>2.3</v>
      </c>
      <c r="D9526" s="0" t="n">
        <v>0</v>
      </c>
      <c r="E9526" s="0" t="n">
        <v>111</v>
      </c>
    </row>
    <row r="9527" customFormat="false" ht="13.8" hidden="true" customHeight="false" outlineLevel="0" collapsed="false">
      <c r="A9527" s="0" t="s">
        <v>171</v>
      </c>
      <c r="B9527" s="0" t="n">
        <v>2</v>
      </c>
      <c r="C9527" s="0" t="n">
        <v>2.35</v>
      </c>
      <c r="D9527" s="0" t="n">
        <v>0</v>
      </c>
      <c r="E9527" s="0" t="n">
        <v>111</v>
      </c>
    </row>
    <row r="9528" customFormat="false" ht="13.8" hidden="true" customHeight="false" outlineLevel="0" collapsed="false">
      <c r="A9528" s="0" t="s">
        <v>171</v>
      </c>
      <c r="B9528" s="0" t="n">
        <v>2</v>
      </c>
      <c r="C9528" s="0" t="n">
        <v>2.4</v>
      </c>
      <c r="D9528" s="0" t="n">
        <v>0</v>
      </c>
      <c r="E9528" s="0" t="n">
        <v>111</v>
      </c>
    </row>
    <row r="9529" customFormat="false" ht="13.8" hidden="true" customHeight="false" outlineLevel="0" collapsed="false">
      <c r="A9529" s="0" t="s">
        <v>171</v>
      </c>
      <c r="B9529" s="0" t="n">
        <v>2</v>
      </c>
      <c r="C9529" s="0" t="n">
        <v>2.45</v>
      </c>
      <c r="D9529" s="0" t="n">
        <v>0</v>
      </c>
      <c r="E9529" s="0" t="n">
        <v>111</v>
      </c>
    </row>
    <row r="9530" customFormat="false" ht="13.8" hidden="true" customHeight="false" outlineLevel="0" collapsed="false">
      <c r="A9530" s="0" t="s">
        <v>171</v>
      </c>
      <c r="B9530" s="0" t="n">
        <v>2</v>
      </c>
      <c r="C9530" s="0" t="n">
        <v>2.5</v>
      </c>
      <c r="D9530" s="0" t="n">
        <v>0</v>
      </c>
      <c r="E9530" s="0" t="n">
        <v>111</v>
      </c>
    </row>
    <row r="9531" customFormat="false" ht="13.8" hidden="true" customHeight="false" outlineLevel="0" collapsed="false">
      <c r="A9531" s="0" t="s">
        <v>171</v>
      </c>
      <c r="B9531" s="0" t="n">
        <v>2</v>
      </c>
      <c r="C9531" s="0" t="n">
        <v>2.55</v>
      </c>
      <c r="D9531" s="0" t="n">
        <v>0</v>
      </c>
      <c r="E9531" s="0" t="n">
        <v>111</v>
      </c>
    </row>
    <row r="9532" customFormat="false" ht="13.8" hidden="true" customHeight="false" outlineLevel="0" collapsed="false">
      <c r="A9532" s="0" t="s">
        <v>171</v>
      </c>
      <c r="B9532" s="0" t="n">
        <v>2</v>
      </c>
      <c r="C9532" s="0" t="n">
        <v>2.6</v>
      </c>
      <c r="D9532" s="0" t="n">
        <v>0</v>
      </c>
      <c r="E9532" s="0" t="n">
        <v>111</v>
      </c>
    </row>
    <row r="9533" customFormat="false" ht="13.8" hidden="true" customHeight="false" outlineLevel="0" collapsed="false">
      <c r="A9533" s="0" t="s">
        <v>172</v>
      </c>
      <c r="B9533" s="0" t="n">
        <v>1</v>
      </c>
      <c r="C9533" s="0" t="n">
        <v>1.3</v>
      </c>
      <c r="D9533" s="0" t="n">
        <v>0</v>
      </c>
      <c r="E9533" s="0" t="n">
        <v>107</v>
      </c>
    </row>
    <row r="9534" customFormat="false" ht="13.8" hidden="true" customHeight="false" outlineLevel="0" collapsed="false">
      <c r="A9534" s="0" t="s">
        <v>172</v>
      </c>
      <c r="B9534" s="0" t="n">
        <v>1</v>
      </c>
      <c r="C9534" s="0" t="n">
        <v>1.35</v>
      </c>
      <c r="D9534" s="0" t="n">
        <v>0</v>
      </c>
      <c r="E9534" s="0" t="n">
        <v>107</v>
      </c>
    </row>
    <row r="9535" customFormat="false" ht="13.8" hidden="true" customHeight="false" outlineLevel="0" collapsed="false">
      <c r="A9535" s="0" t="s">
        <v>172</v>
      </c>
      <c r="B9535" s="0" t="n">
        <v>1</v>
      </c>
      <c r="C9535" s="0" t="n">
        <v>1.4</v>
      </c>
      <c r="D9535" s="0" t="n">
        <v>0</v>
      </c>
      <c r="E9535" s="0" t="n">
        <v>107</v>
      </c>
    </row>
    <row r="9536" customFormat="false" ht="13.8" hidden="true" customHeight="false" outlineLevel="0" collapsed="false">
      <c r="A9536" s="0" t="s">
        <v>172</v>
      </c>
      <c r="B9536" s="0" t="n">
        <v>1</v>
      </c>
      <c r="C9536" s="0" t="n">
        <v>1.45</v>
      </c>
      <c r="D9536" s="0" t="n">
        <v>0</v>
      </c>
      <c r="E9536" s="0" t="n">
        <v>107</v>
      </c>
    </row>
    <row r="9537" customFormat="false" ht="13.8" hidden="true" customHeight="false" outlineLevel="0" collapsed="false">
      <c r="A9537" s="0" t="s">
        <v>172</v>
      </c>
      <c r="B9537" s="0" t="n">
        <v>1</v>
      </c>
      <c r="C9537" s="0" t="n">
        <v>1.5</v>
      </c>
      <c r="D9537" s="0" t="n">
        <v>0</v>
      </c>
      <c r="E9537" s="0" t="n">
        <v>107</v>
      </c>
    </row>
    <row r="9538" customFormat="false" ht="13.8" hidden="true" customHeight="false" outlineLevel="0" collapsed="false">
      <c r="A9538" s="0" t="s">
        <v>172</v>
      </c>
      <c r="B9538" s="0" t="n">
        <v>1</v>
      </c>
      <c r="C9538" s="0" t="n">
        <v>1.55</v>
      </c>
      <c r="D9538" s="0" t="n">
        <v>0</v>
      </c>
      <c r="E9538" s="0" t="n">
        <v>107</v>
      </c>
    </row>
    <row r="9539" customFormat="false" ht="13.8" hidden="false" customHeight="false" outlineLevel="0" collapsed="false">
      <c r="A9539" s="0" t="s">
        <v>172</v>
      </c>
      <c r="B9539" s="0" t="n">
        <v>1</v>
      </c>
      <c r="C9539" s="0" t="n">
        <v>1.6</v>
      </c>
      <c r="D9539" s="0" t="n">
        <v>1.08</v>
      </c>
      <c r="E9539" s="0" t="n">
        <v>107</v>
      </c>
    </row>
    <row r="9540" customFormat="false" ht="13.8" hidden="false" customHeight="false" outlineLevel="0" collapsed="false">
      <c r="A9540" s="0" t="s">
        <v>172</v>
      </c>
      <c r="B9540" s="0" t="n">
        <v>1</v>
      </c>
      <c r="C9540" s="0" t="n">
        <v>1.65</v>
      </c>
      <c r="D9540" s="0" t="n">
        <v>1.11375</v>
      </c>
      <c r="E9540" s="0" t="n">
        <v>107</v>
      </c>
    </row>
    <row r="9541" customFormat="false" ht="13.8" hidden="false" customHeight="false" outlineLevel="0" collapsed="false">
      <c r="A9541" s="0" t="s">
        <v>172</v>
      </c>
      <c r="B9541" s="0" t="n">
        <v>1</v>
      </c>
      <c r="C9541" s="0" t="n">
        <v>1.7</v>
      </c>
      <c r="D9541" s="0" t="n">
        <v>1.1475</v>
      </c>
      <c r="E9541" s="0" t="n">
        <v>107</v>
      </c>
    </row>
    <row r="9542" customFormat="false" ht="13.8" hidden="false" customHeight="false" outlineLevel="0" collapsed="false">
      <c r="A9542" s="0" t="s">
        <v>172</v>
      </c>
      <c r="B9542" s="0" t="n">
        <v>1</v>
      </c>
      <c r="C9542" s="0" t="n">
        <v>1.75</v>
      </c>
      <c r="D9542" s="0" t="n">
        <v>1.18125</v>
      </c>
      <c r="E9542" s="0" t="n">
        <v>107</v>
      </c>
    </row>
    <row r="9543" customFormat="false" ht="13.8" hidden="false" customHeight="false" outlineLevel="0" collapsed="false">
      <c r="A9543" s="0" t="s">
        <v>172</v>
      </c>
      <c r="B9543" s="0" t="n">
        <v>1</v>
      </c>
      <c r="C9543" s="0" t="n">
        <v>1.8</v>
      </c>
      <c r="D9543" s="0" t="n">
        <v>1.215</v>
      </c>
      <c r="E9543" s="0" t="n">
        <v>107</v>
      </c>
    </row>
    <row r="9544" customFormat="false" ht="13.8" hidden="false" customHeight="false" outlineLevel="0" collapsed="false">
      <c r="A9544" s="0" t="s">
        <v>172</v>
      </c>
      <c r="B9544" s="0" t="n">
        <v>1</v>
      </c>
      <c r="C9544" s="0" t="n">
        <v>1.85</v>
      </c>
      <c r="D9544" s="0" t="n">
        <v>1.24875</v>
      </c>
      <c r="E9544" s="0" t="n">
        <v>107</v>
      </c>
    </row>
    <row r="9545" customFormat="false" ht="13.8" hidden="true" customHeight="false" outlineLevel="0" collapsed="false">
      <c r="A9545" s="0" t="s">
        <v>172</v>
      </c>
      <c r="B9545" s="0" t="n">
        <v>1</v>
      </c>
      <c r="C9545" s="0" t="n">
        <v>1.9</v>
      </c>
      <c r="D9545" s="0" t="n">
        <v>0</v>
      </c>
      <c r="E9545" s="0" t="n">
        <v>107</v>
      </c>
    </row>
    <row r="9546" customFormat="false" ht="13.8" hidden="true" customHeight="false" outlineLevel="0" collapsed="false">
      <c r="A9546" s="0" t="s">
        <v>172</v>
      </c>
      <c r="B9546" s="0" t="n">
        <v>1</v>
      </c>
      <c r="C9546" s="0" t="n">
        <v>1.95</v>
      </c>
      <c r="D9546" s="0" t="n">
        <v>0</v>
      </c>
      <c r="E9546" s="0" t="n">
        <v>107</v>
      </c>
    </row>
    <row r="9547" customFormat="false" ht="13.8" hidden="true" customHeight="false" outlineLevel="0" collapsed="false">
      <c r="A9547" s="0" t="s">
        <v>172</v>
      </c>
      <c r="B9547" s="0" t="n">
        <v>1</v>
      </c>
      <c r="C9547" s="0" t="n">
        <v>2</v>
      </c>
      <c r="D9547" s="0" t="n">
        <v>0</v>
      </c>
      <c r="E9547" s="0" t="n">
        <v>107</v>
      </c>
    </row>
    <row r="9548" customFormat="false" ht="13.8" hidden="true" customHeight="false" outlineLevel="0" collapsed="false">
      <c r="A9548" s="0" t="s">
        <v>172</v>
      </c>
      <c r="B9548" s="0" t="n">
        <v>1</v>
      </c>
      <c r="C9548" s="0" t="n">
        <v>2.05</v>
      </c>
      <c r="D9548" s="0" t="n">
        <v>0</v>
      </c>
      <c r="E9548" s="0" t="n">
        <v>107</v>
      </c>
    </row>
    <row r="9549" customFormat="false" ht="13.8" hidden="true" customHeight="false" outlineLevel="0" collapsed="false">
      <c r="A9549" s="0" t="s">
        <v>172</v>
      </c>
      <c r="B9549" s="0" t="n">
        <v>1</v>
      </c>
      <c r="C9549" s="0" t="n">
        <v>2.1</v>
      </c>
      <c r="D9549" s="0" t="n">
        <v>0</v>
      </c>
      <c r="E9549" s="0" t="n">
        <v>107</v>
      </c>
    </row>
    <row r="9550" customFormat="false" ht="13.8" hidden="true" customHeight="false" outlineLevel="0" collapsed="false">
      <c r="A9550" s="0" t="s">
        <v>172</v>
      </c>
      <c r="B9550" s="0" t="n">
        <v>1</v>
      </c>
      <c r="C9550" s="0" t="n">
        <v>2.15</v>
      </c>
      <c r="D9550" s="0" t="n">
        <v>0</v>
      </c>
      <c r="E9550" s="0" t="n">
        <v>107</v>
      </c>
    </row>
    <row r="9551" customFormat="false" ht="13.8" hidden="true" customHeight="false" outlineLevel="0" collapsed="false">
      <c r="A9551" s="0" t="s">
        <v>172</v>
      </c>
      <c r="B9551" s="0" t="n">
        <v>1</v>
      </c>
      <c r="C9551" s="0" t="n">
        <v>2.2</v>
      </c>
      <c r="D9551" s="0" t="n">
        <v>0</v>
      </c>
      <c r="E9551" s="0" t="n">
        <v>107</v>
      </c>
    </row>
    <row r="9552" customFormat="false" ht="13.8" hidden="true" customHeight="false" outlineLevel="0" collapsed="false">
      <c r="A9552" s="0" t="s">
        <v>172</v>
      </c>
      <c r="B9552" s="0" t="n">
        <v>1</v>
      </c>
      <c r="C9552" s="0" t="n">
        <v>2.25</v>
      </c>
      <c r="D9552" s="0" t="n">
        <v>0</v>
      </c>
      <c r="E9552" s="0" t="n">
        <v>107</v>
      </c>
    </row>
    <row r="9553" customFormat="false" ht="13.8" hidden="true" customHeight="false" outlineLevel="0" collapsed="false">
      <c r="A9553" s="0" t="s">
        <v>172</v>
      </c>
      <c r="B9553" s="0" t="n">
        <v>1</v>
      </c>
      <c r="C9553" s="0" t="n">
        <v>2.3</v>
      </c>
      <c r="D9553" s="0" t="n">
        <v>0</v>
      </c>
      <c r="E9553" s="0" t="n">
        <v>107</v>
      </c>
    </row>
    <row r="9554" customFormat="false" ht="13.8" hidden="true" customHeight="false" outlineLevel="0" collapsed="false">
      <c r="A9554" s="0" t="s">
        <v>172</v>
      </c>
      <c r="B9554" s="0" t="n">
        <v>1</v>
      </c>
      <c r="C9554" s="0" t="n">
        <v>2.35</v>
      </c>
      <c r="D9554" s="0" t="n">
        <v>0</v>
      </c>
      <c r="E9554" s="0" t="n">
        <v>107</v>
      </c>
    </row>
    <row r="9555" customFormat="false" ht="13.8" hidden="true" customHeight="false" outlineLevel="0" collapsed="false">
      <c r="A9555" s="0" t="s">
        <v>172</v>
      </c>
      <c r="B9555" s="0" t="n">
        <v>1</v>
      </c>
      <c r="C9555" s="0" t="n">
        <v>2.4</v>
      </c>
      <c r="D9555" s="0" t="n">
        <v>0</v>
      </c>
      <c r="E9555" s="0" t="n">
        <v>107</v>
      </c>
    </row>
    <row r="9556" customFormat="false" ht="13.8" hidden="true" customHeight="false" outlineLevel="0" collapsed="false">
      <c r="A9556" s="0" t="s">
        <v>172</v>
      </c>
      <c r="B9556" s="0" t="n">
        <v>1</v>
      </c>
      <c r="C9556" s="0" t="n">
        <v>2.45</v>
      </c>
      <c r="D9556" s="0" t="n">
        <v>0</v>
      </c>
      <c r="E9556" s="0" t="n">
        <v>107</v>
      </c>
    </row>
    <row r="9557" customFormat="false" ht="13.8" hidden="true" customHeight="false" outlineLevel="0" collapsed="false">
      <c r="A9557" s="0" t="s">
        <v>172</v>
      </c>
      <c r="B9557" s="0" t="n">
        <v>1</v>
      </c>
      <c r="C9557" s="0" t="n">
        <v>2.5</v>
      </c>
      <c r="D9557" s="0" t="n">
        <v>0</v>
      </c>
      <c r="E9557" s="0" t="n">
        <v>107</v>
      </c>
    </row>
    <row r="9558" customFormat="false" ht="13.8" hidden="true" customHeight="false" outlineLevel="0" collapsed="false">
      <c r="A9558" s="0" t="s">
        <v>172</v>
      </c>
      <c r="B9558" s="0" t="n">
        <v>1</v>
      </c>
      <c r="C9558" s="0" t="n">
        <v>2.55</v>
      </c>
      <c r="D9558" s="0" t="n">
        <v>0</v>
      </c>
      <c r="E9558" s="0" t="n">
        <v>107</v>
      </c>
    </row>
    <row r="9559" customFormat="false" ht="13.8" hidden="true" customHeight="false" outlineLevel="0" collapsed="false">
      <c r="A9559" s="0" t="s">
        <v>172</v>
      </c>
      <c r="B9559" s="0" t="n">
        <v>1</v>
      </c>
      <c r="C9559" s="0" t="n">
        <v>2.6</v>
      </c>
      <c r="D9559" s="0" t="n">
        <v>0</v>
      </c>
      <c r="E9559" s="0" t="n">
        <v>107</v>
      </c>
    </row>
    <row r="9560" customFormat="false" ht="13.8" hidden="true" customHeight="false" outlineLevel="0" collapsed="false">
      <c r="A9560" s="0" t="s">
        <v>173</v>
      </c>
      <c r="B9560" s="0" t="n">
        <v>1</v>
      </c>
      <c r="C9560" s="0" t="n">
        <v>1.3</v>
      </c>
      <c r="D9560" s="0" t="n">
        <v>0</v>
      </c>
      <c r="E9560" s="0" t="n">
        <v>107</v>
      </c>
    </row>
    <row r="9561" customFormat="false" ht="13.8" hidden="true" customHeight="false" outlineLevel="0" collapsed="false">
      <c r="A9561" s="0" t="s">
        <v>173</v>
      </c>
      <c r="B9561" s="0" t="n">
        <v>1</v>
      </c>
      <c r="C9561" s="0" t="n">
        <v>1.35</v>
      </c>
      <c r="D9561" s="0" t="n">
        <v>0</v>
      </c>
      <c r="E9561" s="0" t="n">
        <v>107</v>
      </c>
    </row>
    <row r="9562" customFormat="false" ht="13.8" hidden="true" customHeight="false" outlineLevel="0" collapsed="false">
      <c r="A9562" s="0" t="s">
        <v>173</v>
      </c>
      <c r="B9562" s="0" t="n">
        <v>1</v>
      </c>
      <c r="C9562" s="0" t="n">
        <v>1.4</v>
      </c>
      <c r="D9562" s="0" t="n">
        <v>0</v>
      </c>
      <c r="E9562" s="0" t="n">
        <v>107</v>
      </c>
    </row>
    <row r="9563" customFormat="false" ht="13.8" hidden="true" customHeight="false" outlineLevel="0" collapsed="false">
      <c r="A9563" s="0" t="s">
        <v>173</v>
      </c>
      <c r="B9563" s="0" t="n">
        <v>1</v>
      </c>
      <c r="C9563" s="0" t="n">
        <v>1.45</v>
      </c>
      <c r="D9563" s="0" t="n">
        <v>0</v>
      </c>
      <c r="E9563" s="0" t="n">
        <v>107</v>
      </c>
    </row>
    <row r="9564" customFormat="false" ht="13.8" hidden="true" customHeight="false" outlineLevel="0" collapsed="false">
      <c r="A9564" s="0" t="s">
        <v>173</v>
      </c>
      <c r="B9564" s="0" t="n">
        <v>1</v>
      </c>
      <c r="C9564" s="0" t="n">
        <v>1.5</v>
      </c>
      <c r="D9564" s="0" t="n">
        <v>0</v>
      </c>
      <c r="E9564" s="0" t="n">
        <v>107</v>
      </c>
    </row>
    <row r="9565" customFormat="false" ht="13.8" hidden="true" customHeight="false" outlineLevel="0" collapsed="false">
      <c r="A9565" s="0" t="s">
        <v>173</v>
      </c>
      <c r="B9565" s="0" t="n">
        <v>1</v>
      </c>
      <c r="C9565" s="0" t="n">
        <v>1.55</v>
      </c>
      <c r="D9565" s="0" t="n">
        <v>0</v>
      </c>
      <c r="E9565" s="0" t="n">
        <v>107</v>
      </c>
    </row>
    <row r="9566" customFormat="false" ht="13.8" hidden="false" customHeight="false" outlineLevel="0" collapsed="false">
      <c r="A9566" s="0" t="s">
        <v>173</v>
      </c>
      <c r="B9566" s="0" t="n">
        <v>1</v>
      </c>
      <c r="C9566" s="0" t="n">
        <v>1.6</v>
      </c>
      <c r="D9566" s="0" t="n">
        <v>1.08</v>
      </c>
      <c r="E9566" s="0" t="n">
        <v>107</v>
      </c>
    </row>
    <row r="9567" customFormat="false" ht="13.8" hidden="false" customHeight="false" outlineLevel="0" collapsed="false">
      <c r="A9567" s="0" t="s">
        <v>173</v>
      </c>
      <c r="B9567" s="0" t="n">
        <v>1</v>
      </c>
      <c r="C9567" s="0" t="n">
        <v>1.65</v>
      </c>
      <c r="D9567" s="0" t="n">
        <v>1.11375</v>
      </c>
      <c r="E9567" s="0" t="n">
        <v>107</v>
      </c>
    </row>
    <row r="9568" customFormat="false" ht="13.8" hidden="false" customHeight="false" outlineLevel="0" collapsed="false">
      <c r="A9568" s="0" t="s">
        <v>173</v>
      </c>
      <c r="B9568" s="0" t="n">
        <v>1</v>
      </c>
      <c r="C9568" s="0" t="n">
        <v>1.7</v>
      </c>
      <c r="D9568" s="0" t="n">
        <v>1.1475</v>
      </c>
      <c r="E9568" s="0" t="n">
        <v>107</v>
      </c>
    </row>
    <row r="9569" customFormat="false" ht="13.8" hidden="false" customHeight="false" outlineLevel="0" collapsed="false">
      <c r="A9569" s="0" t="s">
        <v>173</v>
      </c>
      <c r="B9569" s="0" t="n">
        <v>1</v>
      </c>
      <c r="C9569" s="0" t="n">
        <v>1.75</v>
      </c>
      <c r="D9569" s="0" t="n">
        <v>1.18125</v>
      </c>
      <c r="E9569" s="0" t="n">
        <v>107</v>
      </c>
    </row>
    <row r="9570" customFormat="false" ht="13.8" hidden="false" customHeight="false" outlineLevel="0" collapsed="false">
      <c r="A9570" s="0" t="s">
        <v>173</v>
      </c>
      <c r="B9570" s="0" t="n">
        <v>1</v>
      </c>
      <c r="C9570" s="0" t="n">
        <v>1.8</v>
      </c>
      <c r="D9570" s="0" t="n">
        <v>1.215</v>
      </c>
      <c r="E9570" s="0" t="n">
        <v>107</v>
      </c>
    </row>
    <row r="9571" customFormat="false" ht="13.8" hidden="false" customHeight="false" outlineLevel="0" collapsed="false">
      <c r="A9571" s="0" t="s">
        <v>173</v>
      </c>
      <c r="B9571" s="0" t="n">
        <v>1</v>
      </c>
      <c r="C9571" s="0" t="n">
        <v>1.85</v>
      </c>
      <c r="D9571" s="0" t="n">
        <v>1.24875</v>
      </c>
      <c r="E9571" s="0" t="n">
        <v>107</v>
      </c>
    </row>
    <row r="9572" customFormat="false" ht="13.8" hidden="true" customHeight="false" outlineLevel="0" collapsed="false">
      <c r="A9572" s="0" t="s">
        <v>173</v>
      </c>
      <c r="B9572" s="0" t="n">
        <v>1</v>
      </c>
      <c r="C9572" s="0" t="n">
        <v>1.9</v>
      </c>
      <c r="D9572" s="0" t="n">
        <v>0</v>
      </c>
      <c r="E9572" s="0" t="n">
        <v>107</v>
      </c>
    </row>
    <row r="9573" customFormat="false" ht="13.8" hidden="true" customHeight="false" outlineLevel="0" collapsed="false">
      <c r="A9573" s="0" t="s">
        <v>173</v>
      </c>
      <c r="B9573" s="0" t="n">
        <v>1</v>
      </c>
      <c r="C9573" s="0" t="n">
        <v>1.95</v>
      </c>
      <c r="D9573" s="0" t="n">
        <v>0</v>
      </c>
      <c r="E9573" s="0" t="n">
        <v>107</v>
      </c>
    </row>
    <row r="9574" customFormat="false" ht="13.8" hidden="true" customHeight="false" outlineLevel="0" collapsed="false">
      <c r="A9574" s="0" t="s">
        <v>173</v>
      </c>
      <c r="B9574" s="0" t="n">
        <v>1</v>
      </c>
      <c r="C9574" s="0" t="n">
        <v>2</v>
      </c>
      <c r="D9574" s="0" t="n">
        <v>0</v>
      </c>
      <c r="E9574" s="0" t="n">
        <v>107</v>
      </c>
    </row>
    <row r="9575" customFormat="false" ht="13.8" hidden="true" customHeight="false" outlineLevel="0" collapsed="false">
      <c r="A9575" s="0" t="s">
        <v>173</v>
      </c>
      <c r="B9575" s="0" t="n">
        <v>1</v>
      </c>
      <c r="C9575" s="0" t="n">
        <v>2.05</v>
      </c>
      <c r="D9575" s="0" t="n">
        <v>0</v>
      </c>
      <c r="E9575" s="0" t="n">
        <v>107</v>
      </c>
    </row>
    <row r="9576" customFormat="false" ht="13.8" hidden="true" customHeight="false" outlineLevel="0" collapsed="false">
      <c r="A9576" s="0" t="s">
        <v>173</v>
      </c>
      <c r="B9576" s="0" t="n">
        <v>1</v>
      </c>
      <c r="C9576" s="0" t="n">
        <v>2.1</v>
      </c>
      <c r="D9576" s="0" t="n">
        <v>0</v>
      </c>
      <c r="E9576" s="0" t="n">
        <v>107</v>
      </c>
    </row>
    <row r="9577" customFormat="false" ht="13.8" hidden="true" customHeight="false" outlineLevel="0" collapsed="false">
      <c r="A9577" s="0" t="s">
        <v>173</v>
      </c>
      <c r="B9577" s="0" t="n">
        <v>1</v>
      </c>
      <c r="C9577" s="0" t="n">
        <v>2.15</v>
      </c>
      <c r="D9577" s="0" t="n">
        <v>0</v>
      </c>
      <c r="E9577" s="0" t="n">
        <v>107</v>
      </c>
    </row>
    <row r="9578" customFormat="false" ht="13.8" hidden="true" customHeight="false" outlineLevel="0" collapsed="false">
      <c r="A9578" s="0" t="s">
        <v>173</v>
      </c>
      <c r="B9578" s="0" t="n">
        <v>1</v>
      </c>
      <c r="C9578" s="0" t="n">
        <v>2.2</v>
      </c>
      <c r="D9578" s="0" t="n">
        <v>0</v>
      </c>
      <c r="E9578" s="0" t="n">
        <v>107</v>
      </c>
    </row>
    <row r="9579" customFormat="false" ht="13.8" hidden="true" customHeight="false" outlineLevel="0" collapsed="false">
      <c r="A9579" s="0" t="s">
        <v>173</v>
      </c>
      <c r="B9579" s="0" t="n">
        <v>1</v>
      </c>
      <c r="C9579" s="0" t="n">
        <v>2.25</v>
      </c>
      <c r="D9579" s="0" t="n">
        <v>0</v>
      </c>
      <c r="E9579" s="0" t="n">
        <v>107</v>
      </c>
    </row>
    <row r="9580" customFormat="false" ht="13.8" hidden="true" customHeight="false" outlineLevel="0" collapsed="false">
      <c r="A9580" s="0" t="s">
        <v>173</v>
      </c>
      <c r="B9580" s="0" t="n">
        <v>1</v>
      </c>
      <c r="C9580" s="0" t="n">
        <v>2.3</v>
      </c>
      <c r="D9580" s="0" t="n">
        <v>0</v>
      </c>
      <c r="E9580" s="0" t="n">
        <v>107</v>
      </c>
    </row>
    <row r="9581" customFormat="false" ht="13.8" hidden="true" customHeight="false" outlineLevel="0" collapsed="false">
      <c r="A9581" s="0" t="s">
        <v>173</v>
      </c>
      <c r="B9581" s="0" t="n">
        <v>1</v>
      </c>
      <c r="C9581" s="0" t="n">
        <v>2.35</v>
      </c>
      <c r="D9581" s="0" t="n">
        <v>0</v>
      </c>
      <c r="E9581" s="0" t="n">
        <v>107</v>
      </c>
    </row>
    <row r="9582" customFormat="false" ht="13.8" hidden="true" customHeight="false" outlineLevel="0" collapsed="false">
      <c r="A9582" s="0" t="s">
        <v>173</v>
      </c>
      <c r="B9582" s="0" t="n">
        <v>1</v>
      </c>
      <c r="C9582" s="0" t="n">
        <v>2.4</v>
      </c>
      <c r="D9582" s="0" t="n">
        <v>0</v>
      </c>
      <c r="E9582" s="0" t="n">
        <v>107</v>
      </c>
    </row>
    <row r="9583" customFormat="false" ht="13.8" hidden="true" customHeight="false" outlineLevel="0" collapsed="false">
      <c r="A9583" s="0" t="s">
        <v>173</v>
      </c>
      <c r="B9583" s="0" t="n">
        <v>1</v>
      </c>
      <c r="C9583" s="0" t="n">
        <v>2.45</v>
      </c>
      <c r="D9583" s="0" t="n">
        <v>0</v>
      </c>
      <c r="E9583" s="0" t="n">
        <v>107</v>
      </c>
    </row>
    <row r="9584" customFormat="false" ht="13.8" hidden="true" customHeight="false" outlineLevel="0" collapsed="false">
      <c r="A9584" s="0" t="s">
        <v>173</v>
      </c>
      <c r="B9584" s="0" t="n">
        <v>1</v>
      </c>
      <c r="C9584" s="0" t="n">
        <v>2.5</v>
      </c>
      <c r="D9584" s="0" t="n">
        <v>0</v>
      </c>
      <c r="E9584" s="0" t="n">
        <v>107</v>
      </c>
    </row>
    <row r="9585" customFormat="false" ht="13.8" hidden="true" customHeight="false" outlineLevel="0" collapsed="false">
      <c r="A9585" s="0" t="s">
        <v>173</v>
      </c>
      <c r="B9585" s="0" t="n">
        <v>1</v>
      </c>
      <c r="C9585" s="0" t="n">
        <v>2.55</v>
      </c>
      <c r="D9585" s="0" t="n">
        <v>0</v>
      </c>
      <c r="E9585" s="0" t="n">
        <v>107</v>
      </c>
    </row>
    <row r="9586" customFormat="false" ht="13.8" hidden="true" customHeight="false" outlineLevel="0" collapsed="false">
      <c r="A9586" s="0" t="s">
        <v>173</v>
      </c>
      <c r="B9586" s="0" t="n">
        <v>1</v>
      </c>
      <c r="C9586" s="0" t="n">
        <v>2.6</v>
      </c>
      <c r="D9586" s="0" t="n">
        <v>0</v>
      </c>
      <c r="E9586" s="0" t="n">
        <v>107</v>
      </c>
    </row>
    <row r="9587" customFormat="false" ht="13.8" hidden="true" customHeight="false" outlineLevel="0" collapsed="false">
      <c r="A9587" s="0" t="s">
        <v>312</v>
      </c>
      <c r="B9587" s="0" t="n">
        <v>35</v>
      </c>
      <c r="C9587" s="0" t="n">
        <v>1.3</v>
      </c>
      <c r="D9587" s="0" t="n">
        <v>0</v>
      </c>
      <c r="E9587" s="0" t="n">
        <v>103.5</v>
      </c>
    </row>
    <row r="9588" customFormat="false" ht="13.8" hidden="true" customHeight="false" outlineLevel="0" collapsed="false">
      <c r="A9588" s="0" t="s">
        <v>312</v>
      </c>
      <c r="B9588" s="0" t="n">
        <v>35</v>
      </c>
      <c r="C9588" s="0" t="n">
        <v>1.35</v>
      </c>
      <c r="D9588" s="0" t="n">
        <v>0</v>
      </c>
      <c r="E9588" s="0" t="n">
        <v>103.5</v>
      </c>
    </row>
    <row r="9589" customFormat="false" ht="13.8" hidden="true" customHeight="false" outlineLevel="0" collapsed="false">
      <c r="A9589" s="0" t="s">
        <v>312</v>
      </c>
      <c r="B9589" s="0" t="n">
        <v>35</v>
      </c>
      <c r="C9589" s="0" t="n">
        <v>1.4</v>
      </c>
      <c r="D9589" s="0" t="n">
        <v>0</v>
      </c>
      <c r="E9589" s="0" t="n">
        <v>103.5</v>
      </c>
    </row>
    <row r="9590" customFormat="false" ht="13.8" hidden="true" customHeight="false" outlineLevel="0" collapsed="false">
      <c r="A9590" s="0" t="s">
        <v>312</v>
      </c>
      <c r="B9590" s="0" t="n">
        <v>35</v>
      </c>
      <c r="C9590" s="0" t="n">
        <v>1.45</v>
      </c>
      <c r="D9590" s="0" t="n">
        <v>0</v>
      </c>
      <c r="E9590" s="0" t="n">
        <v>103.5</v>
      </c>
    </row>
    <row r="9591" customFormat="false" ht="13.8" hidden="true" customHeight="false" outlineLevel="0" collapsed="false">
      <c r="A9591" s="0" t="s">
        <v>312</v>
      </c>
      <c r="B9591" s="0" t="n">
        <v>35</v>
      </c>
      <c r="C9591" s="0" t="n">
        <v>1.5</v>
      </c>
      <c r="D9591" s="0" t="n">
        <v>1.1025</v>
      </c>
      <c r="E9591" s="0" t="n">
        <v>103.5</v>
      </c>
    </row>
    <row r="9592" customFormat="false" ht="13.8" hidden="true" customHeight="false" outlineLevel="0" collapsed="false">
      <c r="A9592" s="0" t="s">
        <v>312</v>
      </c>
      <c r="B9592" s="0" t="n">
        <v>35</v>
      </c>
      <c r="C9592" s="0" t="n">
        <v>1.55</v>
      </c>
      <c r="D9592" s="0" t="n">
        <v>1.13925</v>
      </c>
      <c r="E9592" s="0" t="n">
        <v>103.5</v>
      </c>
    </row>
    <row r="9593" customFormat="false" ht="13.8" hidden="true" customHeight="false" outlineLevel="0" collapsed="false">
      <c r="A9593" s="0" t="s">
        <v>312</v>
      </c>
      <c r="B9593" s="0" t="n">
        <v>35</v>
      </c>
      <c r="C9593" s="0" t="n">
        <v>1.6</v>
      </c>
      <c r="D9593" s="0" t="n">
        <v>1.176</v>
      </c>
      <c r="E9593" s="0" t="n">
        <v>103.5</v>
      </c>
    </row>
    <row r="9594" customFormat="false" ht="13.8" hidden="true" customHeight="false" outlineLevel="0" collapsed="false">
      <c r="A9594" s="0" t="s">
        <v>312</v>
      </c>
      <c r="B9594" s="0" t="n">
        <v>35</v>
      </c>
      <c r="C9594" s="0" t="n">
        <v>1.65</v>
      </c>
      <c r="D9594" s="0" t="n">
        <v>1.21275</v>
      </c>
      <c r="E9594" s="0" t="n">
        <v>103.5</v>
      </c>
    </row>
    <row r="9595" customFormat="false" ht="13.8" hidden="true" customHeight="false" outlineLevel="0" collapsed="false">
      <c r="A9595" s="0" t="s">
        <v>312</v>
      </c>
      <c r="B9595" s="0" t="n">
        <v>35</v>
      </c>
      <c r="C9595" s="0" t="n">
        <v>1.7</v>
      </c>
      <c r="D9595" s="0" t="n">
        <v>1.2495</v>
      </c>
      <c r="E9595" s="0" t="n">
        <v>103.5</v>
      </c>
    </row>
    <row r="9596" customFormat="false" ht="13.8" hidden="true" customHeight="false" outlineLevel="0" collapsed="false">
      <c r="A9596" s="0" t="s">
        <v>312</v>
      </c>
      <c r="B9596" s="0" t="n">
        <v>35</v>
      </c>
      <c r="C9596" s="0" t="n">
        <v>1.75</v>
      </c>
      <c r="D9596" s="0" t="n">
        <v>1.28625</v>
      </c>
      <c r="E9596" s="0" t="n">
        <v>103.5</v>
      </c>
    </row>
    <row r="9597" customFormat="false" ht="13.8" hidden="true" customHeight="false" outlineLevel="0" collapsed="false">
      <c r="A9597" s="0" t="s">
        <v>312</v>
      </c>
      <c r="B9597" s="0" t="n">
        <v>35</v>
      </c>
      <c r="C9597" s="0" t="n">
        <v>1.8</v>
      </c>
      <c r="D9597" s="0" t="n">
        <v>0</v>
      </c>
      <c r="E9597" s="0" t="n">
        <v>103.5</v>
      </c>
    </row>
    <row r="9598" customFormat="false" ht="13.8" hidden="true" customHeight="false" outlineLevel="0" collapsed="false">
      <c r="A9598" s="0" t="s">
        <v>312</v>
      </c>
      <c r="B9598" s="0" t="n">
        <v>35</v>
      </c>
      <c r="C9598" s="0" t="n">
        <v>1.85</v>
      </c>
      <c r="D9598" s="0" t="n">
        <v>0</v>
      </c>
      <c r="E9598" s="0" t="n">
        <v>103.5</v>
      </c>
    </row>
    <row r="9599" customFormat="false" ht="13.8" hidden="true" customHeight="false" outlineLevel="0" collapsed="false">
      <c r="A9599" s="0" t="s">
        <v>312</v>
      </c>
      <c r="B9599" s="0" t="n">
        <v>35</v>
      </c>
      <c r="C9599" s="0" t="n">
        <v>1.9</v>
      </c>
      <c r="D9599" s="0" t="n">
        <v>0</v>
      </c>
      <c r="E9599" s="0" t="n">
        <v>103.5</v>
      </c>
    </row>
    <row r="9600" customFormat="false" ht="13.8" hidden="true" customHeight="false" outlineLevel="0" collapsed="false">
      <c r="A9600" s="0" t="s">
        <v>312</v>
      </c>
      <c r="B9600" s="0" t="n">
        <v>35</v>
      </c>
      <c r="C9600" s="0" t="n">
        <v>1.95</v>
      </c>
      <c r="D9600" s="0" t="n">
        <v>0</v>
      </c>
      <c r="E9600" s="0" t="n">
        <v>103.5</v>
      </c>
    </row>
    <row r="9601" customFormat="false" ht="13.8" hidden="true" customHeight="false" outlineLevel="0" collapsed="false">
      <c r="A9601" s="0" t="s">
        <v>312</v>
      </c>
      <c r="B9601" s="0" t="n">
        <v>35</v>
      </c>
      <c r="C9601" s="0" t="n">
        <v>2</v>
      </c>
      <c r="D9601" s="0" t="n">
        <v>0</v>
      </c>
      <c r="E9601" s="0" t="n">
        <v>103.5</v>
      </c>
    </row>
    <row r="9602" customFormat="false" ht="13.8" hidden="true" customHeight="false" outlineLevel="0" collapsed="false">
      <c r="A9602" s="0" t="s">
        <v>312</v>
      </c>
      <c r="B9602" s="0" t="n">
        <v>35</v>
      </c>
      <c r="C9602" s="0" t="n">
        <v>2.05</v>
      </c>
      <c r="D9602" s="0" t="n">
        <v>0</v>
      </c>
      <c r="E9602" s="0" t="n">
        <v>103.5</v>
      </c>
    </row>
    <row r="9603" customFormat="false" ht="13.8" hidden="true" customHeight="false" outlineLevel="0" collapsed="false">
      <c r="A9603" s="0" t="s">
        <v>312</v>
      </c>
      <c r="B9603" s="0" t="n">
        <v>35</v>
      </c>
      <c r="C9603" s="0" t="n">
        <v>2.1</v>
      </c>
      <c r="D9603" s="0" t="n">
        <v>0</v>
      </c>
      <c r="E9603" s="0" t="n">
        <v>103.5</v>
      </c>
    </row>
    <row r="9604" customFormat="false" ht="13.8" hidden="true" customHeight="false" outlineLevel="0" collapsed="false">
      <c r="A9604" s="0" t="s">
        <v>312</v>
      </c>
      <c r="B9604" s="0" t="n">
        <v>35</v>
      </c>
      <c r="C9604" s="0" t="n">
        <v>2.15</v>
      </c>
      <c r="D9604" s="0" t="n">
        <v>0</v>
      </c>
      <c r="E9604" s="0" t="n">
        <v>103.5</v>
      </c>
    </row>
    <row r="9605" customFormat="false" ht="13.8" hidden="true" customHeight="false" outlineLevel="0" collapsed="false">
      <c r="A9605" s="0" t="s">
        <v>312</v>
      </c>
      <c r="B9605" s="0" t="n">
        <v>35</v>
      </c>
      <c r="C9605" s="0" t="n">
        <v>2.2</v>
      </c>
      <c r="D9605" s="0" t="n">
        <v>0</v>
      </c>
      <c r="E9605" s="0" t="n">
        <v>103.5</v>
      </c>
    </row>
    <row r="9606" customFormat="false" ht="13.8" hidden="true" customHeight="false" outlineLevel="0" collapsed="false">
      <c r="A9606" s="0" t="s">
        <v>312</v>
      </c>
      <c r="B9606" s="0" t="n">
        <v>35</v>
      </c>
      <c r="C9606" s="0" t="n">
        <v>2.25</v>
      </c>
      <c r="D9606" s="0" t="n">
        <v>0</v>
      </c>
      <c r="E9606" s="0" t="n">
        <v>103.5</v>
      </c>
    </row>
    <row r="9607" customFormat="false" ht="13.8" hidden="true" customHeight="false" outlineLevel="0" collapsed="false">
      <c r="A9607" s="0" t="s">
        <v>312</v>
      </c>
      <c r="B9607" s="0" t="n">
        <v>35</v>
      </c>
      <c r="C9607" s="0" t="n">
        <v>2.3</v>
      </c>
      <c r="D9607" s="0" t="n">
        <v>0</v>
      </c>
      <c r="E9607" s="0" t="n">
        <v>103.5</v>
      </c>
    </row>
    <row r="9608" customFormat="false" ht="13.8" hidden="true" customHeight="false" outlineLevel="0" collapsed="false">
      <c r="A9608" s="0" t="s">
        <v>312</v>
      </c>
      <c r="B9608" s="0" t="n">
        <v>35</v>
      </c>
      <c r="C9608" s="0" t="n">
        <v>2.35</v>
      </c>
      <c r="D9608" s="0" t="n">
        <v>0</v>
      </c>
      <c r="E9608" s="0" t="n">
        <v>103.5</v>
      </c>
    </row>
    <row r="9609" customFormat="false" ht="13.8" hidden="true" customHeight="false" outlineLevel="0" collapsed="false">
      <c r="A9609" s="0" t="s">
        <v>312</v>
      </c>
      <c r="B9609" s="0" t="n">
        <v>35</v>
      </c>
      <c r="C9609" s="0" t="n">
        <v>2.4</v>
      </c>
      <c r="D9609" s="0" t="n">
        <v>0</v>
      </c>
      <c r="E9609" s="0" t="n">
        <v>103.5</v>
      </c>
    </row>
    <row r="9610" customFormat="false" ht="13.8" hidden="true" customHeight="false" outlineLevel="0" collapsed="false">
      <c r="A9610" s="0" t="s">
        <v>312</v>
      </c>
      <c r="B9610" s="0" t="n">
        <v>35</v>
      </c>
      <c r="C9610" s="0" t="n">
        <v>2.45</v>
      </c>
      <c r="D9610" s="0" t="n">
        <v>0</v>
      </c>
      <c r="E9610" s="0" t="n">
        <v>103.5</v>
      </c>
    </row>
    <row r="9611" customFormat="false" ht="13.8" hidden="true" customHeight="false" outlineLevel="0" collapsed="false">
      <c r="A9611" s="0" t="s">
        <v>312</v>
      </c>
      <c r="B9611" s="0" t="n">
        <v>35</v>
      </c>
      <c r="C9611" s="0" t="n">
        <v>2.5</v>
      </c>
      <c r="D9611" s="0" t="n">
        <v>0</v>
      </c>
      <c r="E9611" s="0" t="n">
        <v>103.5</v>
      </c>
    </row>
    <row r="9612" customFormat="false" ht="13.8" hidden="true" customHeight="false" outlineLevel="0" collapsed="false">
      <c r="A9612" s="0" t="s">
        <v>312</v>
      </c>
      <c r="B9612" s="0" t="n">
        <v>35</v>
      </c>
      <c r="C9612" s="0" t="n">
        <v>2.55</v>
      </c>
      <c r="D9612" s="0" t="n">
        <v>0</v>
      </c>
      <c r="E9612" s="0" t="n">
        <v>103.5</v>
      </c>
    </row>
    <row r="9613" customFormat="false" ht="13.8" hidden="true" customHeight="false" outlineLevel="0" collapsed="false">
      <c r="A9613" s="0" t="s">
        <v>312</v>
      </c>
      <c r="B9613" s="0" t="n">
        <v>35</v>
      </c>
      <c r="C9613" s="0" t="n">
        <v>2.6</v>
      </c>
      <c r="D9613" s="0" t="n">
        <v>0</v>
      </c>
      <c r="E9613" s="0" t="n">
        <v>103.5</v>
      </c>
    </row>
    <row r="9614" customFormat="false" ht="13.8" hidden="true" customHeight="false" outlineLevel="0" collapsed="false">
      <c r="A9614" s="0" t="s">
        <v>183</v>
      </c>
      <c r="B9614" s="0" t="n">
        <v>35</v>
      </c>
      <c r="C9614" s="0" t="n">
        <v>1.3</v>
      </c>
      <c r="D9614" s="0" t="n">
        <v>0</v>
      </c>
      <c r="E9614" s="0" t="n">
        <v>103.5</v>
      </c>
    </row>
    <row r="9615" customFormat="false" ht="13.8" hidden="true" customHeight="false" outlineLevel="0" collapsed="false">
      <c r="A9615" s="0" t="s">
        <v>183</v>
      </c>
      <c r="B9615" s="0" t="n">
        <v>35</v>
      </c>
      <c r="C9615" s="0" t="n">
        <v>1.35</v>
      </c>
      <c r="D9615" s="0" t="n">
        <v>0</v>
      </c>
      <c r="E9615" s="0" t="n">
        <v>103.5</v>
      </c>
    </row>
    <row r="9616" customFormat="false" ht="13.8" hidden="true" customHeight="false" outlineLevel="0" collapsed="false">
      <c r="A9616" s="0" t="s">
        <v>183</v>
      </c>
      <c r="B9616" s="0" t="n">
        <v>35</v>
      </c>
      <c r="C9616" s="0" t="n">
        <v>1.4</v>
      </c>
      <c r="D9616" s="0" t="n">
        <v>0</v>
      </c>
      <c r="E9616" s="0" t="n">
        <v>103.5</v>
      </c>
    </row>
    <row r="9617" customFormat="false" ht="13.8" hidden="true" customHeight="false" outlineLevel="0" collapsed="false">
      <c r="A9617" s="0" t="s">
        <v>183</v>
      </c>
      <c r="B9617" s="0" t="n">
        <v>35</v>
      </c>
      <c r="C9617" s="0" t="n">
        <v>1.45</v>
      </c>
      <c r="D9617" s="0" t="n">
        <v>0</v>
      </c>
      <c r="E9617" s="0" t="n">
        <v>103.5</v>
      </c>
    </row>
    <row r="9618" customFormat="false" ht="13.8" hidden="true" customHeight="false" outlineLevel="0" collapsed="false">
      <c r="A9618" s="0" t="s">
        <v>183</v>
      </c>
      <c r="B9618" s="0" t="n">
        <v>35</v>
      </c>
      <c r="C9618" s="0" t="n">
        <v>1.5</v>
      </c>
      <c r="D9618" s="0" t="n">
        <v>1.1025</v>
      </c>
      <c r="E9618" s="0" t="n">
        <v>103.5</v>
      </c>
    </row>
    <row r="9619" customFormat="false" ht="13.8" hidden="true" customHeight="false" outlineLevel="0" collapsed="false">
      <c r="A9619" s="0" t="s">
        <v>183</v>
      </c>
      <c r="B9619" s="0" t="n">
        <v>35</v>
      </c>
      <c r="C9619" s="0" t="n">
        <v>1.55</v>
      </c>
      <c r="D9619" s="0" t="n">
        <v>1.13925</v>
      </c>
      <c r="E9619" s="0" t="n">
        <v>103.5</v>
      </c>
    </row>
    <row r="9620" customFormat="false" ht="13.8" hidden="true" customHeight="false" outlineLevel="0" collapsed="false">
      <c r="A9620" s="0" t="s">
        <v>183</v>
      </c>
      <c r="B9620" s="0" t="n">
        <v>35</v>
      </c>
      <c r="C9620" s="0" t="n">
        <v>1.6</v>
      </c>
      <c r="D9620" s="0" t="n">
        <v>1.176</v>
      </c>
      <c r="E9620" s="0" t="n">
        <v>103.5</v>
      </c>
    </row>
    <row r="9621" customFormat="false" ht="13.8" hidden="true" customHeight="false" outlineLevel="0" collapsed="false">
      <c r="A9621" s="0" t="s">
        <v>183</v>
      </c>
      <c r="B9621" s="0" t="n">
        <v>35</v>
      </c>
      <c r="C9621" s="0" t="n">
        <v>1.65</v>
      </c>
      <c r="D9621" s="0" t="n">
        <v>1.21275</v>
      </c>
      <c r="E9621" s="0" t="n">
        <v>103.5</v>
      </c>
    </row>
    <row r="9622" customFormat="false" ht="13.8" hidden="true" customHeight="false" outlineLevel="0" collapsed="false">
      <c r="A9622" s="0" t="s">
        <v>183</v>
      </c>
      <c r="B9622" s="0" t="n">
        <v>35</v>
      </c>
      <c r="C9622" s="0" t="n">
        <v>1.7</v>
      </c>
      <c r="D9622" s="0" t="n">
        <v>1.2495</v>
      </c>
      <c r="E9622" s="0" t="n">
        <v>103.5</v>
      </c>
    </row>
    <row r="9623" customFormat="false" ht="13.8" hidden="true" customHeight="false" outlineLevel="0" collapsed="false">
      <c r="A9623" s="0" t="s">
        <v>183</v>
      </c>
      <c r="B9623" s="0" t="n">
        <v>35</v>
      </c>
      <c r="C9623" s="0" t="n">
        <v>1.75</v>
      </c>
      <c r="D9623" s="0" t="n">
        <v>1.28625</v>
      </c>
      <c r="E9623" s="0" t="n">
        <v>103.5</v>
      </c>
    </row>
    <row r="9624" customFormat="false" ht="13.8" hidden="true" customHeight="false" outlineLevel="0" collapsed="false">
      <c r="A9624" s="0" t="s">
        <v>183</v>
      </c>
      <c r="B9624" s="0" t="n">
        <v>35</v>
      </c>
      <c r="C9624" s="0" t="n">
        <v>1.8</v>
      </c>
      <c r="D9624" s="0" t="n">
        <v>0</v>
      </c>
      <c r="E9624" s="0" t="n">
        <v>103.5</v>
      </c>
    </row>
    <row r="9625" customFormat="false" ht="13.8" hidden="true" customHeight="false" outlineLevel="0" collapsed="false">
      <c r="A9625" s="0" t="s">
        <v>183</v>
      </c>
      <c r="B9625" s="0" t="n">
        <v>35</v>
      </c>
      <c r="C9625" s="0" t="n">
        <v>1.85</v>
      </c>
      <c r="D9625" s="0" t="n">
        <v>0</v>
      </c>
      <c r="E9625" s="0" t="n">
        <v>103.5</v>
      </c>
    </row>
    <row r="9626" customFormat="false" ht="13.8" hidden="true" customHeight="false" outlineLevel="0" collapsed="false">
      <c r="A9626" s="0" t="s">
        <v>183</v>
      </c>
      <c r="B9626" s="0" t="n">
        <v>35</v>
      </c>
      <c r="C9626" s="0" t="n">
        <v>1.9</v>
      </c>
      <c r="D9626" s="0" t="n">
        <v>0</v>
      </c>
      <c r="E9626" s="0" t="n">
        <v>103.5</v>
      </c>
    </row>
    <row r="9627" customFormat="false" ht="13.8" hidden="true" customHeight="false" outlineLevel="0" collapsed="false">
      <c r="A9627" s="0" t="s">
        <v>183</v>
      </c>
      <c r="B9627" s="0" t="n">
        <v>35</v>
      </c>
      <c r="C9627" s="0" t="n">
        <v>1.95</v>
      </c>
      <c r="D9627" s="0" t="n">
        <v>0</v>
      </c>
      <c r="E9627" s="0" t="n">
        <v>103.5</v>
      </c>
    </row>
    <row r="9628" customFormat="false" ht="13.8" hidden="true" customHeight="false" outlineLevel="0" collapsed="false">
      <c r="A9628" s="0" t="s">
        <v>183</v>
      </c>
      <c r="B9628" s="0" t="n">
        <v>35</v>
      </c>
      <c r="C9628" s="0" t="n">
        <v>2</v>
      </c>
      <c r="D9628" s="0" t="n">
        <v>0</v>
      </c>
      <c r="E9628" s="0" t="n">
        <v>103.5</v>
      </c>
    </row>
    <row r="9629" customFormat="false" ht="13.8" hidden="true" customHeight="false" outlineLevel="0" collapsed="false">
      <c r="A9629" s="0" t="s">
        <v>183</v>
      </c>
      <c r="B9629" s="0" t="n">
        <v>35</v>
      </c>
      <c r="C9629" s="0" t="n">
        <v>2.05</v>
      </c>
      <c r="D9629" s="0" t="n">
        <v>0</v>
      </c>
      <c r="E9629" s="0" t="n">
        <v>103.5</v>
      </c>
    </row>
    <row r="9630" customFormat="false" ht="13.8" hidden="true" customHeight="false" outlineLevel="0" collapsed="false">
      <c r="A9630" s="0" t="s">
        <v>183</v>
      </c>
      <c r="B9630" s="0" t="n">
        <v>35</v>
      </c>
      <c r="C9630" s="0" t="n">
        <v>2.1</v>
      </c>
      <c r="D9630" s="0" t="n">
        <v>0</v>
      </c>
      <c r="E9630" s="0" t="n">
        <v>103.5</v>
      </c>
    </row>
    <row r="9631" customFormat="false" ht="13.8" hidden="true" customHeight="false" outlineLevel="0" collapsed="false">
      <c r="A9631" s="0" t="s">
        <v>183</v>
      </c>
      <c r="B9631" s="0" t="n">
        <v>35</v>
      </c>
      <c r="C9631" s="0" t="n">
        <v>2.15</v>
      </c>
      <c r="D9631" s="0" t="n">
        <v>0</v>
      </c>
      <c r="E9631" s="0" t="n">
        <v>103.5</v>
      </c>
    </row>
    <row r="9632" customFormat="false" ht="13.8" hidden="true" customHeight="false" outlineLevel="0" collapsed="false">
      <c r="A9632" s="0" t="s">
        <v>183</v>
      </c>
      <c r="B9632" s="0" t="n">
        <v>35</v>
      </c>
      <c r="C9632" s="0" t="n">
        <v>2.2</v>
      </c>
      <c r="D9632" s="0" t="n">
        <v>0</v>
      </c>
      <c r="E9632" s="0" t="n">
        <v>103.5</v>
      </c>
    </row>
    <row r="9633" customFormat="false" ht="13.8" hidden="true" customHeight="false" outlineLevel="0" collapsed="false">
      <c r="A9633" s="0" t="s">
        <v>183</v>
      </c>
      <c r="B9633" s="0" t="n">
        <v>35</v>
      </c>
      <c r="C9633" s="0" t="n">
        <v>2.25</v>
      </c>
      <c r="D9633" s="0" t="n">
        <v>0</v>
      </c>
      <c r="E9633" s="0" t="n">
        <v>103.5</v>
      </c>
    </row>
    <row r="9634" customFormat="false" ht="13.8" hidden="true" customHeight="false" outlineLevel="0" collapsed="false">
      <c r="A9634" s="0" t="s">
        <v>183</v>
      </c>
      <c r="B9634" s="0" t="n">
        <v>35</v>
      </c>
      <c r="C9634" s="0" t="n">
        <v>2.3</v>
      </c>
      <c r="D9634" s="0" t="n">
        <v>0</v>
      </c>
      <c r="E9634" s="0" t="n">
        <v>103.5</v>
      </c>
    </row>
    <row r="9635" customFormat="false" ht="13.8" hidden="true" customHeight="false" outlineLevel="0" collapsed="false">
      <c r="A9635" s="0" t="s">
        <v>183</v>
      </c>
      <c r="B9635" s="0" t="n">
        <v>35</v>
      </c>
      <c r="C9635" s="0" t="n">
        <v>2.35</v>
      </c>
      <c r="D9635" s="0" t="n">
        <v>0</v>
      </c>
      <c r="E9635" s="0" t="n">
        <v>103.5</v>
      </c>
    </row>
    <row r="9636" customFormat="false" ht="13.8" hidden="true" customHeight="false" outlineLevel="0" collapsed="false">
      <c r="A9636" s="0" t="s">
        <v>183</v>
      </c>
      <c r="B9636" s="0" t="n">
        <v>35</v>
      </c>
      <c r="C9636" s="0" t="n">
        <v>2.4</v>
      </c>
      <c r="D9636" s="0" t="n">
        <v>0</v>
      </c>
      <c r="E9636" s="0" t="n">
        <v>103.5</v>
      </c>
    </row>
    <row r="9637" customFormat="false" ht="13.8" hidden="true" customHeight="false" outlineLevel="0" collapsed="false">
      <c r="A9637" s="0" t="s">
        <v>183</v>
      </c>
      <c r="B9637" s="0" t="n">
        <v>35</v>
      </c>
      <c r="C9637" s="0" t="n">
        <v>2.45</v>
      </c>
      <c r="D9637" s="0" t="n">
        <v>0</v>
      </c>
      <c r="E9637" s="0" t="n">
        <v>103.5</v>
      </c>
    </row>
    <row r="9638" customFormat="false" ht="13.8" hidden="true" customHeight="false" outlineLevel="0" collapsed="false">
      <c r="A9638" s="0" t="s">
        <v>183</v>
      </c>
      <c r="B9638" s="0" t="n">
        <v>35</v>
      </c>
      <c r="C9638" s="0" t="n">
        <v>2.5</v>
      </c>
      <c r="D9638" s="0" t="n">
        <v>0</v>
      </c>
      <c r="E9638" s="0" t="n">
        <v>103.5</v>
      </c>
    </row>
    <row r="9639" customFormat="false" ht="13.8" hidden="true" customHeight="false" outlineLevel="0" collapsed="false">
      <c r="A9639" s="0" t="s">
        <v>183</v>
      </c>
      <c r="B9639" s="0" t="n">
        <v>35</v>
      </c>
      <c r="C9639" s="0" t="n">
        <v>2.55</v>
      </c>
      <c r="D9639" s="0" t="n">
        <v>0</v>
      </c>
      <c r="E9639" s="0" t="n">
        <v>103.5</v>
      </c>
    </row>
    <row r="9640" customFormat="false" ht="13.8" hidden="true" customHeight="false" outlineLevel="0" collapsed="false">
      <c r="A9640" s="0" t="s">
        <v>183</v>
      </c>
      <c r="B9640" s="0" t="n">
        <v>35</v>
      </c>
      <c r="C9640" s="0" t="n">
        <v>2.6</v>
      </c>
      <c r="D9640" s="0" t="n">
        <v>0</v>
      </c>
      <c r="E9640" s="0" t="n">
        <v>103.5</v>
      </c>
    </row>
    <row r="9641" customFormat="false" ht="13.8" hidden="true" customHeight="false" outlineLevel="0" collapsed="false">
      <c r="A9641" s="0" t="s">
        <v>313</v>
      </c>
      <c r="B9641" s="0" t="n">
        <v>35</v>
      </c>
      <c r="C9641" s="0" t="n">
        <v>1.3</v>
      </c>
      <c r="D9641" s="0" t="n">
        <v>0</v>
      </c>
      <c r="E9641" s="0" t="n">
        <v>104.5</v>
      </c>
    </row>
    <row r="9642" customFormat="false" ht="13.8" hidden="true" customHeight="false" outlineLevel="0" collapsed="false">
      <c r="A9642" s="0" t="s">
        <v>313</v>
      </c>
      <c r="B9642" s="0" t="n">
        <v>35</v>
      </c>
      <c r="C9642" s="0" t="n">
        <v>1.35</v>
      </c>
      <c r="D9642" s="0" t="n">
        <v>0</v>
      </c>
      <c r="E9642" s="0" t="n">
        <v>104.5</v>
      </c>
    </row>
    <row r="9643" customFormat="false" ht="13.8" hidden="true" customHeight="false" outlineLevel="0" collapsed="false">
      <c r="A9643" s="0" t="s">
        <v>313</v>
      </c>
      <c r="B9643" s="0" t="n">
        <v>35</v>
      </c>
      <c r="C9643" s="0" t="n">
        <v>1.4</v>
      </c>
      <c r="D9643" s="0" t="n">
        <v>0</v>
      </c>
      <c r="E9643" s="0" t="n">
        <v>104.5</v>
      </c>
    </row>
    <row r="9644" customFormat="false" ht="13.8" hidden="true" customHeight="false" outlineLevel="0" collapsed="false">
      <c r="A9644" s="0" t="s">
        <v>313</v>
      </c>
      <c r="B9644" s="0" t="n">
        <v>35</v>
      </c>
      <c r="C9644" s="0" t="n">
        <v>1.45</v>
      </c>
      <c r="D9644" s="0" t="n">
        <v>0</v>
      </c>
      <c r="E9644" s="0" t="n">
        <v>104.5</v>
      </c>
    </row>
    <row r="9645" customFormat="false" ht="13.8" hidden="true" customHeight="false" outlineLevel="0" collapsed="false">
      <c r="A9645" s="0" t="s">
        <v>313</v>
      </c>
      <c r="B9645" s="0" t="n">
        <v>35</v>
      </c>
      <c r="C9645" s="0" t="n">
        <v>1.5</v>
      </c>
      <c r="D9645" s="0" t="n">
        <v>1.1025</v>
      </c>
      <c r="E9645" s="0" t="n">
        <v>104.5</v>
      </c>
    </row>
    <row r="9646" customFormat="false" ht="13.8" hidden="true" customHeight="false" outlineLevel="0" collapsed="false">
      <c r="A9646" s="0" t="s">
        <v>313</v>
      </c>
      <c r="B9646" s="0" t="n">
        <v>35</v>
      </c>
      <c r="C9646" s="0" t="n">
        <v>1.55</v>
      </c>
      <c r="D9646" s="0" t="n">
        <v>1.13925</v>
      </c>
      <c r="E9646" s="0" t="n">
        <v>104.5</v>
      </c>
    </row>
    <row r="9647" customFormat="false" ht="13.8" hidden="true" customHeight="false" outlineLevel="0" collapsed="false">
      <c r="A9647" s="0" t="s">
        <v>313</v>
      </c>
      <c r="B9647" s="0" t="n">
        <v>35</v>
      </c>
      <c r="C9647" s="0" t="n">
        <v>1.6</v>
      </c>
      <c r="D9647" s="0" t="n">
        <v>1.176</v>
      </c>
      <c r="E9647" s="0" t="n">
        <v>104.5</v>
      </c>
    </row>
    <row r="9648" customFormat="false" ht="13.8" hidden="true" customHeight="false" outlineLevel="0" collapsed="false">
      <c r="A9648" s="0" t="s">
        <v>313</v>
      </c>
      <c r="B9648" s="0" t="n">
        <v>35</v>
      </c>
      <c r="C9648" s="0" t="n">
        <v>1.65</v>
      </c>
      <c r="D9648" s="0" t="n">
        <v>1.21275</v>
      </c>
      <c r="E9648" s="0" t="n">
        <v>104.5</v>
      </c>
    </row>
    <row r="9649" customFormat="false" ht="13.8" hidden="true" customHeight="false" outlineLevel="0" collapsed="false">
      <c r="A9649" s="0" t="s">
        <v>313</v>
      </c>
      <c r="B9649" s="0" t="n">
        <v>35</v>
      </c>
      <c r="C9649" s="0" t="n">
        <v>1.7</v>
      </c>
      <c r="D9649" s="0" t="n">
        <v>1.2495</v>
      </c>
      <c r="E9649" s="0" t="n">
        <v>104.5</v>
      </c>
    </row>
    <row r="9650" customFormat="false" ht="13.8" hidden="true" customHeight="false" outlineLevel="0" collapsed="false">
      <c r="A9650" s="0" t="s">
        <v>313</v>
      </c>
      <c r="B9650" s="0" t="n">
        <v>35</v>
      </c>
      <c r="C9650" s="0" t="n">
        <v>1.75</v>
      </c>
      <c r="D9650" s="0" t="n">
        <v>1.28625</v>
      </c>
      <c r="E9650" s="0" t="n">
        <v>104.5</v>
      </c>
    </row>
    <row r="9651" customFormat="false" ht="13.8" hidden="true" customHeight="false" outlineLevel="0" collapsed="false">
      <c r="A9651" s="0" t="s">
        <v>313</v>
      </c>
      <c r="B9651" s="0" t="n">
        <v>35</v>
      </c>
      <c r="C9651" s="0" t="n">
        <v>1.8</v>
      </c>
      <c r="D9651" s="0" t="n">
        <v>0</v>
      </c>
      <c r="E9651" s="0" t="n">
        <v>104.5</v>
      </c>
    </row>
    <row r="9652" customFormat="false" ht="13.8" hidden="true" customHeight="false" outlineLevel="0" collapsed="false">
      <c r="A9652" s="0" t="s">
        <v>313</v>
      </c>
      <c r="B9652" s="0" t="n">
        <v>35</v>
      </c>
      <c r="C9652" s="0" t="n">
        <v>1.85</v>
      </c>
      <c r="D9652" s="0" t="n">
        <v>0</v>
      </c>
      <c r="E9652" s="0" t="n">
        <v>104.5</v>
      </c>
    </row>
    <row r="9653" customFormat="false" ht="13.8" hidden="true" customHeight="false" outlineLevel="0" collapsed="false">
      <c r="A9653" s="0" t="s">
        <v>313</v>
      </c>
      <c r="B9653" s="0" t="n">
        <v>35</v>
      </c>
      <c r="C9653" s="0" t="n">
        <v>1.9</v>
      </c>
      <c r="D9653" s="0" t="n">
        <v>0</v>
      </c>
      <c r="E9653" s="0" t="n">
        <v>104.5</v>
      </c>
    </row>
    <row r="9654" customFormat="false" ht="13.8" hidden="true" customHeight="false" outlineLevel="0" collapsed="false">
      <c r="A9654" s="0" t="s">
        <v>313</v>
      </c>
      <c r="B9654" s="0" t="n">
        <v>35</v>
      </c>
      <c r="C9654" s="0" t="n">
        <v>1.95</v>
      </c>
      <c r="D9654" s="0" t="n">
        <v>0</v>
      </c>
      <c r="E9654" s="0" t="n">
        <v>104.5</v>
      </c>
    </row>
    <row r="9655" customFormat="false" ht="13.8" hidden="true" customHeight="false" outlineLevel="0" collapsed="false">
      <c r="A9655" s="0" t="s">
        <v>313</v>
      </c>
      <c r="B9655" s="0" t="n">
        <v>35</v>
      </c>
      <c r="C9655" s="0" t="n">
        <v>2</v>
      </c>
      <c r="D9655" s="0" t="n">
        <v>0</v>
      </c>
      <c r="E9655" s="0" t="n">
        <v>104.5</v>
      </c>
    </row>
    <row r="9656" customFormat="false" ht="13.8" hidden="true" customHeight="false" outlineLevel="0" collapsed="false">
      <c r="A9656" s="0" t="s">
        <v>313</v>
      </c>
      <c r="B9656" s="0" t="n">
        <v>35</v>
      </c>
      <c r="C9656" s="0" t="n">
        <v>2.05</v>
      </c>
      <c r="D9656" s="0" t="n">
        <v>0</v>
      </c>
      <c r="E9656" s="0" t="n">
        <v>104.5</v>
      </c>
    </row>
    <row r="9657" customFormat="false" ht="13.8" hidden="true" customHeight="false" outlineLevel="0" collapsed="false">
      <c r="A9657" s="0" t="s">
        <v>313</v>
      </c>
      <c r="B9657" s="0" t="n">
        <v>35</v>
      </c>
      <c r="C9657" s="0" t="n">
        <v>2.1</v>
      </c>
      <c r="D9657" s="0" t="n">
        <v>0</v>
      </c>
      <c r="E9657" s="0" t="n">
        <v>104.5</v>
      </c>
    </row>
    <row r="9658" customFormat="false" ht="13.8" hidden="true" customHeight="false" outlineLevel="0" collapsed="false">
      <c r="A9658" s="0" t="s">
        <v>313</v>
      </c>
      <c r="B9658" s="0" t="n">
        <v>35</v>
      </c>
      <c r="C9658" s="0" t="n">
        <v>2.15</v>
      </c>
      <c r="D9658" s="0" t="n">
        <v>0</v>
      </c>
      <c r="E9658" s="0" t="n">
        <v>104.5</v>
      </c>
    </row>
    <row r="9659" customFormat="false" ht="13.8" hidden="true" customHeight="false" outlineLevel="0" collapsed="false">
      <c r="A9659" s="0" t="s">
        <v>313</v>
      </c>
      <c r="B9659" s="0" t="n">
        <v>35</v>
      </c>
      <c r="C9659" s="0" t="n">
        <v>2.2</v>
      </c>
      <c r="D9659" s="0" t="n">
        <v>0</v>
      </c>
      <c r="E9659" s="0" t="n">
        <v>104.5</v>
      </c>
    </row>
    <row r="9660" customFormat="false" ht="13.8" hidden="true" customHeight="false" outlineLevel="0" collapsed="false">
      <c r="A9660" s="0" t="s">
        <v>313</v>
      </c>
      <c r="B9660" s="0" t="n">
        <v>35</v>
      </c>
      <c r="C9660" s="0" t="n">
        <v>2.25</v>
      </c>
      <c r="D9660" s="0" t="n">
        <v>0</v>
      </c>
      <c r="E9660" s="0" t="n">
        <v>104.5</v>
      </c>
    </row>
    <row r="9661" customFormat="false" ht="13.8" hidden="true" customHeight="false" outlineLevel="0" collapsed="false">
      <c r="A9661" s="0" t="s">
        <v>313</v>
      </c>
      <c r="B9661" s="0" t="n">
        <v>35</v>
      </c>
      <c r="C9661" s="0" t="n">
        <v>2.3</v>
      </c>
      <c r="D9661" s="0" t="n">
        <v>0</v>
      </c>
      <c r="E9661" s="0" t="n">
        <v>104.5</v>
      </c>
    </row>
    <row r="9662" customFormat="false" ht="13.8" hidden="true" customHeight="false" outlineLevel="0" collapsed="false">
      <c r="A9662" s="0" t="s">
        <v>313</v>
      </c>
      <c r="B9662" s="0" t="n">
        <v>35</v>
      </c>
      <c r="C9662" s="0" t="n">
        <v>2.35</v>
      </c>
      <c r="D9662" s="0" t="n">
        <v>0</v>
      </c>
      <c r="E9662" s="0" t="n">
        <v>104.5</v>
      </c>
    </row>
    <row r="9663" customFormat="false" ht="13.8" hidden="true" customHeight="false" outlineLevel="0" collapsed="false">
      <c r="A9663" s="0" t="s">
        <v>313</v>
      </c>
      <c r="B9663" s="0" t="n">
        <v>35</v>
      </c>
      <c r="C9663" s="0" t="n">
        <v>2.4</v>
      </c>
      <c r="D9663" s="0" t="n">
        <v>0</v>
      </c>
      <c r="E9663" s="0" t="n">
        <v>104.5</v>
      </c>
    </row>
    <row r="9664" customFormat="false" ht="13.8" hidden="true" customHeight="false" outlineLevel="0" collapsed="false">
      <c r="A9664" s="0" t="s">
        <v>313</v>
      </c>
      <c r="B9664" s="0" t="n">
        <v>35</v>
      </c>
      <c r="C9664" s="0" t="n">
        <v>2.45</v>
      </c>
      <c r="D9664" s="0" t="n">
        <v>0</v>
      </c>
      <c r="E9664" s="0" t="n">
        <v>104.5</v>
      </c>
    </row>
    <row r="9665" customFormat="false" ht="13.8" hidden="true" customHeight="false" outlineLevel="0" collapsed="false">
      <c r="A9665" s="0" t="s">
        <v>313</v>
      </c>
      <c r="B9665" s="0" t="n">
        <v>35</v>
      </c>
      <c r="C9665" s="0" t="n">
        <v>2.5</v>
      </c>
      <c r="D9665" s="0" t="n">
        <v>0</v>
      </c>
      <c r="E9665" s="0" t="n">
        <v>104.5</v>
      </c>
    </row>
    <row r="9666" customFormat="false" ht="13.8" hidden="true" customHeight="false" outlineLevel="0" collapsed="false">
      <c r="A9666" s="0" t="s">
        <v>313</v>
      </c>
      <c r="B9666" s="0" t="n">
        <v>35</v>
      </c>
      <c r="C9666" s="0" t="n">
        <v>2.55</v>
      </c>
      <c r="D9666" s="0" t="n">
        <v>0</v>
      </c>
      <c r="E9666" s="0" t="n">
        <v>104.5</v>
      </c>
    </row>
    <row r="9667" customFormat="false" ht="13.8" hidden="true" customHeight="false" outlineLevel="0" collapsed="false">
      <c r="A9667" s="0" t="s">
        <v>313</v>
      </c>
      <c r="B9667" s="0" t="n">
        <v>35</v>
      </c>
      <c r="C9667" s="0" t="n">
        <v>2.6</v>
      </c>
      <c r="D9667" s="0" t="n">
        <v>0</v>
      </c>
      <c r="E9667" s="0" t="n">
        <v>104.5</v>
      </c>
    </row>
    <row r="9668" customFormat="false" ht="13.8" hidden="true" customHeight="false" outlineLevel="0" collapsed="false">
      <c r="A9668" s="0" t="s">
        <v>314</v>
      </c>
      <c r="B9668" s="0" t="n">
        <v>35</v>
      </c>
      <c r="C9668" s="0" t="n">
        <v>1.3</v>
      </c>
      <c r="D9668" s="0" t="n">
        <v>0</v>
      </c>
      <c r="E9668" s="0" t="n">
        <v>102.5</v>
      </c>
    </row>
    <row r="9669" customFormat="false" ht="13.8" hidden="true" customHeight="false" outlineLevel="0" collapsed="false">
      <c r="A9669" s="0" t="s">
        <v>314</v>
      </c>
      <c r="B9669" s="0" t="n">
        <v>35</v>
      </c>
      <c r="C9669" s="0" t="n">
        <v>1.35</v>
      </c>
      <c r="D9669" s="0" t="n">
        <v>0</v>
      </c>
      <c r="E9669" s="0" t="n">
        <v>102.5</v>
      </c>
    </row>
    <row r="9670" customFormat="false" ht="13.8" hidden="true" customHeight="false" outlineLevel="0" collapsed="false">
      <c r="A9670" s="0" t="s">
        <v>314</v>
      </c>
      <c r="B9670" s="0" t="n">
        <v>35</v>
      </c>
      <c r="C9670" s="0" t="n">
        <v>1.4</v>
      </c>
      <c r="D9670" s="0" t="n">
        <v>0</v>
      </c>
      <c r="E9670" s="0" t="n">
        <v>102.5</v>
      </c>
    </row>
    <row r="9671" customFormat="false" ht="13.8" hidden="true" customHeight="false" outlineLevel="0" collapsed="false">
      <c r="A9671" s="0" t="s">
        <v>314</v>
      </c>
      <c r="B9671" s="0" t="n">
        <v>35</v>
      </c>
      <c r="C9671" s="0" t="n">
        <v>1.45</v>
      </c>
      <c r="D9671" s="0" t="n">
        <v>0</v>
      </c>
      <c r="E9671" s="0" t="n">
        <v>102.5</v>
      </c>
    </row>
    <row r="9672" customFormat="false" ht="13.8" hidden="true" customHeight="false" outlineLevel="0" collapsed="false">
      <c r="A9672" s="0" t="s">
        <v>314</v>
      </c>
      <c r="B9672" s="0" t="n">
        <v>35</v>
      </c>
      <c r="C9672" s="0" t="n">
        <v>1.5</v>
      </c>
      <c r="D9672" s="0" t="n">
        <v>1.1025</v>
      </c>
      <c r="E9672" s="0" t="n">
        <v>102.5</v>
      </c>
    </row>
    <row r="9673" customFormat="false" ht="13.8" hidden="true" customHeight="false" outlineLevel="0" collapsed="false">
      <c r="A9673" s="0" t="s">
        <v>314</v>
      </c>
      <c r="B9673" s="0" t="n">
        <v>35</v>
      </c>
      <c r="C9673" s="0" t="n">
        <v>1.55</v>
      </c>
      <c r="D9673" s="0" t="n">
        <v>1.13925</v>
      </c>
      <c r="E9673" s="0" t="n">
        <v>102.5</v>
      </c>
    </row>
    <row r="9674" customFormat="false" ht="13.8" hidden="true" customHeight="false" outlineLevel="0" collapsed="false">
      <c r="A9674" s="0" t="s">
        <v>314</v>
      </c>
      <c r="B9674" s="0" t="n">
        <v>35</v>
      </c>
      <c r="C9674" s="0" t="n">
        <v>1.6</v>
      </c>
      <c r="D9674" s="0" t="n">
        <v>1.176</v>
      </c>
      <c r="E9674" s="0" t="n">
        <v>102.5</v>
      </c>
    </row>
    <row r="9675" customFormat="false" ht="13.8" hidden="true" customHeight="false" outlineLevel="0" collapsed="false">
      <c r="A9675" s="0" t="s">
        <v>314</v>
      </c>
      <c r="B9675" s="0" t="n">
        <v>35</v>
      </c>
      <c r="C9675" s="0" t="n">
        <v>1.65</v>
      </c>
      <c r="D9675" s="0" t="n">
        <v>1.21275</v>
      </c>
      <c r="E9675" s="0" t="n">
        <v>102.5</v>
      </c>
    </row>
    <row r="9676" customFormat="false" ht="13.8" hidden="true" customHeight="false" outlineLevel="0" collapsed="false">
      <c r="A9676" s="0" t="s">
        <v>314</v>
      </c>
      <c r="B9676" s="0" t="n">
        <v>35</v>
      </c>
      <c r="C9676" s="0" t="n">
        <v>1.7</v>
      </c>
      <c r="D9676" s="0" t="n">
        <v>1.2495</v>
      </c>
      <c r="E9676" s="0" t="n">
        <v>102.5</v>
      </c>
    </row>
    <row r="9677" customFormat="false" ht="13.8" hidden="true" customHeight="false" outlineLevel="0" collapsed="false">
      <c r="A9677" s="0" t="s">
        <v>314</v>
      </c>
      <c r="B9677" s="0" t="n">
        <v>35</v>
      </c>
      <c r="C9677" s="0" t="n">
        <v>1.75</v>
      </c>
      <c r="D9677" s="0" t="n">
        <v>1.28625</v>
      </c>
      <c r="E9677" s="0" t="n">
        <v>102.5</v>
      </c>
    </row>
    <row r="9678" customFormat="false" ht="13.8" hidden="true" customHeight="false" outlineLevel="0" collapsed="false">
      <c r="A9678" s="0" t="s">
        <v>314</v>
      </c>
      <c r="B9678" s="0" t="n">
        <v>35</v>
      </c>
      <c r="C9678" s="0" t="n">
        <v>1.8</v>
      </c>
      <c r="D9678" s="0" t="n">
        <v>0</v>
      </c>
      <c r="E9678" s="0" t="n">
        <v>102.5</v>
      </c>
    </row>
    <row r="9679" customFormat="false" ht="13.8" hidden="true" customHeight="false" outlineLevel="0" collapsed="false">
      <c r="A9679" s="0" t="s">
        <v>314</v>
      </c>
      <c r="B9679" s="0" t="n">
        <v>35</v>
      </c>
      <c r="C9679" s="0" t="n">
        <v>1.85</v>
      </c>
      <c r="D9679" s="0" t="n">
        <v>0</v>
      </c>
      <c r="E9679" s="0" t="n">
        <v>102.5</v>
      </c>
    </row>
    <row r="9680" customFormat="false" ht="13.8" hidden="true" customHeight="false" outlineLevel="0" collapsed="false">
      <c r="A9680" s="0" t="s">
        <v>314</v>
      </c>
      <c r="B9680" s="0" t="n">
        <v>35</v>
      </c>
      <c r="C9680" s="0" t="n">
        <v>1.9</v>
      </c>
      <c r="D9680" s="0" t="n">
        <v>0</v>
      </c>
      <c r="E9680" s="0" t="n">
        <v>102.5</v>
      </c>
    </row>
    <row r="9681" customFormat="false" ht="13.8" hidden="true" customHeight="false" outlineLevel="0" collapsed="false">
      <c r="A9681" s="0" t="s">
        <v>314</v>
      </c>
      <c r="B9681" s="0" t="n">
        <v>35</v>
      </c>
      <c r="C9681" s="0" t="n">
        <v>1.95</v>
      </c>
      <c r="D9681" s="0" t="n">
        <v>0</v>
      </c>
      <c r="E9681" s="0" t="n">
        <v>102.5</v>
      </c>
    </row>
    <row r="9682" customFormat="false" ht="13.8" hidden="true" customHeight="false" outlineLevel="0" collapsed="false">
      <c r="A9682" s="0" t="s">
        <v>314</v>
      </c>
      <c r="B9682" s="0" t="n">
        <v>35</v>
      </c>
      <c r="C9682" s="0" t="n">
        <v>2</v>
      </c>
      <c r="D9682" s="0" t="n">
        <v>0</v>
      </c>
      <c r="E9682" s="0" t="n">
        <v>102.5</v>
      </c>
    </row>
    <row r="9683" customFormat="false" ht="13.8" hidden="true" customHeight="false" outlineLevel="0" collapsed="false">
      <c r="A9683" s="0" t="s">
        <v>314</v>
      </c>
      <c r="B9683" s="0" t="n">
        <v>35</v>
      </c>
      <c r="C9683" s="0" t="n">
        <v>2.05</v>
      </c>
      <c r="D9683" s="0" t="n">
        <v>0</v>
      </c>
      <c r="E9683" s="0" t="n">
        <v>102.5</v>
      </c>
    </row>
    <row r="9684" customFormat="false" ht="13.8" hidden="true" customHeight="false" outlineLevel="0" collapsed="false">
      <c r="A9684" s="0" t="s">
        <v>314</v>
      </c>
      <c r="B9684" s="0" t="n">
        <v>35</v>
      </c>
      <c r="C9684" s="0" t="n">
        <v>2.1</v>
      </c>
      <c r="D9684" s="0" t="n">
        <v>0</v>
      </c>
      <c r="E9684" s="0" t="n">
        <v>102.5</v>
      </c>
    </row>
    <row r="9685" customFormat="false" ht="13.8" hidden="true" customHeight="false" outlineLevel="0" collapsed="false">
      <c r="A9685" s="0" t="s">
        <v>314</v>
      </c>
      <c r="B9685" s="0" t="n">
        <v>35</v>
      </c>
      <c r="C9685" s="0" t="n">
        <v>2.15</v>
      </c>
      <c r="D9685" s="0" t="n">
        <v>0</v>
      </c>
      <c r="E9685" s="0" t="n">
        <v>102.5</v>
      </c>
    </row>
    <row r="9686" customFormat="false" ht="13.8" hidden="true" customHeight="false" outlineLevel="0" collapsed="false">
      <c r="A9686" s="0" t="s">
        <v>314</v>
      </c>
      <c r="B9686" s="0" t="n">
        <v>35</v>
      </c>
      <c r="C9686" s="0" t="n">
        <v>2.2</v>
      </c>
      <c r="D9686" s="0" t="n">
        <v>0</v>
      </c>
      <c r="E9686" s="0" t="n">
        <v>102.5</v>
      </c>
    </row>
    <row r="9687" customFormat="false" ht="13.8" hidden="true" customHeight="false" outlineLevel="0" collapsed="false">
      <c r="A9687" s="0" t="s">
        <v>314</v>
      </c>
      <c r="B9687" s="0" t="n">
        <v>35</v>
      </c>
      <c r="C9687" s="0" t="n">
        <v>2.25</v>
      </c>
      <c r="D9687" s="0" t="n">
        <v>0</v>
      </c>
      <c r="E9687" s="0" t="n">
        <v>102.5</v>
      </c>
    </row>
    <row r="9688" customFormat="false" ht="13.8" hidden="true" customHeight="false" outlineLevel="0" collapsed="false">
      <c r="A9688" s="0" t="s">
        <v>314</v>
      </c>
      <c r="B9688" s="0" t="n">
        <v>35</v>
      </c>
      <c r="C9688" s="0" t="n">
        <v>2.3</v>
      </c>
      <c r="D9688" s="0" t="n">
        <v>0</v>
      </c>
      <c r="E9688" s="0" t="n">
        <v>102.5</v>
      </c>
    </row>
    <row r="9689" customFormat="false" ht="13.8" hidden="true" customHeight="false" outlineLevel="0" collapsed="false">
      <c r="A9689" s="0" t="s">
        <v>314</v>
      </c>
      <c r="B9689" s="0" t="n">
        <v>35</v>
      </c>
      <c r="C9689" s="0" t="n">
        <v>2.35</v>
      </c>
      <c r="D9689" s="0" t="n">
        <v>0</v>
      </c>
      <c r="E9689" s="0" t="n">
        <v>102.5</v>
      </c>
    </row>
    <row r="9690" customFormat="false" ht="13.8" hidden="true" customHeight="false" outlineLevel="0" collapsed="false">
      <c r="A9690" s="0" t="s">
        <v>314</v>
      </c>
      <c r="B9690" s="0" t="n">
        <v>35</v>
      </c>
      <c r="C9690" s="0" t="n">
        <v>2.4</v>
      </c>
      <c r="D9690" s="0" t="n">
        <v>0</v>
      </c>
      <c r="E9690" s="0" t="n">
        <v>102.5</v>
      </c>
    </row>
    <row r="9691" customFormat="false" ht="13.8" hidden="true" customHeight="false" outlineLevel="0" collapsed="false">
      <c r="A9691" s="0" t="s">
        <v>314</v>
      </c>
      <c r="B9691" s="0" t="n">
        <v>35</v>
      </c>
      <c r="C9691" s="0" t="n">
        <v>2.45</v>
      </c>
      <c r="D9691" s="0" t="n">
        <v>0</v>
      </c>
      <c r="E9691" s="0" t="n">
        <v>102.5</v>
      </c>
    </row>
    <row r="9692" customFormat="false" ht="13.8" hidden="true" customHeight="false" outlineLevel="0" collapsed="false">
      <c r="A9692" s="0" t="s">
        <v>314</v>
      </c>
      <c r="B9692" s="0" t="n">
        <v>35</v>
      </c>
      <c r="C9692" s="0" t="n">
        <v>2.5</v>
      </c>
      <c r="D9692" s="0" t="n">
        <v>0</v>
      </c>
      <c r="E9692" s="0" t="n">
        <v>102.5</v>
      </c>
    </row>
    <row r="9693" customFormat="false" ht="13.8" hidden="true" customHeight="false" outlineLevel="0" collapsed="false">
      <c r="A9693" s="0" t="s">
        <v>314</v>
      </c>
      <c r="B9693" s="0" t="n">
        <v>35</v>
      </c>
      <c r="C9693" s="0" t="n">
        <v>2.55</v>
      </c>
      <c r="D9693" s="0" t="n">
        <v>0</v>
      </c>
      <c r="E9693" s="0" t="n">
        <v>102.5</v>
      </c>
    </row>
    <row r="9694" customFormat="false" ht="13.8" hidden="true" customHeight="false" outlineLevel="0" collapsed="false">
      <c r="A9694" s="0" t="s">
        <v>314</v>
      </c>
      <c r="B9694" s="0" t="n">
        <v>35</v>
      </c>
      <c r="C9694" s="0" t="n">
        <v>2.6</v>
      </c>
      <c r="D9694" s="0" t="n">
        <v>0</v>
      </c>
      <c r="E9694" s="0" t="n">
        <v>102.5</v>
      </c>
    </row>
    <row r="9695" customFormat="false" ht="13.8" hidden="true" customHeight="false" outlineLevel="0" collapsed="false">
      <c r="A9695" s="0" t="s">
        <v>184</v>
      </c>
      <c r="B9695" s="0" t="n">
        <v>35</v>
      </c>
      <c r="C9695" s="0" t="n">
        <v>1.3</v>
      </c>
      <c r="D9695" s="0" t="n">
        <v>0</v>
      </c>
      <c r="E9695" s="0" t="n">
        <v>102.5</v>
      </c>
    </row>
    <row r="9696" customFormat="false" ht="13.8" hidden="true" customHeight="false" outlineLevel="0" collapsed="false">
      <c r="A9696" s="0" t="s">
        <v>184</v>
      </c>
      <c r="B9696" s="0" t="n">
        <v>35</v>
      </c>
      <c r="C9696" s="0" t="n">
        <v>1.35</v>
      </c>
      <c r="D9696" s="0" t="n">
        <v>0</v>
      </c>
      <c r="E9696" s="0" t="n">
        <v>102.5</v>
      </c>
    </row>
    <row r="9697" customFormat="false" ht="13.8" hidden="true" customHeight="false" outlineLevel="0" collapsed="false">
      <c r="A9697" s="0" t="s">
        <v>184</v>
      </c>
      <c r="B9697" s="0" t="n">
        <v>35</v>
      </c>
      <c r="C9697" s="0" t="n">
        <v>1.4</v>
      </c>
      <c r="D9697" s="0" t="n">
        <v>0</v>
      </c>
      <c r="E9697" s="0" t="n">
        <v>102.5</v>
      </c>
    </row>
    <row r="9698" customFormat="false" ht="13.8" hidden="true" customHeight="false" outlineLevel="0" collapsed="false">
      <c r="A9698" s="0" t="s">
        <v>184</v>
      </c>
      <c r="B9698" s="0" t="n">
        <v>35</v>
      </c>
      <c r="C9698" s="0" t="n">
        <v>1.45</v>
      </c>
      <c r="D9698" s="0" t="n">
        <v>0</v>
      </c>
      <c r="E9698" s="0" t="n">
        <v>102.5</v>
      </c>
    </row>
    <row r="9699" customFormat="false" ht="13.8" hidden="true" customHeight="false" outlineLevel="0" collapsed="false">
      <c r="A9699" s="0" t="s">
        <v>184</v>
      </c>
      <c r="B9699" s="0" t="n">
        <v>35</v>
      </c>
      <c r="C9699" s="0" t="n">
        <v>1.5</v>
      </c>
      <c r="D9699" s="0" t="n">
        <v>1.1025</v>
      </c>
      <c r="E9699" s="0" t="n">
        <v>102.5</v>
      </c>
    </row>
    <row r="9700" customFormat="false" ht="13.8" hidden="true" customHeight="false" outlineLevel="0" collapsed="false">
      <c r="A9700" s="0" t="s">
        <v>184</v>
      </c>
      <c r="B9700" s="0" t="n">
        <v>35</v>
      </c>
      <c r="C9700" s="0" t="n">
        <v>1.55</v>
      </c>
      <c r="D9700" s="0" t="n">
        <v>1.13925</v>
      </c>
      <c r="E9700" s="0" t="n">
        <v>102.5</v>
      </c>
    </row>
    <row r="9701" customFormat="false" ht="13.8" hidden="true" customHeight="false" outlineLevel="0" collapsed="false">
      <c r="A9701" s="0" t="s">
        <v>184</v>
      </c>
      <c r="B9701" s="0" t="n">
        <v>35</v>
      </c>
      <c r="C9701" s="0" t="n">
        <v>1.6</v>
      </c>
      <c r="D9701" s="0" t="n">
        <v>1.176</v>
      </c>
      <c r="E9701" s="0" t="n">
        <v>102.5</v>
      </c>
    </row>
    <row r="9702" customFormat="false" ht="13.8" hidden="true" customHeight="false" outlineLevel="0" collapsed="false">
      <c r="A9702" s="0" t="s">
        <v>184</v>
      </c>
      <c r="B9702" s="0" t="n">
        <v>35</v>
      </c>
      <c r="C9702" s="0" t="n">
        <v>1.65</v>
      </c>
      <c r="D9702" s="0" t="n">
        <v>1.21275</v>
      </c>
      <c r="E9702" s="0" t="n">
        <v>102.5</v>
      </c>
    </row>
    <row r="9703" customFormat="false" ht="13.8" hidden="true" customHeight="false" outlineLevel="0" collapsed="false">
      <c r="A9703" s="0" t="s">
        <v>184</v>
      </c>
      <c r="B9703" s="0" t="n">
        <v>35</v>
      </c>
      <c r="C9703" s="0" t="n">
        <v>1.7</v>
      </c>
      <c r="D9703" s="0" t="n">
        <v>1.2495</v>
      </c>
      <c r="E9703" s="0" t="n">
        <v>102.5</v>
      </c>
    </row>
    <row r="9704" customFormat="false" ht="13.8" hidden="true" customHeight="false" outlineLevel="0" collapsed="false">
      <c r="A9704" s="0" t="s">
        <v>184</v>
      </c>
      <c r="B9704" s="0" t="n">
        <v>35</v>
      </c>
      <c r="C9704" s="0" t="n">
        <v>1.75</v>
      </c>
      <c r="D9704" s="0" t="n">
        <v>1.28625</v>
      </c>
      <c r="E9704" s="0" t="n">
        <v>102.5</v>
      </c>
    </row>
    <row r="9705" customFormat="false" ht="13.8" hidden="true" customHeight="false" outlineLevel="0" collapsed="false">
      <c r="A9705" s="0" t="s">
        <v>184</v>
      </c>
      <c r="B9705" s="0" t="n">
        <v>35</v>
      </c>
      <c r="C9705" s="0" t="n">
        <v>1.8</v>
      </c>
      <c r="D9705" s="0" t="n">
        <v>0</v>
      </c>
      <c r="E9705" s="0" t="n">
        <v>102.5</v>
      </c>
    </row>
    <row r="9706" customFormat="false" ht="13.8" hidden="true" customHeight="false" outlineLevel="0" collapsed="false">
      <c r="A9706" s="0" t="s">
        <v>184</v>
      </c>
      <c r="B9706" s="0" t="n">
        <v>35</v>
      </c>
      <c r="C9706" s="0" t="n">
        <v>1.85</v>
      </c>
      <c r="D9706" s="0" t="n">
        <v>0</v>
      </c>
      <c r="E9706" s="0" t="n">
        <v>102.5</v>
      </c>
    </row>
    <row r="9707" customFormat="false" ht="13.8" hidden="true" customHeight="false" outlineLevel="0" collapsed="false">
      <c r="A9707" s="0" t="s">
        <v>184</v>
      </c>
      <c r="B9707" s="0" t="n">
        <v>35</v>
      </c>
      <c r="C9707" s="0" t="n">
        <v>1.9</v>
      </c>
      <c r="D9707" s="0" t="n">
        <v>0</v>
      </c>
      <c r="E9707" s="0" t="n">
        <v>102.5</v>
      </c>
    </row>
    <row r="9708" customFormat="false" ht="13.8" hidden="true" customHeight="false" outlineLevel="0" collapsed="false">
      <c r="A9708" s="0" t="s">
        <v>184</v>
      </c>
      <c r="B9708" s="0" t="n">
        <v>35</v>
      </c>
      <c r="C9708" s="0" t="n">
        <v>1.95</v>
      </c>
      <c r="D9708" s="0" t="n">
        <v>0</v>
      </c>
      <c r="E9708" s="0" t="n">
        <v>102.5</v>
      </c>
    </row>
    <row r="9709" customFormat="false" ht="13.8" hidden="true" customHeight="false" outlineLevel="0" collapsed="false">
      <c r="A9709" s="0" t="s">
        <v>184</v>
      </c>
      <c r="B9709" s="0" t="n">
        <v>35</v>
      </c>
      <c r="C9709" s="0" t="n">
        <v>2</v>
      </c>
      <c r="D9709" s="0" t="n">
        <v>0</v>
      </c>
      <c r="E9709" s="0" t="n">
        <v>102.5</v>
      </c>
    </row>
    <row r="9710" customFormat="false" ht="13.8" hidden="true" customHeight="false" outlineLevel="0" collapsed="false">
      <c r="A9710" s="0" t="s">
        <v>184</v>
      </c>
      <c r="B9710" s="0" t="n">
        <v>35</v>
      </c>
      <c r="C9710" s="0" t="n">
        <v>2.05</v>
      </c>
      <c r="D9710" s="0" t="n">
        <v>0</v>
      </c>
      <c r="E9710" s="0" t="n">
        <v>102.5</v>
      </c>
    </row>
    <row r="9711" customFormat="false" ht="13.8" hidden="true" customHeight="false" outlineLevel="0" collapsed="false">
      <c r="A9711" s="0" t="s">
        <v>184</v>
      </c>
      <c r="B9711" s="0" t="n">
        <v>35</v>
      </c>
      <c r="C9711" s="0" t="n">
        <v>2.1</v>
      </c>
      <c r="D9711" s="0" t="n">
        <v>0</v>
      </c>
      <c r="E9711" s="0" t="n">
        <v>102.5</v>
      </c>
    </row>
    <row r="9712" customFormat="false" ht="13.8" hidden="true" customHeight="false" outlineLevel="0" collapsed="false">
      <c r="A9712" s="0" t="s">
        <v>184</v>
      </c>
      <c r="B9712" s="0" t="n">
        <v>35</v>
      </c>
      <c r="C9712" s="0" t="n">
        <v>2.15</v>
      </c>
      <c r="D9712" s="0" t="n">
        <v>0</v>
      </c>
      <c r="E9712" s="0" t="n">
        <v>102.5</v>
      </c>
    </row>
    <row r="9713" customFormat="false" ht="13.8" hidden="true" customHeight="false" outlineLevel="0" collapsed="false">
      <c r="A9713" s="0" t="s">
        <v>184</v>
      </c>
      <c r="B9713" s="0" t="n">
        <v>35</v>
      </c>
      <c r="C9713" s="0" t="n">
        <v>2.2</v>
      </c>
      <c r="D9713" s="0" t="n">
        <v>0</v>
      </c>
      <c r="E9713" s="0" t="n">
        <v>102.5</v>
      </c>
    </row>
    <row r="9714" customFormat="false" ht="13.8" hidden="true" customHeight="false" outlineLevel="0" collapsed="false">
      <c r="A9714" s="0" t="s">
        <v>184</v>
      </c>
      <c r="B9714" s="0" t="n">
        <v>35</v>
      </c>
      <c r="C9714" s="0" t="n">
        <v>2.25</v>
      </c>
      <c r="D9714" s="0" t="n">
        <v>0</v>
      </c>
      <c r="E9714" s="0" t="n">
        <v>102.5</v>
      </c>
    </row>
    <row r="9715" customFormat="false" ht="13.8" hidden="true" customHeight="false" outlineLevel="0" collapsed="false">
      <c r="A9715" s="0" t="s">
        <v>184</v>
      </c>
      <c r="B9715" s="0" t="n">
        <v>35</v>
      </c>
      <c r="C9715" s="0" t="n">
        <v>2.3</v>
      </c>
      <c r="D9715" s="0" t="n">
        <v>0</v>
      </c>
      <c r="E9715" s="0" t="n">
        <v>102.5</v>
      </c>
    </row>
    <row r="9716" customFormat="false" ht="13.8" hidden="true" customHeight="false" outlineLevel="0" collapsed="false">
      <c r="A9716" s="0" t="s">
        <v>184</v>
      </c>
      <c r="B9716" s="0" t="n">
        <v>35</v>
      </c>
      <c r="C9716" s="0" t="n">
        <v>2.35</v>
      </c>
      <c r="D9716" s="0" t="n">
        <v>0</v>
      </c>
      <c r="E9716" s="0" t="n">
        <v>102.5</v>
      </c>
    </row>
    <row r="9717" customFormat="false" ht="13.8" hidden="true" customHeight="false" outlineLevel="0" collapsed="false">
      <c r="A9717" s="0" t="s">
        <v>184</v>
      </c>
      <c r="B9717" s="0" t="n">
        <v>35</v>
      </c>
      <c r="C9717" s="0" t="n">
        <v>2.4</v>
      </c>
      <c r="D9717" s="0" t="n">
        <v>0</v>
      </c>
      <c r="E9717" s="0" t="n">
        <v>102.5</v>
      </c>
    </row>
    <row r="9718" customFormat="false" ht="13.8" hidden="true" customHeight="false" outlineLevel="0" collapsed="false">
      <c r="A9718" s="0" t="s">
        <v>184</v>
      </c>
      <c r="B9718" s="0" t="n">
        <v>35</v>
      </c>
      <c r="C9718" s="0" t="n">
        <v>2.45</v>
      </c>
      <c r="D9718" s="0" t="n">
        <v>0</v>
      </c>
      <c r="E9718" s="0" t="n">
        <v>102.5</v>
      </c>
    </row>
    <row r="9719" customFormat="false" ht="13.8" hidden="true" customHeight="false" outlineLevel="0" collapsed="false">
      <c r="A9719" s="0" t="s">
        <v>184</v>
      </c>
      <c r="B9719" s="0" t="n">
        <v>35</v>
      </c>
      <c r="C9719" s="0" t="n">
        <v>2.5</v>
      </c>
      <c r="D9719" s="0" t="n">
        <v>0</v>
      </c>
      <c r="E9719" s="0" t="n">
        <v>102.5</v>
      </c>
    </row>
    <row r="9720" customFormat="false" ht="13.8" hidden="true" customHeight="false" outlineLevel="0" collapsed="false">
      <c r="A9720" s="0" t="s">
        <v>184</v>
      </c>
      <c r="B9720" s="0" t="n">
        <v>35</v>
      </c>
      <c r="C9720" s="0" t="n">
        <v>2.55</v>
      </c>
      <c r="D9720" s="0" t="n">
        <v>0</v>
      </c>
      <c r="E9720" s="0" t="n">
        <v>102.5</v>
      </c>
    </row>
    <row r="9721" customFormat="false" ht="13.8" hidden="true" customHeight="false" outlineLevel="0" collapsed="false">
      <c r="A9721" s="0" t="s">
        <v>184</v>
      </c>
      <c r="B9721" s="0" t="n">
        <v>35</v>
      </c>
      <c r="C9721" s="0" t="n">
        <v>2.6</v>
      </c>
      <c r="D9721" s="0" t="n">
        <v>0</v>
      </c>
      <c r="E9721" s="0" t="n">
        <v>102.5</v>
      </c>
    </row>
    <row r="9722" customFormat="false" ht="13.8" hidden="true" customHeight="false" outlineLevel="0" collapsed="false">
      <c r="A9722" s="0" t="s">
        <v>315</v>
      </c>
      <c r="B9722" s="0" t="n">
        <v>35</v>
      </c>
      <c r="C9722" s="0" t="n">
        <v>1.3</v>
      </c>
      <c r="D9722" s="0" t="n">
        <v>0</v>
      </c>
      <c r="E9722" s="0" t="n">
        <v>105</v>
      </c>
    </row>
    <row r="9723" customFormat="false" ht="13.8" hidden="true" customHeight="false" outlineLevel="0" collapsed="false">
      <c r="A9723" s="0" t="s">
        <v>315</v>
      </c>
      <c r="B9723" s="0" t="n">
        <v>35</v>
      </c>
      <c r="C9723" s="0" t="n">
        <v>1.35</v>
      </c>
      <c r="D9723" s="0" t="n">
        <v>0</v>
      </c>
      <c r="E9723" s="0" t="n">
        <v>105</v>
      </c>
    </row>
    <row r="9724" customFormat="false" ht="13.8" hidden="true" customHeight="false" outlineLevel="0" collapsed="false">
      <c r="A9724" s="0" t="s">
        <v>315</v>
      </c>
      <c r="B9724" s="0" t="n">
        <v>35</v>
      </c>
      <c r="C9724" s="0" t="n">
        <v>1.4</v>
      </c>
      <c r="D9724" s="0" t="n">
        <v>0</v>
      </c>
      <c r="E9724" s="0" t="n">
        <v>105</v>
      </c>
    </row>
    <row r="9725" customFormat="false" ht="13.8" hidden="true" customHeight="false" outlineLevel="0" collapsed="false">
      <c r="A9725" s="0" t="s">
        <v>315</v>
      </c>
      <c r="B9725" s="0" t="n">
        <v>35</v>
      </c>
      <c r="C9725" s="0" t="n">
        <v>1.45</v>
      </c>
      <c r="D9725" s="0" t="n">
        <v>0</v>
      </c>
      <c r="E9725" s="0" t="n">
        <v>105</v>
      </c>
    </row>
    <row r="9726" customFormat="false" ht="13.8" hidden="true" customHeight="false" outlineLevel="0" collapsed="false">
      <c r="A9726" s="0" t="s">
        <v>315</v>
      </c>
      <c r="B9726" s="0" t="n">
        <v>35</v>
      </c>
      <c r="C9726" s="0" t="n">
        <v>1.5</v>
      </c>
      <c r="D9726" s="0" t="n">
        <v>0</v>
      </c>
      <c r="E9726" s="0" t="n">
        <v>105</v>
      </c>
    </row>
    <row r="9727" customFormat="false" ht="13.8" hidden="true" customHeight="false" outlineLevel="0" collapsed="false">
      <c r="A9727" s="0" t="s">
        <v>315</v>
      </c>
      <c r="B9727" s="0" t="n">
        <v>35</v>
      </c>
      <c r="C9727" s="0" t="n">
        <v>1.55</v>
      </c>
      <c r="D9727" s="0" t="n">
        <v>0</v>
      </c>
      <c r="E9727" s="0" t="n">
        <v>105</v>
      </c>
    </row>
    <row r="9728" customFormat="false" ht="13.8" hidden="true" customHeight="false" outlineLevel="0" collapsed="false">
      <c r="A9728" s="0" t="s">
        <v>315</v>
      </c>
      <c r="B9728" s="0" t="n">
        <v>35</v>
      </c>
      <c r="C9728" s="0" t="n">
        <v>1.6</v>
      </c>
      <c r="D9728" s="0" t="n">
        <v>0</v>
      </c>
      <c r="E9728" s="0" t="n">
        <v>105</v>
      </c>
    </row>
    <row r="9729" customFormat="false" ht="13.8" hidden="true" customHeight="false" outlineLevel="0" collapsed="false">
      <c r="A9729" s="0" t="s">
        <v>315</v>
      </c>
      <c r="B9729" s="0" t="n">
        <v>35</v>
      </c>
      <c r="C9729" s="0" t="n">
        <v>1.65</v>
      </c>
      <c r="D9729" s="0" t="n">
        <v>0</v>
      </c>
      <c r="E9729" s="0" t="n">
        <v>105</v>
      </c>
    </row>
    <row r="9730" customFormat="false" ht="13.8" hidden="true" customHeight="false" outlineLevel="0" collapsed="false">
      <c r="A9730" s="0" t="s">
        <v>315</v>
      </c>
      <c r="B9730" s="0" t="n">
        <v>35</v>
      </c>
      <c r="C9730" s="0" t="n">
        <v>1.7</v>
      </c>
      <c r="D9730" s="0" t="n">
        <v>0</v>
      </c>
      <c r="E9730" s="0" t="n">
        <v>105</v>
      </c>
    </row>
    <row r="9731" customFormat="false" ht="13.8" hidden="true" customHeight="false" outlineLevel="0" collapsed="false">
      <c r="A9731" s="0" t="s">
        <v>315</v>
      </c>
      <c r="B9731" s="0" t="n">
        <v>35</v>
      </c>
      <c r="C9731" s="0" t="n">
        <v>1.75</v>
      </c>
      <c r="D9731" s="0" t="n">
        <v>1.28625</v>
      </c>
      <c r="E9731" s="0" t="n">
        <v>105</v>
      </c>
    </row>
    <row r="9732" customFormat="false" ht="13.8" hidden="true" customHeight="false" outlineLevel="0" collapsed="false">
      <c r="A9732" s="0" t="s">
        <v>315</v>
      </c>
      <c r="B9732" s="0" t="n">
        <v>35</v>
      </c>
      <c r="C9732" s="0" t="n">
        <v>1.8</v>
      </c>
      <c r="D9732" s="0" t="n">
        <v>1.323</v>
      </c>
      <c r="E9732" s="0" t="n">
        <v>105</v>
      </c>
    </row>
    <row r="9733" customFormat="false" ht="13.8" hidden="true" customHeight="false" outlineLevel="0" collapsed="false">
      <c r="A9733" s="0" t="s">
        <v>315</v>
      </c>
      <c r="B9733" s="0" t="n">
        <v>35</v>
      </c>
      <c r="C9733" s="0" t="n">
        <v>1.85</v>
      </c>
      <c r="D9733" s="0" t="n">
        <v>1.35975</v>
      </c>
      <c r="E9733" s="0" t="n">
        <v>105</v>
      </c>
    </row>
    <row r="9734" customFormat="false" ht="13.8" hidden="true" customHeight="false" outlineLevel="0" collapsed="false">
      <c r="A9734" s="0" t="s">
        <v>315</v>
      </c>
      <c r="B9734" s="0" t="n">
        <v>35</v>
      </c>
      <c r="C9734" s="0" t="n">
        <v>1.9</v>
      </c>
      <c r="D9734" s="0" t="n">
        <v>0</v>
      </c>
      <c r="E9734" s="0" t="n">
        <v>105</v>
      </c>
    </row>
    <row r="9735" customFormat="false" ht="13.8" hidden="true" customHeight="false" outlineLevel="0" collapsed="false">
      <c r="A9735" s="0" t="s">
        <v>315</v>
      </c>
      <c r="B9735" s="0" t="n">
        <v>35</v>
      </c>
      <c r="C9735" s="0" t="n">
        <v>1.95</v>
      </c>
      <c r="D9735" s="0" t="n">
        <v>0</v>
      </c>
      <c r="E9735" s="0" t="n">
        <v>105</v>
      </c>
    </row>
    <row r="9736" customFormat="false" ht="13.8" hidden="true" customHeight="false" outlineLevel="0" collapsed="false">
      <c r="A9736" s="0" t="s">
        <v>315</v>
      </c>
      <c r="B9736" s="0" t="n">
        <v>35</v>
      </c>
      <c r="C9736" s="0" t="n">
        <v>2</v>
      </c>
      <c r="D9736" s="0" t="n">
        <v>0</v>
      </c>
      <c r="E9736" s="0" t="n">
        <v>105</v>
      </c>
    </row>
    <row r="9737" customFormat="false" ht="13.8" hidden="true" customHeight="false" outlineLevel="0" collapsed="false">
      <c r="A9737" s="0" t="s">
        <v>315</v>
      </c>
      <c r="B9737" s="0" t="n">
        <v>35</v>
      </c>
      <c r="C9737" s="0" t="n">
        <v>2.05</v>
      </c>
      <c r="D9737" s="0" t="n">
        <v>0</v>
      </c>
      <c r="E9737" s="0" t="n">
        <v>105</v>
      </c>
    </row>
    <row r="9738" customFormat="false" ht="13.8" hidden="true" customHeight="false" outlineLevel="0" collapsed="false">
      <c r="A9738" s="0" t="s">
        <v>315</v>
      </c>
      <c r="B9738" s="0" t="n">
        <v>35</v>
      </c>
      <c r="C9738" s="0" t="n">
        <v>2.1</v>
      </c>
      <c r="D9738" s="0" t="n">
        <v>0</v>
      </c>
      <c r="E9738" s="0" t="n">
        <v>105</v>
      </c>
    </row>
    <row r="9739" customFormat="false" ht="13.8" hidden="true" customHeight="false" outlineLevel="0" collapsed="false">
      <c r="A9739" s="0" t="s">
        <v>315</v>
      </c>
      <c r="B9739" s="0" t="n">
        <v>35</v>
      </c>
      <c r="C9739" s="0" t="n">
        <v>2.15</v>
      </c>
      <c r="D9739" s="0" t="n">
        <v>0</v>
      </c>
      <c r="E9739" s="0" t="n">
        <v>105</v>
      </c>
    </row>
    <row r="9740" customFormat="false" ht="13.8" hidden="true" customHeight="false" outlineLevel="0" collapsed="false">
      <c r="A9740" s="0" t="s">
        <v>315</v>
      </c>
      <c r="B9740" s="0" t="n">
        <v>35</v>
      </c>
      <c r="C9740" s="0" t="n">
        <v>2.2</v>
      </c>
      <c r="D9740" s="0" t="n">
        <v>0</v>
      </c>
      <c r="E9740" s="0" t="n">
        <v>105</v>
      </c>
    </row>
    <row r="9741" customFormat="false" ht="13.8" hidden="true" customHeight="false" outlineLevel="0" collapsed="false">
      <c r="A9741" s="0" t="s">
        <v>315</v>
      </c>
      <c r="B9741" s="0" t="n">
        <v>35</v>
      </c>
      <c r="C9741" s="0" t="n">
        <v>2.25</v>
      </c>
      <c r="D9741" s="0" t="n">
        <v>0</v>
      </c>
      <c r="E9741" s="0" t="n">
        <v>105</v>
      </c>
    </row>
    <row r="9742" customFormat="false" ht="13.8" hidden="true" customHeight="false" outlineLevel="0" collapsed="false">
      <c r="A9742" s="0" t="s">
        <v>315</v>
      </c>
      <c r="B9742" s="0" t="n">
        <v>35</v>
      </c>
      <c r="C9742" s="0" t="n">
        <v>2.3</v>
      </c>
      <c r="D9742" s="0" t="n">
        <v>0</v>
      </c>
      <c r="E9742" s="0" t="n">
        <v>105</v>
      </c>
    </row>
    <row r="9743" customFormat="false" ht="13.8" hidden="true" customHeight="false" outlineLevel="0" collapsed="false">
      <c r="A9743" s="0" t="s">
        <v>315</v>
      </c>
      <c r="B9743" s="0" t="n">
        <v>35</v>
      </c>
      <c r="C9743" s="0" t="n">
        <v>2.35</v>
      </c>
      <c r="D9743" s="0" t="n">
        <v>0</v>
      </c>
      <c r="E9743" s="0" t="n">
        <v>105</v>
      </c>
    </row>
    <row r="9744" customFormat="false" ht="13.8" hidden="true" customHeight="false" outlineLevel="0" collapsed="false">
      <c r="A9744" s="0" t="s">
        <v>315</v>
      </c>
      <c r="B9744" s="0" t="n">
        <v>35</v>
      </c>
      <c r="C9744" s="0" t="n">
        <v>2.4</v>
      </c>
      <c r="D9744" s="0" t="n">
        <v>0</v>
      </c>
      <c r="E9744" s="0" t="n">
        <v>105</v>
      </c>
    </row>
    <row r="9745" customFormat="false" ht="13.8" hidden="true" customHeight="false" outlineLevel="0" collapsed="false">
      <c r="A9745" s="0" t="s">
        <v>315</v>
      </c>
      <c r="B9745" s="0" t="n">
        <v>35</v>
      </c>
      <c r="C9745" s="0" t="n">
        <v>2.45</v>
      </c>
      <c r="D9745" s="0" t="n">
        <v>0</v>
      </c>
      <c r="E9745" s="0" t="n">
        <v>105</v>
      </c>
    </row>
    <row r="9746" customFormat="false" ht="13.8" hidden="true" customHeight="false" outlineLevel="0" collapsed="false">
      <c r="A9746" s="0" t="s">
        <v>315</v>
      </c>
      <c r="B9746" s="0" t="n">
        <v>35</v>
      </c>
      <c r="C9746" s="0" t="n">
        <v>2.5</v>
      </c>
      <c r="D9746" s="0" t="n">
        <v>0</v>
      </c>
      <c r="E9746" s="0" t="n">
        <v>105</v>
      </c>
    </row>
    <row r="9747" customFormat="false" ht="13.8" hidden="true" customHeight="false" outlineLevel="0" collapsed="false">
      <c r="A9747" s="0" t="s">
        <v>315</v>
      </c>
      <c r="B9747" s="0" t="n">
        <v>35</v>
      </c>
      <c r="C9747" s="0" t="n">
        <v>2.55</v>
      </c>
      <c r="D9747" s="0" t="n">
        <v>0</v>
      </c>
      <c r="E9747" s="0" t="n">
        <v>105</v>
      </c>
    </row>
    <row r="9748" customFormat="false" ht="13.8" hidden="true" customHeight="false" outlineLevel="0" collapsed="false">
      <c r="A9748" s="0" t="s">
        <v>315</v>
      </c>
      <c r="B9748" s="0" t="n">
        <v>35</v>
      </c>
      <c r="C9748" s="0" t="n">
        <v>2.6</v>
      </c>
      <c r="D9748" s="0" t="n">
        <v>0</v>
      </c>
      <c r="E9748" s="0" t="n">
        <v>105</v>
      </c>
    </row>
    <row r="9749" customFormat="false" ht="13.8" hidden="true" customHeight="false" outlineLevel="0" collapsed="false">
      <c r="A9749" s="0" t="s">
        <v>185</v>
      </c>
      <c r="B9749" s="0" t="n">
        <v>36</v>
      </c>
      <c r="C9749" s="0" t="n">
        <v>1.3</v>
      </c>
      <c r="D9749" s="0" t="n">
        <v>0</v>
      </c>
      <c r="E9749" s="0" t="n">
        <v>105</v>
      </c>
    </row>
    <row r="9750" customFormat="false" ht="13.8" hidden="true" customHeight="false" outlineLevel="0" collapsed="false">
      <c r="A9750" s="0" t="s">
        <v>185</v>
      </c>
      <c r="B9750" s="0" t="n">
        <v>36</v>
      </c>
      <c r="C9750" s="0" t="n">
        <v>1.35</v>
      </c>
      <c r="D9750" s="0" t="n">
        <v>0</v>
      </c>
      <c r="E9750" s="0" t="n">
        <v>105</v>
      </c>
    </row>
    <row r="9751" customFormat="false" ht="13.8" hidden="true" customHeight="false" outlineLevel="0" collapsed="false">
      <c r="A9751" s="0" t="s">
        <v>185</v>
      </c>
      <c r="B9751" s="0" t="n">
        <v>36</v>
      </c>
      <c r="C9751" s="0" t="n">
        <v>1.4</v>
      </c>
      <c r="D9751" s="0" t="n">
        <v>0</v>
      </c>
      <c r="E9751" s="0" t="n">
        <v>105</v>
      </c>
    </row>
    <row r="9752" customFormat="false" ht="13.8" hidden="true" customHeight="false" outlineLevel="0" collapsed="false">
      <c r="A9752" s="0" t="s">
        <v>185</v>
      </c>
      <c r="B9752" s="0" t="n">
        <v>36</v>
      </c>
      <c r="C9752" s="0" t="n">
        <v>1.45</v>
      </c>
      <c r="D9752" s="0" t="n">
        <v>0</v>
      </c>
      <c r="E9752" s="0" t="n">
        <v>105</v>
      </c>
    </row>
    <row r="9753" customFormat="false" ht="13.8" hidden="true" customHeight="false" outlineLevel="0" collapsed="false">
      <c r="A9753" s="0" t="s">
        <v>185</v>
      </c>
      <c r="B9753" s="0" t="n">
        <v>36</v>
      </c>
      <c r="C9753" s="0" t="n">
        <v>1.5</v>
      </c>
      <c r="D9753" s="0" t="n">
        <v>0</v>
      </c>
      <c r="E9753" s="0" t="n">
        <v>105</v>
      </c>
    </row>
    <row r="9754" customFormat="false" ht="13.8" hidden="true" customHeight="false" outlineLevel="0" collapsed="false">
      <c r="A9754" s="0" t="s">
        <v>185</v>
      </c>
      <c r="B9754" s="0" t="n">
        <v>36</v>
      </c>
      <c r="C9754" s="0" t="n">
        <v>1.55</v>
      </c>
      <c r="D9754" s="0" t="n">
        <v>0</v>
      </c>
      <c r="E9754" s="0" t="n">
        <v>105</v>
      </c>
    </row>
    <row r="9755" customFormat="false" ht="13.8" hidden="true" customHeight="false" outlineLevel="0" collapsed="false">
      <c r="A9755" s="0" t="s">
        <v>185</v>
      </c>
      <c r="B9755" s="0" t="n">
        <v>36</v>
      </c>
      <c r="C9755" s="0" t="n">
        <v>1.6</v>
      </c>
      <c r="D9755" s="0" t="n">
        <v>0</v>
      </c>
      <c r="E9755" s="0" t="n">
        <v>105</v>
      </c>
    </row>
    <row r="9756" customFormat="false" ht="13.8" hidden="true" customHeight="false" outlineLevel="0" collapsed="false">
      <c r="A9756" s="0" t="s">
        <v>185</v>
      </c>
      <c r="B9756" s="0" t="n">
        <v>36</v>
      </c>
      <c r="C9756" s="0" t="n">
        <v>1.65</v>
      </c>
      <c r="D9756" s="0" t="n">
        <v>0</v>
      </c>
      <c r="E9756" s="0" t="n">
        <v>105</v>
      </c>
    </row>
    <row r="9757" customFormat="false" ht="13.8" hidden="true" customHeight="false" outlineLevel="0" collapsed="false">
      <c r="A9757" s="0" t="s">
        <v>185</v>
      </c>
      <c r="B9757" s="0" t="n">
        <v>36</v>
      </c>
      <c r="C9757" s="0" t="n">
        <v>1.7</v>
      </c>
      <c r="D9757" s="0" t="n">
        <v>0</v>
      </c>
      <c r="E9757" s="0" t="n">
        <v>105</v>
      </c>
    </row>
    <row r="9758" customFormat="false" ht="13.8" hidden="true" customHeight="false" outlineLevel="0" collapsed="false">
      <c r="A9758" s="0" t="s">
        <v>185</v>
      </c>
      <c r="B9758" s="0" t="n">
        <v>36</v>
      </c>
      <c r="C9758" s="0" t="n">
        <v>1.75</v>
      </c>
      <c r="D9758" s="0" t="n">
        <v>1.28625</v>
      </c>
      <c r="E9758" s="0" t="n">
        <v>105</v>
      </c>
    </row>
    <row r="9759" customFormat="false" ht="13.8" hidden="true" customHeight="false" outlineLevel="0" collapsed="false">
      <c r="A9759" s="0" t="s">
        <v>185</v>
      </c>
      <c r="B9759" s="0" t="n">
        <v>36</v>
      </c>
      <c r="C9759" s="0" t="n">
        <v>1.8</v>
      </c>
      <c r="D9759" s="0" t="n">
        <v>1.323</v>
      </c>
      <c r="E9759" s="0" t="n">
        <v>105</v>
      </c>
    </row>
    <row r="9760" customFormat="false" ht="13.8" hidden="true" customHeight="false" outlineLevel="0" collapsed="false">
      <c r="A9760" s="0" t="s">
        <v>185</v>
      </c>
      <c r="B9760" s="0" t="n">
        <v>36</v>
      </c>
      <c r="C9760" s="0" t="n">
        <v>1.85</v>
      </c>
      <c r="D9760" s="0" t="n">
        <v>1.35975</v>
      </c>
      <c r="E9760" s="0" t="n">
        <v>105</v>
      </c>
    </row>
    <row r="9761" customFormat="false" ht="13.8" hidden="true" customHeight="false" outlineLevel="0" collapsed="false">
      <c r="A9761" s="0" t="s">
        <v>185</v>
      </c>
      <c r="B9761" s="0" t="n">
        <v>36</v>
      </c>
      <c r="C9761" s="0" t="n">
        <v>1.9</v>
      </c>
      <c r="D9761" s="0" t="n">
        <v>0</v>
      </c>
      <c r="E9761" s="0" t="n">
        <v>105</v>
      </c>
    </row>
    <row r="9762" customFormat="false" ht="13.8" hidden="true" customHeight="false" outlineLevel="0" collapsed="false">
      <c r="A9762" s="0" t="s">
        <v>185</v>
      </c>
      <c r="B9762" s="0" t="n">
        <v>36</v>
      </c>
      <c r="C9762" s="0" t="n">
        <v>1.95</v>
      </c>
      <c r="D9762" s="0" t="n">
        <v>0</v>
      </c>
      <c r="E9762" s="0" t="n">
        <v>105</v>
      </c>
    </row>
    <row r="9763" customFormat="false" ht="13.8" hidden="true" customHeight="false" outlineLevel="0" collapsed="false">
      <c r="A9763" s="0" t="s">
        <v>185</v>
      </c>
      <c r="B9763" s="0" t="n">
        <v>36</v>
      </c>
      <c r="C9763" s="0" t="n">
        <v>2</v>
      </c>
      <c r="D9763" s="0" t="n">
        <v>0</v>
      </c>
      <c r="E9763" s="0" t="n">
        <v>105</v>
      </c>
    </row>
    <row r="9764" customFormat="false" ht="13.8" hidden="true" customHeight="false" outlineLevel="0" collapsed="false">
      <c r="A9764" s="0" t="s">
        <v>185</v>
      </c>
      <c r="B9764" s="0" t="n">
        <v>36</v>
      </c>
      <c r="C9764" s="0" t="n">
        <v>2.05</v>
      </c>
      <c r="D9764" s="0" t="n">
        <v>0</v>
      </c>
      <c r="E9764" s="0" t="n">
        <v>105</v>
      </c>
    </row>
    <row r="9765" customFormat="false" ht="13.8" hidden="true" customHeight="false" outlineLevel="0" collapsed="false">
      <c r="A9765" s="0" t="s">
        <v>185</v>
      </c>
      <c r="B9765" s="0" t="n">
        <v>36</v>
      </c>
      <c r="C9765" s="0" t="n">
        <v>2.1</v>
      </c>
      <c r="D9765" s="0" t="n">
        <v>0</v>
      </c>
      <c r="E9765" s="0" t="n">
        <v>105</v>
      </c>
    </row>
    <row r="9766" customFormat="false" ht="13.8" hidden="true" customHeight="false" outlineLevel="0" collapsed="false">
      <c r="A9766" s="0" t="s">
        <v>185</v>
      </c>
      <c r="B9766" s="0" t="n">
        <v>36</v>
      </c>
      <c r="C9766" s="0" t="n">
        <v>2.15</v>
      </c>
      <c r="D9766" s="0" t="n">
        <v>0</v>
      </c>
      <c r="E9766" s="0" t="n">
        <v>105</v>
      </c>
    </row>
    <row r="9767" customFormat="false" ht="13.8" hidden="true" customHeight="false" outlineLevel="0" collapsed="false">
      <c r="A9767" s="0" t="s">
        <v>185</v>
      </c>
      <c r="B9767" s="0" t="n">
        <v>36</v>
      </c>
      <c r="C9767" s="0" t="n">
        <v>2.2</v>
      </c>
      <c r="D9767" s="0" t="n">
        <v>0</v>
      </c>
      <c r="E9767" s="0" t="n">
        <v>105</v>
      </c>
    </row>
    <row r="9768" customFormat="false" ht="13.8" hidden="true" customHeight="false" outlineLevel="0" collapsed="false">
      <c r="A9768" s="0" t="s">
        <v>185</v>
      </c>
      <c r="B9768" s="0" t="n">
        <v>36</v>
      </c>
      <c r="C9768" s="0" t="n">
        <v>2.25</v>
      </c>
      <c r="D9768" s="0" t="n">
        <v>0</v>
      </c>
      <c r="E9768" s="0" t="n">
        <v>105</v>
      </c>
    </row>
    <row r="9769" customFormat="false" ht="13.8" hidden="true" customHeight="false" outlineLevel="0" collapsed="false">
      <c r="A9769" s="0" t="s">
        <v>185</v>
      </c>
      <c r="B9769" s="0" t="n">
        <v>36</v>
      </c>
      <c r="C9769" s="0" t="n">
        <v>2.3</v>
      </c>
      <c r="D9769" s="0" t="n">
        <v>0</v>
      </c>
      <c r="E9769" s="0" t="n">
        <v>105</v>
      </c>
    </row>
    <row r="9770" customFormat="false" ht="13.8" hidden="true" customHeight="false" outlineLevel="0" collapsed="false">
      <c r="A9770" s="0" t="s">
        <v>185</v>
      </c>
      <c r="B9770" s="0" t="n">
        <v>36</v>
      </c>
      <c r="C9770" s="0" t="n">
        <v>2.35</v>
      </c>
      <c r="D9770" s="0" t="n">
        <v>0</v>
      </c>
      <c r="E9770" s="0" t="n">
        <v>105</v>
      </c>
    </row>
    <row r="9771" customFormat="false" ht="13.8" hidden="true" customHeight="false" outlineLevel="0" collapsed="false">
      <c r="A9771" s="0" t="s">
        <v>185</v>
      </c>
      <c r="B9771" s="0" t="n">
        <v>36</v>
      </c>
      <c r="C9771" s="0" t="n">
        <v>2.4</v>
      </c>
      <c r="D9771" s="0" t="n">
        <v>0</v>
      </c>
      <c r="E9771" s="0" t="n">
        <v>105</v>
      </c>
    </row>
    <row r="9772" customFormat="false" ht="13.8" hidden="true" customHeight="false" outlineLevel="0" collapsed="false">
      <c r="A9772" s="0" t="s">
        <v>185</v>
      </c>
      <c r="B9772" s="0" t="n">
        <v>36</v>
      </c>
      <c r="C9772" s="0" t="n">
        <v>2.45</v>
      </c>
      <c r="D9772" s="0" t="n">
        <v>0</v>
      </c>
      <c r="E9772" s="0" t="n">
        <v>105</v>
      </c>
    </row>
    <row r="9773" customFormat="false" ht="13.8" hidden="true" customHeight="false" outlineLevel="0" collapsed="false">
      <c r="A9773" s="0" t="s">
        <v>185</v>
      </c>
      <c r="B9773" s="0" t="n">
        <v>36</v>
      </c>
      <c r="C9773" s="0" t="n">
        <v>2.5</v>
      </c>
      <c r="D9773" s="0" t="n">
        <v>0</v>
      </c>
      <c r="E9773" s="0" t="n">
        <v>105</v>
      </c>
    </row>
    <row r="9774" customFormat="false" ht="13.8" hidden="true" customHeight="false" outlineLevel="0" collapsed="false">
      <c r="A9774" s="0" t="s">
        <v>185</v>
      </c>
      <c r="B9774" s="0" t="n">
        <v>36</v>
      </c>
      <c r="C9774" s="0" t="n">
        <v>2.55</v>
      </c>
      <c r="D9774" s="0" t="n">
        <v>0</v>
      </c>
      <c r="E9774" s="0" t="n">
        <v>105</v>
      </c>
    </row>
    <row r="9775" customFormat="false" ht="13.8" hidden="true" customHeight="false" outlineLevel="0" collapsed="false">
      <c r="A9775" s="0" t="s">
        <v>185</v>
      </c>
      <c r="B9775" s="0" t="n">
        <v>36</v>
      </c>
      <c r="C9775" s="0" t="n">
        <v>2.6</v>
      </c>
      <c r="D9775" s="0" t="n">
        <v>0</v>
      </c>
      <c r="E9775" s="0" t="n">
        <v>105</v>
      </c>
    </row>
    <row r="9776" customFormat="false" ht="13.8" hidden="true" customHeight="false" outlineLevel="0" collapsed="false">
      <c r="A9776" s="0" t="s">
        <v>316</v>
      </c>
      <c r="B9776" s="0" t="n">
        <v>35</v>
      </c>
      <c r="C9776" s="0" t="n">
        <v>1.3</v>
      </c>
      <c r="D9776" s="0" t="n">
        <v>0</v>
      </c>
      <c r="E9776" s="0" t="n">
        <v>105</v>
      </c>
    </row>
    <row r="9777" customFormat="false" ht="13.8" hidden="true" customHeight="false" outlineLevel="0" collapsed="false">
      <c r="A9777" s="0" t="s">
        <v>316</v>
      </c>
      <c r="B9777" s="0" t="n">
        <v>35</v>
      </c>
      <c r="C9777" s="0" t="n">
        <v>1.35</v>
      </c>
      <c r="D9777" s="0" t="n">
        <v>0</v>
      </c>
      <c r="E9777" s="0" t="n">
        <v>105</v>
      </c>
    </row>
    <row r="9778" customFormat="false" ht="13.8" hidden="true" customHeight="false" outlineLevel="0" collapsed="false">
      <c r="A9778" s="0" t="s">
        <v>316</v>
      </c>
      <c r="B9778" s="0" t="n">
        <v>35</v>
      </c>
      <c r="C9778" s="0" t="n">
        <v>1.4</v>
      </c>
      <c r="D9778" s="0" t="n">
        <v>0</v>
      </c>
      <c r="E9778" s="0" t="n">
        <v>105</v>
      </c>
    </row>
    <row r="9779" customFormat="false" ht="13.8" hidden="true" customHeight="false" outlineLevel="0" collapsed="false">
      <c r="A9779" s="0" t="s">
        <v>316</v>
      </c>
      <c r="B9779" s="0" t="n">
        <v>35</v>
      </c>
      <c r="C9779" s="0" t="n">
        <v>1.45</v>
      </c>
      <c r="D9779" s="0" t="n">
        <v>0</v>
      </c>
      <c r="E9779" s="0" t="n">
        <v>105</v>
      </c>
    </row>
    <row r="9780" customFormat="false" ht="13.8" hidden="true" customHeight="false" outlineLevel="0" collapsed="false">
      <c r="A9780" s="0" t="s">
        <v>316</v>
      </c>
      <c r="B9780" s="0" t="n">
        <v>35</v>
      </c>
      <c r="C9780" s="0" t="n">
        <v>1.5</v>
      </c>
      <c r="D9780" s="0" t="n">
        <v>0</v>
      </c>
      <c r="E9780" s="0" t="n">
        <v>105</v>
      </c>
    </row>
    <row r="9781" customFormat="false" ht="13.8" hidden="true" customHeight="false" outlineLevel="0" collapsed="false">
      <c r="A9781" s="0" t="s">
        <v>316</v>
      </c>
      <c r="B9781" s="0" t="n">
        <v>35</v>
      </c>
      <c r="C9781" s="0" t="n">
        <v>1.55</v>
      </c>
      <c r="D9781" s="0" t="n">
        <v>0</v>
      </c>
      <c r="E9781" s="0" t="n">
        <v>105</v>
      </c>
    </row>
    <row r="9782" customFormat="false" ht="13.8" hidden="true" customHeight="false" outlineLevel="0" collapsed="false">
      <c r="A9782" s="0" t="s">
        <v>316</v>
      </c>
      <c r="B9782" s="0" t="n">
        <v>35</v>
      </c>
      <c r="C9782" s="0" t="n">
        <v>1.6</v>
      </c>
      <c r="D9782" s="0" t="n">
        <v>0</v>
      </c>
      <c r="E9782" s="0" t="n">
        <v>105</v>
      </c>
    </row>
    <row r="9783" customFormat="false" ht="13.8" hidden="true" customHeight="false" outlineLevel="0" collapsed="false">
      <c r="A9783" s="0" t="s">
        <v>316</v>
      </c>
      <c r="B9783" s="0" t="n">
        <v>35</v>
      </c>
      <c r="C9783" s="0" t="n">
        <v>1.65</v>
      </c>
      <c r="D9783" s="0" t="n">
        <v>1.21275</v>
      </c>
      <c r="E9783" s="0" t="n">
        <v>105</v>
      </c>
    </row>
    <row r="9784" customFormat="false" ht="13.8" hidden="true" customHeight="false" outlineLevel="0" collapsed="false">
      <c r="A9784" s="0" t="s">
        <v>316</v>
      </c>
      <c r="B9784" s="0" t="n">
        <v>35</v>
      </c>
      <c r="C9784" s="0" t="n">
        <v>1.7</v>
      </c>
      <c r="D9784" s="0" t="n">
        <v>1.2495</v>
      </c>
      <c r="E9784" s="0" t="n">
        <v>105</v>
      </c>
    </row>
    <row r="9785" customFormat="false" ht="13.8" hidden="true" customHeight="false" outlineLevel="0" collapsed="false">
      <c r="A9785" s="0" t="s">
        <v>316</v>
      </c>
      <c r="B9785" s="0" t="n">
        <v>35</v>
      </c>
      <c r="C9785" s="0" t="n">
        <v>1.75</v>
      </c>
      <c r="D9785" s="0" t="n">
        <v>1.28625</v>
      </c>
      <c r="E9785" s="0" t="n">
        <v>105</v>
      </c>
    </row>
    <row r="9786" customFormat="false" ht="13.8" hidden="true" customHeight="false" outlineLevel="0" collapsed="false">
      <c r="A9786" s="0" t="s">
        <v>316</v>
      </c>
      <c r="B9786" s="0" t="n">
        <v>35</v>
      </c>
      <c r="C9786" s="0" t="n">
        <v>1.8</v>
      </c>
      <c r="D9786" s="0" t="n">
        <v>1.323</v>
      </c>
      <c r="E9786" s="0" t="n">
        <v>105</v>
      </c>
    </row>
    <row r="9787" customFormat="false" ht="13.8" hidden="true" customHeight="false" outlineLevel="0" collapsed="false">
      <c r="A9787" s="0" t="s">
        <v>316</v>
      </c>
      <c r="B9787" s="0" t="n">
        <v>35</v>
      </c>
      <c r="C9787" s="0" t="n">
        <v>1.85</v>
      </c>
      <c r="D9787" s="0" t="n">
        <v>0</v>
      </c>
      <c r="E9787" s="0" t="n">
        <v>105</v>
      </c>
    </row>
    <row r="9788" customFormat="false" ht="13.8" hidden="true" customHeight="false" outlineLevel="0" collapsed="false">
      <c r="A9788" s="0" t="s">
        <v>316</v>
      </c>
      <c r="B9788" s="0" t="n">
        <v>35</v>
      </c>
      <c r="C9788" s="0" t="n">
        <v>1.9</v>
      </c>
      <c r="D9788" s="0" t="n">
        <v>0</v>
      </c>
      <c r="E9788" s="0" t="n">
        <v>105</v>
      </c>
    </row>
    <row r="9789" customFormat="false" ht="13.8" hidden="true" customHeight="false" outlineLevel="0" collapsed="false">
      <c r="A9789" s="0" t="s">
        <v>316</v>
      </c>
      <c r="B9789" s="0" t="n">
        <v>35</v>
      </c>
      <c r="C9789" s="0" t="n">
        <v>1.95</v>
      </c>
      <c r="D9789" s="0" t="n">
        <v>0</v>
      </c>
      <c r="E9789" s="0" t="n">
        <v>105</v>
      </c>
    </row>
    <row r="9790" customFormat="false" ht="13.8" hidden="true" customHeight="false" outlineLevel="0" collapsed="false">
      <c r="A9790" s="0" t="s">
        <v>316</v>
      </c>
      <c r="B9790" s="0" t="n">
        <v>35</v>
      </c>
      <c r="C9790" s="0" t="n">
        <v>2</v>
      </c>
      <c r="D9790" s="0" t="n">
        <v>0</v>
      </c>
      <c r="E9790" s="0" t="n">
        <v>105</v>
      </c>
    </row>
    <row r="9791" customFormat="false" ht="13.8" hidden="true" customHeight="false" outlineLevel="0" collapsed="false">
      <c r="A9791" s="0" t="s">
        <v>316</v>
      </c>
      <c r="B9791" s="0" t="n">
        <v>35</v>
      </c>
      <c r="C9791" s="0" t="n">
        <v>2.05</v>
      </c>
      <c r="D9791" s="0" t="n">
        <v>0</v>
      </c>
      <c r="E9791" s="0" t="n">
        <v>105</v>
      </c>
    </row>
    <row r="9792" customFormat="false" ht="13.8" hidden="true" customHeight="false" outlineLevel="0" collapsed="false">
      <c r="A9792" s="0" t="s">
        <v>316</v>
      </c>
      <c r="B9792" s="0" t="n">
        <v>35</v>
      </c>
      <c r="C9792" s="0" t="n">
        <v>2.1</v>
      </c>
      <c r="D9792" s="0" t="n">
        <v>0</v>
      </c>
      <c r="E9792" s="0" t="n">
        <v>105</v>
      </c>
    </row>
    <row r="9793" customFormat="false" ht="13.8" hidden="true" customHeight="false" outlineLevel="0" collapsed="false">
      <c r="A9793" s="0" t="s">
        <v>316</v>
      </c>
      <c r="B9793" s="0" t="n">
        <v>35</v>
      </c>
      <c r="C9793" s="0" t="n">
        <v>2.15</v>
      </c>
      <c r="D9793" s="0" t="n">
        <v>0</v>
      </c>
      <c r="E9793" s="0" t="n">
        <v>105</v>
      </c>
    </row>
    <row r="9794" customFormat="false" ht="13.8" hidden="true" customHeight="false" outlineLevel="0" collapsed="false">
      <c r="A9794" s="0" t="s">
        <v>316</v>
      </c>
      <c r="B9794" s="0" t="n">
        <v>35</v>
      </c>
      <c r="C9794" s="0" t="n">
        <v>2.2</v>
      </c>
      <c r="D9794" s="0" t="n">
        <v>0</v>
      </c>
      <c r="E9794" s="0" t="n">
        <v>105</v>
      </c>
    </row>
    <row r="9795" customFormat="false" ht="13.8" hidden="true" customHeight="false" outlineLevel="0" collapsed="false">
      <c r="A9795" s="0" t="s">
        <v>316</v>
      </c>
      <c r="B9795" s="0" t="n">
        <v>35</v>
      </c>
      <c r="C9795" s="0" t="n">
        <v>2.25</v>
      </c>
      <c r="D9795" s="0" t="n">
        <v>0</v>
      </c>
      <c r="E9795" s="0" t="n">
        <v>105</v>
      </c>
    </row>
    <row r="9796" customFormat="false" ht="13.8" hidden="true" customHeight="false" outlineLevel="0" collapsed="false">
      <c r="A9796" s="0" t="s">
        <v>316</v>
      </c>
      <c r="B9796" s="0" t="n">
        <v>35</v>
      </c>
      <c r="C9796" s="0" t="n">
        <v>2.3</v>
      </c>
      <c r="D9796" s="0" t="n">
        <v>0</v>
      </c>
      <c r="E9796" s="0" t="n">
        <v>105</v>
      </c>
    </row>
    <row r="9797" customFormat="false" ht="13.8" hidden="true" customHeight="false" outlineLevel="0" collapsed="false">
      <c r="A9797" s="0" t="s">
        <v>316</v>
      </c>
      <c r="B9797" s="0" t="n">
        <v>35</v>
      </c>
      <c r="C9797" s="0" t="n">
        <v>2.35</v>
      </c>
      <c r="D9797" s="0" t="n">
        <v>0</v>
      </c>
      <c r="E9797" s="0" t="n">
        <v>105</v>
      </c>
    </row>
    <row r="9798" customFormat="false" ht="13.8" hidden="true" customHeight="false" outlineLevel="0" collapsed="false">
      <c r="A9798" s="0" t="s">
        <v>316</v>
      </c>
      <c r="B9798" s="0" t="n">
        <v>35</v>
      </c>
      <c r="C9798" s="0" t="n">
        <v>2.4</v>
      </c>
      <c r="D9798" s="0" t="n">
        <v>0</v>
      </c>
      <c r="E9798" s="0" t="n">
        <v>105</v>
      </c>
    </row>
    <row r="9799" customFormat="false" ht="13.8" hidden="true" customHeight="false" outlineLevel="0" collapsed="false">
      <c r="A9799" s="0" t="s">
        <v>316</v>
      </c>
      <c r="B9799" s="0" t="n">
        <v>35</v>
      </c>
      <c r="C9799" s="0" t="n">
        <v>2.45</v>
      </c>
      <c r="D9799" s="0" t="n">
        <v>0</v>
      </c>
      <c r="E9799" s="0" t="n">
        <v>105</v>
      </c>
    </row>
    <row r="9800" customFormat="false" ht="13.8" hidden="true" customHeight="false" outlineLevel="0" collapsed="false">
      <c r="A9800" s="0" t="s">
        <v>316</v>
      </c>
      <c r="B9800" s="0" t="n">
        <v>35</v>
      </c>
      <c r="C9800" s="0" t="n">
        <v>2.5</v>
      </c>
      <c r="D9800" s="0" t="n">
        <v>0</v>
      </c>
      <c r="E9800" s="0" t="n">
        <v>105</v>
      </c>
    </row>
    <row r="9801" customFormat="false" ht="13.8" hidden="true" customHeight="false" outlineLevel="0" collapsed="false">
      <c r="A9801" s="0" t="s">
        <v>316</v>
      </c>
      <c r="B9801" s="0" t="n">
        <v>35</v>
      </c>
      <c r="C9801" s="0" t="n">
        <v>2.55</v>
      </c>
      <c r="D9801" s="0" t="n">
        <v>0</v>
      </c>
      <c r="E9801" s="0" t="n">
        <v>105</v>
      </c>
    </row>
    <row r="9802" customFormat="false" ht="13.8" hidden="true" customHeight="false" outlineLevel="0" collapsed="false">
      <c r="A9802" s="0" t="s">
        <v>316</v>
      </c>
      <c r="B9802" s="0" t="n">
        <v>35</v>
      </c>
      <c r="C9802" s="0" t="n">
        <v>2.6</v>
      </c>
      <c r="D9802" s="0" t="n">
        <v>0</v>
      </c>
      <c r="E9802" s="0" t="n">
        <v>105</v>
      </c>
    </row>
    <row r="9803" customFormat="false" ht="13.8" hidden="true" customHeight="false" outlineLevel="0" collapsed="false">
      <c r="A9803" s="0" t="s">
        <v>186</v>
      </c>
      <c r="B9803" s="0" t="n">
        <v>36</v>
      </c>
      <c r="C9803" s="0" t="n">
        <v>1.3</v>
      </c>
      <c r="D9803" s="0" t="n">
        <v>0</v>
      </c>
      <c r="E9803" s="0" t="n">
        <v>105</v>
      </c>
    </row>
    <row r="9804" customFormat="false" ht="13.8" hidden="true" customHeight="false" outlineLevel="0" collapsed="false">
      <c r="A9804" s="0" t="s">
        <v>186</v>
      </c>
      <c r="B9804" s="0" t="n">
        <v>36</v>
      </c>
      <c r="C9804" s="0" t="n">
        <v>1.35</v>
      </c>
      <c r="D9804" s="0" t="n">
        <v>0</v>
      </c>
      <c r="E9804" s="0" t="n">
        <v>105</v>
      </c>
    </row>
    <row r="9805" customFormat="false" ht="13.8" hidden="true" customHeight="false" outlineLevel="0" collapsed="false">
      <c r="A9805" s="0" t="s">
        <v>186</v>
      </c>
      <c r="B9805" s="0" t="n">
        <v>36</v>
      </c>
      <c r="C9805" s="0" t="n">
        <v>1.4</v>
      </c>
      <c r="D9805" s="0" t="n">
        <v>0</v>
      </c>
      <c r="E9805" s="0" t="n">
        <v>105</v>
      </c>
    </row>
    <row r="9806" customFormat="false" ht="13.8" hidden="true" customHeight="false" outlineLevel="0" collapsed="false">
      <c r="A9806" s="0" t="s">
        <v>186</v>
      </c>
      <c r="B9806" s="0" t="n">
        <v>36</v>
      </c>
      <c r="C9806" s="0" t="n">
        <v>1.45</v>
      </c>
      <c r="D9806" s="0" t="n">
        <v>0</v>
      </c>
      <c r="E9806" s="0" t="n">
        <v>105</v>
      </c>
    </row>
    <row r="9807" customFormat="false" ht="13.8" hidden="true" customHeight="false" outlineLevel="0" collapsed="false">
      <c r="A9807" s="0" t="s">
        <v>186</v>
      </c>
      <c r="B9807" s="0" t="n">
        <v>36</v>
      </c>
      <c r="C9807" s="0" t="n">
        <v>1.5</v>
      </c>
      <c r="D9807" s="0" t="n">
        <v>0</v>
      </c>
      <c r="E9807" s="0" t="n">
        <v>105</v>
      </c>
    </row>
    <row r="9808" customFormat="false" ht="13.8" hidden="true" customHeight="false" outlineLevel="0" collapsed="false">
      <c r="A9808" s="0" t="s">
        <v>186</v>
      </c>
      <c r="B9808" s="0" t="n">
        <v>36</v>
      </c>
      <c r="C9808" s="0" t="n">
        <v>1.55</v>
      </c>
      <c r="D9808" s="0" t="n">
        <v>0</v>
      </c>
      <c r="E9808" s="0" t="n">
        <v>105</v>
      </c>
    </row>
    <row r="9809" customFormat="false" ht="13.8" hidden="true" customHeight="false" outlineLevel="0" collapsed="false">
      <c r="A9809" s="0" t="s">
        <v>186</v>
      </c>
      <c r="B9809" s="0" t="n">
        <v>36</v>
      </c>
      <c r="C9809" s="0" t="n">
        <v>1.6</v>
      </c>
      <c r="D9809" s="0" t="n">
        <v>0</v>
      </c>
      <c r="E9809" s="0" t="n">
        <v>105</v>
      </c>
    </row>
    <row r="9810" customFormat="false" ht="13.8" hidden="true" customHeight="false" outlineLevel="0" collapsed="false">
      <c r="A9810" s="0" t="s">
        <v>186</v>
      </c>
      <c r="B9810" s="0" t="n">
        <v>36</v>
      </c>
      <c r="C9810" s="0" t="n">
        <v>1.65</v>
      </c>
      <c r="D9810" s="0" t="n">
        <v>1.21275</v>
      </c>
      <c r="E9810" s="0" t="n">
        <v>105</v>
      </c>
    </row>
    <row r="9811" customFormat="false" ht="13.8" hidden="true" customHeight="false" outlineLevel="0" collapsed="false">
      <c r="A9811" s="0" t="s">
        <v>186</v>
      </c>
      <c r="B9811" s="0" t="n">
        <v>36</v>
      </c>
      <c r="C9811" s="0" t="n">
        <v>1.7</v>
      </c>
      <c r="D9811" s="0" t="n">
        <v>1.2495</v>
      </c>
      <c r="E9811" s="0" t="n">
        <v>105</v>
      </c>
    </row>
    <row r="9812" customFormat="false" ht="13.8" hidden="true" customHeight="false" outlineLevel="0" collapsed="false">
      <c r="A9812" s="0" t="s">
        <v>186</v>
      </c>
      <c r="B9812" s="0" t="n">
        <v>36</v>
      </c>
      <c r="C9812" s="0" t="n">
        <v>1.75</v>
      </c>
      <c r="D9812" s="0" t="n">
        <v>1.28625</v>
      </c>
      <c r="E9812" s="0" t="n">
        <v>105</v>
      </c>
    </row>
    <row r="9813" customFormat="false" ht="13.8" hidden="true" customHeight="false" outlineLevel="0" collapsed="false">
      <c r="A9813" s="0" t="s">
        <v>186</v>
      </c>
      <c r="B9813" s="0" t="n">
        <v>36</v>
      </c>
      <c r="C9813" s="0" t="n">
        <v>1.8</v>
      </c>
      <c r="D9813" s="0" t="n">
        <v>1.323</v>
      </c>
      <c r="E9813" s="0" t="n">
        <v>105</v>
      </c>
    </row>
    <row r="9814" customFormat="false" ht="13.8" hidden="true" customHeight="false" outlineLevel="0" collapsed="false">
      <c r="A9814" s="0" t="s">
        <v>186</v>
      </c>
      <c r="B9814" s="0" t="n">
        <v>36</v>
      </c>
      <c r="C9814" s="0" t="n">
        <v>1.85</v>
      </c>
      <c r="D9814" s="0" t="n">
        <v>0</v>
      </c>
      <c r="E9814" s="0" t="n">
        <v>105</v>
      </c>
    </row>
    <row r="9815" customFormat="false" ht="13.8" hidden="true" customHeight="false" outlineLevel="0" collapsed="false">
      <c r="A9815" s="0" t="s">
        <v>186</v>
      </c>
      <c r="B9815" s="0" t="n">
        <v>36</v>
      </c>
      <c r="C9815" s="0" t="n">
        <v>1.9</v>
      </c>
      <c r="D9815" s="0" t="n">
        <v>0</v>
      </c>
      <c r="E9815" s="0" t="n">
        <v>105</v>
      </c>
    </row>
    <row r="9816" customFormat="false" ht="13.8" hidden="true" customHeight="false" outlineLevel="0" collapsed="false">
      <c r="A9816" s="0" t="s">
        <v>186</v>
      </c>
      <c r="B9816" s="0" t="n">
        <v>36</v>
      </c>
      <c r="C9816" s="0" t="n">
        <v>1.95</v>
      </c>
      <c r="D9816" s="0" t="n">
        <v>0</v>
      </c>
      <c r="E9816" s="0" t="n">
        <v>105</v>
      </c>
    </row>
    <row r="9817" customFormat="false" ht="13.8" hidden="true" customHeight="false" outlineLevel="0" collapsed="false">
      <c r="A9817" s="0" t="s">
        <v>186</v>
      </c>
      <c r="B9817" s="0" t="n">
        <v>36</v>
      </c>
      <c r="C9817" s="0" t="n">
        <v>2</v>
      </c>
      <c r="D9817" s="0" t="n">
        <v>0</v>
      </c>
      <c r="E9817" s="0" t="n">
        <v>105</v>
      </c>
    </row>
    <row r="9818" customFormat="false" ht="13.8" hidden="true" customHeight="false" outlineLevel="0" collapsed="false">
      <c r="A9818" s="0" t="s">
        <v>186</v>
      </c>
      <c r="B9818" s="0" t="n">
        <v>36</v>
      </c>
      <c r="C9818" s="0" t="n">
        <v>2.05</v>
      </c>
      <c r="D9818" s="0" t="n">
        <v>0</v>
      </c>
      <c r="E9818" s="0" t="n">
        <v>105</v>
      </c>
    </row>
    <row r="9819" customFormat="false" ht="13.8" hidden="true" customHeight="false" outlineLevel="0" collapsed="false">
      <c r="A9819" s="0" t="s">
        <v>186</v>
      </c>
      <c r="B9819" s="0" t="n">
        <v>36</v>
      </c>
      <c r="C9819" s="0" t="n">
        <v>2.1</v>
      </c>
      <c r="D9819" s="0" t="n">
        <v>0</v>
      </c>
      <c r="E9819" s="0" t="n">
        <v>105</v>
      </c>
    </row>
    <row r="9820" customFormat="false" ht="13.8" hidden="true" customHeight="false" outlineLevel="0" collapsed="false">
      <c r="A9820" s="0" t="s">
        <v>186</v>
      </c>
      <c r="B9820" s="0" t="n">
        <v>36</v>
      </c>
      <c r="C9820" s="0" t="n">
        <v>2.15</v>
      </c>
      <c r="D9820" s="0" t="n">
        <v>0</v>
      </c>
      <c r="E9820" s="0" t="n">
        <v>105</v>
      </c>
    </row>
    <row r="9821" customFormat="false" ht="13.8" hidden="true" customHeight="false" outlineLevel="0" collapsed="false">
      <c r="A9821" s="0" t="s">
        <v>186</v>
      </c>
      <c r="B9821" s="0" t="n">
        <v>36</v>
      </c>
      <c r="C9821" s="0" t="n">
        <v>2.2</v>
      </c>
      <c r="D9821" s="0" t="n">
        <v>0</v>
      </c>
      <c r="E9821" s="0" t="n">
        <v>105</v>
      </c>
    </row>
    <row r="9822" customFormat="false" ht="13.8" hidden="true" customHeight="false" outlineLevel="0" collapsed="false">
      <c r="A9822" s="0" t="s">
        <v>186</v>
      </c>
      <c r="B9822" s="0" t="n">
        <v>36</v>
      </c>
      <c r="C9822" s="0" t="n">
        <v>2.25</v>
      </c>
      <c r="D9822" s="0" t="n">
        <v>0</v>
      </c>
      <c r="E9822" s="0" t="n">
        <v>105</v>
      </c>
    </row>
    <row r="9823" customFormat="false" ht="13.8" hidden="true" customHeight="false" outlineLevel="0" collapsed="false">
      <c r="A9823" s="0" t="s">
        <v>186</v>
      </c>
      <c r="B9823" s="0" t="n">
        <v>36</v>
      </c>
      <c r="C9823" s="0" t="n">
        <v>2.3</v>
      </c>
      <c r="D9823" s="0" t="n">
        <v>0</v>
      </c>
      <c r="E9823" s="0" t="n">
        <v>105</v>
      </c>
    </row>
    <row r="9824" customFormat="false" ht="13.8" hidden="true" customHeight="false" outlineLevel="0" collapsed="false">
      <c r="A9824" s="0" t="s">
        <v>186</v>
      </c>
      <c r="B9824" s="0" t="n">
        <v>36</v>
      </c>
      <c r="C9824" s="0" t="n">
        <v>2.35</v>
      </c>
      <c r="D9824" s="0" t="n">
        <v>0</v>
      </c>
      <c r="E9824" s="0" t="n">
        <v>105</v>
      </c>
    </row>
    <row r="9825" customFormat="false" ht="13.8" hidden="true" customHeight="false" outlineLevel="0" collapsed="false">
      <c r="A9825" s="0" t="s">
        <v>186</v>
      </c>
      <c r="B9825" s="0" t="n">
        <v>36</v>
      </c>
      <c r="C9825" s="0" t="n">
        <v>2.4</v>
      </c>
      <c r="D9825" s="0" t="n">
        <v>0</v>
      </c>
      <c r="E9825" s="0" t="n">
        <v>105</v>
      </c>
    </row>
    <row r="9826" customFormat="false" ht="13.8" hidden="true" customHeight="false" outlineLevel="0" collapsed="false">
      <c r="A9826" s="0" t="s">
        <v>186</v>
      </c>
      <c r="B9826" s="0" t="n">
        <v>36</v>
      </c>
      <c r="C9826" s="0" t="n">
        <v>2.45</v>
      </c>
      <c r="D9826" s="0" t="n">
        <v>0</v>
      </c>
      <c r="E9826" s="0" t="n">
        <v>105</v>
      </c>
    </row>
    <row r="9827" customFormat="false" ht="13.8" hidden="true" customHeight="false" outlineLevel="0" collapsed="false">
      <c r="A9827" s="0" t="s">
        <v>186</v>
      </c>
      <c r="B9827" s="0" t="n">
        <v>36</v>
      </c>
      <c r="C9827" s="0" t="n">
        <v>2.5</v>
      </c>
      <c r="D9827" s="0" t="n">
        <v>0</v>
      </c>
      <c r="E9827" s="0" t="n">
        <v>105</v>
      </c>
    </row>
    <row r="9828" customFormat="false" ht="13.8" hidden="true" customHeight="false" outlineLevel="0" collapsed="false">
      <c r="A9828" s="0" t="s">
        <v>186</v>
      </c>
      <c r="B9828" s="0" t="n">
        <v>36</v>
      </c>
      <c r="C9828" s="0" t="n">
        <v>2.55</v>
      </c>
      <c r="D9828" s="0" t="n">
        <v>0</v>
      </c>
      <c r="E9828" s="0" t="n">
        <v>105</v>
      </c>
    </row>
    <row r="9829" customFormat="false" ht="13.8" hidden="true" customHeight="false" outlineLevel="0" collapsed="false">
      <c r="A9829" s="0" t="s">
        <v>186</v>
      </c>
      <c r="B9829" s="0" t="n">
        <v>36</v>
      </c>
      <c r="C9829" s="0" t="n">
        <v>2.6</v>
      </c>
      <c r="D9829" s="0" t="n">
        <v>0</v>
      </c>
      <c r="E9829" s="0" t="n">
        <v>105</v>
      </c>
    </row>
    <row r="9830" customFormat="false" ht="13.8" hidden="true" customHeight="false" outlineLevel="0" collapsed="false">
      <c r="A9830" s="0" t="s">
        <v>187</v>
      </c>
      <c r="B9830" s="0" t="n">
        <v>35</v>
      </c>
      <c r="C9830" s="0" t="n">
        <v>1.3</v>
      </c>
      <c r="D9830" s="0" t="n">
        <v>0</v>
      </c>
      <c r="E9830" s="0" t="n">
        <v>100</v>
      </c>
    </row>
    <row r="9831" customFormat="false" ht="13.8" hidden="true" customHeight="false" outlineLevel="0" collapsed="false">
      <c r="A9831" s="0" t="s">
        <v>187</v>
      </c>
      <c r="B9831" s="0" t="n">
        <v>35</v>
      </c>
      <c r="C9831" s="0" t="n">
        <v>1.35</v>
      </c>
      <c r="D9831" s="0" t="n">
        <v>0</v>
      </c>
      <c r="E9831" s="0" t="n">
        <v>100</v>
      </c>
    </row>
    <row r="9832" customFormat="false" ht="13.8" hidden="true" customHeight="false" outlineLevel="0" collapsed="false">
      <c r="A9832" s="0" t="s">
        <v>187</v>
      </c>
      <c r="B9832" s="0" t="n">
        <v>35</v>
      </c>
      <c r="C9832" s="0" t="n">
        <v>1.4</v>
      </c>
      <c r="D9832" s="0" t="n">
        <v>0</v>
      </c>
      <c r="E9832" s="0" t="n">
        <v>100</v>
      </c>
    </row>
    <row r="9833" customFormat="false" ht="13.8" hidden="true" customHeight="false" outlineLevel="0" collapsed="false">
      <c r="A9833" s="0" t="s">
        <v>187</v>
      </c>
      <c r="B9833" s="0" t="n">
        <v>35</v>
      </c>
      <c r="C9833" s="0" t="n">
        <v>1.45</v>
      </c>
      <c r="D9833" s="0" t="n">
        <v>0</v>
      </c>
      <c r="E9833" s="0" t="n">
        <v>100</v>
      </c>
    </row>
    <row r="9834" customFormat="false" ht="13.8" hidden="true" customHeight="false" outlineLevel="0" collapsed="false">
      <c r="A9834" s="0" t="s">
        <v>187</v>
      </c>
      <c r="B9834" s="0" t="n">
        <v>35</v>
      </c>
      <c r="C9834" s="0" t="n">
        <v>1.5</v>
      </c>
      <c r="D9834" s="0" t="n">
        <v>1.1025</v>
      </c>
      <c r="E9834" s="0" t="n">
        <v>100</v>
      </c>
    </row>
    <row r="9835" customFormat="false" ht="13.8" hidden="true" customHeight="false" outlineLevel="0" collapsed="false">
      <c r="A9835" s="0" t="s">
        <v>187</v>
      </c>
      <c r="B9835" s="0" t="n">
        <v>35</v>
      </c>
      <c r="C9835" s="0" t="n">
        <v>1.55</v>
      </c>
      <c r="D9835" s="0" t="n">
        <v>1.13925</v>
      </c>
      <c r="E9835" s="0" t="n">
        <v>100</v>
      </c>
    </row>
    <row r="9836" customFormat="false" ht="13.8" hidden="true" customHeight="false" outlineLevel="0" collapsed="false">
      <c r="A9836" s="0" t="s">
        <v>187</v>
      </c>
      <c r="B9836" s="0" t="n">
        <v>35</v>
      </c>
      <c r="C9836" s="0" t="n">
        <v>1.6</v>
      </c>
      <c r="D9836" s="0" t="n">
        <v>1.176</v>
      </c>
      <c r="E9836" s="0" t="n">
        <v>100</v>
      </c>
    </row>
    <row r="9837" customFormat="false" ht="13.8" hidden="true" customHeight="false" outlineLevel="0" collapsed="false">
      <c r="A9837" s="0" t="s">
        <v>187</v>
      </c>
      <c r="B9837" s="0" t="n">
        <v>35</v>
      </c>
      <c r="C9837" s="0" t="n">
        <v>1.65</v>
      </c>
      <c r="D9837" s="0" t="n">
        <v>1.21275</v>
      </c>
      <c r="E9837" s="0" t="n">
        <v>100</v>
      </c>
    </row>
    <row r="9838" customFormat="false" ht="13.8" hidden="true" customHeight="false" outlineLevel="0" collapsed="false">
      <c r="A9838" s="0" t="s">
        <v>187</v>
      </c>
      <c r="B9838" s="0" t="n">
        <v>35</v>
      </c>
      <c r="C9838" s="0" t="n">
        <v>1.7</v>
      </c>
      <c r="D9838" s="0" t="n">
        <v>1.2495</v>
      </c>
      <c r="E9838" s="0" t="n">
        <v>100</v>
      </c>
    </row>
    <row r="9839" customFormat="false" ht="13.8" hidden="true" customHeight="false" outlineLevel="0" collapsed="false">
      <c r="A9839" s="0" t="s">
        <v>187</v>
      </c>
      <c r="B9839" s="0" t="n">
        <v>35</v>
      </c>
      <c r="C9839" s="0" t="n">
        <v>1.75</v>
      </c>
      <c r="D9839" s="0" t="n">
        <v>1.28625</v>
      </c>
      <c r="E9839" s="0" t="n">
        <v>100</v>
      </c>
    </row>
    <row r="9840" customFormat="false" ht="13.8" hidden="true" customHeight="false" outlineLevel="0" collapsed="false">
      <c r="A9840" s="0" t="s">
        <v>187</v>
      </c>
      <c r="B9840" s="0" t="n">
        <v>35</v>
      </c>
      <c r="C9840" s="0" t="n">
        <v>1.8</v>
      </c>
      <c r="D9840" s="0" t="n">
        <v>0</v>
      </c>
      <c r="E9840" s="0" t="n">
        <v>100</v>
      </c>
    </row>
    <row r="9841" customFormat="false" ht="13.8" hidden="true" customHeight="false" outlineLevel="0" collapsed="false">
      <c r="A9841" s="0" t="s">
        <v>187</v>
      </c>
      <c r="B9841" s="0" t="n">
        <v>35</v>
      </c>
      <c r="C9841" s="0" t="n">
        <v>1.85</v>
      </c>
      <c r="D9841" s="0" t="n">
        <v>0</v>
      </c>
      <c r="E9841" s="0" t="n">
        <v>100</v>
      </c>
    </row>
    <row r="9842" customFormat="false" ht="13.8" hidden="true" customHeight="false" outlineLevel="0" collapsed="false">
      <c r="A9842" s="0" t="s">
        <v>187</v>
      </c>
      <c r="B9842" s="0" t="n">
        <v>35</v>
      </c>
      <c r="C9842" s="0" t="n">
        <v>1.9</v>
      </c>
      <c r="D9842" s="0" t="n">
        <v>0</v>
      </c>
      <c r="E9842" s="0" t="n">
        <v>100</v>
      </c>
    </row>
    <row r="9843" customFormat="false" ht="13.8" hidden="true" customHeight="false" outlineLevel="0" collapsed="false">
      <c r="A9843" s="0" t="s">
        <v>187</v>
      </c>
      <c r="B9843" s="0" t="n">
        <v>35</v>
      </c>
      <c r="C9843" s="0" t="n">
        <v>1.95</v>
      </c>
      <c r="D9843" s="0" t="n">
        <v>0</v>
      </c>
      <c r="E9843" s="0" t="n">
        <v>100</v>
      </c>
    </row>
    <row r="9844" customFormat="false" ht="13.8" hidden="true" customHeight="false" outlineLevel="0" collapsed="false">
      <c r="A9844" s="0" t="s">
        <v>187</v>
      </c>
      <c r="B9844" s="0" t="n">
        <v>35</v>
      </c>
      <c r="C9844" s="0" t="n">
        <v>2</v>
      </c>
      <c r="D9844" s="0" t="n">
        <v>0</v>
      </c>
      <c r="E9844" s="0" t="n">
        <v>100</v>
      </c>
    </row>
    <row r="9845" customFormat="false" ht="13.8" hidden="true" customHeight="false" outlineLevel="0" collapsed="false">
      <c r="A9845" s="0" t="s">
        <v>187</v>
      </c>
      <c r="B9845" s="0" t="n">
        <v>35</v>
      </c>
      <c r="C9845" s="0" t="n">
        <v>2.05</v>
      </c>
      <c r="D9845" s="0" t="n">
        <v>0</v>
      </c>
      <c r="E9845" s="0" t="n">
        <v>100</v>
      </c>
    </row>
    <row r="9846" customFormat="false" ht="13.8" hidden="true" customHeight="false" outlineLevel="0" collapsed="false">
      <c r="A9846" s="0" t="s">
        <v>187</v>
      </c>
      <c r="B9846" s="0" t="n">
        <v>35</v>
      </c>
      <c r="C9846" s="0" t="n">
        <v>2.1</v>
      </c>
      <c r="D9846" s="0" t="n">
        <v>0</v>
      </c>
      <c r="E9846" s="0" t="n">
        <v>100</v>
      </c>
    </row>
    <row r="9847" customFormat="false" ht="13.8" hidden="true" customHeight="false" outlineLevel="0" collapsed="false">
      <c r="A9847" s="0" t="s">
        <v>187</v>
      </c>
      <c r="B9847" s="0" t="n">
        <v>35</v>
      </c>
      <c r="C9847" s="0" t="n">
        <v>2.15</v>
      </c>
      <c r="D9847" s="0" t="n">
        <v>0</v>
      </c>
      <c r="E9847" s="0" t="n">
        <v>100</v>
      </c>
    </row>
    <row r="9848" customFormat="false" ht="13.8" hidden="true" customHeight="false" outlineLevel="0" collapsed="false">
      <c r="A9848" s="0" t="s">
        <v>187</v>
      </c>
      <c r="B9848" s="0" t="n">
        <v>35</v>
      </c>
      <c r="C9848" s="0" t="n">
        <v>2.2</v>
      </c>
      <c r="D9848" s="0" t="n">
        <v>0</v>
      </c>
      <c r="E9848" s="0" t="n">
        <v>100</v>
      </c>
    </row>
    <row r="9849" customFormat="false" ht="13.8" hidden="true" customHeight="false" outlineLevel="0" collapsed="false">
      <c r="A9849" s="0" t="s">
        <v>187</v>
      </c>
      <c r="B9849" s="0" t="n">
        <v>35</v>
      </c>
      <c r="C9849" s="0" t="n">
        <v>2.25</v>
      </c>
      <c r="D9849" s="0" t="n">
        <v>0</v>
      </c>
      <c r="E9849" s="0" t="n">
        <v>100</v>
      </c>
    </row>
    <row r="9850" customFormat="false" ht="13.8" hidden="true" customHeight="false" outlineLevel="0" collapsed="false">
      <c r="A9850" s="0" t="s">
        <v>187</v>
      </c>
      <c r="B9850" s="0" t="n">
        <v>35</v>
      </c>
      <c r="C9850" s="0" t="n">
        <v>2.3</v>
      </c>
      <c r="D9850" s="0" t="n">
        <v>0</v>
      </c>
      <c r="E9850" s="0" t="n">
        <v>100</v>
      </c>
    </row>
    <row r="9851" customFormat="false" ht="13.8" hidden="true" customHeight="false" outlineLevel="0" collapsed="false">
      <c r="A9851" s="0" t="s">
        <v>187</v>
      </c>
      <c r="B9851" s="0" t="n">
        <v>35</v>
      </c>
      <c r="C9851" s="0" t="n">
        <v>2.35</v>
      </c>
      <c r="D9851" s="0" t="n">
        <v>0</v>
      </c>
      <c r="E9851" s="0" t="n">
        <v>100</v>
      </c>
    </row>
    <row r="9852" customFormat="false" ht="13.8" hidden="true" customHeight="false" outlineLevel="0" collapsed="false">
      <c r="A9852" s="0" t="s">
        <v>187</v>
      </c>
      <c r="B9852" s="0" t="n">
        <v>35</v>
      </c>
      <c r="C9852" s="0" t="n">
        <v>2.4</v>
      </c>
      <c r="D9852" s="0" t="n">
        <v>0</v>
      </c>
      <c r="E9852" s="0" t="n">
        <v>100</v>
      </c>
    </row>
    <row r="9853" customFormat="false" ht="13.8" hidden="true" customHeight="false" outlineLevel="0" collapsed="false">
      <c r="A9853" s="0" t="s">
        <v>187</v>
      </c>
      <c r="B9853" s="0" t="n">
        <v>35</v>
      </c>
      <c r="C9853" s="0" t="n">
        <v>2.45</v>
      </c>
      <c r="D9853" s="0" t="n">
        <v>0</v>
      </c>
      <c r="E9853" s="0" t="n">
        <v>100</v>
      </c>
    </row>
    <row r="9854" customFormat="false" ht="13.8" hidden="true" customHeight="false" outlineLevel="0" collapsed="false">
      <c r="A9854" s="0" t="s">
        <v>187</v>
      </c>
      <c r="B9854" s="0" t="n">
        <v>35</v>
      </c>
      <c r="C9854" s="0" t="n">
        <v>2.5</v>
      </c>
      <c r="D9854" s="0" t="n">
        <v>0</v>
      </c>
      <c r="E9854" s="0" t="n">
        <v>100</v>
      </c>
    </row>
    <row r="9855" customFormat="false" ht="13.8" hidden="true" customHeight="false" outlineLevel="0" collapsed="false">
      <c r="A9855" s="0" t="s">
        <v>187</v>
      </c>
      <c r="B9855" s="0" t="n">
        <v>35</v>
      </c>
      <c r="C9855" s="0" t="n">
        <v>2.55</v>
      </c>
      <c r="D9855" s="0" t="n">
        <v>0</v>
      </c>
      <c r="E9855" s="0" t="n">
        <v>100</v>
      </c>
    </row>
    <row r="9856" customFormat="false" ht="13.8" hidden="true" customHeight="false" outlineLevel="0" collapsed="false">
      <c r="A9856" s="0" t="s">
        <v>187</v>
      </c>
      <c r="B9856" s="0" t="n">
        <v>35</v>
      </c>
      <c r="C9856" s="0" t="n">
        <v>2.6</v>
      </c>
      <c r="D9856" s="0" t="n">
        <v>0</v>
      </c>
      <c r="E9856" s="0" t="n">
        <v>100</v>
      </c>
    </row>
    <row r="9857" customFormat="false" ht="13.8" hidden="true" customHeight="false" outlineLevel="0" collapsed="false">
      <c r="A9857" s="0" t="s">
        <v>317</v>
      </c>
      <c r="B9857" s="0" t="n">
        <v>35</v>
      </c>
      <c r="C9857" s="0" t="n">
        <v>1.3</v>
      </c>
      <c r="D9857" s="0" t="n">
        <v>0</v>
      </c>
      <c r="E9857" s="0" t="n">
        <v>100</v>
      </c>
    </row>
    <row r="9858" customFormat="false" ht="13.8" hidden="true" customHeight="false" outlineLevel="0" collapsed="false">
      <c r="A9858" s="0" t="s">
        <v>317</v>
      </c>
      <c r="B9858" s="0" t="n">
        <v>35</v>
      </c>
      <c r="C9858" s="0" t="n">
        <v>1.35</v>
      </c>
      <c r="D9858" s="0" t="n">
        <v>0</v>
      </c>
      <c r="E9858" s="0" t="n">
        <v>100</v>
      </c>
    </row>
    <row r="9859" customFormat="false" ht="13.8" hidden="true" customHeight="false" outlineLevel="0" collapsed="false">
      <c r="A9859" s="0" t="s">
        <v>317</v>
      </c>
      <c r="B9859" s="0" t="n">
        <v>35</v>
      </c>
      <c r="C9859" s="0" t="n">
        <v>1.4</v>
      </c>
      <c r="D9859" s="0" t="n">
        <v>0</v>
      </c>
      <c r="E9859" s="0" t="n">
        <v>100</v>
      </c>
    </row>
    <row r="9860" customFormat="false" ht="13.8" hidden="true" customHeight="false" outlineLevel="0" collapsed="false">
      <c r="A9860" s="0" t="s">
        <v>317</v>
      </c>
      <c r="B9860" s="0" t="n">
        <v>35</v>
      </c>
      <c r="C9860" s="0" t="n">
        <v>1.45</v>
      </c>
      <c r="D9860" s="0" t="n">
        <v>0</v>
      </c>
      <c r="E9860" s="0" t="n">
        <v>100</v>
      </c>
    </row>
    <row r="9861" customFormat="false" ht="13.8" hidden="true" customHeight="false" outlineLevel="0" collapsed="false">
      <c r="A9861" s="0" t="s">
        <v>317</v>
      </c>
      <c r="B9861" s="0" t="n">
        <v>35</v>
      </c>
      <c r="C9861" s="0" t="n">
        <v>1.5</v>
      </c>
      <c r="D9861" s="0" t="n">
        <v>0</v>
      </c>
      <c r="E9861" s="0" t="n">
        <v>100</v>
      </c>
    </row>
    <row r="9862" customFormat="false" ht="13.8" hidden="true" customHeight="false" outlineLevel="0" collapsed="false">
      <c r="A9862" s="0" t="s">
        <v>317</v>
      </c>
      <c r="B9862" s="0" t="n">
        <v>35</v>
      </c>
      <c r="C9862" s="0" t="n">
        <v>1.55</v>
      </c>
      <c r="D9862" s="0" t="n">
        <v>0</v>
      </c>
      <c r="E9862" s="0" t="n">
        <v>100</v>
      </c>
    </row>
    <row r="9863" customFormat="false" ht="13.8" hidden="true" customHeight="false" outlineLevel="0" collapsed="false">
      <c r="A9863" s="0" t="s">
        <v>317</v>
      </c>
      <c r="B9863" s="0" t="n">
        <v>35</v>
      </c>
      <c r="C9863" s="0" t="n">
        <v>1.6</v>
      </c>
      <c r="D9863" s="0" t="n">
        <v>0</v>
      </c>
      <c r="E9863" s="0" t="n">
        <v>100</v>
      </c>
    </row>
    <row r="9864" customFormat="false" ht="13.8" hidden="true" customHeight="false" outlineLevel="0" collapsed="false">
      <c r="A9864" s="0" t="s">
        <v>317</v>
      </c>
      <c r="B9864" s="0" t="n">
        <v>35</v>
      </c>
      <c r="C9864" s="0" t="n">
        <v>1.65</v>
      </c>
      <c r="D9864" s="0" t="n">
        <v>1.21275</v>
      </c>
      <c r="E9864" s="0" t="n">
        <v>100</v>
      </c>
    </row>
    <row r="9865" customFormat="false" ht="13.8" hidden="true" customHeight="false" outlineLevel="0" collapsed="false">
      <c r="A9865" s="0" t="s">
        <v>317</v>
      </c>
      <c r="B9865" s="0" t="n">
        <v>35</v>
      </c>
      <c r="C9865" s="0" t="n">
        <v>1.7</v>
      </c>
      <c r="D9865" s="0" t="n">
        <v>1.2495</v>
      </c>
      <c r="E9865" s="0" t="n">
        <v>100</v>
      </c>
    </row>
    <row r="9866" customFormat="false" ht="13.8" hidden="true" customHeight="false" outlineLevel="0" collapsed="false">
      <c r="A9866" s="0" t="s">
        <v>317</v>
      </c>
      <c r="B9866" s="0" t="n">
        <v>35</v>
      </c>
      <c r="C9866" s="0" t="n">
        <v>1.75</v>
      </c>
      <c r="D9866" s="0" t="n">
        <v>1.28625</v>
      </c>
      <c r="E9866" s="0" t="n">
        <v>100</v>
      </c>
    </row>
    <row r="9867" customFormat="false" ht="13.8" hidden="true" customHeight="false" outlineLevel="0" collapsed="false">
      <c r="A9867" s="0" t="s">
        <v>317</v>
      </c>
      <c r="B9867" s="0" t="n">
        <v>35</v>
      </c>
      <c r="C9867" s="0" t="n">
        <v>1.8</v>
      </c>
      <c r="D9867" s="0" t="n">
        <v>1.323</v>
      </c>
      <c r="E9867" s="0" t="n">
        <v>100</v>
      </c>
    </row>
    <row r="9868" customFormat="false" ht="13.8" hidden="true" customHeight="false" outlineLevel="0" collapsed="false">
      <c r="A9868" s="0" t="s">
        <v>317</v>
      </c>
      <c r="B9868" s="0" t="n">
        <v>35</v>
      </c>
      <c r="C9868" s="0" t="n">
        <v>1.85</v>
      </c>
      <c r="D9868" s="0" t="n">
        <v>0</v>
      </c>
      <c r="E9868" s="0" t="n">
        <v>100</v>
      </c>
    </row>
    <row r="9869" customFormat="false" ht="13.8" hidden="true" customHeight="false" outlineLevel="0" collapsed="false">
      <c r="A9869" s="0" t="s">
        <v>317</v>
      </c>
      <c r="B9869" s="0" t="n">
        <v>35</v>
      </c>
      <c r="C9869" s="0" t="n">
        <v>1.9</v>
      </c>
      <c r="D9869" s="0" t="n">
        <v>0</v>
      </c>
      <c r="E9869" s="0" t="n">
        <v>100</v>
      </c>
    </row>
    <row r="9870" customFormat="false" ht="13.8" hidden="true" customHeight="false" outlineLevel="0" collapsed="false">
      <c r="A9870" s="0" t="s">
        <v>317</v>
      </c>
      <c r="B9870" s="0" t="n">
        <v>35</v>
      </c>
      <c r="C9870" s="0" t="n">
        <v>1.95</v>
      </c>
      <c r="D9870" s="0" t="n">
        <v>0</v>
      </c>
      <c r="E9870" s="0" t="n">
        <v>100</v>
      </c>
    </row>
    <row r="9871" customFormat="false" ht="13.8" hidden="true" customHeight="false" outlineLevel="0" collapsed="false">
      <c r="A9871" s="0" t="s">
        <v>317</v>
      </c>
      <c r="B9871" s="0" t="n">
        <v>35</v>
      </c>
      <c r="C9871" s="0" t="n">
        <v>2</v>
      </c>
      <c r="D9871" s="0" t="n">
        <v>0</v>
      </c>
      <c r="E9871" s="0" t="n">
        <v>100</v>
      </c>
    </row>
    <row r="9872" customFormat="false" ht="13.8" hidden="true" customHeight="false" outlineLevel="0" collapsed="false">
      <c r="A9872" s="0" t="s">
        <v>317</v>
      </c>
      <c r="B9872" s="0" t="n">
        <v>35</v>
      </c>
      <c r="C9872" s="0" t="n">
        <v>2.05</v>
      </c>
      <c r="D9872" s="0" t="n">
        <v>0</v>
      </c>
      <c r="E9872" s="0" t="n">
        <v>100</v>
      </c>
    </row>
    <row r="9873" customFormat="false" ht="13.8" hidden="true" customHeight="false" outlineLevel="0" collapsed="false">
      <c r="A9873" s="0" t="s">
        <v>317</v>
      </c>
      <c r="B9873" s="0" t="n">
        <v>35</v>
      </c>
      <c r="C9873" s="0" t="n">
        <v>2.1</v>
      </c>
      <c r="D9873" s="0" t="n">
        <v>0</v>
      </c>
      <c r="E9873" s="0" t="n">
        <v>100</v>
      </c>
    </row>
    <row r="9874" customFormat="false" ht="13.8" hidden="true" customHeight="false" outlineLevel="0" collapsed="false">
      <c r="A9874" s="0" t="s">
        <v>317</v>
      </c>
      <c r="B9874" s="0" t="n">
        <v>35</v>
      </c>
      <c r="C9874" s="0" t="n">
        <v>2.15</v>
      </c>
      <c r="D9874" s="0" t="n">
        <v>0</v>
      </c>
      <c r="E9874" s="0" t="n">
        <v>100</v>
      </c>
    </row>
    <row r="9875" customFormat="false" ht="13.8" hidden="true" customHeight="false" outlineLevel="0" collapsed="false">
      <c r="A9875" s="0" t="s">
        <v>317</v>
      </c>
      <c r="B9875" s="0" t="n">
        <v>35</v>
      </c>
      <c r="C9875" s="0" t="n">
        <v>2.2</v>
      </c>
      <c r="D9875" s="0" t="n">
        <v>0</v>
      </c>
      <c r="E9875" s="0" t="n">
        <v>100</v>
      </c>
    </row>
    <row r="9876" customFormat="false" ht="13.8" hidden="true" customHeight="false" outlineLevel="0" collapsed="false">
      <c r="A9876" s="0" t="s">
        <v>317</v>
      </c>
      <c r="B9876" s="0" t="n">
        <v>35</v>
      </c>
      <c r="C9876" s="0" t="n">
        <v>2.25</v>
      </c>
      <c r="D9876" s="0" t="n">
        <v>0</v>
      </c>
      <c r="E9876" s="0" t="n">
        <v>100</v>
      </c>
    </row>
    <row r="9877" customFormat="false" ht="13.8" hidden="true" customHeight="false" outlineLevel="0" collapsed="false">
      <c r="A9877" s="0" t="s">
        <v>317</v>
      </c>
      <c r="B9877" s="0" t="n">
        <v>35</v>
      </c>
      <c r="C9877" s="0" t="n">
        <v>2.3</v>
      </c>
      <c r="D9877" s="0" t="n">
        <v>0</v>
      </c>
      <c r="E9877" s="0" t="n">
        <v>100</v>
      </c>
    </row>
    <row r="9878" customFormat="false" ht="13.8" hidden="true" customHeight="false" outlineLevel="0" collapsed="false">
      <c r="A9878" s="0" t="s">
        <v>317</v>
      </c>
      <c r="B9878" s="0" t="n">
        <v>35</v>
      </c>
      <c r="C9878" s="0" t="n">
        <v>2.35</v>
      </c>
      <c r="D9878" s="0" t="n">
        <v>0</v>
      </c>
      <c r="E9878" s="0" t="n">
        <v>100</v>
      </c>
    </row>
    <row r="9879" customFormat="false" ht="13.8" hidden="true" customHeight="false" outlineLevel="0" collapsed="false">
      <c r="A9879" s="0" t="s">
        <v>317</v>
      </c>
      <c r="B9879" s="0" t="n">
        <v>35</v>
      </c>
      <c r="C9879" s="0" t="n">
        <v>2.4</v>
      </c>
      <c r="D9879" s="0" t="n">
        <v>0</v>
      </c>
      <c r="E9879" s="0" t="n">
        <v>100</v>
      </c>
    </row>
    <row r="9880" customFormat="false" ht="13.8" hidden="true" customHeight="false" outlineLevel="0" collapsed="false">
      <c r="A9880" s="0" t="s">
        <v>317</v>
      </c>
      <c r="B9880" s="0" t="n">
        <v>35</v>
      </c>
      <c r="C9880" s="0" t="n">
        <v>2.45</v>
      </c>
      <c r="D9880" s="0" t="n">
        <v>0</v>
      </c>
      <c r="E9880" s="0" t="n">
        <v>100</v>
      </c>
    </row>
    <row r="9881" customFormat="false" ht="13.8" hidden="true" customHeight="false" outlineLevel="0" collapsed="false">
      <c r="A9881" s="0" t="s">
        <v>317</v>
      </c>
      <c r="B9881" s="0" t="n">
        <v>35</v>
      </c>
      <c r="C9881" s="0" t="n">
        <v>2.5</v>
      </c>
      <c r="D9881" s="0" t="n">
        <v>0</v>
      </c>
      <c r="E9881" s="0" t="n">
        <v>100</v>
      </c>
    </row>
    <row r="9882" customFormat="false" ht="13.8" hidden="true" customHeight="false" outlineLevel="0" collapsed="false">
      <c r="A9882" s="0" t="s">
        <v>317</v>
      </c>
      <c r="B9882" s="0" t="n">
        <v>35</v>
      </c>
      <c r="C9882" s="0" t="n">
        <v>2.55</v>
      </c>
      <c r="D9882" s="0" t="n">
        <v>0</v>
      </c>
      <c r="E9882" s="0" t="n">
        <v>100</v>
      </c>
    </row>
    <row r="9883" customFormat="false" ht="13.8" hidden="true" customHeight="false" outlineLevel="0" collapsed="false">
      <c r="A9883" s="0" t="s">
        <v>317</v>
      </c>
      <c r="B9883" s="0" t="n">
        <v>35</v>
      </c>
      <c r="C9883" s="0" t="n">
        <v>2.6</v>
      </c>
      <c r="D9883" s="0" t="n">
        <v>0</v>
      </c>
      <c r="E9883" s="0" t="n">
        <v>100</v>
      </c>
    </row>
    <row r="9884" customFormat="false" ht="13.8" hidden="true" customHeight="false" outlineLevel="0" collapsed="false">
      <c r="A9884" s="0" t="s">
        <v>188</v>
      </c>
      <c r="B9884" s="0" t="n">
        <v>35</v>
      </c>
      <c r="C9884" s="0" t="n">
        <v>1.3</v>
      </c>
      <c r="D9884" s="0" t="n">
        <v>0</v>
      </c>
      <c r="E9884" s="0" t="n">
        <v>103.5</v>
      </c>
    </row>
    <row r="9885" customFormat="false" ht="13.8" hidden="true" customHeight="false" outlineLevel="0" collapsed="false">
      <c r="A9885" s="0" t="s">
        <v>188</v>
      </c>
      <c r="B9885" s="0" t="n">
        <v>35</v>
      </c>
      <c r="C9885" s="0" t="n">
        <v>1.35</v>
      </c>
      <c r="D9885" s="0" t="n">
        <v>0</v>
      </c>
      <c r="E9885" s="0" t="n">
        <v>103.5</v>
      </c>
    </row>
    <row r="9886" customFormat="false" ht="13.8" hidden="true" customHeight="false" outlineLevel="0" collapsed="false">
      <c r="A9886" s="0" t="s">
        <v>188</v>
      </c>
      <c r="B9886" s="0" t="n">
        <v>35</v>
      </c>
      <c r="C9886" s="0" t="n">
        <v>1.4</v>
      </c>
      <c r="D9886" s="0" t="n">
        <v>0</v>
      </c>
      <c r="E9886" s="0" t="n">
        <v>103.5</v>
      </c>
    </row>
    <row r="9887" customFormat="false" ht="13.8" hidden="true" customHeight="false" outlineLevel="0" collapsed="false">
      <c r="A9887" s="0" t="s">
        <v>188</v>
      </c>
      <c r="B9887" s="0" t="n">
        <v>35</v>
      </c>
      <c r="C9887" s="0" t="n">
        <v>1.45</v>
      </c>
      <c r="D9887" s="0" t="n">
        <v>0</v>
      </c>
      <c r="E9887" s="0" t="n">
        <v>103.5</v>
      </c>
    </row>
    <row r="9888" customFormat="false" ht="13.8" hidden="true" customHeight="false" outlineLevel="0" collapsed="false">
      <c r="A9888" s="0" t="s">
        <v>188</v>
      </c>
      <c r="B9888" s="0" t="n">
        <v>35</v>
      </c>
      <c r="C9888" s="0" t="n">
        <v>1.5</v>
      </c>
      <c r="D9888" s="0" t="n">
        <v>1.1025</v>
      </c>
      <c r="E9888" s="0" t="n">
        <v>103.5</v>
      </c>
    </row>
    <row r="9889" customFormat="false" ht="13.8" hidden="true" customHeight="false" outlineLevel="0" collapsed="false">
      <c r="A9889" s="0" t="s">
        <v>188</v>
      </c>
      <c r="B9889" s="0" t="n">
        <v>35</v>
      </c>
      <c r="C9889" s="0" t="n">
        <v>1.55</v>
      </c>
      <c r="D9889" s="0" t="n">
        <v>1.13925</v>
      </c>
      <c r="E9889" s="0" t="n">
        <v>103.5</v>
      </c>
    </row>
    <row r="9890" customFormat="false" ht="13.8" hidden="true" customHeight="false" outlineLevel="0" collapsed="false">
      <c r="A9890" s="0" t="s">
        <v>188</v>
      </c>
      <c r="B9890" s="0" t="n">
        <v>35</v>
      </c>
      <c r="C9890" s="0" t="n">
        <v>1.6</v>
      </c>
      <c r="D9890" s="0" t="n">
        <v>1.176</v>
      </c>
      <c r="E9890" s="0" t="n">
        <v>103.5</v>
      </c>
    </row>
    <row r="9891" customFormat="false" ht="13.8" hidden="true" customHeight="false" outlineLevel="0" collapsed="false">
      <c r="A9891" s="0" t="s">
        <v>188</v>
      </c>
      <c r="B9891" s="0" t="n">
        <v>35</v>
      </c>
      <c r="C9891" s="0" t="n">
        <v>1.65</v>
      </c>
      <c r="D9891" s="0" t="n">
        <v>1.21275</v>
      </c>
      <c r="E9891" s="0" t="n">
        <v>103.5</v>
      </c>
    </row>
    <row r="9892" customFormat="false" ht="13.8" hidden="true" customHeight="false" outlineLevel="0" collapsed="false">
      <c r="A9892" s="0" t="s">
        <v>188</v>
      </c>
      <c r="B9892" s="0" t="n">
        <v>35</v>
      </c>
      <c r="C9892" s="0" t="n">
        <v>1.7</v>
      </c>
      <c r="D9892" s="0" t="n">
        <v>1.2495</v>
      </c>
      <c r="E9892" s="0" t="n">
        <v>103.5</v>
      </c>
    </row>
    <row r="9893" customFormat="false" ht="13.8" hidden="true" customHeight="false" outlineLevel="0" collapsed="false">
      <c r="A9893" s="0" t="s">
        <v>188</v>
      </c>
      <c r="B9893" s="0" t="n">
        <v>35</v>
      </c>
      <c r="C9893" s="0" t="n">
        <v>1.75</v>
      </c>
      <c r="D9893" s="0" t="n">
        <v>1.28625</v>
      </c>
      <c r="E9893" s="0" t="n">
        <v>103.5</v>
      </c>
    </row>
    <row r="9894" customFormat="false" ht="13.8" hidden="true" customHeight="false" outlineLevel="0" collapsed="false">
      <c r="A9894" s="0" t="s">
        <v>188</v>
      </c>
      <c r="B9894" s="0" t="n">
        <v>35</v>
      </c>
      <c r="C9894" s="0" t="n">
        <v>1.8</v>
      </c>
      <c r="D9894" s="0" t="n">
        <v>0</v>
      </c>
      <c r="E9894" s="0" t="n">
        <v>103.5</v>
      </c>
    </row>
    <row r="9895" customFormat="false" ht="13.8" hidden="true" customHeight="false" outlineLevel="0" collapsed="false">
      <c r="A9895" s="0" t="s">
        <v>188</v>
      </c>
      <c r="B9895" s="0" t="n">
        <v>35</v>
      </c>
      <c r="C9895" s="0" t="n">
        <v>1.85</v>
      </c>
      <c r="D9895" s="0" t="n">
        <v>0</v>
      </c>
      <c r="E9895" s="0" t="n">
        <v>103.5</v>
      </c>
    </row>
    <row r="9896" customFormat="false" ht="13.8" hidden="true" customHeight="false" outlineLevel="0" collapsed="false">
      <c r="A9896" s="0" t="s">
        <v>188</v>
      </c>
      <c r="B9896" s="0" t="n">
        <v>35</v>
      </c>
      <c r="C9896" s="0" t="n">
        <v>1.9</v>
      </c>
      <c r="D9896" s="0" t="n">
        <v>0</v>
      </c>
      <c r="E9896" s="0" t="n">
        <v>103.5</v>
      </c>
    </row>
    <row r="9897" customFormat="false" ht="13.8" hidden="true" customHeight="false" outlineLevel="0" collapsed="false">
      <c r="A9897" s="0" t="s">
        <v>188</v>
      </c>
      <c r="B9897" s="0" t="n">
        <v>35</v>
      </c>
      <c r="C9897" s="0" t="n">
        <v>1.95</v>
      </c>
      <c r="D9897" s="0" t="n">
        <v>0</v>
      </c>
      <c r="E9897" s="0" t="n">
        <v>103.5</v>
      </c>
    </row>
    <row r="9898" customFormat="false" ht="13.8" hidden="true" customHeight="false" outlineLevel="0" collapsed="false">
      <c r="A9898" s="0" t="s">
        <v>188</v>
      </c>
      <c r="B9898" s="0" t="n">
        <v>35</v>
      </c>
      <c r="C9898" s="0" t="n">
        <v>2</v>
      </c>
      <c r="D9898" s="0" t="n">
        <v>0</v>
      </c>
      <c r="E9898" s="0" t="n">
        <v>103.5</v>
      </c>
    </row>
    <row r="9899" customFormat="false" ht="13.8" hidden="true" customHeight="false" outlineLevel="0" collapsed="false">
      <c r="A9899" s="0" t="s">
        <v>188</v>
      </c>
      <c r="B9899" s="0" t="n">
        <v>35</v>
      </c>
      <c r="C9899" s="0" t="n">
        <v>2.05</v>
      </c>
      <c r="D9899" s="0" t="n">
        <v>0</v>
      </c>
      <c r="E9899" s="0" t="n">
        <v>103.5</v>
      </c>
    </row>
    <row r="9900" customFormat="false" ht="13.8" hidden="true" customHeight="false" outlineLevel="0" collapsed="false">
      <c r="A9900" s="0" t="s">
        <v>188</v>
      </c>
      <c r="B9900" s="0" t="n">
        <v>35</v>
      </c>
      <c r="C9900" s="0" t="n">
        <v>2.1</v>
      </c>
      <c r="D9900" s="0" t="n">
        <v>0</v>
      </c>
      <c r="E9900" s="0" t="n">
        <v>103.5</v>
      </c>
    </row>
    <row r="9901" customFormat="false" ht="13.8" hidden="true" customHeight="false" outlineLevel="0" collapsed="false">
      <c r="A9901" s="0" t="s">
        <v>188</v>
      </c>
      <c r="B9901" s="0" t="n">
        <v>35</v>
      </c>
      <c r="C9901" s="0" t="n">
        <v>2.15</v>
      </c>
      <c r="D9901" s="0" t="n">
        <v>0</v>
      </c>
      <c r="E9901" s="0" t="n">
        <v>103.5</v>
      </c>
    </row>
    <row r="9902" customFormat="false" ht="13.8" hidden="true" customHeight="false" outlineLevel="0" collapsed="false">
      <c r="A9902" s="0" t="s">
        <v>188</v>
      </c>
      <c r="B9902" s="0" t="n">
        <v>35</v>
      </c>
      <c r="C9902" s="0" t="n">
        <v>2.2</v>
      </c>
      <c r="D9902" s="0" t="n">
        <v>0</v>
      </c>
      <c r="E9902" s="0" t="n">
        <v>103.5</v>
      </c>
    </row>
    <row r="9903" customFormat="false" ht="13.8" hidden="true" customHeight="false" outlineLevel="0" collapsed="false">
      <c r="A9903" s="0" t="s">
        <v>188</v>
      </c>
      <c r="B9903" s="0" t="n">
        <v>35</v>
      </c>
      <c r="C9903" s="0" t="n">
        <v>2.25</v>
      </c>
      <c r="D9903" s="0" t="n">
        <v>0</v>
      </c>
      <c r="E9903" s="0" t="n">
        <v>103.5</v>
      </c>
    </row>
    <row r="9904" customFormat="false" ht="13.8" hidden="true" customHeight="false" outlineLevel="0" collapsed="false">
      <c r="A9904" s="0" t="s">
        <v>188</v>
      </c>
      <c r="B9904" s="0" t="n">
        <v>35</v>
      </c>
      <c r="C9904" s="0" t="n">
        <v>2.3</v>
      </c>
      <c r="D9904" s="0" t="n">
        <v>0</v>
      </c>
      <c r="E9904" s="0" t="n">
        <v>103.5</v>
      </c>
    </row>
    <row r="9905" customFormat="false" ht="13.8" hidden="true" customHeight="false" outlineLevel="0" collapsed="false">
      <c r="A9905" s="0" t="s">
        <v>188</v>
      </c>
      <c r="B9905" s="0" t="n">
        <v>35</v>
      </c>
      <c r="C9905" s="0" t="n">
        <v>2.35</v>
      </c>
      <c r="D9905" s="0" t="n">
        <v>0</v>
      </c>
      <c r="E9905" s="0" t="n">
        <v>103.5</v>
      </c>
    </row>
    <row r="9906" customFormat="false" ht="13.8" hidden="true" customHeight="false" outlineLevel="0" collapsed="false">
      <c r="A9906" s="0" t="s">
        <v>188</v>
      </c>
      <c r="B9906" s="0" t="n">
        <v>35</v>
      </c>
      <c r="C9906" s="0" t="n">
        <v>2.4</v>
      </c>
      <c r="D9906" s="0" t="n">
        <v>0</v>
      </c>
      <c r="E9906" s="0" t="n">
        <v>103.5</v>
      </c>
    </row>
    <row r="9907" customFormat="false" ht="13.8" hidden="true" customHeight="false" outlineLevel="0" collapsed="false">
      <c r="A9907" s="0" t="s">
        <v>188</v>
      </c>
      <c r="B9907" s="0" t="n">
        <v>35</v>
      </c>
      <c r="C9907" s="0" t="n">
        <v>2.45</v>
      </c>
      <c r="D9907" s="0" t="n">
        <v>0</v>
      </c>
      <c r="E9907" s="0" t="n">
        <v>103.5</v>
      </c>
    </row>
    <row r="9908" customFormat="false" ht="13.8" hidden="true" customHeight="false" outlineLevel="0" collapsed="false">
      <c r="A9908" s="0" t="s">
        <v>188</v>
      </c>
      <c r="B9908" s="0" t="n">
        <v>35</v>
      </c>
      <c r="C9908" s="0" t="n">
        <v>2.5</v>
      </c>
      <c r="D9908" s="0" t="n">
        <v>0</v>
      </c>
      <c r="E9908" s="0" t="n">
        <v>103.5</v>
      </c>
    </row>
    <row r="9909" customFormat="false" ht="13.8" hidden="true" customHeight="false" outlineLevel="0" collapsed="false">
      <c r="A9909" s="0" t="s">
        <v>188</v>
      </c>
      <c r="B9909" s="0" t="n">
        <v>35</v>
      </c>
      <c r="C9909" s="0" t="n">
        <v>2.55</v>
      </c>
      <c r="D9909" s="0" t="n">
        <v>0</v>
      </c>
      <c r="E9909" s="0" t="n">
        <v>103.5</v>
      </c>
    </row>
    <row r="9910" customFormat="false" ht="13.8" hidden="true" customHeight="false" outlineLevel="0" collapsed="false">
      <c r="A9910" s="0" t="s">
        <v>188</v>
      </c>
      <c r="B9910" s="0" t="n">
        <v>35</v>
      </c>
      <c r="C9910" s="0" t="n">
        <v>2.6</v>
      </c>
      <c r="D9910" s="0" t="n">
        <v>0</v>
      </c>
      <c r="E9910" s="0" t="n">
        <v>103.5</v>
      </c>
    </row>
    <row r="9911" customFormat="false" ht="13.8" hidden="true" customHeight="false" outlineLevel="0" collapsed="false">
      <c r="A9911" s="0" t="s">
        <v>189</v>
      </c>
      <c r="B9911" s="0" t="n">
        <v>35</v>
      </c>
      <c r="C9911" s="0" t="n">
        <v>1.3</v>
      </c>
      <c r="D9911" s="0" t="n">
        <v>0</v>
      </c>
      <c r="E9911" s="0" t="n">
        <v>104.5</v>
      </c>
    </row>
    <row r="9912" customFormat="false" ht="13.8" hidden="true" customHeight="false" outlineLevel="0" collapsed="false">
      <c r="A9912" s="0" t="s">
        <v>189</v>
      </c>
      <c r="B9912" s="0" t="n">
        <v>35</v>
      </c>
      <c r="C9912" s="0" t="n">
        <v>1.35</v>
      </c>
      <c r="D9912" s="0" t="n">
        <v>0</v>
      </c>
      <c r="E9912" s="0" t="n">
        <v>104.5</v>
      </c>
    </row>
    <row r="9913" customFormat="false" ht="13.8" hidden="true" customHeight="false" outlineLevel="0" collapsed="false">
      <c r="A9913" s="0" t="s">
        <v>189</v>
      </c>
      <c r="B9913" s="0" t="n">
        <v>35</v>
      </c>
      <c r="C9913" s="0" t="n">
        <v>1.4</v>
      </c>
      <c r="D9913" s="0" t="n">
        <v>0</v>
      </c>
      <c r="E9913" s="0" t="n">
        <v>104.5</v>
      </c>
    </row>
    <row r="9914" customFormat="false" ht="13.8" hidden="true" customHeight="false" outlineLevel="0" collapsed="false">
      <c r="A9914" s="0" t="s">
        <v>189</v>
      </c>
      <c r="B9914" s="0" t="n">
        <v>35</v>
      </c>
      <c r="C9914" s="0" t="n">
        <v>1.45</v>
      </c>
      <c r="D9914" s="0" t="n">
        <v>0</v>
      </c>
      <c r="E9914" s="0" t="n">
        <v>104.5</v>
      </c>
    </row>
    <row r="9915" customFormat="false" ht="13.8" hidden="true" customHeight="false" outlineLevel="0" collapsed="false">
      <c r="A9915" s="0" t="s">
        <v>189</v>
      </c>
      <c r="B9915" s="0" t="n">
        <v>35</v>
      </c>
      <c r="C9915" s="0" t="n">
        <v>1.5</v>
      </c>
      <c r="D9915" s="0" t="n">
        <v>1.1025</v>
      </c>
      <c r="E9915" s="0" t="n">
        <v>104.5</v>
      </c>
    </row>
    <row r="9916" customFormat="false" ht="13.8" hidden="true" customHeight="false" outlineLevel="0" collapsed="false">
      <c r="A9916" s="0" t="s">
        <v>189</v>
      </c>
      <c r="B9916" s="0" t="n">
        <v>35</v>
      </c>
      <c r="C9916" s="0" t="n">
        <v>1.55</v>
      </c>
      <c r="D9916" s="0" t="n">
        <v>1.13925</v>
      </c>
      <c r="E9916" s="0" t="n">
        <v>104.5</v>
      </c>
    </row>
    <row r="9917" customFormat="false" ht="13.8" hidden="true" customHeight="false" outlineLevel="0" collapsed="false">
      <c r="A9917" s="0" t="s">
        <v>189</v>
      </c>
      <c r="B9917" s="0" t="n">
        <v>35</v>
      </c>
      <c r="C9917" s="0" t="n">
        <v>1.6</v>
      </c>
      <c r="D9917" s="0" t="n">
        <v>1.176</v>
      </c>
      <c r="E9917" s="0" t="n">
        <v>104.5</v>
      </c>
    </row>
    <row r="9918" customFormat="false" ht="13.8" hidden="true" customHeight="false" outlineLevel="0" collapsed="false">
      <c r="A9918" s="0" t="s">
        <v>189</v>
      </c>
      <c r="B9918" s="0" t="n">
        <v>35</v>
      </c>
      <c r="C9918" s="0" t="n">
        <v>1.65</v>
      </c>
      <c r="D9918" s="0" t="n">
        <v>1.21275</v>
      </c>
      <c r="E9918" s="0" t="n">
        <v>104.5</v>
      </c>
    </row>
    <row r="9919" customFormat="false" ht="13.8" hidden="true" customHeight="false" outlineLevel="0" collapsed="false">
      <c r="A9919" s="0" t="s">
        <v>189</v>
      </c>
      <c r="B9919" s="0" t="n">
        <v>35</v>
      </c>
      <c r="C9919" s="0" t="n">
        <v>1.7</v>
      </c>
      <c r="D9919" s="0" t="n">
        <v>1.2495</v>
      </c>
      <c r="E9919" s="0" t="n">
        <v>104.5</v>
      </c>
    </row>
    <row r="9920" customFormat="false" ht="13.8" hidden="true" customHeight="false" outlineLevel="0" collapsed="false">
      <c r="A9920" s="0" t="s">
        <v>189</v>
      </c>
      <c r="B9920" s="0" t="n">
        <v>35</v>
      </c>
      <c r="C9920" s="0" t="n">
        <v>1.75</v>
      </c>
      <c r="D9920" s="0" t="n">
        <v>1.28625</v>
      </c>
      <c r="E9920" s="0" t="n">
        <v>104.5</v>
      </c>
    </row>
    <row r="9921" customFormat="false" ht="13.8" hidden="true" customHeight="false" outlineLevel="0" collapsed="false">
      <c r="A9921" s="0" t="s">
        <v>189</v>
      </c>
      <c r="B9921" s="0" t="n">
        <v>35</v>
      </c>
      <c r="C9921" s="0" t="n">
        <v>1.8</v>
      </c>
      <c r="D9921" s="0" t="n">
        <v>0</v>
      </c>
      <c r="E9921" s="0" t="n">
        <v>104.5</v>
      </c>
    </row>
    <row r="9922" customFormat="false" ht="13.8" hidden="true" customHeight="false" outlineLevel="0" collapsed="false">
      <c r="A9922" s="0" t="s">
        <v>189</v>
      </c>
      <c r="B9922" s="0" t="n">
        <v>35</v>
      </c>
      <c r="C9922" s="0" t="n">
        <v>1.85</v>
      </c>
      <c r="D9922" s="0" t="n">
        <v>0</v>
      </c>
      <c r="E9922" s="0" t="n">
        <v>104.5</v>
      </c>
    </row>
    <row r="9923" customFormat="false" ht="13.8" hidden="true" customHeight="false" outlineLevel="0" collapsed="false">
      <c r="A9923" s="0" t="s">
        <v>189</v>
      </c>
      <c r="B9923" s="0" t="n">
        <v>35</v>
      </c>
      <c r="C9923" s="0" t="n">
        <v>1.9</v>
      </c>
      <c r="D9923" s="0" t="n">
        <v>0</v>
      </c>
      <c r="E9923" s="0" t="n">
        <v>104.5</v>
      </c>
    </row>
    <row r="9924" customFormat="false" ht="13.8" hidden="true" customHeight="false" outlineLevel="0" collapsed="false">
      <c r="A9924" s="0" t="s">
        <v>189</v>
      </c>
      <c r="B9924" s="0" t="n">
        <v>35</v>
      </c>
      <c r="C9924" s="0" t="n">
        <v>1.95</v>
      </c>
      <c r="D9924" s="0" t="n">
        <v>0</v>
      </c>
      <c r="E9924" s="0" t="n">
        <v>104.5</v>
      </c>
    </row>
    <row r="9925" customFormat="false" ht="13.8" hidden="true" customHeight="false" outlineLevel="0" collapsed="false">
      <c r="A9925" s="0" t="s">
        <v>189</v>
      </c>
      <c r="B9925" s="0" t="n">
        <v>35</v>
      </c>
      <c r="C9925" s="0" t="n">
        <v>2</v>
      </c>
      <c r="D9925" s="0" t="n">
        <v>0</v>
      </c>
      <c r="E9925" s="0" t="n">
        <v>104.5</v>
      </c>
    </row>
    <row r="9926" customFormat="false" ht="13.8" hidden="true" customHeight="false" outlineLevel="0" collapsed="false">
      <c r="A9926" s="0" t="s">
        <v>189</v>
      </c>
      <c r="B9926" s="0" t="n">
        <v>35</v>
      </c>
      <c r="C9926" s="0" t="n">
        <v>2.05</v>
      </c>
      <c r="D9926" s="0" t="n">
        <v>0</v>
      </c>
      <c r="E9926" s="0" t="n">
        <v>104.5</v>
      </c>
    </row>
    <row r="9927" customFormat="false" ht="13.8" hidden="true" customHeight="false" outlineLevel="0" collapsed="false">
      <c r="A9927" s="0" t="s">
        <v>189</v>
      </c>
      <c r="B9927" s="0" t="n">
        <v>35</v>
      </c>
      <c r="C9927" s="0" t="n">
        <v>2.1</v>
      </c>
      <c r="D9927" s="0" t="n">
        <v>0</v>
      </c>
      <c r="E9927" s="0" t="n">
        <v>104.5</v>
      </c>
    </row>
    <row r="9928" customFormat="false" ht="13.8" hidden="true" customHeight="false" outlineLevel="0" collapsed="false">
      <c r="A9928" s="0" t="s">
        <v>189</v>
      </c>
      <c r="B9928" s="0" t="n">
        <v>35</v>
      </c>
      <c r="C9928" s="0" t="n">
        <v>2.15</v>
      </c>
      <c r="D9928" s="0" t="n">
        <v>0</v>
      </c>
      <c r="E9928" s="0" t="n">
        <v>104.5</v>
      </c>
    </row>
    <row r="9929" customFormat="false" ht="13.8" hidden="true" customHeight="false" outlineLevel="0" collapsed="false">
      <c r="A9929" s="0" t="s">
        <v>189</v>
      </c>
      <c r="B9929" s="0" t="n">
        <v>35</v>
      </c>
      <c r="C9929" s="0" t="n">
        <v>2.2</v>
      </c>
      <c r="D9929" s="0" t="n">
        <v>0</v>
      </c>
      <c r="E9929" s="0" t="n">
        <v>104.5</v>
      </c>
    </row>
    <row r="9930" customFormat="false" ht="13.8" hidden="true" customHeight="false" outlineLevel="0" collapsed="false">
      <c r="A9930" s="0" t="s">
        <v>189</v>
      </c>
      <c r="B9930" s="0" t="n">
        <v>35</v>
      </c>
      <c r="C9930" s="0" t="n">
        <v>2.25</v>
      </c>
      <c r="D9930" s="0" t="n">
        <v>0</v>
      </c>
      <c r="E9930" s="0" t="n">
        <v>104.5</v>
      </c>
    </row>
    <row r="9931" customFormat="false" ht="13.8" hidden="true" customHeight="false" outlineLevel="0" collapsed="false">
      <c r="A9931" s="0" t="s">
        <v>189</v>
      </c>
      <c r="B9931" s="0" t="n">
        <v>35</v>
      </c>
      <c r="C9931" s="0" t="n">
        <v>2.3</v>
      </c>
      <c r="D9931" s="0" t="n">
        <v>0</v>
      </c>
      <c r="E9931" s="0" t="n">
        <v>104.5</v>
      </c>
    </row>
    <row r="9932" customFormat="false" ht="13.8" hidden="true" customHeight="false" outlineLevel="0" collapsed="false">
      <c r="A9932" s="0" t="s">
        <v>189</v>
      </c>
      <c r="B9932" s="0" t="n">
        <v>35</v>
      </c>
      <c r="C9932" s="0" t="n">
        <v>2.35</v>
      </c>
      <c r="D9932" s="0" t="n">
        <v>0</v>
      </c>
      <c r="E9932" s="0" t="n">
        <v>104.5</v>
      </c>
    </row>
    <row r="9933" customFormat="false" ht="13.8" hidden="true" customHeight="false" outlineLevel="0" collapsed="false">
      <c r="A9933" s="0" t="s">
        <v>189</v>
      </c>
      <c r="B9933" s="0" t="n">
        <v>35</v>
      </c>
      <c r="C9933" s="0" t="n">
        <v>2.4</v>
      </c>
      <c r="D9933" s="0" t="n">
        <v>0</v>
      </c>
      <c r="E9933" s="0" t="n">
        <v>104.5</v>
      </c>
    </row>
    <row r="9934" customFormat="false" ht="13.8" hidden="true" customHeight="false" outlineLevel="0" collapsed="false">
      <c r="A9934" s="0" t="s">
        <v>189</v>
      </c>
      <c r="B9934" s="0" t="n">
        <v>35</v>
      </c>
      <c r="C9934" s="0" t="n">
        <v>2.45</v>
      </c>
      <c r="D9934" s="0" t="n">
        <v>0</v>
      </c>
      <c r="E9934" s="0" t="n">
        <v>104.5</v>
      </c>
    </row>
    <row r="9935" customFormat="false" ht="13.8" hidden="true" customHeight="false" outlineLevel="0" collapsed="false">
      <c r="A9935" s="0" t="s">
        <v>189</v>
      </c>
      <c r="B9935" s="0" t="n">
        <v>35</v>
      </c>
      <c r="C9935" s="0" t="n">
        <v>2.5</v>
      </c>
      <c r="D9935" s="0" t="n">
        <v>0</v>
      </c>
      <c r="E9935" s="0" t="n">
        <v>104.5</v>
      </c>
    </row>
    <row r="9936" customFormat="false" ht="13.8" hidden="true" customHeight="false" outlineLevel="0" collapsed="false">
      <c r="A9936" s="0" t="s">
        <v>189</v>
      </c>
      <c r="B9936" s="0" t="n">
        <v>35</v>
      </c>
      <c r="C9936" s="0" t="n">
        <v>2.55</v>
      </c>
      <c r="D9936" s="0" t="n">
        <v>0</v>
      </c>
      <c r="E9936" s="0" t="n">
        <v>104.5</v>
      </c>
    </row>
    <row r="9937" customFormat="false" ht="13.8" hidden="true" customHeight="false" outlineLevel="0" collapsed="false">
      <c r="A9937" s="0" t="s">
        <v>189</v>
      </c>
      <c r="B9937" s="0" t="n">
        <v>35</v>
      </c>
      <c r="C9937" s="0" t="n">
        <v>2.6</v>
      </c>
      <c r="D9937" s="0" t="n">
        <v>0</v>
      </c>
      <c r="E9937" s="0" t="n">
        <v>104.5</v>
      </c>
    </row>
    <row r="9938" customFormat="false" ht="13.8" hidden="true" customHeight="false" outlineLevel="0" collapsed="false">
      <c r="A9938" s="0" t="s">
        <v>190</v>
      </c>
      <c r="B9938" s="0" t="n">
        <v>35</v>
      </c>
      <c r="C9938" s="0" t="n">
        <v>1.3</v>
      </c>
      <c r="D9938" s="0" t="n">
        <v>0</v>
      </c>
      <c r="E9938" s="0" t="n">
        <v>100</v>
      </c>
    </row>
    <row r="9939" customFormat="false" ht="13.8" hidden="true" customHeight="false" outlineLevel="0" collapsed="false">
      <c r="A9939" s="0" t="s">
        <v>190</v>
      </c>
      <c r="B9939" s="0" t="n">
        <v>35</v>
      </c>
      <c r="C9939" s="0" t="n">
        <v>1.35</v>
      </c>
      <c r="D9939" s="0" t="n">
        <v>0</v>
      </c>
      <c r="E9939" s="0" t="n">
        <v>100</v>
      </c>
    </row>
    <row r="9940" customFormat="false" ht="13.8" hidden="true" customHeight="false" outlineLevel="0" collapsed="false">
      <c r="A9940" s="0" t="s">
        <v>190</v>
      </c>
      <c r="B9940" s="0" t="n">
        <v>35</v>
      </c>
      <c r="C9940" s="0" t="n">
        <v>1.4</v>
      </c>
      <c r="D9940" s="0" t="n">
        <v>0</v>
      </c>
      <c r="E9940" s="0" t="n">
        <v>100</v>
      </c>
    </row>
    <row r="9941" customFormat="false" ht="13.8" hidden="true" customHeight="false" outlineLevel="0" collapsed="false">
      <c r="A9941" s="0" t="s">
        <v>190</v>
      </c>
      <c r="B9941" s="0" t="n">
        <v>35</v>
      </c>
      <c r="C9941" s="0" t="n">
        <v>1.45</v>
      </c>
      <c r="D9941" s="0" t="n">
        <v>0</v>
      </c>
      <c r="E9941" s="0" t="n">
        <v>100</v>
      </c>
    </row>
    <row r="9942" customFormat="false" ht="13.8" hidden="true" customHeight="false" outlineLevel="0" collapsed="false">
      <c r="A9942" s="0" t="s">
        <v>190</v>
      </c>
      <c r="B9942" s="0" t="n">
        <v>35</v>
      </c>
      <c r="C9942" s="0" t="n">
        <v>1.5</v>
      </c>
      <c r="D9942" s="0" t="n">
        <v>1.1025</v>
      </c>
      <c r="E9942" s="0" t="n">
        <v>100</v>
      </c>
    </row>
    <row r="9943" customFormat="false" ht="13.8" hidden="true" customHeight="false" outlineLevel="0" collapsed="false">
      <c r="A9943" s="0" t="s">
        <v>190</v>
      </c>
      <c r="B9943" s="0" t="n">
        <v>35</v>
      </c>
      <c r="C9943" s="0" t="n">
        <v>1.55</v>
      </c>
      <c r="D9943" s="0" t="n">
        <v>1.13925</v>
      </c>
      <c r="E9943" s="0" t="n">
        <v>100</v>
      </c>
    </row>
    <row r="9944" customFormat="false" ht="13.8" hidden="true" customHeight="false" outlineLevel="0" collapsed="false">
      <c r="A9944" s="0" t="s">
        <v>190</v>
      </c>
      <c r="B9944" s="0" t="n">
        <v>35</v>
      </c>
      <c r="C9944" s="0" t="n">
        <v>1.6</v>
      </c>
      <c r="D9944" s="0" t="n">
        <v>1.176</v>
      </c>
      <c r="E9944" s="0" t="n">
        <v>100</v>
      </c>
    </row>
    <row r="9945" customFormat="false" ht="13.8" hidden="true" customHeight="false" outlineLevel="0" collapsed="false">
      <c r="A9945" s="0" t="s">
        <v>190</v>
      </c>
      <c r="B9945" s="0" t="n">
        <v>35</v>
      </c>
      <c r="C9945" s="0" t="n">
        <v>1.65</v>
      </c>
      <c r="D9945" s="0" t="n">
        <v>1.21275</v>
      </c>
      <c r="E9945" s="0" t="n">
        <v>100</v>
      </c>
    </row>
    <row r="9946" customFormat="false" ht="13.8" hidden="true" customHeight="false" outlineLevel="0" collapsed="false">
      <c r="A9946" s="0" t="s">
        <v>190</v>
      </c>
      <c r="B9946" s="0" t="n">
        <v>35</v>
      </c>
      <c r="C9946" s="0" t="n">
        <v>1.7</v>
      </c>
      <c r="D9946" s="0" t="n">
        <v>1.2495</v>
      </c>
      <c r="E9946" s="0" t="n">
        <v>100</v>
      </c>
    </row>
    <row r="9947" customFormat="false" ht="13.8" hidden="true" customHeight="false" outlineLevel="0" collapsed="false">
      <c r="A9947" s="0" t="s">
        <v>190</v>
      </c>
      <c r="B9947" s="0" t="n">
        <v>35</v>
      </c>
      <c r="C9947" s="0" t="n">
        <v>1.75</v>
      </c>
      <c r="D9947" s="0" t="n">
        <v>1.28625</v>
      </c>
      <c r="E9947" s="0" t="n">
        <v>100</v>
      </c>
    </row>
    <row r="9948" customFormat="false" ht="13.8" hidden="true" customHeight="false" outlineLevel="0" collapsed="false">
      <c r="A9948" s="0" t="s">
        <v>190</v>
      </c>
      <c r="B9948" s="0" t="n">
        <v>35</v>
      </c>
      <c r="C9948" s="0" t="n">
        <v>1.8</v>
      </c>
      <c r="D9948" s="0" t="n">
        <v>0</v>
      </c>
      <c r="E9948" s="0" t="n">
        <v>100</v>
      </c>
    </row>
    <row r="9949" customFormat="false" ht="13.8" hidden="true" customHeight="false" outlineLevel="0" collapsed="false">
      <c r="A9949" s="0" t="s">
        <v>190</v>
      </c>
      <c r="B9949" s="0" t="n">
        <v>35</v>
      </c>
      <c r="C9949" s="0" t="n">
        <v>1.85</v>
      </c>
      <c r="D9949" s="0" t="n">
        <v>0</v>
      </c>
      <c r="E9949" s="0" t="n">
        <v>100</v>
      </c>
    </row>
    <row r="9950" customFormat="false" ht="13.8" hidden="true" customHeight="false" outlineLevel="0" collapsed="false">
      <c r="A9950" s="0" t="s">
        <v>190</v>
      </c>
      <c r="B9950" s="0" t="n">
        <v>35</v>
      </c>
      <c r="C9950" s="0" t="n">
        <v>1.9</v>
      </c>
      <c r="D9950" s="0" t="n">
        <v>0</v>
      </c>
      <c r="E9950" s="0" t="n">
        <v>100</v>
      </c>
    </row>
    <row r="9951" customFormat="false" ht="13.8" hidden="true" customHeight="false" outlineLevel="0" collapsed="false">
      <c r="A9951" s="0" t="s">
        <v>190</v>
      </c>
      <c r="B9951" s="0" t="n">
        <v>35</v>
      </c>
      <c r="C9951" s="0" t="n">
        <v>1.95</v>
      </c>
      <c r="D9951" s="0" t="n">
        <v>0</v>
      </c>
      <c r="E9951" s="0" t="n">
        <v>100</v>
      </c>
    </row>
    <row r="9952" customFormat="false" ht="13.8" hidden="true" customHeight="false" outlineLevel="0" collapsed="false">
      <c r="A9952" s="0" t="s">
        <v>190</v>
      </c>
      <c r="B9952" s="0" t="n">
        <v>35</v>
      </c>
      <c r="C9952" s="0" t="n">
        <v>2</v>
      </c>
      <c r="D9952" s="0" t="n">
        <v>0</v>
      </c>
      <c r="E9952" s="0" t="n">
        <v>100</v>
      </c>
    </row>
    <row r="9953" customFormat="false" ht="13.8" hidden="true" customHeight="false" outlineLevel="0" collapsed="false">
      <c r="A9953" s="0" t="s">
        <v>190</v>
      </c>
      <c r="B9953" s="0" t="n">
        <v>35</v>
      </c>
      <c r="C9953" s="0" t="n">
        <v>2.05</v>
      </c>
      <c r="D9953" s="0" t="n">
        <v>0</v>
      </c>
      <c r="E9953" s="0" t="n">
        <v>100</v>
      </c>
    </row>
    <row r="9954" customFormat="false" ht="13.8" hidden="true" customHeight="false" outlineLevel="0" collapsed="false">
      <c r="A9954" s="0" t="s">
        <v>190</v>
      </c>
      <c r="B9954" s="0" t="n">
        <v>35</v>
      </c>
      <c r="C9954" s="0" t="n">
        <v>2.1</v>
      </c>
      <c r="D9954" s="0" t="n">
        <v>0</v>
      </c>
      <c r="E9954" s="0" t="n">
        <v>100</v>
      </c>
    </row>
    <row r="9955" customFormat="false" ht="13.8" hidden="true" customHeight="false" outlineLevel="0" collapsed="false">
      <c r="A9955" s="0" t="s">
        <v>190</v>
      </c>
      <c r="B9955" s="0" t="n">
        <v>35</v>
      </c>
      <c r="C9955" s="0" t="n">
        <v>2.15</v>
      </c>
      <c r="D9955" s="0" t="n">
        <v>0</v>
      </c>
      <c r="E9955" s="0" t="n">
        <v>100</v>
      </c>
    </row>
    <row r="9956" customFormat="false" ht="13.8" hidden="true" customHeight="false" outlineLevel="0" collapsed="false">
      <c r="A9956" s="0" t="s">
        <v>190</v>
      </c>
      <c r="B9956" s="0" t="n">
        <v>35</v>
      </c>
      <c r="C9956" s="0" t="n">
        <v>2.2</v>
      </c>
      <c r="D9956" s="0" t="n">
        <v>0</v>
      </c>
      <c r="E9956" s="0" t="n">
        <v>100</v>
      </c>
    </row>
    <row r="9957" customFormat="false" ht="13.8" hidden="true" customHeight="false" outlineLevel="0" collapsed="false">
      <c r="A9957" s="0" t="s">
        <v>190</v>
      </c>
      <c r="B9957" s="0" t="n">
        <v>35</v>
      </c>
      <c r="C9957" s="0" t="n">
        <v>2.25</v>
      </c>
      <c r="D9957" s="0" t="n">
        <v>0</v>
      </c>
      <c r="E9957" s="0" t="n">
        <v>100</v>
      </c>
    </row>
    <row r="9958" customFormat="false" ht="13.8" hidden="true" customHeight="false" outlineLevel="0" collapsed="false">
      <c r="A9958" s="0" t="s">
        <v>190</v>
      </c>
      <c r="B9958" s="0" t="n">
        <v>35</v>
      </c>
      <c r="C9958" s="0" t="n">
        <v>2.3</v>
      </c>
      <c r="D9958" s="0" t="n">
        <v>0</v>
      </c>
      <c r="E9958" s="0" t="n">
        <v>100</v>
      </c>
    </row>
    <row r="9959" customFormat="false" ht="13.8" hidden="true" customHeight="false" outlineLevel="0" collapsed="false">
      <c r="A9959" s="0" t="s">
        <v>190</v>
      </c>
      <c r="B9959" s="0" t="n">
        <v>35</v>
      </c>
      <c r="C9959" s="0" t="n">
        <v>2.35</v>
      </c>
      <c r="D9959" s="0" t="n">
        <v>0</v>
      </c>
      <c r="E9959" s="0" t="n">
        <v>100</v>
      </c>
    </row>
    <row r="9960" customFormat="false" ht="13.8" hidden="true" customHeight="false" outlineLevel="0" collapsed="false">
      <c r="A9960" s="0" t="s">
        <v>190</v>
      </c>
      <c r="B9960" s="0" t="n">
        <v>35</v>
      </c>
      <c r="C9960" s="0" t="n">
        <v>2.4</v>
      </c>
      <c r="D9960" s="0" t="n">
        <v>0</v>
      </c>
      <c r="E9960" s="0" t="n">
        <v>100</v>
      </c>
    </row>
    <row r="9961" customFormat="false" ht="13.8" hidden="true" customHeight="false" outlineLevel="0" collapsed="false">
      <c r="A9961" s="0" t="s">
        <v>190</v>
      </c>
      <c r="B9961" s="0" t="n">
        <v>35</v>
      </c>
      <c r="C9961" s="0" t="n">
        <v>2.45</v>
      </c>
      <c r="D9961" s="0" t="n">
        <v>0</v>
      </c>
      <c r="E9961" s="0" t="n">
        <v>100</v>
      </c>
    </row>
    <row r="9962" customFormat="false" ht="13.8" hidden="true" customHeight="false" outlineLevel="0" collapsed="false">
      <c r="A9962" s="0" t="s">
        <v>190</v>
      </c>
      <c r="B9962" s="0" t="n">
        <v>35</v>
      </c>
      <c r="C9962" s="0" t="n">
        <v>2.5</v>
      </c>
      <c r="D9962" s="0" t="n">
        <v>0</v>
      </c>
      <c r="E9962" s="0" t="n">
        <v>100</v>
      </c>
    </row>
    <row r="9963" customFormat="false" ht="13.8" hidden="true" customHeight="false" outlineLevel="0" collapsed="false">
      <c r="A9963" s="0" t="s">
        <v>190</v>
      </c>
      <c r="B9963" s="0" t="n">
        <v>35</v>
      </c>
      <c r="C9963" s="0" t="n">
        <v>2.55</v>
      </c>
      <c r="D9963" s="0" t="n">
        <v>0</v>
      </c>
      <c r="E9963" s="0" t="n">
        <v>100</v>
      </c>
    </row>
    <row r="9964" customFormat="false" ht="13.8" hidden="true" customHeight="false" outlineLevel="0" collapsed="false">
      <c r="A9964" s="0" t="s">
        <v>190</v>
      </c>
      <c r="B9964" s="0" t="n">
        <v>35</v>
      </c>
      <c r="C9964" s="0" t="n">
        <v>2.6</v>
      </c>
      <c r="D9964" s="0" t="n">
        <v>0</v>
      </c>
      <c r="E9964" s="0" t="n">
        <v>100</v>
      </c>
    </row>
    <row r="9965" customFormat="false" ht="13.8" hidden="true" customHeight="false" outlineLevel="0" collapsed="false">
      <c r="A9965" s="0" t="s">
        <v>191</v>
      </c>
      <c r="B9965" s="0" t="n">
        <v>35</v>
      </c>
      <c r="C9965" s="0" t="n">
        <v>1.3</v>
      </c>
      <c r="D9965" s="0" t="n">
        <v>0</v>
      </c>
      <c r="E9965" s="0" t="n">
        <v>102.5</v>
      </c>
    </row>
    <row r="9966" customFormat="false" ht="13.8" hidden="true" customHeight="false" outlineLevel="0" collapsed="false">
      <c r="A9966" s="0" t="s">
        <v>191</v>
      </c>
      <c r="B9966" s="0" t="n">
        <v>35</v>
      </c>
      <c r="C9966" s="0" t="n">
        <v>1.35</v>
      </c>
      <c r="D9966" s="0" t="n">
        <v>0</v>
      </c>
      <c r="E9966" s="0" t="n">
        <v>102.5</v>
      </c>
    </row>
    <row r="9967" customFormat="false" ht="13.8" hidden="true" customHeight="false" outlineLevel="0" collapsed="false">
      <c r="A9967" s="0" t="s">
        <v>191</v>
      </c>
      <c r="B9967" s="0" t="n">
        <v>35</v>
      </c>
      <c r="C9967" s="0" t="n">
        <v>1.4</v>
      </c>
      <c r="D9967" s="0" t="n">
        <v>0</v>
      </c>
      <c r="E9967" s="0" t="n">
        <v>102.5</v>
      </c>
    </row>
    <row r="9968" customFormat="false" ht="13.8" hidden="true" customHeight="false" outlineLevel="0" collapsed="false">
      <c r="A9968" s="0" t="s">
        <v>191</v>
      </c>
      <c r="B9968" s="0" t="n">
        <v>35</v>
      </c>
      <c r="C9968" s="0" t="n">
        <v>1.45</v>
      </c>
      <c r="D9968" s="0" t="n">
        <v>0</v>
      </c>
      <c r="E9968" s="0" t="n">
        <v>102.5</v>
      </c>
    </row>
    <row r="9969" customFormat="false" ht="13.8" hidden="true" customHeight="false" outlineLevel="0" collapsed="false">
      <c r="A9969" s="0" t="s">
        <v>191</v>
      </c>
      <c r="B9969" s="0" t="n">
        <v>35</v>
      </c>
      <c r="C9969" s="0" t="n">
        <v>1.5</v>
      </c>
      <c r="D9969" s="0" t="n">
        <v>1.1025</v>
      </c>
      <c r="E9969" s="0" t="n">
        <v>102.5</v>
      </c>
    </row>
    <row r="9970" customFormat="false" ht="13.8" hidden="true" customHeight="false" outlineLevel="0" collapsed="false">
      <c r="A9970" s="0" t="s">
        <v>191</v>
      </c>
      <c r="B9970" s="0" t="n">
        <v>35</v>
      </c>
      <c r="C9970" s="0" t="n">
        <v>1.55</v>
      </c>
      <c r="D9970" s="0" t="n">
        <v>1.13925</v>
      </c>
      <c r="E9970" s="0" t="n">
        <v>102.5</v>
      </c>
    </row>
    <row r="9971" customFormat="false" ht="13.8" hidden="true" customHeight="false" outlineLevel="0" collapsed="false">
      <c r="A9971" s="0" t="s">
        <v>191</v>
      </c>
      <c r="B9971" s="0" t="n">
        <v>35</v>
      </c>
      <c r="C9971" s="0" t="n">
        <v>1.6</v>
      </c>
      <c r="D9971" s="0" t="n">
        <v>1.176</v>
      </c>
      <c r="E9971" s="0" t="n">
        <v>102.5</v>
      </c>
    </row>
    <row r="9972" customFormat="false" ht="13.8" hidden="true" customHeight="false" outlineLevel="0" collapsed="false">
      <c r="A9972" s="0" t="s">
        <v>191</v>
      </c>
      <c r="B9972" s="0" t="n">
        <v>35</v>
      </c>
      <c r="C9972" s="0" t="n">
        <v>1.65</v>
      </c>
      <c r="D9972" s="0" t="n">
        <v>1.21275</v>
      </c>
      <c r="E9972" s="0" t="n">
        <v>102.5</v>
      </c>
    </row>
    <row r="9973" customFormat="false" ht="13.8" hidden="true" customHeight="false" outlineLevel="0" collapsed="false">
      <c r="A9973" s="0" t="s">
        <v>191</v>
      </c>
      <c r="B9973" s="0" t="n">
        <v>35</v>
      </c>
      <c r="C9973" s="0" t="n">
        <v>1.7</v>
      </c>
      <c r="D9973" s="0" t="n">
        <v>1.2495</v>
      </c>
      <c r="E9973" s="0" t="n">
        <v>102.5</v>
      </c>
    </row>
    <row r="9974" customFormat="false" ht="13.8" hidden="true" customHeight="false" outlineLevel="0" collapsed="false">
      <c r="A9974" s="0" t="s">
        <v>191</v>
      </c>
      <c r="B9974" s="0" t="n">
        <v>35</v>
      </c>
      <c r="C9974" s="0" t="n">
        <v>1.75</v>
      </c>
      <c r="D9974" s="0" t="n">
        <v>1.28625</v>
      </c>
      <c r="E9974" s="0" t="n">
        <v>102.5</v>
      </c>
    </row>
    <row r="9975" customFormat="false" ht="13.8" hidden="true" customHeight="false" outlineLevel="0" collapsed="false">
      <c r="A9975" s="0" t="s">
        <v>191</v>
      </c>
      <c r="B9975" s="0" t="n">
        <v>35</v>
      </c>
      <c r="C9975" s="0" t="n">
        <v>1.8</v>
      </c>
      <c r="D9975" s="0" t="n">
        <v>0</v>
      </c>
      <c r="E9975" s="0" t="n">
        <v>102.5</v>
      </c>
    </row>
    <row r="9976" customFormat="false" ht="13.8" hidden="true" customHeight="false" outlineLevel="0" collapsed="false">
      <c r="A9976" s="0" t="s">
        <v>191</v>
      </c>
      <c r="B9976" s="0" t="n">
        <v>35</v>
      </c>
      <c r="C9976" s="0" t="n">
        <v>1.85</v>
      </c>
      <c r="D9976" s="0" t="n">
        <v>0</v>
      </c>
      <c r="E9976" s="0" t="n">
        <v>102.5</v>
      </c>
    </row>
    <row r="9977" customFormat="false" ht="13.8" hidden="true" customHeight="false" outlineLevel="0" collapsed="false">
      <c r="A9977" s="0" t="s">
        <v>191</v>
      </c>
      <c r="B9977" s="0" t="n">
        <v>35</v>
      </c>
      <c r="C9977" s="0" t="n">
        <v>1.9</v>
      </c>
      <c r="D9977" s="0" t="n">
        <v>0</v>
      </c>
      <c r="E9977" s="0" t="n">
        <v>102.5</v>
      </c>
    </row>
    <row r="9978" customFormat="false" ht="13.8" hidden="true" customHeight="false" outlineLevel="0" collapsed="false">
      <c r="A9978" s="0" t="s">
        <v>191</v>
      </c>
      <c r="B9978" s="0" t="n">
        <v>35</v>
      </c>
      <c r="C9978" s="0" t="n">
        <v>1.95</v>
      </c>
      <c r="D9978" s="0" t="n">
        <v>0</v>
      </c>
      <c r="E9978" s="0" t="n">
        <v>102.5</v>
      </c>
    </row>
    <row r="9979" customFormat="false" ht="13.8" hidden="true" customHeight="false" outlineLevel="0" collapsed="false">
      <c r="A9979" s="0" t="s">
        <v>191</v>
      </c>
      <c r="B9979" s="0" t="n">
        <v>35</v>
      </c>
      <c r="C9979" s="0" t="n">
        <v>2</v>
      </c>
      <c r="D9979" s="0" t="n">
        <v>0</v>
      </c>
      <c r="E9979" s="0" t="n">
        <v>102.5</v>
      </c>
    </row>
    <row r="9980" customFormat="false" ht="13.8" hidden="true" customHeight="false" outlineLevel="0" collapsed="false">
      <c r="A9980" s="0" t="s">
        <v>191</v>
      </c>
      <c r="B9980" s="0" t="n">
        <v>35</v>
      </c>
      <c r="C9980" s="0" t="n">
        <v>2.05</v>
      </c>
      <c r="D9980" s="0" t="n">
        <v>0</v>
      </c>
      <c r="E9980" s="0" t="n">
        <v>102.5</v>
      </c>
    </row>
    <row r="9981" customFormat="false" ht="13.8" hidden="true" customHeight="false" outlineLevel="0" collapsed="false">
      <c r="A9981" s="0" t="s">
        <v>191</v>
      </c>
      <c r="B9981" s="0" t="n">
        <v>35</v>
      </c>
      <c r="C9981" s="0" t="n">
        <v>2.1</v>
      </c>
      <c r="D9981" s="0" t="n">
        <v>0</v>
      </c>
      <c r="E9981" s="0" t="n">
        <v>102.5</v>
      </c>
    </row>
    <row r="9982" customFormat="false" ht="13.8" hidden="true" customHeight="false" outlineLevel="0" collapsed="false">
      <c r="A9982" s="0" t="s">
        <v>191</v>
      </c>
      <c r="B9982" s="0" t="n">
        <v>35</v>
      </c>
      <c r="C9982" s="0" t="n">
        <v>2.15</v>
      </c>
      <c r="D9982" s="0" t="n">
        <v>0</v>
      </c>
      <c r="E9982" s="0" t="n">
        <v>102.5</v>
      </c>
    </row>
    <row r="9983" customFormat="false" ht="13.8" hidden="true" customHeight="false" outlineLevel="0" collapsed="false">
      <c r="A9983" s="0" t="s">
        <v>191</v>
      </c>
      <c r="B9983" s="0" t="n">
        <v>35</v>
      </c>
      <c r="C9983" s="0" t="n">
        <v>2.2</v>
      </c>
      <c r="D9983" s="0" t="n">
        <v>0</v>
      </c>
      <c r="E9983" s="0" t="n">
        <v>102.5</v>
      </c>
    </row>
    <row r="9984" customFormat="false" ht="13.8" hidden="true" customHeight="false" outlineLevel="0" collapsed="false">
      <c r="A9984" s="0" t="s">
        <v>191</v>
      </c>
      <c r="B9984" s="0" t="n">
        <v>35</v>
      </c>
      <c r="C9984" s="0" t="n">
        <v>2.25</v>
      </c>
      <c r="D9984" s="0" t="n">
        <v>0</v>
      </c>
      <c r="E9984" s="0" t="n">
        <v>102.5</v>
      </c>
    </row>
    <row r="9985" customFormat="false" ht="13.8" hidden="true" customHeight="false" outlineLevel="0" collapsed="false">
      <c r="A9985" s="0" t="s">
        <v>191</v>
      </c>
      <c r="B9985" s="0" t="n">
        <v>35</v>
      </c>
      <c r="C9985" s="0" t="n">
        <v>2.3</v>
      </c>
      <c r="D9985" s="0" t="n">
        <v>0</v>
      </c>
      <c r="E9985" s="0" t="n">
        <v>102.5</v>
      </c>
    </row>
    <row r="9986" customFormat="false" ht="13.8" hidden="true" customHeight="false" outlineLevel="0" collapsed="false">
      <c r="A9986" s="0" t="s">
        <v>191</v>
      </c>
      <c r="B9986" s="0" t="n">
        <v>35</v>
      </c>
      <c r="C9986" s="0" t="n">
        <v>2.35</v>
      </c>
      <c r="D9986" s="0" t="n">
        <v>0</v>
      </c>
      <c r="E9986" s="0" t="n">
        <v>102.5</v>
      </c>
    </row>
    <row r="9987" customFormat="false" ht="13.8" hidden="true" customHeight="false" outlineLevel="0" collapsed="false">
      <c r="A9987" s="0" t="s">
        <v>191</v>
      </c>
      <c r="B9987" s="0" t="n">
        <v>35</v>
      </c>
      <c r="C9987" s="0" t="n">
        <v>2.4</v>
      </c>
      <c r="D9987" s="0" t="n">
        <v>0</v>
      </c>
      <c r="E9987" s="0" t="n">
        <v>102.5</v>
      </c>
    </row>
    <row r="9988" customFormat="false" ht="13.8" hidden="true" customHeight="false" outlineLevel="0" collapsed="false">
      <c r="A9988" s="0" t="s">
        <v>191</v>
      </c>
      <c r="B9988" s="0" t="n">
        <v>35</v>
      </c>
      <c r="C9988" s="0" t="n">
        <v>2.45</v>
      </c>
      <c r="D9988" s="0" t="n">
        <v>0</v>
      </c>
      <c r="E9988" s="0" t="n">
        <v>102.5</v>
      </c>
    </row>
    <row r="9989" customFormat="false" ht="13.8" hidden="true" customHeight="false" outlineLevel="0" collapsed="false">
      <c r="A9989" s="0" t="s">
        <v>191</v>
      </c>
      <c r="B9989" s="0" t="n">
        <v>35</v>
      </c>
      <c r="C9989" s="0" t="n">
        <v>2.5</v>
      </c>
      <c r="D9989" s="0" t="n">
        <v>0</v>
      </c>
      <c r="E9989" s="0" t="n">
        <v>102.5</v>
      </c>
    </row>
    <row r="9990" customFormat="false" ht="13.8" hidden="true" customHeight="false" outlineLevel="0" collapsed="false">
      <c r="A9990" s="0" t="s">
        <v>191</v>
      </c>
      <c r="B9990" s="0" t="n">
        <v>35</v>
      </c>
      <c r="C9990" s="0" t="n">
        <v>2.55</v>
      </c>
      <c r="D9990" s="0" t="n">
        <v>0</v>
      </c>
      <c r="E9990" s="0" t="n">
        <v>102.5</v>
      </c>
    </row>
    <row r="9991" customFormat="false" ht="13.8" hidden="true" customHeight="false" outlineLevel="0" collapsed="false">
      <c r="A9991" s="0" t="s">
        <v>191</v>
      </c>
      <c r="B9991" s="0" t="n">
        <v>35</v>
      </c>
      <c r="C9991" s="0" t="n">
        <v>2.6</v>
      </c>
      <c r="D9991" s="0" t="n">
        <v>0</v>
      </c>
      <c r="E9991" s="0" t="n">
        <v>102.5</v>
      </c>
    </row>
    <row r="9992" customFormat="false" ht="13.8" hidden="true" customHeight="false" outlineLevel="0" collapsed="false">
      <c r="A9992" s="0" t="s">
        <v>192</v>
      </c>
      <c r="B9992" s="0" t="n">
        <v>35</v>
      </c>
      <c r="C9992" s="0" t="n">
        <v>1.3</v>
      </c>
      <c r="D9992" s="0" t="n">
        <v>0</v>
      </c>
      <c r="E9992" s="0" t="n">
        <v>100</v>
      </c>
    </row>
    <row r="9993" customFormat="false" ht="13.8" hidden="true" customHeight="false" outlineLevel="0" collapsed="false">
      <c r="A9993" s="0" t="s">
        <v>192</v>
      </c>
      <c r="B9993" s="0" t="n">
        <v>35</v>
      </c>
      <c r="C9993" s="0" t="n">
        <v>1.35</v>
      </c>
      <c r="D9993" s="0" t="n">
        <v>0</v>
      </c>
      <c r="E9993" s="0" t="n">
        <v>100</v>
      </c>
    </row>
    <row r="9994" customFormat="false" ht="13.8" hidden="true" customHeight="false" outlineLevel="0" collapsed="false">
      <c r="A9994" s="0" t="s">
        <v>192</v>
      </c>
      <c r="B9994" s="0" t="n">
        <v>35</v>
      </c>
      <c r="C9994" s="0" t="n">
        <v>1.4</v>
      </c>
      <c r="D9994" s="0" t="n">
        <v>0</v>
      </c>
      <c r="E9994" s="0" t="n">
        <v>100</v>
      </c>
    </row>
    <row r="9995" customFormat="false" ht="13.8" hidden="true" customHeight="false" outlineLevel="0" collapsed="false">
      <c r="A9995" s="0" t="s">
        <v>192</v>
      </c>
      <c r="B9995" s="0" t="n">
        <v>35</v>
      </c>
      <c r="C9995" s="0" t="n">
        <v>1.45</v>
      </c>
      <c r="D9995" s="0" t="n">
        <v>0</v>
      </c>
      <c r="E9995" s="0" t="n">
        <v>100</v>
      </c>
    </row>
    <row r="9996" customFormat="false" ht="13.8" hidden="true" customHeight="false" outlineLevel="0" collapsed="false">
      <c r="A9996" s="0" t="s">
        <v>192</v>
      </c>
      <c r="B9996" s="0" t="n">
        <v>35</v>
      </c>
      <c r="C9996" s="0" t="n">
        <v>1.5</v>
      </c>
      <c r="D9996" s="0" t="n">
        <v>1.1025</v>
      </c>
      <c r="E9996" s="0" t="n">
        <v>100</v>
      </c>
    </row>
    <row r="9997" customFormat="false" ht="13.8" hidden="true" customHeight="false" outlineLevel="0" collapsed="false">
      <c r="A9997" s="0" t="s">
        <v>192</v>
      </c>
      <c r="B9997" s="0" t="n">
        <v>35</v>
      </c>
      <c r="C9997" s="0" t="n">
        <v>1.55</v>
      </c>
      <c r="D9997" s="0" t="n">
        <v>1.13925</v>
      </c>
      <c r="E9997" s="0" t="n">
        <v>100</v>
      </c>
    </row>
    <row r="9998" customFormat="false" ht="13.8" hidden="true" customHeight="false" outlineLevel="0" collapsed="false">
      <c r="A9998" s="0" t="s">
        <v>192</v>
      </c>
      <c r="B9998" s="0" t="n">
        <v>35</v>
      </c>
      <c r="C9998" s="0" t="n">
        <v>1.6</v>
      </c>
      <c r="D9998" s="0" t="n">
        <v>1.176</v>
      </c>
      <c r="E9998" s="0" t="n">
        <v>100</v>
      </c>
    </row>
    <row r="9999" customFormat="false" ht="13.8" hidden="true" customHeight="false" outlineLevel="0" collapsed="false">
      <c r="A9999" s="0" t="s">
        <v>192</v>
      </c>
      <c r="B9999" s="0" t="n">
        <v>35</v>
      </c>
      <c r="C9999" s="0" t="n">
        <v>1.65</v>
      </c>
      <c r="D9999" s="0" t="n">
        <v>1.21275</v>
      </c>
      <c r="E9999" s="0" t="n">
        <v>100</v>
      </c>
    </row>
    <row r="10000" customFormat="false" ht="13.8" hidden="true" customHeight="false" outlineLevel="0" collapsed="false">
      <c r="A10000" s="0" t="s">
        <v>192</v>
      </c>
      <c r="B10000" s="0" t="n">
        <v>35</v>
      </c>
      <c r="C10000" s="0" t="n">
        <v>1.7</v>
      </c>
      <c r="D10000" s="0" t="n">
        <v>1.2495</v>
      </c>
      <c r="E10000" s="0" t="n">
        <v>100</v>
      </c>
    </row>
    <row r="10001" customFormat="false" ht="13.8" hidden="true" customHeight="false" outlineLevel="0" collapsed="false">
      <c r="A10001" s="0" t="s">
        <v>192</v>
      </c>
      <c r="B10001" s="0" t="n">
        <v>35</v>
      </c>
      <c r="C10001" s="0" t="n">
        <v>1.75</v>
      </c>
      <c r="D10001" s="0" t="n">
        <v>1.28625</v>
      </c>
      <c r="E10001" s="0" t="n">
        <v>100</v>
      </c>
    </row>
    <row r="10002" customFormat="false" ht="13.8" hidden="true" customHeight="false" outlineLevel="0" collapsed="false">
      <c r="A10002" s="0" t="s">
        <v>192</v>
      </c>
      <c r="B10002" s="0" t="n">
        <v>35</v>
      </c>
      <c r="C10002" s="0" t="n">
        <v>1.8</v>
      </c>
      <c r="D10002" s="0" t="n">
        <v>0</v>
      </c>
      <c r="E10002" s="0" t="n">
        <v>100</v>
      </c>
    </row>
    <row r="10003" customFormat="false" ht="13.8" hidden="true" customHeight="false" outlineLevel="0" collapsed="false">
      <c r="A10003" s="0" t="s">
        <v>192</v>
      </c>
      <c r="B10003" s="0" t="n">
        <v>35</v>
      </c>
      <c r="C10003" s="0" t="n">
        <v>1.85</v>
      </c>
      <c r="D10003" s="0" t="n">
        <v>0</v>
      </c>
      <c r="E10003" s="0" t="n">
        <v>100</v>
      </c>
    </row>
    <row r="10004" customFormat="false" ht="13.8" hidden="true" customHeight="false" outlineLevel="0" collapsed="false">
      <c r="A10004" s="0" t="s">
        <v>192</v>
      </c>
      <c r="B10004" s="0" t="n">
        <v>35</v>
      </c>
      <c r="C10004" s="0" t="n">
        <v>1.9</v>
      </c>
      <c r="D10004" s="0" t="n">
        <v>0</v>
      </c>
      <c r="E10004" s="0" t="n">
        <v>100</v>
      </c>
    </row>
    <row r="10005" customFormat="false" ht="13.8" hidden="true" customHeight="false" outlineLevel="0" collapsed="false">
      <c r="A10005" s="0" t="s">
        <v>192</v>
      </c>
      <c r="B10005" s="0" t="n">
        <v>35</v>
      </c>
      <c r="C10005" s="0" t="n">
        <v>1.95</v>
      </c>
      <c r="D10005" s="0" t="n">
        <v>0</v>
      </c>
      <c r="E10005" s="0" t="n">
        <v>100</v>
      </c>
    </row>
    <row r="10006" customFormat="false" ht="13.8" hidden="true" customHeight="false" outlineLevel="0" collapsed="false">
      <c r="A10006" s="0" t="s">
        <v>192</v>
      </c>
      <c r="B10006" s="0" t="n">
        <v>35</v>
      </c>
      <c r="C10006" s="0" t="n">
        <v>2</v>
      </c>
      <c r="D10006" s="0" t="n">
        <v>0</v>
      </c>
      <c r="E10006" s="0" t="n">
        <v>100</v>
      </c>
    </row>
    <row r="10007" customFormat="false" ht="13.8" hidden="true" customHeight="false" outlineLevel="0" collapsed="false">
      <c r="A10007" s="0" t="s">
        <v>192</v>
      </c>
      <c r="B10007" s="0" t="n">
        <v>35</v>
      </c>
      <c r="C10007" s="0" t="n">
        <v>2.05</v>
      </c>
      <c r="D10007" s="0" t="n">
        <v>0</v>
      </c>
      <c r="E10007" s="0" t="n">
        <v>100</v>
      </c>
    </row>
    <row r="10008" customFormat="false" ht="13.8" hidden="true" customHeight="false" outlineLevel="0" collapsed="false">
      <c r="A10008" s="0" t="s">
        <v>192</v>
      </c>
      <c r="B10008" s="0" t="n">
        <v>35</v>
      </c>
      <c r="C10008" s="0" t="n">
        <v>2.1</v>
      </c>
      <c r="D10008" s="0" t="n">
        <v>0</v>
      </c>
      <c r="E10008" s="0" t="n">
        <v>100</v>
      </c>
    </row>
    <row r="10009" customFormat="false" ht="13.8" hidden="true" customHeight="false" outlineLevel="0" collapsed="false">
      <c r="A10009" s="0" t="s">
        <v>192</v>
      </c>
      <c r="B10009" s="0" t="n">
        <v>35</v>
      </c>
      <c r="C10009" s="0" t="n">
        <v>2.15</v>
      </c>
      <c r="D10009" s="0" t="n">
        <v>0</v>
      </c>
      <c r="E10009" s="0" t="n">
        <v>100</v>
      </c>
    </row>
    <row r="10010" customFormat="false" ht="13.8" hidden="true" customHeight="false" outlineLevel="0" collapsed="false">
      <c r="A10010" s="0" t="s">
        <v>192</v>
      </c>
      <c r="B10010" s="0" t="n">
        <v>35</v>
      </c>
      <c r="C10010" s="0" t="n">
        <v>2.2</v>
      </c>
      <c r="D10010" s="0" t="n">
        <v>0</v>
      </c>
      <c r="E10010" s="0" t="n">
        <v>100</v>
      </c>
    </row>
    <row r="10011" customFormat="false" ht="13.8" hidden="true" customHeight="false" outlineLevel="0" collapsed="false">
      <c r="A10011" s="0" t="s">
        <v>192</v>
      </c>
      <c r="B10011" s="0" t="n">
        <v>35</v>
      </c>
      <c r="C10011" s="0" t="n">
        <v>2.25</v>
      </c>
      <c r="D10011" s="0" t="n">
        <v>0</v>
      </c>
      <c r="E10011" s="0" t="n">
        <v>100</v>
      </c>
    </row>
    <row r="10012" customFormat="false" ht="13.8" hidden="true" customHeight="false" outlineLevel="0" collapsed="false">
      <c r="A10012" s="0" t="s">
        <v>192</v>
      </c>
      <c r="B10012" s="0" t="n">
        <v>35</v>
      </c>
      <c r="C10012" s="0" t="n">
        <v>2.3</v>
      </c>
      <c r="D10012" s="0" t="n">
        <v>0</v>
      </c>
      <c r="E10012" s="0" t="n">
        <v>100</v>
      </c>
    </row>
    <row r="10013" customFormat="false" ht="13.8" hidden="true" customHeight="false" outlineLevel="0" collapsed="false">
      <c r="A10013" s="0" t="s">
        <v>192</v>
      </c>
      <c r="B10013" s="0" t="n">
        <v>35</v>
      </c>
      <c r="C10013" s="0" t="n">
        <v>2.35</v>
      </c>
      <c r="D10013" s="0" t="n">
        <v>0</v>
      </c>
      <c r="E10013" s="0" t="n">
        <v>100</v>
      </c>
    </row>
    <row r="10014" customFormat="false" ht="13.8" hidden="true" customHeight="false" outlineLevel="0" collapsed="false">
      <c r="A10014" s="0" t="s">
        <v>192</v>
      </c>
      <c r="B10014" s="0" t="n">
        <v>35</v>
      </c>
      <c r="C10014" s="0" t="n">
        <v>2.4</v>
      </c>
      <c r="D10014" s="0" t="n">
        <v>0</v>
      </c>
      <c r="E10014" s="0" t="n">
        <v>100</v>
      </c>
    </row>
    <row r="10015" customFormat="false" ht="13.8" hidden="true" customHeight="false" outlineLevel="0" collapsed="false">
      <c r="A10015" s="0" t="s">
        <v>192</v>
      </c>
      <c r="B10015" s="0" t="n">
        <v>35</v>
      </c>
      <c r="C10015" s="0" t="n">
        <v>2.45</v>
      </c>
      <c r="D10015" s="0" t="n">
        <v>0</v>
      </c>
      <c r="E10015" s="0" t="n">
        <v>100</v>
      </c>
    </row>
    <row r="10016" customFormat="false" ht="13.8" hidden="true" customHeight="false" outlineLevel="0" collapsed="false">
      <c r="A10016" s="0" t="s">
        <v>192</v>
      </c>
      <c r="B10016" s="0" t="n">
        <v>35</v>
      </c>
      <c r="C10016" s="0" t="n">
        <v>2.5</v>
      </c>
      <c r="D10016" s="0" t="n">
        <v>0</v>
      </c>
      <c r="E10016" s="0" t="n">
        <v>100</v>
      </c>
    </row>
    <row r="10017" customFormat="false" ht="13.8" hidden="true" customHeight="false" outlineLevel="0" collapsed="false">
      <c r="A10017" s="0" t="s">
        <v>192</v>
      </c>
      <c r="B10017" s="0" t="n">
        <v>35</v>
      </c>
      <c r="C10017" s="0" t="n">
        <v>2.55</v>
      </c>
      <c r="D10017" s="0" t="n">
        <v>0</v>
      </c>
      <c r="E10017" s="0" t="n">
        <v>100</v>
      </c>
    </row>
    <row r="10018" customFormat="false" ht="13.8" hidden="true" customHeight="false" outlineLevel="0" collapsed="false">
      <c r="A10018" s="0" t="s">
        <v>192</v>
      </c>
      <c r="B10018" s="0" t="n">
        <v>35</v>
      </c>
      <c r="C10018" s="0" t="n">
        <v>2.6</v>
      </c>
      <c r="D10018" s="0" t="n">
        <v>0</v>
      </c>
      <c r="E10018" s="0" t="n">
        <v>100</v>
      </c>
    </row>
    <row r="10019" customFormat="false" ht="13.8" hidden="true" customHeight="false" outlineLevel="0" collapsed="false">
      <c r="A10019" s="0" t="s">
        <v>193</v>
      </c>
      <c r="B10019" s="0" t="n">
        <v>35</v>
      </c>
      <c r="C10019" s="0" t="n">
        <v>1.3</v>
      </c>
      <c r="D10019" s="0" t="n">
        <v>0</v>
      </c>
      <c r="E10019" s="0" t="n">
        <v>103.5</v>
      </c>
    </row>
    <row r="10020" customFormat="false" ht="13.8" hidden="true" customHeight="false" outlineLevel="0" collapsed="false">
      <c r="A10020" s="0" t="s">
        <v>193</v>
      </c>
      <c r="B10020" s="0" t="n">
        <v>35</v>
      </c>
      <c r="C10020" s="0" t="n">
        <v>1.35</v>
      </c>
      <c r="D10020" s="0" t="n">
        <v>0</v>
      </c>
      <c r="E10020" s="0" t="n">
        <v>103.5</v>
      </c>
    </row>
    <row r="10021" customFormat="false" ht="13.8" hidden="true" customHeight="false" outlineLevel="0" collapsed="false">
      <c r="A10021" s="0" t="s">
        <v>193</v>
      </c>
      <c r="B10021" s="0" t="n">
        <v>35</v>
      </c>
      <c r="C10021" s="0" t="n">
        <v>1.4</v>
      </c>
      <c r="D10021" s="0" t="n">
        <v>0</v>
      </c>
      <c r="E10021" s="0" t="n">
        <v>103.5</v>
      </c>
    </row>
    <row r="10022" customFormat="false" ht="13.8" hidden="true" customHeight="false" outlineLevel="0" collapsed="false">
      <c r="A10022" s="0" t="s">
        <v>193</v>
      </c>
      <c r="B10022" s="0" t="n">
        <v>35</v>
      </c>
      <c r="C10022" s="0" t="n">
        <v>1.45</v>
      </c>
      <c r="D10022" s="0" t="n">
        <v>0</v>
      </c>
      <c r="E10022" s="0" t="n">
        <v>103.5</v>
      </c>
    </row>
    <row r="10023" customFormat="false" ht="13.8" hidden="true" customHeight="false" outlineLevel="0" collapsed="false">
      <c r="A10023" s="0" t="s">
        <v>193</v>
      </c>
      <c r="B10023" s="0" t="n">
        <v>35</v>
      </c>
      <c r="C10023" s="0" t="n">
        <v>1.5</v>
      </c>
      <c r="D10023" s="0" t="n">
        <v>1.1025</v>
      </c>
      <c r="E10023" s="0" t="n">
        <v>103.5</v>
      </c>
    </row>
    <row r="10024" customFormat="false" ht="13.8" hidden="true" customHeight="false" outlineLevel="0" collapsed="false">
      <c r="A10024" s="0" t="s">
        <v>193</v>
      </c>
      <c r="B10024" s="0" t="n">
        <v>35</v>
      </c>
      <c r="C10024" s="0" t="n">
        <v>1.55</v>
      </c>
      <c r="D10024" s="0" t="n">
        <v>1.13925</v>
      </c>
      <c r="E10024" s="0" t="n">
        <v>103.5</v>
      </c>
    </row>
    <row r="10025" customFormat="false" ht="13.8" hidden="true" customHeight="false" outlineLevel="0" collapsed="false">
      <c r="A10025" s="0" t="s">
        <v>193</v>
      </c>
      <c r="B10025" s="0" t="n">
        <v>35</v>
      </c>
      <c r="C10025" s="0" t="n">
        <v>1.6</v>
      </c>
      <c r="D10025" s="0" t="n">
        <v>1.176</v>
      </c>
      <c r="E10025" s="0" t="n">
        <v>103.5</v>
      </c>
    </row>
    <row r="10026" customFormat="false" ht="13.8" hidden="true" customHeight="false" outlineLevel="0" collapsed="false">
      <c r="A10026" s="0" t="s">
        <v>193</v>
      </c>
      <c r="B10026" s="0" t="n">
        <v>35</v>
      </c>
      <c r="C10026" s="0" t="n">
        <v>1.65</v>
      </c>
      <c r="D10026" s="0" t="n">
        <v>1.21275</v>
      </c>
      <c r="E10026" s="0" t="n">
        <v>103.5</v>
      </c>
    </row>
    <row r="10027" customFormat="false" ht="13.8" hidden="true" customHeight="false" outlineLevel="0" collapsed="false">
      <c r="A10027" s="0" t="s">
        <v>193</v>
      </c>
      <c r="B10027" s="0" t="n">
        <v>35</v>
      </c>
      <c r="C10027" s="0" t="n">
        <v>1.7</v>
      </c>
      <c r="D10027" s="0" t="n">
        <v>1.2495</v>
      </c>
      <c r="E10027" s="0" t="n">
        <v>103.5</v>
      </c>
    </row>
    <row r="10028" customFormat="false" ht="13.8" hidden="true" customHeight="false" outlineLevel="0" collapsed="false">
      <c r="A10028" s="0" t="s">
        <v>193</v>
      </c>
      <c r="B10028" s="0" t="n">
        <v>35</v>
      </c>
      <c r="C10028" s="0" t="n">
        <v>1.75</v>
      </c>
      <c r="D10028" s="0" t="n">
        <v>1.28625</v>
      </c>
      <c r="E10028" s="0" t="n">
        <v>103.5</v>
      </c>
    </row>
    <row r="10029" customFormat="false" ht="13.8" hidden="true" customHeight="false" outlineLevel="0" collapsed="false">
      <c r="A10029" s="0" t="s">
        <v>193</v>
      </c>
      <c r="B10029" s="0" t="n">
        <v>35</v>
      </c>
      <c r="C10029" s="0" t="n">
        <v>1.8</v>
      </c>
      <c r="D10029" s="0" t="n">
        <v>0</v>
      </c>
      <c r="E10029" s="0" t="n">
        <v>103.5</v>
      </c>
    </row>
    <row r="10030" customFormat="false" ht="13.8" hidden="true" customHeight="false" outlineLevel="0" collapsed="false">
      <c r="A10030" s="0" t="s">
        <v>193</v>
      </c>
      <c r="B10030" s="0" t="n">
        <v>35</v>
      </c>
      <c r="C10030" s="0" t="n">
        <v>1.85</v>
      </c>
      <c r="D10030" s="0" t="n">
        <v>0</v>
      </c>
      <c r="E10030" s="0" t="n">
        <v>103.5</v>
      </c>
    </row>
    <row r="10031" customFormat="false" ht="13.8" hidden="true" customHeight="false" outlineLevel="0" collapsed="false">
      <c r="A10031" s="0" t="s">
        <v>193</v>
      </c>
      <c r="B10031" s="0" t="n">
        <v>35</v>
      </c>
      <c r="C10031" s="0" t="n">
        <v>1.9</v>
      </c>
      <c r="D10031" s="0" t="n">
        <v>0</v>
      </c>
      <c r="E10031" s="0" t="n">
        <v>103.5</v>
      </c>
    </row>
    <row r="10032" customFormat="false" ht="13.8" hidden="true" customHeight="false" outlineLevel="0" collapsed="false">
      <c r="A10032" s="0" t="s">
        <v>193</v>
      </c>
      <c r="B10032" s="0" t="n">
        <v>35</v>
      </c>
      <c r="C10032" s="0" t="n">
        <v>1.95</v>
      </c>
      <c r="D10032" s="0" t="n">
        <v>0</v>
      </c>
      <c r="E10032" s="0" t="n">
        <v>103.5</v>
      </c>
    </row>
    <row r="10033" customFormat="false" ht="13.8" hidden="true" customHeight="false" outlineLevel="0" collapsed="false">
      <c r="A10033" s="0" t="s">
        <v>193</v>
      </c>
      <c r="B10033" s="0" t="n">
        <v>35</v>
      </c>
      <c r="C10033" s="0" t="n">
        <v>2</v>
      </c>
      <c r="D10033" s="0" t="n">
        <v>0</v>
      </c>
      <c r="E10033" s="0" t="n">
        <v>103.5</v>
      </c>
    </row>
    <row r="10034" customFormat="false" ht="13.8" hidden="true" customHeight="false" outlineLevel="0" collapsed="false">
      <c r="A10034" s="0" t="s">
        <v>193</v>
      </c>
      <c r="B10034" s="0" t="n">
        <v>35</v>
      </c>
      <c r="C10034" s="0" t="n">
        <v>2.05</v>
      </c>
      <c r="D10034" s="0" t="n">
        <v>0</v>
      </c>
      <c r="E10034" s="0" t="n">
        <v>103.5</v>
      </c>
    </row>
    <row r="10035" customFormat="false" ht="13.8" hidden="true" customHeight="false" outlineLevel="0" collapsed="false">
      <c r="A10035" s="0" t="s">
        <v>193</v>
      </c>
      <c r="B10035" s="0" t="n">
        <v>35</v>
      </c>
      <c r="C10035" s="0" t="n">
        <v>2.1</v>
      </c>
      <c r="D10035" s="0" t="n">
        <v>0</v>
      </c>
      <c r="E10035" s="0" t="n">
        <v>103.5</v>
      </c>
    </row>
    <row r="10036" customFormat="false" ht="13.8" hidden="true" customHeight="false" outlineLevel="0" collapsed="false">
      <c r="A10036" s="0" t="s">
        <v>193</v>
      </c>
      <c r="B10036" s="0" t="n">
        <v>35</v>
      </c>
      <c r="C10036" s="0" t="n">
        <v>2.15</v>
      </c>
      <c r="D10036" s="0" t="n">
        <v>0</v>
      </c>
      <c r="E10036" s="0" t="n">
        <v>103.5</v>
      </c>
    </row>
    <row r="10037" customFormat="false" ht="13.8" hidden="true" customHeight="false" outlineLevel="0" collapsed="false">
      <c r="A10037" s="0" t="s">
        <v>193</v>
      </c>
      <c r="B10037" s="0" t="n">
        <v>35</v>
      </c>
      <c r="C10037" s="0" t="n">
        <v>2.2</v>
      </c>
      <c r="D10037" s="0" t="n">
        <v>0</v>
      </c>
      <c r="E10037" s="0" t="n">
        <v>103.5</v>
      </c>
    </row>
    <row r="10038" customFormat="false" ht="13.8" hidden="true" customHeight="false" outlineLevel="0" collapsed="false">
      <c r="A10038" s="0" t="s">
        <v>193</v>
      </c>
      <c r="B10038" s="0" t="n">
        <v>35</v>
      </c>
      <c r="C10038" s="0" t="n">
        <v>2.25</v>
      </c>
      <c r="D10038" s="0" t="n">
        <v>0</v>
      </c>
      <c r="E10038" s="0" t="n">
        <v>103.5</v>
      </c>
    </row>
    <row r="10039" customFormat="false" ht="13.8" hidden="true" customHeight="false" outlineLevel="0" collapsed="false">
      <c r="A10039" s="0" t="s">
        <v>193</v>
      </c>
      <c r="B10039" s="0" t="n">
        <v>35</v>
      </c>
      <c r="C10039" s="0" t="n">
        <v>2.3</v>
      </c>
      <c r="D10039" s="0" t="n">
        <v>0</v>
      </c>
      <c r="E10039" s="0" t="n">
        <v>103.5</v>
      </c>
    </row>
    <row r="10040" customFormat="false" ht="13.8" hidden="true" customHeight="false" outlineLevel="0" collapsed="false">
      <c r="A10040" s="0" t="s">
        <v>193</v>
      </c>
      <c r="B10040" s="0" t="n">
        <v>35</v>
      </c>
      <c r="C10040" s="0" t="n">
        <v>2.35</v>
      </c>
      <c r="D10040" s="0" t="n">
        <v>0</v>
      </c>
      <c r="E10040" s="0" t="n">
        <v>103.5</v>
      </c>
    </row>
    <row r="10041" customFormat="false" ht="13.8" hidden="true" customHeight="false" outlineLevel="0" collapsed="false">
      <c r="A10041" s="0" t="s">
        <v>193</v>
      </c>
      <c r="B10041" s="0" t="n">
        <v>35</v>
      </c>
      <c r="C10041" s="0" t="n">
        <v>2.4</v>
      </c>
      <c r="D10041" s="0" t="n">
        <v>0</v>
      </c>
      <c r="E10041" s="0" t="n">
        <v>103.5</v>
      </c>
    </row>
    <row r="10042" customFormat="false" ht="13.8" hidden="true" customHeight="false" outlineLevel="0" collapsed="false">
      <c r="A10042" s="0" t="s">
        <v>193</v>
      </c>
      <c r="B10042" s="0" t="n">
        <v>35</v>
      </c>
      <c r="C10042" s="0" t="n">
        <v>2.45</v>
      </c>
      <c r="D10042" s="0" t="n">
        <v>0</v>
      </c>
      <c r="E10042" s="0" t="n">
        <v>103.5</v>
      </c>
    </row>
    <row r="10043" customFormat="false" ht="13.8" hidden="true" customHeight="false" outlineLevel="0" collapsed="false">
      <c r="A10043" s="0" t="s">
        <v>193</v>
      </c>
      <c r="B10043" s="0" t="n">
        <v>35</v>
      </c>
      <c r="C10043" s="0" t="n">
        <v>2.5</v>
      </c>
      <c r="D10043" s="0" t="n">
        <v>0</v>
      </c>
      <c r="E10043" s="0" t="n">
        <v>103.5</v>
      </c>
    </row>
    <row r="10044" customFormat="false" ht="13.8" hidden="true" customHeight="false" outlineLevel="0" collapsed="false">
      <c r="A10044" s="0" t="s">
        <v>193</v>
      </c>
      <c r="B10044" s="0" t="n">
        <v>35</v>
      </c>
      <c r="C10044" s="0" t="n">
        <v>2.55</v>
      </c>
      <c r="D10044" s="0" t="n">
        <v>0</v>
      </c>
      <c r="E10044" s="0" t="n">
        <v>103.5</v>
      </c>
    </row>
    <row r="10045" customFormat="false" ht="13.8" hidden="true" customHeight="false" outlineLevel="0" collapsed="false">
      <c r="A10045" s="0" t="s">
        <v>193</v>
      </c>
      <c r="B10045" s="0" t="n">
        <v>35</v>
      </c>
      <c r="C10045" s="0" t="n">
        <v>2.6</v>
      </c>
      <c r="D10045" s="0" t="n">
        <v>0</v>
      </c>
      <c r="E10045" s="0" t="n">
        <v>103.5</v>
      </c>
    </row>
    <row r="10046" customFormat="false" ht="13.8" hidden="true" customHeight="false" outlineLevel="0" collapsed="false">
      <c r="A10046" s="0" t="s">
        <v>194</v>
      </c>
      <c r="B10046" s="0" t="n">
        <v>35</v>
      </c>
      <c r="C10046" s="0" t="n">
        <v>1.3</v>
      </c>
      <c r="D10046" s="0" t="n">
        <v>0</v>
      </c>
      <c r="E10046" s="0" t="n">
        <v>100</v>
      </c>
    </row>
    <row r="10047" customFormat="false" ht="13.8" hidden="true" customHeight="false" outlineLevel="0" collapsed="false">
      <c r="A10047" s="0" t="s">
        <v>194</v>
      </c>
      <c r="B10047" s="0" t="n">
        <v>35</v>
      </c>
      <c r="C10047" s="0" t="n">
        <v>1.35</v>
      </c>
      <c r="D10047" s="0" t="n">
        <v>0</v>
      </c>
      <c r="E10047" s="0" t="n">
        <v>100</v>
      </c>
    </row>
    <row r="10048" customFormat="false" ht="13.8" hidden="true" customHeight="false" outlineLevel="0" collapsed="false">
      <c r="A10048" s="0" t="s">
        <v>194</v>
      </c>
      <c r="B10048" s="0" t="n">
        <v>35</v>
      </c>
      <c r="C10048" s="0" t="n">
        <v>1.4</v>
      </c>
      <c r="D10048" s="0" t="n">
        <v>0</v>
      </c>
      <c r="E10048" s="0" t="n">
        <v>100</v>
      </c>
    </row>
    <row r="10049" customFormat="false" ht="13.8" hidden="true" customHeight="false" outlineLevel="0" collapsed="false">
      <c r="A10049" s="0" t="s">
        <v>194</v>
      </c>
      <c r="B10049" s="0" t="n">
        <v>35</v>
      </c>
      <c r="C10049" s="0" t="n">
        <v>1.45</v>
      </c>
      <c r="D10049" s="0" t="n">
        <v>0</v>
      </c>
      <c r="E10049" s="0" t="n">
        <v>100</v>
      </c>
    </row>
    <row r="10050" customFormat="false" ht="13.8" hidden="true" customHeight="false" outlineLevel="0" collapsed="false">
      <c r="A10050" s="0" t="s">
        <v>194</v>
      </c>
      <c r="B10050" s="0" t="n">
        <v>35</v>
      </c>
      <c r="C10050" s="0" t="n">
        <v>1.5</v>
      </c>
      <c r="D10050" s="0" t="n">
        <v>1.1025</v>
      </c>
      <c r="E10050" s="0" t="n">
        <v>100</v>
      </c>
    </row>
    <row r="10051" customFormat="false" ht="13.8" hidden="true" customHeight="false" outlineLevel="0" collapsed="false">
      <c r="A10051" s="0" t="s">
        <v>194</v>
      </c>
      <c r="B10051" s="0" t="n">
        <v>35</v>
      </c>
      <c r="C10051" s="0" t="n">
        <v>1.55</v>
      </c>
      <c r="D10051" s="0" t="n">
        <v>1.13925</v>
      </c>
      <c r="E10051" s="0" t="n">
        <v>100</v>
      </c>
    </row>
    <row r="10052" customFormat="false" ht="13.8" hidden="true" customHeight="false" outlineLevel="0" collapsed="false">
      <c r="A10052" s="0" t="s">
        <v>194</v>
      </c>
      <c r="B10052" s="0" t="n">
        <v>35</v>
      </c>
      <c r="C10052" s="0" t="n">
        <v>1.6</v>
      </c>
      <c r="D10052" s="0" t="n">
        <v>1.176</v>
      </c>
      <c r="E10052" s="0" t="n">
        <v>100</v>
      </c>
    </row>
    <row r="10053" customFormat="false" ht="13.8" hidden="true" customHeight="false" outlineLevel="0" collapsed="false">
      <c r="A10053" s="0" t="s">
        <v>194</v>
      </c>
      <c r="B10053" s="0" t="n">
        <v>35</v>
      </c>
      <c r="C10053" s="0" t="n">
        <v>1.65</v>
      </c>
      <c r="D10053" s="0" t="n">
        <v>1.21275</v>
      </c>
      <c r="E10053" s="0" t="n">
        <v>100</v>
      </c>
    </row>
    <row r="10054" customFormat="false" ht="13.8" hidden="true" customHeight="false" outlineLevel="0" collapsed="false">
      <c r="A10054" s="0" t="s">
        <v>194</v>
      </c>
      <c r="B10054" s="0" t="n">
        <v>35</v>
      </c>
      <c r="C10054" s="0" t="n">
        <v>1.7</v>
      </c>
      <c r="D10054" s="0" t="n">
        <v>1.2495</v>
      </c>
      <c r="E10054" s="0" t="n">
        <v>100</v>
      </c>
    </row>
    <row r="10055" customFormat="false" ht="13.8" hidden="true" customHeight="false" outlineLevel="0" collapsed="false">
      <c r="A10055" s="0" t="s">
        <v>194</v>
      </c>
      <c r="B10055" s="0" t="n">
        <v>35</v>
      </c>
      <c r="C10055" s="0" t="n">
        <v>1.75</v>
      </c>
      <c r="D10055" s="0" t="n">
        <v>1.28625</v>
      </c>
      <c r="E10055" s="0" t="n">
        <v>100</v>
      </c>
    </row>
    <row r="10056" customFormat="false" ht="13.8" hidden="true" customHeight="false" outlineLevel="0" collapsed="false">
      <c r="A10056" s="0" t="s">
        <v>194</v>
      </c>
      <c r="B10056" s="0" t="n">
        <v>35</v>
      </c>
      <c r="C10056" s="0" t="n">
        <v>1.8</v>
      </c>
      <c r="D10056" s="0" t="n">
        <v>0</v>
      </c>
      <c r="E10056" s="0" t="n">
        <v>100</v>
      </c>
    </row>
    <row r="10057" customFormat="false" ht="13.8" hidden="true" customHeight="false" outlineLevel="0" collapsed="false">
      <c r="A10057" s="0" t="s">
        <v>194</v>
      </c>
      <c r="B10057" s="0" t="n">
        <v>35</v>
      </c>
      <c r="C10057" s="0" t="n">
        <v>1.85</v>
      </c>
      <c r="D10057" s="0" t="n">
        <v>0</v>
      </c>
      <c r="E10057" s="0" t="n">
        <v>100</v>
      </c>
    </row>
    <row r="10058" customFormat="false" ht="13.8" hidden="true" customHeight="false" outlineLevel="0" collapsed="false">
      <c r="A10058" s="0" t="s">
        <v>194</v>
      </c>
      <c r="B10058" s="0" t="n">
        <v>35</v>
      </c>
      <c r="C10058" s="0" t="n">
        <v>1.9</v>
      </c>
      <c r="D10058" s="0" t="n">
        <v>0</v>
      </c>
      <c r="E10058" s="0" t="n">
        <v>100</v>
      </c>
    </row>
    <row r="10059" customFormat="false" ht="13.8" hidden="true" customHeight="false" outlineLevel="0" collapsed="false">
      <c r="A10059" s="0" t="s">
        <v>194</v>
      </c>
      <c r="B10059" s="0" t="n">
        <v>35</v>
      </c>
      <c r="C10059" s="0" t="n">
        <v>1.95</v>
      </c>
      <c r="D10059" s="0" t="n">
        <v>0</v>
      </c>
      <c r="E10059" s="0" t="n">
        <v>100</v>
      </c>
    </row>
    <row r="10060" customFormat="false" ht="13.8" hidden="true" customHeight="false" outlineLevel="0" collapsed="false">
      <c r="A10060" s="0" t="s">
        <v>194</v>
      </c>
      <c r="B10060" s="0" t="n">
        <v>35</v>
      </c>
      <c r="C10060" s="0" t="n">
        <v>2</v>
      </c>
      <c r="D10060" s="0" t="n">
        <v>0</v>
      </c>
      <c r="E10060" s="0" t="n">
        <v>100</v>
      </c>
    </row>
    <row r="10061" customFormat="false" ht="13.8" hidden="true" customHeight="false" outlineLevel="0" collapsed="false">
      <c r="A10061" s="0" t="s">
        <v>194</v>
      </c>
      <c r="B10061" s="0" t="n">
        <v>35</v>
      </c>
      <c r="C10061" s="0" t="n">
        <v>2.05</v>
      </c>
      <c r="D10061" s="0" t="n">
        <v>0</v>
      </c>
      <c r="E10061" s="0" t="n">
        <v>100</v>
      </c>
    </row>
    <row r="10062" customFormat="false" ht="13.8" hidden="true" customHeight="false" outlineLevel="0" collapsed="false">
      <c r="A10062" s="0" t="s">
        <v>194</v>
      </c>
      <c r="B10062" s="0" t="n">
        <v>35</v>
      </c>
      <c r="C10062" s="0" t="n">
        <v>2.1</v>
      </c>
      <c r="D10062" s="0" t="n">
        <v>0</v>
      </c>
      <c r="E10062" s="0" t="n">
        <v>100</v>
      </c>
    </row>
    <row r="10063" customFormat="false" ht="13.8" hidden="true" customHeight="false" outlineLevel="0" collapsed="false">
      <c r="A10063" s="0" t="s">
        <v>194</v>
      </c>
      <c r="B10063" s="0" t="n">
        <v>35</v>
      </c>
      <c r="C10063" s="0" t="n">
        <v>2.15</v>
      </c>
      <c r="D10063" s="0" t="n">
        <v>0</v>
      </c>
      <c r="E10063" s="0" t="n">
        <v>100</v>
      </c>
    </row>
    <row r="10064" customFormat="false" ht="13.8" hidden="true" customHeight="false" outlineLevel="0" collapsed="false">
      <c r="A10064" s="0" t="s">
        <v>194</v>
      </c>
      <c r="B10064" s="0" t="n">
        <v>35</v>
      </c>
      <c r="C10064" s="0" t="n">
        <v>2.2</v>
      </c>
      <c r="D10064" s="0" t="n">
        <v>0</v>
      </c>
      <c r="E10064" s="0" t="n">
        <v>100</v>
      </c>
    </row>
    <row r="10065" customFormat="false" ht="13.8" hidden="true" customHeight="false" outlineLevel="0" collapsed="false">
      <c r="A10065" s="0" t="s">
        <v>194</v>
      </c>
      <c r="B10065" s="0" t="n">
        <v>35</v>
      </c>
      <c r="C10065" s="0" t="n">
        <v>2.25</v>
      </c>
      <c r="D10065" s="0" t="n">
        <v>0</v>
      </c>
      <c r="E10065" s="0" t="n">
        <v>100</v>
      </c>
    </row>
    <row r="10066" customFormat="false" ht="13.8" hidden="true" customHeight="false" outlineLevel="0" collapsed="false">
      <c r="A10066" s="0" t="s">
        <v>194</v>
      </c>
      <c r="B10066" s="0" t="n">
        <v>35</v>
      </c>
      <c r="C10066" s="0" t="n">
        <v>2.3</v>
      </c>
      <c r="D10066" s="0" t="n">
        <v>0</v>
      </c>
      <c r="E10066" s="0" t="n">
        <v>100</v>
      </c>
    </row>
    <row r="10067" customFormat="false" ht="13.8" hidden="true" customHeight="false" outlineLevel="0" collapsed="false">
      <c r="A10067" s="0" t="s">
        <v>194</v>
      </c>
      <c r="B10067" s="0" t="n">
        <v>35</v>
      </c>
      <c r="C10067" s="0" t="n">
        <v>2.35</v>
      </c>
      <c r="D10067" s="0" t="n">
        <v>0</v>
      </c>
      <c r="E10067" s="0" t="n">
        <v>100</v>
      </c>
    </row>
    <row r="10068" customFormat="false" ht="13.8" hidden="true" customHeight="false" outlineLevel="0" collapsed="false">
      <c r="A10068" s="0" t="s">
        <v>194</v>
      </c>
      <c r="B10068" s="0" t="n">
        <v>35</v>
      </c>
      <c r="C10068" s="0" t="n">
        <v>2.4</v>
      </c>
      <c r="D10068" s="0" t="n">
        <v>0</v>
      </c>
      <c r="E10068" s="0" t="n">
        <v>100</v>
      </c>
    </row>
    <row r="10069" customFormat="false" ht="13.8" hidden="true" customHeight="false" outlineLevel="0" collapsed="false">
      <c r="A10069" s="0" t="s">
        <v>194</v>
      </c>
      <c r="B10069" s="0" t="n">
        <v>35</v>
      </c>
      <c r="C10069" s="0" t="n">
        <v>2.45</v>
      </c>
      <c r="D10069" s="0" t="n">
        <v>0</v>
      </c>
      <c r="E10069" s="0" t="n">
        <v>100</v>
      </c>
    </row>
    <row r="10070" customFormat="false" ht="13.8" hidden="true" customHeight="false" outlineLevel="0" collapsed="false">
      <c r="A10070" s="0" t="s">
        <v>194</v>
      </c>
      <c r="B10070" s="0" t="n">
        <v>35</v>
      </c>
      <c r="C10070" s="0" t="n">
        <v>2.5</v>
      </c>
      <c r="D10070" s="0" t="n">
        <v>0</v>
      </c>
      <c r="E10070" s="0" t="n">
        <v>100</v>
      </c>
    </row>
    <row r="10071" customFormat="false" ht="13.8" hidden="true" customHeight="false" outlineLevel="0" collapsed="false">
      <c r="A10071" s="0" t="s">
        <v>194</v>
      </c>
      <c r="B10071" s="0" t="n">
        <v>35</v>
      </c>
      <c r="C10071" s="0" t="n">
        <v>2.55</v>
      </c>
      <c r="D10071" s="0" t="n">
        <v>0</v>
      </c>
      <c r="E10071" s="0" t="n">
        <v>100</v>
      </c>
    </row>
    <row r="10072" customFormat="false" ht="13.8" hidden="true" customHeight="false" outlineLevel="0" collapsed="false">
      <c r="A10072" s="0" t="s">
        <v>194</v>
      </c>
      <c r="B10072" s="0" t="n">
        <v>35</v>
      </c>
      <c r="C10072" s="0" t="n">
        <v>2.6</v>
      </c>
      <c r="D10072" s="0" t="n">
        <v>0</v>
      </c>
      <c r="E10072" s="0" t="n">
        <v>100</v>
      </c>
    </row>
    <row r="10073" customFormat="false" ht="13.8" hidden="true" customHeight="false" outlineLevel="0" collapsed="false">
      <c r="A10073" s="0" t="s">
        <v>195</v>
      </c>
      <c r="B10073" s="0" t="n">
        <v>35</v>
      </c>
      <c r="C10073" s="0" t="n">
        <v>1.3</v>
      </c>
      <c r="D10073" s="0" t="n">
        <v>0</v>
      </c>
      <c r="E10073" s="0" t="n">
        <v>100</v>
      </c>
    </row>
    <row r="10074" customFormat="false" ht="13.8" hidden="true" customHeight="false" outlineLevel="0" collapsed="false">
      <c r="A10074" s="0" t="s">
        <v>195</v>
      </c>
      <c r="B10074" s="0" t="n">
        <v>35</v>
      </c>
      <c r="C10074" s="0" t="n">
        <v>1.35</v>
      </c>
      <c r="D10074" s="0" t="n">
        <v>0</v>
      </c>
      <c r="E10074" s="0" t="n">
        <v>100</v>
      </c>
    </row>
    <row r="10075" customFormat="false" ht="13.8" hidden="true" customHeight="false" outlineLevel="0" collapsed="false">
      <c r="A10075" s="0" t="s">
        <v>195</v>
      </c>
      <c r="B10075" s="0" t="n">
        <v>35</v>
      </c>
      <c r="C10075" s="0" t="n">
        <v>1.4</v>
      </c>
      <c r="D10075" s="0" t="n">
        <v>0</v>
      </c>
      <c r="E10075" s="0" t="n">
        <v>100</v>
      </c>
    </row>
    <row r="10076" customFormat="false" ht="13.8" hidden="true" customHeight="false" outlineLevel="0" collapsed="false">
      <c r="A10076" s="0" t="s">
        <v>195</v>
      </c>
      <c r="B10076" s="0" t="n">
        <v>35</v>
      </c>
      <c r="C10076" s="0" t="n">
        <v>1.45</v>
      </c>
      <c r="D10076" s="0" t="n">
        <v>0</v>
      </c>
      <c r="E10076" s="0" t="n">
        <v>100</v>
      </c>
    </row>
    <row r="10077" customFormat="false" ht="13.8" hidden="true" customHeight="false" outlineLevel="0" collapsed="false">
      <c r="A10077" s="0" t="s">
        <v>195</v>
      </c>
      <c r="B10077" s="0" t="n">
        <v>35</v>
      </c>
      <c r="C10077" s="0" t="n">
        <v>1.5</v>
      </c>
      <c r="D10077" s="0" t="n">
        <v>1.1025</v>
      </c>
      <c r="E10077" s="0" t="n">
        <v>100</v>
      </c>
    </row>
    <row r="10078" customFormat="false" ht="13.8" hidden="true" customHeight="false" outlineLevel="0" collapsed="false">
      <c r="A10078" s="0" t="s">
        <v>195</v>
      </c>
      <c r="B10078" s="0" t="n">
        <v>35</v>
      </c>
      <c r="C10078" s="0" t="n">
        <v>1.55</v>
      </c>
      <c r="D10078" s="0" t="n">
        <v>1.13925</v>
      </c>
      <c r="E10078" s="0" t="n">
        <v>100</v>
      </c>
    </row>
    <row r="10079" customFormat="false" ht="13.8" hidden="true" customHeight="false" outlineLevel="0" collapsed="false">
      <c r="A10079" s="0" t="s">
        <v>195</v>
      </c>
      <c r="B10079" s="0" t="n">
        <v>35</v>
      </c>
      <c r="C10079" s="0" t="n">
        <v>1.6</v>
      </c>
      <c r="D10079" s="0" t="n">
        <v>1.176</v>
      </c>
      <c r="E10079" s="0" t="n">
        <v>100</v>
      </c>
    </row>
    <row r="10080" customFormat="false" ht="13.8" hidden="true" customHeight="false" outlineLevel="0" collapsed="false">
      <c r="A10080" s="0" t="s">
        <v>195</v>
      </c>
      <c r="B10080" s="0" t="n">
        <v>35</v>
      </c>
      <c r="C10080" s="0" t="n">
        <v>1.65</v>
      </c>
      <c r="D10080" s="0" t="n">
        <v>1.21275</v>
      </c>
      <c r="E10080" s="0" t="n">
        <v>100</v>
      </c>
    </row>
    <row r="10081" customFormat="false" ht="13.8" hidden="true" customHeight="false" outlineLevel="0" collapsed="false">
      <c r="A10081" s="0" t="s">
        <v>195</v>
      </c>
      <c r="B10081" s="0" t="n">
        <v>35</v>
      </c>
      <c r="C10081" s="0" t="n">
        <v>1.7</v>
      </c>
      <c r="D10081" s="0" t="n">
        <v>1.2495</v>
      </c>
      <c r="E10081" s="0" t="n">
        <v>100</v>
      </c>
    </row>
    <row r="10082" customFormat="false" ht="13.8" hidden="true" customHeight="false" outlineLevel="0" collapsed="false">
      <c r="A10082" s="0" t="s">
        <v>195</v>
      </c>
      <c r="B10082" s="0" t="n">
        <v>35</v>
      </c>
      <c r="C10082" s="0" t="n">
        <v>1.75</v>
      </c>
      <c r="D10082" s="0" t="n">
        <v>1.28625</v>
      </c>
      <c r="E10082" s="0" t="n">
        <v>100</v>
      </c>
    </row>
    <row r="10083" customFormat="false" ht="13.8" hidden="true" customHeight="false" outlineLevel="0" collapsed="false">
      <c r="A10083" s="0" t="s">
        <v>195</v>
      </c>
      <c r="B10083" s="0" t="n">
        <v>35</v>
      </c>
      <c r="C10083" s="0" t="n">
        <v>1.8</v>
      </c>
      <c r="D10083" s="0" t="n">
        <v>0</v>
      </c>
      <c r="E10083" s="0" t="n">
        <v>100</v>
      </c>
    </row>
    <row r="10084" customFormat="false" ht="13.8" hidden="true" customHeight="false" outlineLevel="0" collapsed="false">
      <c r="A10084" s="0" t="s">
        <v>195</v>
      </c>
      <c r="B10084" s="0" t="n">
        <v>35</v>
      </c>
      <c r="C10084" s="0" t="n">
        <v>1.85</v>
      </c>
      <c r="D10084" s="0" t="n">
        <v>0</v>
      </c>
      <c r="E10084" s="0" t="n">
        <v>100</v>
      </c>
    </row>
    <row r="10085" customFormat="false" ht="13.8" hidden="true" customHeight="false" outlineLevel="0" collapsed="false">
      <c r="A10085" s="0" t="s">
        <v>195</v>
      </c>
      <c r="B10085" s="0" t="n">
        <v>35</v>
      </c>
      <c r="C10085" s="0" t="n">
        <v>1.9</v>
      </c>
      <c r="D10085" s="0" t="n">
        <v>0</v>
      </c>
      <c r="E10085" s="0" t="n">
        <v>100</v>
      </c>
    </row>
    <row r="10086" customFormat="false" ht="13.8" hidden="true" customHeight="false" outlineLevel="0" collapsed="false">
      <c r="A10086" s="0" t="s">
        <v>195</v>
      </c>
      <c r="B10086" s="0" t="n">
        <v>35</v>
      </c>
      <c r="C10086" s="0" t="n">
        <v>1.95</v>
      </c>
      <c r="D10086" s="0" t="n">
        <v>0</v>
      </c>
      <c r="E10086" s="0" t="n">
        <v>100</v>
      </c>
    </row>
    <row r="10087" customFormat="false" ht="13.8" hidden="true" customHeight="false" outlineLevel="0" collapsed="false">
      <c r="A10087" s="0" t="s">
        <v>195</v>
      </c>
      <c r="B10087" s="0" t="n">
        <v>35</v>
      </c>
      <c r="C10087" s="0" t="n">
        <v>2</v>
      </c>
      <c r="D10087" s="0" t="n">
        <v>0</v>
      </c>
      <c r="E10087" s="0" t="n">
        <v>100</v>
      </c>
    </row>
    <row r="10088" customFormat="false" ht="13.8" hidden="true" customHeight="false" outlineLevel="0" collapsed="false">
      <c r="A10088" s="0" t="s">
        <v>195</v>
      </c>
      <c r="B10088" s="0" t="n">
        <v>35</v>
      </c>
      <c r="C10088" s="0" t="n">
        <v>2.05</v>
      </c>
      <c r="D10088" s="0" t="n">
        <v>0</v>
      </c>
      <c r="E10088" s="0" t="n">
        <v>100</v>
      </c>
    </row>
    <row r="10089" customFormat="false" ht="13.8" hidden="true" customHeight="false" outlineLevel="0" collapsed="false">
      <c r="A10089" s="0" t="s">
        <v>195</v>
      </c>
      <c r="B10089" s="0" t="n">
        <v>35</v>
      </c>
      <c r="C10089" s="0" t="n">
        <v>2.1</v>
      </c>
      <c r="D10089" s="0" t="n">
        <v>0</v>
      </c>
      <c r="E10089" s="0" t="n">
        <v>100</v>
      </c>
    </row>
    <row r="10090" customFormat="false" ht="13.8" hidden="true" customHeight="false" outlineLevel="0" collapsed="false">
      <c r="A10090" s="0" t="s">
        <v>195</v>
      </c>
      <c r="B10090" s="0" t="n">
        <v>35</v>
      </c>
      <c r="C10090" s="0" t="n">
        <v>2.15</v>
      </c>
      <c r="D10090" s="0" t="n">
        <v>0</v>
      </c>
      <c r="E10090" s="0" t="n">
        <v>100</v>
      </c>
    </row>
    <row r="10091" customFormat="false" ht="13.8" hidden="true" customHeight="false" outlineLevel="0" collapsed="false">
      <c r="A10091" s="0" t="s">
        <v>195</v>
      </c>
      <c r="B10091" s="0" t="n">
        <v>35</v>
      </c>
      <c r="C10091" s="0" t="n">
        <v>2.2</v>
      </c>
      <c r="D10091" s="0" t="n">
        <v>0</v>
      </c>
      <c r="E10091" s="0" t="n">
        <v>100</v>
      </c>
    </row>
    <row r="10092" customFormat="false" ht="13.8" hidden="true" customHeight="false" outlineLevel="0" collapsed="false">
      <c r="A10092" s="0" t="s">
        <v>195</v>
      </c>
      <c r="B10092" s="0" t="n">
        <v>35</v>
      </c>
      <c r="C10092" s="0" t="n">
        <v>2.25</v>
      </c>
      <c r="D10092" s="0" t="n">
        <v>0</v>
      </c>
      <c r="E10092" s="0" t="n">
        <v>100</v>
      </c>
    </row>
    <row r="10093" customFormat="false" ht="13.8" hidden="true" customHeight="false" outlineLevel="0" collapsed="false">
      <c r="A10093" s="0" t="s">
        <v>195</v>
      </c>
      <c r="B10093" s="0" t="n">
        <v>35</v>
      </c>
      <c r="C10093" s="0" t="n">
        <v>2.3</v>
      </c>
      <c r="D10093" s="0" t="n">
        <v>0</v>
      </c>
      <c r="E10093" s="0" t="n">
        <v>100</v>
      </c>
    </row>
    <row r="10094" customFormat="false" ht="13.8" hidden="true" customHeight="false" outlineLevel="0" collapsed="false">
      <c r="A10094" s="0" t="s">
        <v>195</v>
      </c>
      <c r="B10094" s="0" t="n">
        <v>35</v>
      </c>
      <c r="C10094" s="0" t="n">
        <v>2.35</v>
      </c>
      <c r="D10094" s="0" t="n">
        <v>0</v>
      </c>
      <c r="E10094" s="0" t="n">
        <v>100</v>
      </c>
    </row>
    <row r="10095" customFormat="false" ht="13.8" hidden="true" customHeight="false" outlineLevel="0" collapsed="false">
      <c r="A10095" s="0" t="s">
        <v>195</v>
      </c>
      <c r="B10095" s="0" t="n">
        <v>35</v>
      </c>
      <c r="C10095" s="0" t="n">
        <v>2.4</v>
      </c>
      <c r="D10095" s="0" t="n">
        <v>0</v>
      </c>
      <c r="E10095" s="0" t="n">
        <v>100</v>
      </c>
    </row>
    <row r="10096" customFormat="false" ht="13.8" hidden="true" customHeight="false" outlineLevel="0" collapsed="false">
      <c r="A10096" s="0" t="s">
        <v>195</v>
      </c>
      <c r="B10096" s="0" t="n">
        <v>35</v>
      </c>
      <c r="C10096" s="0" t="n">
        <v>2.45</v>
      </c>
      <c r="D10096" s="0" t="n">
        <v>0</v>
      </c>
      <c r="E10096" s="0" t="n">
        <v>100</v>
      </c>
    </row>
    <row r="10097" customFormat="false" ht="13.8" hidden="true" customHeight="false" outlineLevel="0" collapsed="false">
      <c r="A10097" s="0" t="s">
        <v>195</v>
      </c>
      <c r="B10097" s="0" t="n">
        <v>35</v>
      </c>
      <c r="C10097" s="0" t="n">
        <v>2.5</v>
      </c>
      <c r="D10097" s="0" t="n">
        <v>0</v>
      </c>
      <c r="E10097" s="0" t="n">
        <v>100</v>
      </c>
    </row>
    <row r="10098" customFormat="false" ht="13.8" hidden="true" customHeight="false" outlineLevel="0" collapsed="false">
      <c r="A10098" s="0" t="s">
        <v>195</v>
      </c>
      <c r="B10098" s="0" t="n">
        <v>35</v>
      </c>
      <c r="C10098" s="0" t="n">
        <v>2.55</v>
      </c>
      <c r="D10098" s="0" t="n">
        <v>0</v>
      </c>
      <c r="E10098" s="0" t="n">
        <v>100</v>
      </c>
    </row>
    <row r="10099" customFormat="false" ht="13.8" hidden="true" customHeight="false" outlineLevel="0" collapsed="false">
      <c r="A10099" s="0" t="s">
        <v>195</v>
      </c>
      <c r="B10099" s="0" t="n">
        <v>35</v>
      </c>
      <c r="C10099" s="0" t="n">
        <v>2.6</v>
      </c>
      <c r="D10099" s="0" t="n">
        <v>0</v>
      </c>
      <c r="E10099" s="0" t="n">
        <v>100</v>
      </c>
    </row>
    <row r="10100" customFormat="false" ht="13.8" hidden="true" customHeight="false" outlineLevel="0" collapsed="false">
      <c r="A10100" s="0" t="s">
        <v>318</v>
      </c>
      <c r="B10100" s="0" t="n">
        <v>35</v>
      </c>
      <c r="C10100" s="0" t="n">
        <v>1.3</v>
      </c>
      <c r="D10100" s="0" t="n">
        <v>0</v>
      </c>
      <c r="E10100" s="0" t="n">
        <v>103.5</v>
      </c>
    </row>
    <row r="10101" customFormat="false" ht="13.8" hidden="true" customHeight="false" outlineLevel="0" collapsed="false">
      <c r="A10101" s="0" t="s">
        <v>318</v>
      </c>
      <c r="B10101" s="0" t="n">
        <v>35</v>
      </c>
      <c r="C10101" s="0" t="n">
        <v>1.35</v>
      </c>
      <c r="D10101" s="0" t="n">
        <v>0</v>
      </c>
      <c r="E10101" s="0" t="n">
        <v>103.5</v>
      </c>
    </row>
    <row r="10102" customFormat="false" ht="13.8" hidden="true" customHeight="false" outlineLevel="0" collapsed="false">
      <c r="A10102" s="0" t="s">
        <v>318</v>
      </c>
      <c r="B10102" s="0" t="n">
        <v>35</v>
      </c>
      <c r="C10102" s="0" t="n">
        <v>1.4</v>
      </c>
      <c r="D10102" s="0" t="n">
        <v>0</v>
      </c>
      <c r="E10102" s="0" t="n">
        <v>103.5</v>
      </c>
    </row>
    <row r="10103" customFormat="false" ht="13.8" hidden="true" customHeight="false" outlineLevel="0" collapsed="false">
      <c r="A10103" s="0" t="s">
        <v>318</v>
      </c>
      <c r="B10103" s="0" t="n">
        <v>35</v>
      </c>
      <c r="C10103" s="0" t="n">
        <v>1.45</v>
      </c>
      <c r="D10103" s="0" t="n">
        <v>0</v>
      </c>
      <c r="E10103" s="0" t="n">
        <v>103.5</v>
      </c>
    </row>
    <row r="10104" customFormat="false" ht="13.8" hidden="true" customHeight="false" outlineLevel="0" collapsed="false">
      <c r="A10104" s="0" t="s">
        <v>318</v>
      </c>
      <c r="B10104" s="0" t="n">
        <v>35</v>
      </c>
      <c r="C10104" s="0" t="n">
        <v>1.5</v>
      </c>
      <c r="D10104" s="0" t="n">
        <v>1.1025</v>
      </c>
      <c r="E10104" s="0" t="n">
        <v>103.5</v>
      </c>
    </row>
    <row r="10105" customFormat="false" ht="13.8" hidden="true" customHeight="false" outlineLevel="0" collapsed="false">
      <c r="A10105" s="0" t="s">
        <v>318</v>
      </c>
      <c r="B10105" s="0" t="n">
        <v>35</v>
      </c>
      <c r="C10105" s="0" t="n">
        <v>1.55</v>
      </c>
      <c r="D10105" s="0" t="n">
        <v>1.13925</v>
      </c>
      <c r="E10105" s="0" t="n">
        <v>103.5</v>
      </c>
    </row>
    <row r="10106" customFormat="false" ht="13.8" hidden="true" customHeight="false" outlineLevel="0" collapsed="false">
      <c r="A10106" s="0" t="s">
        <v>318</v>
      </c>
      <c r="B10106" s="0" t="n">
        <v>35</v>
      </c>
      <c r="C10106" s="0" t="n">
        <v>1.6</v>
      </c>
      <c r="D10106" s="0" t="n">
        <v>1.176</v>
      </c>
      <c r="E10106" s="0" t="n">
        <v>103.5</v>
      </c>
    </row>
    <row r="10107" customFormat="false" ht="13.8" hidden="true" customHeight="false" outlineLevel="0" collapsed="false">
      <c r="A10107" s="0" t="s">
        <v>318</v>
      </c>
      <c r="B10107" s="0" t="n">
        <v>35</v>
      </c>
      <c r="C10107" s="0" t="n">
        <v>1.65</v>
      </c>
      <c r="D10107" s="0" t="n">
        <v>1.21275</v>
      </c>
      <c r="E10107" s="0" t="n">
        <v>103.5</v>
      </c>
    </row>
    <row r="10108" customFormat="false" ht="13.8" hidden="true" customHeight="false" outlineLevel="0" collapsed="false">
      <c r="A10108" s="0" t="s">
        <v>318</v>
      </c>
      <c r="B10108" s="0" t="n">
        <v>35</v>
      </c>
      <c r="C10108" s="0" t="n">
        <v>1.7</v>
      </c>
      <c r="D10108" s="0" t="n">
        <v>1.2495</v>
      </c>
      <c r="E10108" s="0" t="n">
        <v>103.5</v>
      </c>
    </row>
    <row r="10109" customFormat="false" ht="13.8" hidden="true" customHeight="false" outlineLevel="0" collapsed="false">
      <c r="A10109" s="0" t="s">
        <v>318</v>
      </c>
      <c r="B10109" s="0" t="n">
        <v>35</v>
      </c>
      <c r="C10109" s="0" t="n">
        <v>1.75</v>
      </c>
      <c r="D10109" s="0" t="n">
        <v>1.28625</v>
      </c>
      <c r="E10109" s="0" t="n">
        <v>103.5</v>
      </c>
    </row>
    <row r="10110" customFormat="false" ht="13.8" hidden="true" customHeight="false" outlineLevel="0" collapsed="false">
      <c r="A10110" s="0" t="s">
        <v>318</v>
      </c>
      <c r="B10110" s="0" t="n">
        <v>35</v>
      </c>
      <c r="C10110" s="0" t="n">
        <v>1.8</v>
      </c>
      <c r="D10110" s="0" t="n">
        <v>0</v>
      </c>
      <c r="E10110" s="0" t="n">
        <v>103.5</v>
      </c>
    </row>
    <row r="10111" customFormat="false" ht="13.8" hidden="true" customHeight="false" outlineLevel="0" collapsed="false">
      <c r="A10111" s="0" t="s">
        <v>318</v>
      </c>
      <c r="B10111" s="0" t="n">
        <v>35</v>
      </c>
      <c r="C10111" s="0" t="n">
        <v>1.85</v>
      </c>
      <c r="D10111" s="0" t="n">
        <v>0</v>
      </c>
      <c r="E10111" s="0" t="n">
        <v>103.5</v>
      </c>
    </row>
    <row r="10112" customFormat="false" ht="13.8" hidden="true" customHeight="false" outlineLevel="0" collapsed="false">
      <c r="A10112" s="0" t="s">
        <v>318</v>
      </c>
      <c r="B10112" s="0" t="n">
        <v>35</v>
      </c>
      <c r="C10112" s="0" t="n">
        <v>1.9</v>
      </c>
      <c r="D10112" s="0" t="n">
        <v>0</v>
      </c>
      <c r="E10112" s="0" t="n">
        <v>103.5</v>
      </c>
    </row>
    <row r="10113" customFormat="false" ht="13.8" hidden="true" customHeight="false" outlineLevel="0" collapsed="false">
      <c r="A10113" s="0" t="s">
        <v>318</v>
      </c>
      <c r="B10113" s="0" t="n">
        <v>35</v>
      </c>
      <c r="C10113" s="0" t="n">
        <v>1.95</v>
      </c>
      <c r="D10113" s="0" t="n">
        <v>0</v>
      </c>
      <c r="E10113" s="0" t="n">
        <v>103.5</v>
      </c>
    </row>
    <row r="10114" customFormat="false" ht="13.8" hidden="true" customHeight="false" outlineLevel="0" collapsed="false">
      <c r="A10114" s="0" t="s">
        <v>318</v>
      </c>
      <c r="B10114" s="0" t="n">
        <v>35</v>
      </c>
      <c r="C10114" s="0" t="n">
        <v>2</v>
      </c>
      <c r="D10114" s="0" t="n">
        <v>0</v>
      </c>
      <c r="E10114" s="0" t="n">
        <v>103.5</v>
      </c>
    </row>
    <row r="10115" customFormat="false" ht="13.8" hidden="true" customHeight="false" outlineLevel="0" collapsed="false">
      <c r="A10115" s="0" t="s">
        <v>318</v>
      </c>
      <c r="B10115" s="0" t="n">
        <v>35</v>
      </c>
      <c r="C10115" s="0" t="n">
        <v>2.05</v>
      </c>
      <c r="D10115" s="0" t="n">
        <v>0</v>
      </c>
      <c r="E10115" s="0" t="n">
        <v>103.5</v>
      </c>
    </row>
    <row r="10116" customFormat="false" ht="13.8" hidden="true" customHeight="false" outlineLevel="0" collapsed="false">
      <c r="A10116" s="0" t="s">
        <v>318</v>
      </c>
      <c r="B10116" s="0" t="n">
        <v>35</v>
      </c>
      <c r="C10116" s="0" t="n">
        <v>2.1</v>
      </c>
      <c r="D10116" s="0" t="n">
        <v>0</v>
      </c>
      <c r="E10116" s="0" t="n">
        <v>103.5</v>
      </c>
    </row>
    <row r="10117" customFormat="false" ht="13.8" hidden="true" customHeight="false" outlineLevel="0" collapsed="false">
      <c r="A10117" s="0" t="s">
        <v>318</v>
      </c>
      <c r="B10117" s="0" t="n">
        <v>35</v>
      </c>
      <c r="C10117" s="0" t="n">
        <v>2.15</v>
      </c>
      <c r="D10117" s="0" t="n">
        <v>0</v>
      </c>
      <c r="E10117" s="0" t="n">
        <v>103.5</v>
      </c>
    </row>
    <row r="10118" customFormat="false" ht="13.8" hidden="true" customHeight="false" outlineLevel="0" collapsed="false">
      <c r="A10118" s="0" t="s">
        <v>318</v>
      </c>
      <c r="B10118" s="0" t="n">
        <v>35</v>
      </c>
      <c r="C10118" s="0" t="n">
        <v>2.2</v>
      </c>
      <c r="D10118" s="0" t="n">
        <v>0</v>
      </c>
      <c r="E10118" s="0" t="n">
        <v>103.5</v>
      </c>
    </row>
    <row r="10119" customFormat="false" ht="13.8" hidden="true" customHeight="false" outlineLevel="0" collapsed="false">
      <c r="A10119" s="0" t="s">
        <v>318</v>
      </c>
      <c r="B10119" s="0" t="n">
        <v>35</v>
      </c>
      <c r="C10119" s="0" t="n">
        <v>2.25</v>
      </c>
      <c r="D10119" s="0" t="n">
        <v>0</v>
      </c>
      <c r="E10119" s="0" t="n">
        <v>103.5</v>
      </c>
    </row>
    <row r="10120" customFormat="false" ht="13.8" hidden="true" customHeight="false" outlineLevel="0" collapsed="false">
      <c r="A10120" s="0" t="s">
        <v>318</v>
      </c>
      <c r="B10120" s="0" t="n">
        <v>35</v>
      </c>
      <c r="C10120" s="0" t="n">
        <v>2.3</v>
      </c>
      <c r="D10120" s="0" t="n">
        <v>0</v>
      </c>
      <c r="E10120" s="0" t="n">
        <v>103.5</v>
      </c>
    </row>
    <row r="10121" customFormat="false" ht="13.8" hidden="true" customHeight="false" outlineLevel="0" collapsed="false">
      <c r="A10121" s="0" t="s">
        <v>318</v>
      </c>
      <c r="B10121" s="0" t="n">
        <v>35</v>
      </c>
      <c r="C10121" s="0" t="n">
        <v>2.35</v>
      </c>
      <c r="D10121" s="0" t="n">
        <v>0</v>
      </c>
      <c r="E10121" s="0" t="n">
        <v>103.5</v>
      </c>
    </row>
    <row r="10122" customFormat="false" ht="13.8" hidden="true" customHeight="false" outlineLevel="0" collapsed="false">
      <c r="A10122" s="0" t="s">
        <v>318</v>
      </c>
      <c r="B10122" s="0" t="n">
        <v>35</v>
      </c>
      <c r="C10122" s="0" t="n">
        <v>2.4</v>
      </c>
      <c r="D10122" s="0" t="n">
        <v>0</v>
      </c>
      <c r="E10122" s="0" t="n">
        <v>103.5</v>
      </c>
    </row>
    <row r="10123" customFormat="false" ht="13.8" hidden="true" customHeight="false" outlineLevel="0" collapsed="false">
      <c r="A10123" s="0" t="s">
        <v>318</v>
      </c>
      <c r="B10123" s="0" t="n">
        <v>35</v>
      </c>
      <c r="C10123" s="0" t="n">
        <v>2.45</v>
      </c>
      <c r="D10123" s="0" t="n">
        <v>0</v>
      </c>
      <c r="E10123" s="0" t="n">
        <v>103.5</v>
      </c>
    </row>
    <row r="10124" customFormat="false" ht="13.8" hidden="true" customHeight="false" outlineLevel="0" collapsed="false">
      <c r="A10124" s="0" t="s">
        <v>318</v>
      </c>
      <c r="B10124" s="0" t="n">
        <v>35</v>
      </c>
      <c r="C10124" s="0" t="n">
        <v>2.5</v>
      </c>
      <c r="D10124" s="0" t="n">
        <v>0</v>
      </c>
      <c r="E10124" s="0" t="n">
        <v>103.5</v>
      </c>
    </row>
    <row r="10125" customFormat="false" ht="13.8" hidden="true" customHeight="false" outlineLevel="0" collapsed="false">
      <c r="A10125" s="0" t="s">
        <v>318</v>
      </c>
      <c r="B10125" s="0" t="n">
        <v>35</v>
      </c>
      <c r="C10125" s="0" t="n">
        <v>2.55</v>
      </c>
      <c r="D10125" s="0" t="n">
        <v>0</v>
      </c>
      <c r="E10125" s="0" t="n">
        <v>103.5</v>
      </c>
    </row>
    <row r="10126" customFormat="false" ht="13.8" hidden="true" customHeight="false" outlineLevel="0" collapsed="false">
      <c r="A10126" s="0" t="s">
        <v>318</v>
      </c>
      <c r="B10126" s="0" t="n">
        <v>35</v>
      </c>
      <c r="C10126" s="0" t="n">
        <v>2.6</v>
      </c>
      <c r="D10126" s="0" t="n">
        <v>0</v>
      </c>
      <c r="E10126" s="0" t="n">
        <v>103.5</v>
      </c>
    </row>
    <row r="10127" customFormat="false" ht="13.8" hidden="true" customHeight="false" outlineLevel="0" collapsed="false">
      <c r="A10127" s="0" t="s">
        <v>196</v>
      </c>
      <c r="B10127" s="0" t="n">
        <v>35</v>
      </c>
      <c r="C10127" s="0" t="n">
        <v>1.3</v>
      </c>
      <c r="D10127" s="0" t="n">
        <v>0</v>
      </c>
      <c r="E10127" s="0" t="n">
        <v>103.5</v>
      </c>
    </row>
    <row r="10128" customFormat="false" ht="13.8" hidden="true" customHeight="false" outlineLevel="0" collapsed="false">
      <c r="A10128" s="0" t="s">
        <v>196</v>
      </c>
      <c r="B10128" s="0" t="n">
        <v>35</v>
      </c>
      <c r="C10128" s="0" t="n">
        <v>1.35</v>
      </c>
      <c r="D10128" s="0" t="n">
        <v>0</v>
      </c>
      <c r="E10128" s="0" t="n">
        <v>103.5</v>
      </c>
    </row>
    <row r="10129" customFormat="false" ht="13.8" hidden="true" customHeight="false" outlineLevel="0" collapsed="false">
      <c r="A10129" s="0" t="s">
        <v>196</v>
      </c>
      <c r="B10129" s="0" t="n">
        <v>35</v>
      </c>
      <c r="C10129" s="0" t="n">
        <v>1.4</v>
      </c>
      <c r="D10129" s="0" t="n">
        <v>0</v>
      </c>
      <c r="E10129" s="0" t="n">
        <v>103.5</v>
      </c>
    </row>
    <row r="10130" customFormat="false" ht="13.8" hidden="true" customHeight="false" outlineLevel="0" collapsed="false">
      <c r="A10130" s="0" t="s">
        <v>196</v>
      </c>
      <c r="B10130" s="0" t="n">
        <v>35</v>
      </c>
      <c r="C10130" s="0" t="n">
        <v>1.45</v>
      </c>
      <c r="D10130" s="0" t="n">
        <v>0</v>
      </c>
      <c r="E10130" s="0" t="n">
        <v>103.5</v>
      </c>
    </row>
    <row r="10131" customFormat="false" ht="13.8" hidden="true" customHeight="false" outlineLevel="0" collapsed="false">
      <c r="A10131" s="0" t="s">
        <v>196</v>
      </c>
      <c r="B10131" s="0" t="n">
        <v>35</v>
      </c>
      <c r="C10131" s="0" t="n">
        <v>1.5</v>
      </c>
      <c r="D10131" s="0" t="n">
        <v>1.1025</v>
      </c>
      <c r="E10131" s="0" t="n">
        <v>103.5</v>
      </c>
    </row>
    <row r="10132" customFormat="false" ht="13.8" hidden="true" customHeight="false" outlineLevel="0" collapsed="false">
      <c r="A10132" s="0" t="s">
        <v>196</v>
      </c>
      <c r="B10132" s="0" t="n">
        <v>35</v>
      </c>
      <c r="C10132" s="0" t="n">
        <v>1.55</v>
      </c>
      <c r="D10132" s="0" t="n">
        <v>1.13925</v>
      </c>
      <c r="E10132" s="0" t="n">
        <v>103.5</v>
      </c>
    </row>
    <row r="10133" customFormat="false" ht="13.8" hidden="true" customHeight="false" outlineLevel="0" collapsed="false">
      <c r="A10133" s="0" t="s">
        <v>196</v>
      </c>
      <c r="B10133" s="0" t="n">
        <v>35</v>
      </c>
      <c r="C10133" s="0" t="n">
        <v>1.6</v>
      </c>
      <c r="D10133" s="0" t="n">
        <v>1.176</v>
      </c>
      <c r="E10133" s="0" t="n">
        <v>103.5</v>
      </c>
    </row>
    <row r="10134" customFormat="false" ht="13.8" hidden="true" customHeight="false" outlineLevel="0" collapsed="false">
      <c r="A10134" s="0" t="s">
        <v>196</v>
      </c>
      <c r="B10134" s="0" t="n">
        <v>35</v>
      </c>
      <c r="C10134" s="0" t="n">
        <v>1.65</v>
      </c>
      <c r="D10134" s="0" t="n">
        <v>1.21275</v>
      </c>
      <c r="E10134" s="0" t="n">
        <v>103.5</v>
      </c>
    </row>
    <row r="10135" customFormat="false" ht="13.8" hidden="true" customHeight="false" outlineLevel="0" collapsed="false">
      <c r="A10135" s="0" t="s">
        <v>196</v>
      </c>
      <c r="B10135" s="0" t="n">
        <v>35</v>
      </c>
      <c r="C10135" s="0" t="n">
        <v>1.7</v>
      </c>
      <c r="D10135" s="0" t="n">
        <v>1.2495</v>
      </c>
      <c r="E10135" s="0" t="n">
        <v>103.5</v>
      </c>
    </row>
    <row r="10136" customFormat="false" ht="13.8" hidden="true" customHeight="false" outlineLevel="0" collapsed="false">
      <c r="A10136" s="0" t="s">
        <v>196</v>
      </c>
      <c r="B10136" s="0" t="n">
        <v>35</v>
      </c>
      <c r="C10136" s="0" t="n">
        <v>1.75</v>
      </c>
      <c r="D10136" s="0" t="n">
        <v>1.28625</v>
      </c>
      <c r="E10136" s="0" t="n">
        <v>103.5</v>
      </c>
    </row>
    <row r="10137" customFormat="false" ht="13.8" hidden="true" customHeight="false" outlineLevel="0" collapsed="false">
      <c r="A10137" s="0" t="s">
        <v>196</v>
      </c>
      <c r="B10137" s="0" t="n">
        <v>35</v>
      </c>
      <c r="C10137" s="0" t="n">
        <v>1.8</v>
      </c>
      <c r="D10137" s="0" t="n">
        <v>0</v>
      </c>
      <c r="E10137" s="0" t="n">
        <v>103.5</v>
      </c>
    </row>
    <row r="10138" customFormat="false" ht="13.8" hidden="true" customHeight="false" outlineLevel="0" collapsed="false">
      <c r="A10138" s="0" t="s">
        <v>196</v>
      </c>
      <c r="B10138" s="0" t="n">
        <v>35</v>
      </c>
      <c r="C10138" s="0" t="n">
        <v>1.85</v>
      </c>
      <c r="D10138" s="0" t="n">
        <v>0</v>
      </c>
      <c r="E10138" s="0" t="n">
        <v>103.5</v>
      </c>
    </row>
    <row r="10139" customFormat="false" ht="13.8" hidden="true" customHeight="false" outlineLevel="0" collapsed="false">
      <c r="A10139" s="0" t="s">
        <v>196</v>
      </c>
      <c r="B10139" s="0" t="n">
        <v>35</v>
      </c>
      <c r="C10139" s="0" t="n">
        <v>1.9</v>
      </c>
      <c r="D10139" s="0" t="n">
        <v>0</v>
      </c>
      <c r="E10139" s="0" t="n">
        <v>103.5</v>
      </c>
    </row>
    <row r="10140" customFormat="false" ht="13.8" hidden="true" customHeight="false" outlineLevel="0" collapsed="false">
      <c r="A10140" s="0" t="s">
        <v>196</v>
      </c>
      <c r="B10140" s="0" t="n">
        <v>35</v>
      </c>
      <c r="C10140" s="0" t="n">
        <v>1.95</v>
      </c>
      <c r="D10140" s="0" t="n">
        <v>0</v>
      </c>
      <c r="E10140" s="0" t="n">
        <v>103.5</v>
      </c>
    </row>
    <row r="10141" customFormat="false" ht="13.8" hidden="true" customHeight="false" outlineLevel="0" collapsed="false">
      <c r="A10141" s="0" t="s">
        <v>196</v>
      </c>
      <c r="B10141" s="0" t="n">
        <v>35</v>
      </c>
      <c r="C10141" s="0" t="n">
        <v>2</v>
      </c>
      <c r="D10141" s="0" t="n">
        <v>0</v>
      </c>
      <c r="E10141" s="0" t="n">
        <v>103.5</v>
      </c>
    </row>
    <row r="10142" customFormat="false" ht="13.8" hidden="true" customHeight="false" outlineLevel="0" collapsed="false">
      <c r="A10142" s="0" t="s">
        <v>196</v>
      </c>
      <c r="B10142" s="0" t="n">
        <v>35</v>
      </c>
      <c r="C10142" s="0" t="n">
        <v>2.05</v>
      </c>
      <c r="D10142" s="0" t="n">
        <v>0</v>
      </c>
      <c r="E10142" s="0" t="n">
        <v>103.5</v>
      </c>
    </row>
    <row r="10143" customFormat="false" ht="13.8" hidden="true" customHeight="false" outlineLevel="0" collapsed="false">
      <c r="A10143" s="0" t="s">
        <v>196</v>
      </c>
      <c r="B10143" s="0" t="n">
        <v>35</v>
      </c>
      <c r="C10143" s="0" t="n">
        <v>2.1</v>
      </c>
      <c r="D10143" s="0" t="n">
        <v>0</v>
      </c>
      <c r="E10143" s="0" t="n">
        <v>103.5</v>
      </c>
    </row>
    <row r="10144" customFormat="false" ht="13.8" hidden="true" customHeight="false" outlineLevel="0" collapsed="false">
      <c r="A10144" s="0" t="s">
        <v>196</v>
      </c>
      <c r="B10144" s="0" t="n">
        <v>35</v>
      </c>
      <c r="C10144" s="0" t="n">
        <v>2.15</v>
      </c>
      <c r="D10144" s="0" t="n">
        <v>0</v>
      </c>
      <c r="E10144" s="0" t="n">
        <v>103.5</v>
      </c>
    </row>
    <row r="10145" customFormat="false" ht="13.8" hidden="true" customHeight="false" outlineLevel="0" collapsed="false">
      <c r="A10145" s="0" t="s">
        <v>196</v>
      </c>
      <c r="B10145" s="0" t="n">
        <v>35</v>
      </c>
      <c r="C10145" s="0" t="n">
        <v>2.2</v>
      </c>
      <c r="D10145" s="0" t="n">
        <v>0</v>
      </c>
      <c r="E10145" s="0" t="n">
        <v>103.5</v>
      </c>
    </row>
    <row r="10146" customFormat="false" ht="13.8" hidden="true" customHeight="false" outlineLevel="0" collapsed="false">
      <c r="A10146" s="0" t="s">
        <v>196</v>
      </c>
      <c r="B10146" s="0" t="n">
        <v>35</v>
      </c>
      <c r="C10146" s="0" t="n">
        <v>2.25</v>
      </c>
      <c r="D10146" s="0" t="n">
        <v>0</v>
      </c>
      <c r="E10146" s="0" t="n">
        <v>103.5</v>
      </c>
    </row>
    <row r="10147" customFormat="false" ht="13.8" hidden="true" customHeight="false" outlineLevel="0" collapsed="false">
      <c r="A10147" s="0" t="s">
        <v>196</v>
      </c>
      <c r="B10147" s="0" t="n">
        <v>35</v>
      </c>
      <c r="C10147" s="0" t="n">
        <v>2.3</v>
      </c>
      <c r="D10147" s="0" t="n">
        <v>0</v>
      </c>
      <c r="E10147" s="0" t="n">
        <v>103.5</v>
      </c>
    </row>
    <row r="10148" customFormat="false" ht="13.8" hidden="true" customHeight="false" outlineLevel="0" collapsed="false">
      <c r="A10148" s="0" t="s">
        <v>196</v>
      </c>
      <c r="B10148" s="0" t="n">
        <v>35</v>
      </c>
      <c r="C10148" s="0" t="n">
        <v>2.35</v>
      </c>
      <c r="D10148" s="0" t="n">
        <v>0</v>
      </c>
      <c r="E10148" s="0" t="n">
        <v>103.5</v>
      </c>
    </row>
    <row r="10149" customFormat="false" ht="13.8" hidden="true" customHeight="false" outlineLevel="0" collapsed="false">
      <c r="A10149" s="0" t="s">
        <v>196</v>
      </c>
      <c r="B10149" s="0" t="n">
        <v>35</v>
      </c>
      <c r="C10149" s="0" t="n">
        <v>2.4</v>
      </c>
      <c r="D10149" s="0" t="n">
        <v>0</v>
      </c>
      <c r="E10149" s="0" t="n">
        <v>103.5</v>
      </c>
    </row>
    <row r="10150" customFormat="false" ht="13.8" hidden="true" customHeight="false" outlineLevel="0" collapsed="false">
      <c r="A10150" s="0" t="s">
        <v>196</v>
      </c>
      <c r="B10150" s="0" t="n">
        <v>35</v>
      </c>
      <c r="C10150" s="0" t="n">
        <v>2.45</v>
      </c>
      <c r="D10150" s="0" t="n">
        <v>0</v>
      </c>
      <c r="E10150" s="0" t="n">
        <v>103.5</v>
      </c>
    </row>
    <row r="10151" customFormat="false" ht="13.8" hidden="true" customHeight="false" outlineLevel="0" collapsed="false">
      <c r="A10151" s="0" t="s">
        <v>196</v>
      </c>
      <c r="B10151" s="0" t="n">
        <v>35</v>
      </c>
      <c r="C10151" s="0" t="n">
        <v>2.5</v>
      </c>
      <c r="D10151" s="0" t="n">
        <v>0</v>
      </c>
      <c r="E10151" s="0" t="n">
        <v>103.5</v>
      </c>
    </row>
    <row r="10152" customFormat="false" ht="13.8" hidden="true" customHeight="false" outlineLevel="0" collapsed="false">
      <c r="A10152" s="0" t="s">
        <v>196</v>
      </c>
      <c r="B10152" s="0" t="n">
        <v>35</v>
      </c>
      <c r="C10152" s="0" t="n">
        <v>2.55</v>
      </c>
      <c r="D10152" s="0" t="n">
        <v>0</v>
      </c>
      <c r="E10152" s="0" t="n">
        <v>103.5</v>
      </c>
    </row>
    <row r="10153" customFormat="false" ht="13.8" hidden="true" customHeight="false" outlineLevel="0" collapsed="false">
      <c r="A10153" s="0" t="s">
        <v>196</v>
      </c>
      <c r="B10153" s="0" t="n">
        <v>35</v>
      </c>
      <c r="C10153" s="0" t="n">
        <v>2.6</v>
      </c>
      <c r="D10153" s="0" t="n">
        <v>0</v>
      </c>
      <c r="E10153" s="0" t="n">
        <v>103.5</v>
      </c>
    </row>
    <row r="10154" customFormat="false" ht="13.8" hidden="true" customHeight="false" outlineLevel="0" collapsed="false">
      <c r="A10154" s="0" t="s">
        <v>319</v>
      </c>
      <c r="B10154" s="0" t="n">
        <v>35</v>
      </c>
      <c r="C10154" s="0" t="n">
        <v>1.3</v>
      </c>
      <c r="D10154" s="0" t="n">
        <v>0</v>
      </c>
      <c r="E10154" s="0" t="n">
        <v>113.5</v>
      </c>
    </row>
    <row r="10155" customFormat="false" ht="13.8" hidden="true" customHeight="false" outlineLevel="0" collapsed="false">
      <c r="A10155" s="0" t="s">
        <v>319</v>
      </c>
      <c r="B10155" s="0" t="n">
        <v>35</v>
      </c>
      <c r="C10155" s="0" t="n">
        <v>1.35</v>
      </c>
      <c r="D10155" s="0" t="n">
        <v>0</v>
      </c>
      <c r="E10155" s="0" t="n">
        <v>113.5</v>
      </c>
    </row>
    <row r="10156" customFormat="false" ht="13.8" hidden="true" customHeight="false" outlineLevel="0" collapsed="false">
      <c r="A10156" s="0" t="s">
        <v>319</v>
      </c>
      <c r="B10156" s="0" t="n">
        <v>35</v>
      </c>
      <c r="C10156" s="0" t="n">
        <v>1.4</v>
      </c>
      <c r="D10156" s="0" t="n">
        <v>0</v>
      </c>
      <c r="E10156" s="0" t="n">
        <v>113.5</v>
      </c>
    </row>
    <row r="10157" customFormat="false" ht="13.8" hidden="true" customHeight="false" outlineLevel="0" collapsed="false">
      <c r="A10157" s="0" t="s">
        <v>319</v>
      </c>
      <c r="B10157" s="0" t="n">
        <v>35</v>
      </c>
      <c r="C10157" s="0" t="n">
        <v>1.45</v>
      </c>
      <c r="D10157" s="0" t="n">
        <v>0</v>
      </c>
      <c r="E10157" s="0" t="n">
        <v>113.5</v>
      </c>
    </row>
    <row r="10158" customFormat="false" ht="13.8" hidden="true" customHeight="false" outlineLevel="0" collapsed="false">
      <c r="A10158" s="0" t="s">
        <v>319</v>
      </c>
      <c r="B10158" s="0" t="n">
        <v>35</v>
      </c>
      <c r="C10158" s="0" t="n">
        <v>1.5</v>
      </c>
      <c r="D10158" s="0" t="n">
        <v>0</v>
      </c>
      <c r="E10158" s="0" t="n">
        <v>113.5</v>
      </c>
    </row>
    <row r="10159" customFormat="false" ht="13.8" hidden="true" customHeight="false" outlineLevel="0" collapsed="false">
      <c r="A10159" s="0" t="s">
        <v>319</v>
      </c>
      <c r="B10159" s="0" t="n">
        <v>35</v>
      </c>
      <c r="C10159" s="0" t="n">
        <v>1.55</v>
      </c>
      <c r="D10159" s="0" t="n">
        <v>0</v>
      </c>
      <c r="E10159" s="0" t="n">
        <v>113.5</v>
      </c>
    </row>
    <row r="10160" customFormat="false" ht="13.8" hidden="true" customHeight="false" outlineLevel="0" collapsed="false">
      <c r="A10160" s="0" t="s">
        <v>319</v>
      </c>
      <c r="B10160" s="0" t="n">
        <v>35</v>
      </c>
      <c r="C10160" s="0" t="n">
        <v>1.6</v>
      </c>
      <c r="D10160" s="0" t="n">
        <v>0</v>
      </c>
      <c r="E10160" s="0" t="n">
        <v>113.5</v>
      </c>
    </row>
    <row r="10161" customFormat="false" ht="13.8" hidden="true" customHeight="false" outlineLevel="0" collapsed="false">
      <c r="A10161" s="0" t="s">
        <v>319</v>
      </c>
      <c r="B10161" s="0" t="n">
        <v>35</v>
      </c>
      <c r="C10161" s="0" t="n">
        <v>1.65</v>
      </c>
      <c r="D10161" s="0" t="n">
        <v>1.21275</v>
      </c>
      <c r="E10161" s="0" t="n">
        <v>113.5</v>
      </c>
    </row>
    <row r="10162" customFormat="false" ht="13.8" hidden="true" customHeight="false" outlineLevel="0" collapsed="false">
      <c r="A10162" s="0" t="s">
        <v>319</v>
      </c>
      <c r="B10162" s="0" t="n">
        <v>35</v>
      </c>
      <c r="C10162" s="0" t="n">
        <v>1.7</v>
      </c>
      <c r="D10162" s="0" t="n">
        <v>1.2495</v>
      </c>
      <c r="E10162" s="0" t="n">
        <v>113.5</v>
      </c>
    </row>
    <row r="10163" customFormat="false" ht="13.8" hidden="true" customHeight="false" outlineLevel="0" collapsed="false">
      <c r="A10163" s="0" t="s">
        <v>319</v>
      </c>
      <c r="B10163" s="0" t="n">
        <v>35</v>
      </c>
      <c r="C10163" s="0" t="n">
        <v>1.75</v>
      </c>
      <c r="D10163" s="0" t="n">
        <v>1.28625</v>
      </c>
      <c r="E10163" s="0" t="n">
        <v>113.5</v>
      </c>
    </row>
    <row r="10164" customFormat="false" ht="13.8" hidden="true" customHeight="false" outlineLevel="0" collapsed="false">
      <c r="A10164" s="0" t="s">
        <v>319</v>
      </c>
      <c r="B10164" s="0" t="n">
        <v>35</v>
      </c>
      <c r="C10164" s="0" t="n">
        <v>1.8</v>
      </c>
      <c r="D10164" s="0" t="n">
        <v>1.323</v>
      </c>
      <c r="E10164" s="0" t="n">
        <v>113.5</v>
      </c>
    </row>
    <row r="10165" customFormat="false" ht="13.8" hidden="true" customHeight="false" outlineLevel="0" collapsed="false">
      <c r="A10165" s="0" t="s">
        <v>319</v>
      </c>
      <c r="B10165" s="0" t="n">
        <v>35</v>
      </c>
      <c r="C10165" s="0" t="n">
        <v>1.85</v>
      </c>
      <c r="D10165" s="0" t="n">
        <v>0</v>
      </c>
      <c r="E10165" s="0" t="n">
        <v>113.5</v>
      </c>
    </row>
    <row r="10166" customFormat="false" ht="13.8" hidden="true" customHeight="false" outlineLevel="0" collapsed="false">
      <c r="A10166" s="0" t="s">
        <v>319</v>
      </c>
      <c r="B10166" s="0" t="n">
        <v>35</v>
      </c>
      <c r="C10166" s="0" t="n">
        <v>1.9</v>
      </c>
      <c r="D10166" s="0" t="n">
        <v>0</v>
      </c>
      <c r="E10166" s="0" t="n">
        <v>113.5</v>
      </c>
    </row>
    <row r="10167" customFormat="false" ht="13.8" hidden="true" customHeight="false" outlineLevel="0" collapsed="false">
      <c r="A10167" s="0" t="s">
        <v>319</v>
      </c>
      <c r="B10167" s="0" t="n">
        <v>35</v>
      </c>
      <c r="C10167" s="0" t="n">
        <v>1.95</v>
      </c>
      <c r="D10167" s="0" t="n">
        <v>0</v>
      </c>
      <c r="E10167" s="0" t="n">
        <v>113.5</v>
      </c>
    </row>
    <row r="10168" customFormat="false" ht="13.8" hidden="true" customHeight="false" outlineLevel="0" collapsed="false">
      <c r="A10168" s="0" t="s">
        <v>319</v>
      </c>
      <c r="B10168" s="0" t="n">
        <v>35</v>
      </c>
      <c r="C10168" s="0" t="n">
        <v>2</v>
      </c>
      <c r="D10168" s="0" t="n">
        <v>0</v>
      </c>
      <c r="E10168" s="0" t="n">
        <v>113.5</v>
      </c>
    </row>
    <row r="10169" customFormat="false" ht="13.8" hidden="true" customHeight="false" outlineLevel="0" collapsed="false">
      <c r="A10169" s="0" t="s">
        <v>319</v>
      </c>
      <c r="B10169" s="0" t="n">
        <v>35</v>
      </c>
      <c r="C10169" s="0" t="n">
        <v>2.05</v>
      </c>
      <c r="D10169" s="0" t="n">
        <v>0</v>
      </c>
      <c r="E10169" s="0" t="n">
        <v>113.5</v>
      </c>
    </row>
    <row r="10170" customFormat="false" ht="13.8" hidden="true" customHeight="false" outlineLevel="0" collapsed="false">
      <c r="A10170" s="0" t="s">
        <v>319</v>
      </c>
      <c r="B10170" s="0" t="n">
        <v>35</v>
      </c>
      <c r="C10170" s="0" t="n">
        <v>2.1</v>
      </c>
      <c r="D10170" s="0" t="n">
        <v>0</v>
      </c>
      <c r="E10170" s="0" t="n">
        <v>113.5</v>
      </c>
    </row>
    <row r="10171" customFormat="false" ht="13.8" hidden="true" customHeight="false" outlineLevel="0" collapsed="false">
      <c r="A10171" s="0" t="s">
        <v>319</v>
      </c>
      <c r="B10171" s="0" t="n">
        <v>35</v>
      </c>
      <c r="C10171" s="0" t="n">
        <v>2.15</v>
      </c>
      <c r="D10171" s="0" t="n">
        <v>0</v>
      </c>
      <c r="E10171" s="0" t="n">
        <v>113.5</v>
      </c>
    </row>
    <row r="10172" customFormat="false" ht="13.8" hidden="true" customHeight="false" outlineLevel="0" collapsed="false">
      <c r="A10172" s="0" t="s">
        <v>319</v>
      </c>
      <c r="B10172" s="0" t="n">
        <v>35</v>
      </c>
      <c r="C10172" s="0" t="n">
        <v>2.2</v>
      </c>
      <c r="D10172" s="0" t="n">
        <v>0</v>
      </c>
      <c r="E10172" s="0" t="n">
        <v>113.5</v>
      </c>
    </row>
    <row r="10173" customFormat="false" ht="13.8" hidden="true" customHeight="false" outlineLevel="0" collapsed="false">
      <c r="A10173" s="0" t="s">
        <v>319</v>
      </c>
      <c r="B10173" s="0" t="n">
        <v>35</v>
      </c>
      <c r="C10173" s="0" t="n">
        <v>2.25</v>
      </c>
      <c r="D10173" s="0" t="n">
        <v>0</v>
      </c>
      <c r="E10173" s="0" t="n">
        <v>113.5</v>
      </c>
    </row>
    <row r="10174" customFormat="false" ht="13.8" hidden="true" customHeight="false" outlineLevel="0" collapsed="false">
      <c r="A10174" s="0" t="s">
        <v>319</v>
      </c>
      <c r="B10174" s="0" t="n">
        <v>35</v>
      </c>
      <c r="C10174" s="0" t="n">
        <v>2.3</v>
      </c>
      <c r="D10174" s="0" t="n">
        <v>0</v>
      </c>
      <c r="E10174" s="0" t="n">
        <v>113.5</v>
      </c>
    </row>
    <row r="10175" customFormat="false" ht="13.8" hidden="true" customHeight="false" outlineLevel="0" collapsed="false">
      <c r="A10175" s="0" t="s">
        <v>319</v>
      </c>
      <c r="B10175" s="0" t="n">
        <v>35</v>
      </c>
      <c r="C10175" s="0" t="n">
        <v>2.35</v>
      </c>
      <c r="D10175" s="0" t="n">
        <v>0</v>
      </c>
      <c r="E10175" s="0" t="n">
        <v>113.5</v>
      </c>
    </row>
    <row r="10176" customFormat="false" ht="13.8" hidden="true" customHeight="false" outlineLevel="0" collapsed="false">
      <c r="A10176" s="0" t="s">
        <v>319</v>
      </c>
      <c r="B10176" s="0" t="n">
        <v>35</v>
      </c>
      <c r="C10176" s="0" t="n">
        <v>2.4</v>
      </c>
      <c r="D10176" s="0" t="n">
        <v>0</v>
      </c>
      <c r="E10176" s="0" t="n">
        <v>113.5</v>
      </c>
    </row>
    <row r="10177" customFormat="false" ht="13.8" hidden="true" customHeight="false" outlineLevel="0" collapsed="false">
      <c r="A10177" s="0" t="s">
        <v>319</v>
      </c>
      <c r="B10177" s="0" t="n">
        <v>35</v>
      </c>
      <c r="C10177" s="0" t="n">
        <v>2.45</v>
      </c>
      <c r="D10177" s="0" t="n">
        <v>0</v>
      </c>
      <c r="E10177" s="0" t="n">
        <v>113.5</v>
      </c>
    </row>
    <row r="10178" customFormat="false" ht="13.8" hidden="true" customHeight="false" outlineLevel="0" collapsed="false">
      <c r="A10178" s="0" t="s">
        <v>319</v>
      </c>
      <c r="B10178" s="0" t="n">
        <v>35</v>
      </c>
      <c r="C10178" s="0" t="n">
        <v>2.5</v>
      </c>
      <c r="D10178" s="0" t="n">
        <v>0</v>
      </c>
      <c r="E10178" s="0" t="n">
        <v>113.5</v>
      </c>
    </row>
    <row r="10179" customFormat="false" ht="13.8" hidden="true" customHeight="false" outlineLevel="0" collapsed="false">
      <c r="A10179" s="0" t="s">
        <v>319</v>
      </c>
      <c r="B10179" s="0" t="n">
        <v>35</v>
      </c>
      <c r="C10179" s="0" t="n">
        <v>2.55</v>
      </c>
      <c r="D10179" s="0" t="n">
        <v>0</v>
      </c>
      <c r="E10179" s="0" t="n">
        <v>113.5</v>
      </c>
    </row>
    <row r="10180" customFormat="false" ht="13.8" hidden="true" customHeight="false" outlineLevel="0" collapsed="false">
      <c r="A10180" s="0" t="s">
        <v>319</v>
      </c>
      <c r="B10180" s="0" t="n">
        <v>35</v>
      </c>
      <c r="C10180" s="0" t="n">
        <v>2.6</v>
      </c>
      <c r="D10180" s="0" t="n">
        <v>0</v>
      </c>
      <c r="E10180" s="0" t="n">
        <v>113.5</v>
      </c>
    </row>
    <row r="10181" customFormat="false" ht="13.8" hidden="true" customHeight="false" outlineLevel="0" collapsed="false">
      <c r="A10181" s="0" t="s">
        <v>197</v>
      </c>
      <c r="B10181" s="0" t="n">
        <v>35</v>
      </c>
      <c r="C10181" s="0" t="n">
        <v>1.3</v>
      </c>
      <c r="D10181" s="0" t="n">
        <v>0</v>
      </c>
      <c r="E10181" s="0" t="n">
        <v>113.5</v>
      </c>
    </row>
    <row r="10182" customFormat="false" ht="13.8" hidden="true" customHeight="false" outlineLevel="0" collapsed="false">
      <c r="A10182" s="0" t="s">
        <v>197</v>
      </c>
      <c r="B10182" s="0" t="n">
        <v>35</v>
      </c>
      <c r="C10182" s="0" t="n">
        <v>1.35</v>
      </c>
      <c r="D10182" s="0" t="n">
        <v>0</v>
      </c>
      <c r="E10182" s="0" t="n">
        <v>113.5</v>
      </c>
    </row>
    <row r="10183" customFormat="false" ht="13.8" hidden="true" customHeight="false" outlineLevel="0" collapsed="false">
      <c r="A10183" s="0" t="s">
        <v>197</v>
      </c>
      <c r="B10183" s="0" t="n">
        <v>35</v>
      </c>
      <c r="C10183" s="0" t="n">
        <v>1.4</v>
      </c>
      <c r="D10183" s="0" t="n">
        <v>0</v>
      </c>
      <c r="E10183" s="0" t="n">
        <v>113.5</v>
      </c>
    </row>
    <row r="10184" customFormat="false" ht="13.8" hidden="true" customHeight="false" outlineLevel="0" collapsed="false">
      <c r="A10184" s="0" t="s">
        <v>197</v>
      </c>
      <c r="B10184" s="0" t="n">
        <v>35</v>
      </c>
      <c r="C10184" s="0" t="n">
        <v>1.45</v>
      </c>
      <c r="D10184" s="0" t="n">
        <v>0</v>
      </c>
      <c r="E10184" s="0" t="n">
        <v>113.5</v>
      </c>
    </row>
    <row r="10185" customFormat="false" ht="13.8" hidden="true" customHeight="false" outlineLevel="0" collapsed="false">
      <c r="A10185" s="0" t="s">
        <v>197</v>
      </c>
      <c r="B10185" s="0" t="n">
        <v>35</v>
      </c>
      <c r="C10185" s="0" t="n">
        <v>1.5</v>
      </c>
      <c r="D10185" s="0" t="n">
        <v>0</v>
      </c>
      <c r="E10185" s="0" t="n">
        <v>113.5</v>
      </c>
    </row>
    <row r="10186" customFormat="false" ht="13.8" hidden="true" customHeight="false" outlineLevel="0" collapsed="false">
      <c r="A10186" s="0" t="s">
        <v>197</v>
      </c>
      <c r="B10186" s="0" t="n">
        <v>35</v>
      </c>
      <c r="C10186" s="0" t="n">
        <v>1.55</v>
      </c>
      <c r="D10186" s="0" t="n">
        <v>0</v>
      </c>
      <c r="E10186" s="0" t="n">
        <v>113.5</v>
      </c>
    </row>
    <row r="10187" customFormat="false" ht="13.8" hidden="true" customHeight="false" outlineLevel="0" collapsed="false">
      <c r="A10187" s="0" t="s">
        <v>197</v>
      </c>
      <c r="B10187" s="0" t="n">
        <v>35</v>
      </c>
      <c r="C10187" s="0" t="n">
        <v>1.6</v>
      </c>
      <c r="D10187" s="0" t="n">
        <v>0</v>
      </c>
      <c r="E10187" s="0" t="n">
        <v>113.5</v>
      </c>
    </row>
    <row r="10188" customFormat="false" ht="13.8" hidden="true" customHeight="false" outlineLevel="0" collapsed="false">
      <c r="A10188" s="0" t="s">
        <v>197</v>
      </c>
      <c r="B10188" s="0" t="n">
        <v>35</v>
      </c>
      <c r="C10188" s="0" t="n">
        <v>1.65</v>
      </c>
      <c r="D10188" s="0" t="n">
        <v>1.21275</v>
      </c>
      <c r="E10188" s="0" t="n">
        <v>113.5</v>
      </c>
    </row>
    <row r="10189" customFormat="false" ht="13.8" hidden="true" customHeight="false" outlineLevel="0" collapsed="false">
      <c r="A10189" s="0" t="s">
        <v>197</v>
      </c>
      <c r="B10189" s="0" t="n">
        <v>35</v>
      </c>
      <c r="C10189" s="0" t="n">
        <v>1.7</v>
      </c>
      <c r="D10189" s="0" t="n">
        <v>1.2495</v>
      </c>
      <c r="E10189" s="0" t="n">
        <v>113.5</v>
      </c>
    </row>
    <row r="10190" customFormat="false" ht="13.8" hidden="true" customHeight="false" outlineLevel="0" collapsed="false">
      <c r="A10190" s="0" t="s">
        <v>197</v>
      </c>
      <c r="B10190" s="0" t="n">
        <v>35</v>
      </c>
      <c r="C10190" s="0" t="n">
        <v>1.75</v>
      </c>
      <c r="D10190" s="0" t="n">
        <v>1.28625</v>
      </c>
      <c r="E10190" s="0" t="n">
        <v>113.5</v>
      </c>
    </row>
    <row r="10191" customFormat="false" ht="13.8" hidden="true" customHeight="false" outlineLevel="0" collapsed="false">
      <c r="A10191" s="0" t="s">
        <v>197</v>
      </c>
      <c r="B10191" s="0" t="n">
        <v>35</v>
      </c>
      <c r="C10191" s="0" t="n">
        <v>1.8</v>
      </c>
      <c r="D10191" s="0" t="n">
        <v>1.323</v>
      </c>
      <c r="E10191" s="0" t="n">
        <v>113.5</v>
      </c>
    </row>
    <row r="10192" customFormat="false" ht="13.8" hidden="true" customHeight="false" outlineLevel="0" collapsed="false">
      <c r="A10192" s="0" t="s">
        <v>197</v>
      </c>
      <c r="B10192" s="0" t="n">
        <v>35</v>
      </c>
      <c r="C10192" s="0" t="n">
        <v>1.85</v>
      </c>
      <c r="D10192" s="0" t="n">
        <v>0</v>
      </c>
      <c r="E10192" s="0" t="n">
        <v>113.5</v>
      </c>
    </row>
    <row r="10193" customFormat="false" ht="13.8" hidden="true" customHeight="false" outlineLevel="0" collapsed="false">
      <c r="A10193" s="0" t="s">
        <v>197</v>
      </c>
      <c r="B10193" s="0" t="n">
        <v>35</v>
      </c>
      <c r="C10193" s="0" t="n">
        <v>1.9</v>
      </c>
      <c r="D10193" s="0" t="n">
        <v>0</v>
      </c>
      <c r="E10193" s="0" t="n">
        <v>113.5</v>
      </c>
    </row>
    <row r="10194" customFormat="false" ht="13.8" hidden="true" customHeight="false" outlineLevel="0" collapsed="false">
      <c r="A10194" s="0" t="s">
        <v>197</v>
      </c>
      <c r="B10194" s="0" t="n">
        <v>35</v>
      </c>
      <c r="C10194" s="0" t="n">
        <v>1.95</v>
      </c>
      <c r="D10194" s="0" t="n">
        <v>0</v>
      </c>
      <c r="E10194" s="0" t="n">
        <v>113.5</v>
      </c>
    </row>
    <row r="10195" customFormat="false" ht="13.8" hidden="true" customHeight="false" outlineLevel="0" collapsed="false">
      <c r="A10195" s="0" t="s">
        <v>197</v>
      </c>
      <c r="B10195" s="0" t="n">
        <v>35</v>
      </c>
      <c r="C10195" s="0" t="n">
        <v>2</v>
      </c>
      <c r="D10195" s="0" t="n">
        <v>0</v>
      </c>
      <c r="E10195" s="0" t="n">
        <v>113.5</v>
      </c>
    </row>
    <row r="10196" customFormat="false" ht="13.8" hidden="true" customHeight="false" outlineLevel="0" collapsed="false">
      <c r="A10196" s="0" t="s">
        <v>197</v>
      </c>
      <c r="B10196" s="0" t="n">
        <v>35</v>
      </c>
      <c r="C10196" s="0" t="n">
        <v>2.05</v>
      </c>
      <c r="D10196" s="0" t="n">
        <v>0</v>
      </c>
      <c r="E10196" s="0" t="n">
        <v>113.5</v>
      </c>
    </row>
    <row r="10197" customFormat="false" ht="13.8" hidden="true" customHeight="false" outlineLevel="0" collapsed="false">
      <c r="A10197" s="0" t="s">
        <v>197</v>
      </c>
      <c r="B10197" s="0" t="n">
        <v>35</v>
      </c>
      <c r="C10197" s="0" t="n">
        <v>2.1</v>
      </c>
      <c r="D10197" s="0" t="n">
        <v>0</v>
      </c>
      <c r="E10197" s="0" t="n">
        <v>113.5</v>
      </c>
    </row>
    <row r="10198" customFormat="false" ht="13.8" hidden="true" customHeight="false" outlineLevel="0" collapsed="false">
      <c r="A10198" s="0" t="s">
        <v>197</v>
      </c>
      <c r="B10198" s="0" t="n">
        <v>35</v>
      </c>
      <c r="C10198" s="0" t="n">
        <v>2.15</v>
      </c>
      <c r="D10198" s="0" t="n">
        <v>0</v>
      </c>
      <c r="E10198" s="0" t="n">
        <v>113.5</v>
      </c>
    </row>
    <row r="10199" customFormat="false" ht="13.8" hidden="true" customHeight="false" outlineLevel="0" collapsed="false">
      <c r="A10199" s="0" t="s">
        <v>197</v>
      </c>
      <c r="B10199" s="0" t="n">
        <v>35</v>
      </c>
      <c r="C10199" s="0" t="n">
        <v>2.2</v>
      </c>
      <c r="D10199" s="0" t="n">
        <v>0</v>
      </c>
      <c r="E10199" s="0" t="n">
        <v>113.5</v>
      </c>
    </row>
    <row r="10200" customFormat="false" ht="13.8" hidden="true" customHeight="false" outlineLevel="0" collapsed="false">
      <c r="A10200" s="0" t="s">
        <v>197</v>
      </c>
      <c r="B10200" s="0" t="n">
        <v>35</v>
      </c>
      <c r="C10200" s="0" t="n">
        <v>2.25</v>
      </c>
      <c r="D10200" s="0" t="n">
        <v>0</v>
      </c>
      <c r="E10200" s="0" t="n">
        <v>113.5</v>
      </c>
    </row>
    <row r="10201" customFormat="false" ht="13.8" hidden="true" customHeight="false" outlineLevel="0" collapsed="false">
      <c r="A10201" s="0" t="s">
        <v>197</v>
      </c>
      <c r="B10201" s="0" t="n">
        <v>35</v>
      </c>
      <c r="C10201" s="0" t="n">
        <v>2.3</v>
      </c>
      <c r="D10201" s="0" t="n">
        <v>0</v>
      </c>
      <c r="E10201" s="0" t="n">
        <v>113.5</v>
      </c>
    </row>
    <row r="10202" customFormat="false" ht="13.8" hidden="true" customHeight="false" outlineLevel="0" collapsed="false">
      <c r="A10202" s="0" t="s">
        <v>197</v>
      </c>
      <c r="B10202" s="0" t="n">
        <v>35</v>
      </c>
      <c r="C10202" s="0" t="n">
        <v>2.35</v>
      </c>
      <c r="D10202" s="0" t="n">
        <v>0</v>
      </c>
      <c r="E10202" s="0" t="n">
        <v>113.5</v>
      </c>
    </row>
    <row r="10203" customFormat="false" ht="13.8" hidden="true" customHeight="false" outlineLevel="0" collapsed="false">
      <c r="A10203" s="0" t="s">
        <v>197</v>
      </c>
      <c r="B10203" s="0" t="n">
        <v>35</v>
      </c>
      <c r="C10203" s="0" t="n">
        <v>2.4</v>
      </c>
      <c r="D10203" s="0" t="n">
        <v>0</v>
      </c>
      <c r="E10203" s="0" t="n">
        <v>113.5</v>
      </c>
    </row>
    <row r="10204" customFormat="false" ht="13.8" hidden="true" customHeight="false" outlineLevel="0" collapsed="false">
      <c r="A10204" s="0" t="s">
        <v>197</v>
      </c>
      <c r="B10204" s="0" t="n">
        <v>35</v>
      </c>
      <c r="C10204" s="0" t="n">
        <v>2.45</v>
      </c>
      <c r="D10204" s="0" t="n">
        <v>0</v>
      </c>
      <c r="E10204" s="0" t="n">
        <v>113.5</v>
      </c>
    </row>
    <row r="10205" customFormat="false" ht="13.8" hidden="true" customHeight="false" outlineLevel="0" collapsed="false">
      <c r="A10205" s="0" t="s">
        <v>197</v>
      </c>
      <c r="B10205" s="0" t="n">
        <v>35</v>
      </c>
      <c r="C10205" s="0" t="n">
        <v>2.5</v>
      </c>
      <c r="D10205" s="0" t="n">
        <v>0</v>
      </c>
      <c r="E10205" s="0" t="n">
        <v>113.5</v>
      </c>
    </row>
    <row r="10206" customFormat="false" ht="13.8" hidden="true" customHeight="false" outlineLevel="0" collapsed="false">
      <c r="A10206" s="0" t="s">
        <v>197</v>
      </c>
      <c r="B10206" s="0" t="n">
        <v>35</v>
      </c>
      <c r="C10206" s="0" t="n">
        <v>2.55</v>
      </c>
      <c r="D10206" s="0" t="n">
        <v>0</v>
      </c>
      <c r="E10206" s="0" t="n">
        <v>113.5</v>
      </c>
    </row>
    <row r="10207" customFormat="false" ht="13.8" hidden="true" customHeight="false" outlineLevel="0" collapsed="false">
      <c r="A10207" s="0" t="s">
        <v>197</v>
      </c>
      <c r="B10207" s="0" t="n">
        <v>35</v>
      </c>
      <c r="C10207" s="0" t="n">
        <v>2.6</v>
      </c>
      <c r="D10207" s="0" t="n">
        <v>0</v>
      </c>
      <c r="E10207" s="0" t="n">
        <v>113.5</v>
      </c>
    </row>
    <row r="10208" customFormat="false" ht="13.8" hidden="true" customHeight="false" outlineLevel="0" collapsed="false">
      <c r="A10208" s="0" t="s">
        <v>198</v>
      </c>
      <c r="B10208" s="0" t="n">
        <v>36</v>
      </c>
      <c r="C10208" s="0" t="n">
        <v>1.3</v>
      </c>
      <c r="D10208" s="0" t="n">
        <v>0</v>
      </c>
      <c r="E10208" s="0" t="n">
        <v>113.5</v>
      </c>
    </row>
    <row r="10209" customFormat="false" ht="13.8" hidden="true" customHeight="false" outlineLevel="0" collapsed="false">
      <c r="A10209" s="0" t="s">
        <v>198</v>
      </c>
      <c r="B10209" s="0" t="n">
        <v>36</v>
      </c>
      <c r="C10209" s="0" t="n">
        <v>1.35</v>
      </c>
      <c r="D10209" s="0" t="n">
        <v>0</v>
      </c>
      <c r="E10209" s="0" t="n">
        <v>113.5</v>
      </c>
    </row>
    <row r="10210" customFormat="false" ht="13.8" hidden="true" customHeight="false" outlineLevel="0" collapsed="false">
      <c r="A10210" s="0" t="s">
        <v>198</v>
      </c>
      <c r="B10210" s="0" t="n">
        <v>36</v>
      </c>
      <c r="C10210" s="0" t="n">
        <v>1.4</v>
      </c>
      <c r="D10210" s="0" t="n">
        <v>0</v>
      </c>
      <c r="E10210" s="0" t="n">
        <v>113.5</v>
      </c>
    </row>
    <row r="10211" customFormat="false" ht="13.8" hidden="true" customHeight="false" outlineLevel="0" collapsed="false">
      <c r="A10211" s="0" t="s">
        <v>198</v>
      </c>
      <c r="B10211" s="0" t="n">
        <v>36</v>
      </c>
      <c r="C10211" s="0" t="n">
        <v>1.45</v>
      </c>
      <c r="D10211" s="0" t="n">
        <v>0</v>
      </c>
      <c r="E10211" s="0" t="n">
        <v>113.5</v>
      </c>
    </row>
    <row r="10212" customFormat="false" ht="13.8" hidden="true" customHeight="false" outlineLevel="0" collapsed="false">
      <c r="A10212" s="0" t="s">
        <v>198</v>
      </c>
      <c r="B10212" s="0" t="n">
        <v>36</v>
      </c>
      <c r="C10212" s="0" t="n">
        <v>1.5</v>
      </c>
      <c r="D10212" s="0" t="n">
        <v>0</v>
      </c>
      <c r="E10212" s="0" t="n">
        <v>113.5</v>
      </c>
    </row>
    <row r="10213" customFormat="false" ht="13.8" hidden="true" customHeight="false" outlineLevel="0" collapsed="false">
      <c r="A10213" s="0" t="s">
        <v>198</v>
      </c>
      <c r="B10213" s="0" t="n">
        <v>36</v>
      </c>
      <c r="C10213" s="0" t="n">
        <v>1.55</v>
      </c>
      <c r="D10213" s="0" t="n">
        <v>0</v>
      </c>
      <c r="E10213" s="0" t="n">
        <v>113.5</v>
      </c>
    </row>
    <row r="10214" customFormat="false" ht="13.8" hidden="true" customHeight="false" outlineLevel="0" collapsed="false">
      <c r="A10214" s="0" t="s">
        <v>198</v>
      </c>
      <c r="B10214" s="0" t="n">
        <v>36</v>
      </c>
      <c r="C10214" s="0" t="n">
        <v>1.6</v>
      </c>
      <c r="D10214" s="0" t="n">
        <v>0</v>
      </c>
      <c r="E10214" s="0" t="n">
        <v>113.5</v>
      </c>
    </row>
    <row r="10215" customFormat="false" ht="13.8" hidden="true" customHeight="false" outlineLevel="0" collapsed="false">
      <c r="A10215" s="0" t="s">
        <v>198</v>
      </c>
      <c r="B10215" s="0" t="n">
        <v>36</v>
      </c>
      <c r="C10215" s="0" t="n">
        <v>1.65</v>
      </c>
      <c r="D10215" s="0" t="n">
        <v>1.21275</v>
      </c>
      <c r="E10215" s="0" t="n">
        <v>113.5</v>
      </c>
    </row>
    <row r="10216" customFormat="false" ht="13.8" hidden="true" customHeight="false" outlineLevel="0" collapsed="false">
      <c r="A10216" s="0" t="s">
        <v>198</v>
      </c>
      <c r="B10216" s="0" t="n">
        <v>36</v>
      </c>
      <c r="C10216" s="0" t="n">
        <v>1.7</v>
      </c>
      <c r="D10216" s="0" t="n">
        <v>1.2495</v>
      </c>
      <c r="E10216" s="0" t="n">
        <v>113.5</v>
      </c>
    </row>
    <row r="10217" customFormat="false" ht="13.8" hidden="true" customHeight="false" outlineLevel="0" collapsed="false">
      <c r="A10217" s="0" t="s">
        <v>198</v>
      </c>
      <c r="B10217" s="0" t="n">
        <v>36</v>
      </c>
      <c r="C10217" s="0" t="n">
        <v>1.75</v>
      </c>
      <c r="D10217" s="0" t="n">
        <v>1.28625</v>
      </c>
      <c r="E10217" s="0" t="n">
        <v>113.5</v>
      </c>
    </row>
    <row r="10218" customFormat="false" ht="13.8" hidden="true" customHeight="false" outlineLevel="0" collapsed="false">
      <c r="A10218" s="0" t="s">
        <v>198</v>
      </c>
      <c r="B10218" s="0" t="n">
        <v>36</v>
      </c>
      <c r="C10218" s="0" t="n">
        <v>1.8</v>
      </c>
      <c r="D10218" s="0" t="n">
        <v>1.323</v>
      </c>
      <c r="E10218" s="0" t="n">
        <v>113.5</v>
      </c>
    </row>
    <row r="10219" customFormat="false" ht="13.8" hidden="true" customHeight="false" outlineLevel="0" collapsed="false">
      <c r="A10219" s="0" t="s">
        <v>198</v>
      </c>
      <c r="B10219" s="0" t="n">
        <v>36</v>
      </c>
      <c r="C10219" s="0" t="n">
        <v>1.85</v>
      </c>
      <c r="D10219" s="0" t="n">
        <v>0</v>
      </c>
      <c r="E10219" s="0" t="n">
        <v>113.5</v>
      </c>
    </row>
    <row r="10220" customFormat="false" ht="13.8" hidden="true" customHeight="false" outlineLevel="0" collapsed="false">
      <c r="A10220" s="0" t="s">
        <v>198</v>
      </c>
      <c r="B10220" s="0" t="n">
        <v>36</v>
      </c>
      <c r="C10220" s="0" t="n">
        <v>1.9</v>
      </c>
      <c r="D10220" s="0" t="n">
        <v>0</v>
      </c>
      <c r="E10220" s="0" t="n">
        <v>113.5</v>
      </c>
    </row>
    <row r="10221" customFormat="false" ht="13.8" hidden="true" customHeight="false" outlineLevel="0" collapsed="false">
      <c r="A10221" s="0" t="s">
        <v>198</v>
      </c>
      <c r="B10221" s="0" t="n">
        <v>36</v>
      </c>
      <c r="C10221" s="0" t="n">
        <v>1.95</v>
      </c>
      <c r="D10221" s="0" t="n">
        <v>0</v>
      </c>
      <c r="E10221" s="0" t="n">
        <v>113.5</v>
      </c>
    </row>
    <row r="10222" customFormat="false" ht="13.8" hidden="true" customHeight="false" outlineLevel="0" collapsed="false">
      <c r="A10222" s="0" t="s">
        <v>198</v>
      </c>
      <c r="B10222" s="0" t="n">
        <v>36</v>
      </c>
      <c r="C10222" s="0" t="n">
        <v>2</v>
      </c>
      <c r="D10222" s="0" t="n">
        <v>0</v>
      </c>
      <c r="E10222" s="0" t="n">
        <v>113.5</v>
      </c>
    </row>
    <row r="10223" customFormat="false" ht="13.8" hidden="true" customHeight="false" outlineLevel="0" collapsed="false">
      <c r="A10223" s="0" t="s">
        <v>198</v>
      </c>
      <c r="B10223" s="0" t="n">
        <v>36</v>
      </c>
      <c r="C10223" s="0" t="n">
        <v>2.05</v>
      </c>
      <c r="D10223" s="0" t="n">
        <v>0</v>
      </c>
      <c r="E10223" s="0" t="n">
        <v>113.5</v>
      </c>
    </row>
    <row r="10224" customFormat="false" ht="13.8" hidden="true" customHeight="false" outlineLevel="0" collapsed="false">
      <c r="A10224" s="0" t="s">
        <v>198</v>
      </c>
      <c r="B10224" s="0" t="n">
        <v>36</v>
      </c>
      <c r="C10224" s="0" t="n">
        <v>2.1</v>
      </c>
      <c r="D10224" s="0" t="n">
        <v>0</v>
      </c>
      <c r="E10224" s="0" t="n">
        <v>113.5</v>
      </c>
    </row>
    <row r="10225" customFormat="false" ht="13.8" hidden="true" customHeight="false" outlineLevel="0" collapsed="false">
      <c r="A10225" s="0" t="s">
        <v>198</v>
      </c>
      <c r="B10225" s="0" t="n">
        <v>36</v>
      </c>
      <c r="C10225" s="0" t="n">
        <v>2.15</v>
      </c>
      <c r="D10225" s="0" t="n">
        <v>0</v>
      </c>
      <c r="E10225" s="0" t="n">
        <v>113.5</v>
      </c>
    </row>
    <row r="10226" customFormat="false" ht="13.8" hidden="true" customHeight="false" outlineLevel="0" collapsed="false">
      <c r="A10226" s="0" t="s">
        <v>198</v>
      </c>
      <c r="B10226" s="0" t="n">
        <v>36</v>
      </c>
      <c r="C10226" s="0" t="n">
        <v>2.2</v>
      </c>
      <c r="D10226" s="0" t="n">
        <v>0</v>
      </c>
      <c r="E10226" s="0" t="n">
        <v>113.5</v>
      </c>
    </row>
    <row r="10227" customFormat="false" ht="13.8" hidden="true" customHeight="false" outlineLevel="0" collapsed="false">
      <c r="A10227" s="0" t="s">
        <v>198</v>
      </c>
      <c r="B10227" s="0" t="n">
        <v>36</v>
      </c>
      <c r="C10227" s="0" t="n">
        <v>2.25</v>
      </c>
      <c r="D10227" s="0" t="n">
        <v>0</v>
      </c>
      <c r="E10227" s="0" t="n">
        <v>113.5</v>
      </c>
    </row>
    <row r="10228" customFormat="false" ht="13.8" hidden="true" customHeight="false" outlineLevel="0" collapsed="false">
      <c r="A10228" s="0" t="s">
        <v>198</v>
      </c>
      <c r="B10228" s="0" t="n">
        <v>36</v>
      </c>
      <c r="C10228" s="0" t="n">
        <v>2.3</v>
      </c>
      <c r="D10228" s="0" t="n">
        <v>0</v>
      </c>
      <c r="E10228" s="0" t="n">
        <v>113.5</v>
      </c>
    </row>
    <row r="10229" customFormat="false" ht="13.8" hidden="true" customHeight="false" outlineLevel="0" collapsed="false">
      <c r="A10229" s="0" t="s">
        <v>198</v>
      </c>
      <c r="B10229" s="0" t="n">
        <v>36</v>
      </c>
      <c r="C10229" s="0" t="n">
        <v>2.35</v>
      </c>
      <c r="D10229" s="0" t="n">
        <v>0</v>
      </c>
      <c r="E10229" s="0" t="n">
        <v>113.5</v>
      </c>
    </row>
    <row r="10230" customFormat="false" ht="13.8" hidden="true" customHeight="false" outlineLevel="0" collapsed="false">
      <c r="A10230" s="0" t="s">
        <v>198</v>
      </c>
      <c r="B10230" s="0" t="n">
        <v>36</v>
      </c>
      <c r="C10230" s="0" t="n">
        <v>2.4</v>
      </c>
      <c r="D10230" s="0" t="n">
        <v>0</v>
      </c>
      <c r="E10230" s="0" t="n">
        <v>113.5</v>
      </c>
    </row>
    <row r="10231" customFormat="false" ht="13.8" hidden="true" customHeight="false" outlineLevel="0" collapsed="false">
      <c r="A10231" s="0" t="s">
        <v>198</v>
      </c>
      <c r="B10231" s="0" t="n">
        <v>36</v>
      </c>
      <c r="C10231" s="0" t="n">
        <v>2.45</v>
      </c>
      <c r="D10231" s="0" t="n">
        <v>0</v>
      </c>
      <c r="E10231" s="0" t="n">
        <v>113.5</v>
      </c>
    </row>
    <row r="10232" customFormat="false" ht="13.8" hidden="true" customHeight="false" outlineLevel="0" collapsed="false">
      <c r="A10232" s="0" t="s">
        <v>198</v>
      </c>
      <c r="B10232" s="0" t="n">
        <v>36</v>
      </c>
      <c r="C10232" s="0" t="n">
        <v>2.5</v>
      </c>
      <c r="D10232" s="0" t="n">
        <v>0</v>
      </c>
      <c r="E10232" s="0" t="n">
        <v>113.5</v>
      </c>
    </row>
    <row r="10233" customFormat="false" ht="13.8" hidden="true" customHeight="false" outlineLevel="0" collapsed="false">
      <c r="A10233" s="0" t="s">
        <v>198</v>
      </c>
      <c r="B10233" s="0" t="n">
        <v>36</v>
      </c>
      <c r="C10233" s="0" t="n">
        <v>2.55</v>
      </c>
      <c r="D10233" s="0" t="n">
        <v>0</v>
      </c>
      <c r="E10233" s="0" t="n">
        <v>113.5</v>
      </c>
    </row>
    <row r="10234" customFormat="false" ht="13.8" hidden="true" customHeight="false" outlineLevel="0" collapsed="false">
      <c r="A10234" s="0" t="s">
        <v>198</v>
      </c>
      <c r="B10234" s="0" t="n">
        <v>36</v>
      </c>
      <c r="C10234" s="0" t="n">
        <v>2.6</v>
      </c>
      <c r="D10234" s="0" t="n">
        <v>0</v>
      </c>
      <c r="E10234" s="0" t="n">
        <v>113.5</v>
      </c>
    </row>
    <row r="10235" customFormat="false" ht="13.8" hidden="true" customHeight="false" outlineLevel="0" collapsed="false">
      <c r="A10235" s="0" t="s">
        <v>1076</v>
      </c>
      <c r="B10235" s="0" t="n">
        <v>7</v>
      </c>
      <c r="C10235" s="0" t="n">
        <v>1.3</v>
      </c>
      <c r="D10235" s="0" t="n">
        <v>0</v>
      </c>
    </row>
    <row r="10236" customFormat="false" ht="13.8" hidden="true" customHeight="false" outlineLevel="0" collapsed="false">
      <c r="A10236" s="0" t="s">
        <v>1076</v>
      </c>
      <c r="B10236" s="0" t="n">
        <v>7</v>
      </c>
      <c r="C10236" s="0" t="n">
        <v>1.35</v>
      </c>
      <c r="D10236" s="0" t="n">
        <v>0</v>
      </c>
    </row>
    <row r="10237" customFormat="false" ht="13.8" hidden="true" customHeight="false" outlineLevel="0" collapsed="false">
      <c r="A10237" s="0" t="s">
        <v>1076</v>
      </c>
      <c r="B10237" s="0" t="n">
        <v>7</v>
      </c>
      <c r="C10237" s="0" t="n">
        <v>1.4</v>
      </c>
      <c r="D10237" s="0" t="n">
        <v>0</v>
      </c>
    </row>
    <row r="10238" customFormat="false" ht="13.8" hidden="true" customHeight="false" outlineLevel="0" collapsed="false">
      <c r="A10238" s="0" t="s">
        <v>1076</v>
      </c>
      <c r="B10238" s="0" t="n">
        <v>7</v>
      </c>
      <c r="C10238" s="0" t="n">
        <v>1.45</v>
      </c>
      <c r="D10238" s="0" t="n">
        <v>0</v>
      </c>
    </row>
    <row r="10239" customFormat="false" ht="13.8" hidden="true" customHeight="false" outlineLevel="0" collapsed="false">
      <c r="A10239" s="0" t="s">
        <v>1076</v>
      </c>
      <c r="B10239" s="0" t="n">
        <v>7</v>
      </c>
      <c r="C10239" s="0" t="n">
        <v>1.5</v>
      </c>
      <c r="D10239" s="0" t="n">
        <v>0</v>
      </c>
    </row>
    <row r="10240" customFormat="false" ht="13.8" hidden="true" customHeight="false" outlineLevel="0" collapsed="false">
      <c r="A10240" s="0" t="s">
        <v>1076</v>
      </c>
      <c r="B10240" s="0" t="n">
        <v>7</v>
      </c>
      <c r="C10240" s="0" t="n">
        <v>1.55</v>
      </c>
      <c r="D10240" s="0" t="n">
        <v>0</v>
      </c>
    </row>
    <row r="10241" customFormat="false" ht="13.8" hidden="true" customHeight="false" outlineLevel="0" collapsed="false">
      <c r="A10241" s="0" t="s">
        <v>1076</v>
      </c>
      <c r="B10241" s="0" t="n">
        <v>7</v>
      </c>
      <c r="C10241" s="0" t="n">
        <v>1.6</v>
      </c>
      <c r="D10241" s="0" t="n">
        <v>0.058</v>
      </c>
    </row>
    <row r="10242" customFormat="false" ht="13.8" hidden="true" customHeight="false" outlineLevel="0" collapsed="false">
      <c r="A10242" s="0" t="s">
        <v>1076</v>
      </c>
      <c r="B10242" s="0" t="n">
        <v>7</v>
      </c>
      <c r="C10242" s="0" t="n">
        <v>1.65</v>
      </c>
      <c r="D10242" s="0" t="n">
        <v>0.059</v>
      </c>
    </row>
    <row r="10243" customFormat="false" ht="13.8" hidden="true" customHeight="false" outlineLevel="0" collapsed="false">
      <c r="A10243" s="0" t="s">
        <v>1076</v>
      </c>
      <c r="B10243" s="0" t="n">
        <v>7</v>
      </c>
      <c r="C10243" s="0" t="n">
        <v>1.7</v>
      </c>
      <c r="D10243" s="0" t="n">
        <v>0.061</v>
      </c>
    </row>
    <row r="10244" customFormat="false" ht="13.8" hidden="true" customHeight="false" outlineLevel="0" collapsed="false">
      <c r="A10244" s="0" t="s">
        <v>1076</v>
      </c>
      <c r="B10244" s="0" t="n">
        <v>7</v>
      </c>
      <c r="C10244" s="0" t="n">
        <v>1.75</v>
      </c>
      <c r="D10244" s="0" t="n">
        <v>0.063</v>
      </c>
    </row>
    <row r="10245" customFormat="false" ht="13.8" hidden="true" customHeight="false" outlineLevel="0" collapsed="false">
      <c r="A10245" s="0" t="s">
        <v>1076</v>
      </c>
      <c r="B10245" s="0" t="n">
        <v>7</v>
      </c>
      <c r="C10245" s="0" t="n">
        <v>1.8</v>
      </c>
      <c r="D10245" s="0" t="n">
        <v>0.064</v>
      </c>
    </row>
    <row r="10246" customFormat="false" ht="13.8" hidden="true" customHeight="false" outlineLevel="0" collapsed="false">
      <c r="A10246" s="0" t="s">
        <v>1076</v>
      </c>
      <c r="B10246" s="0" t="n">
        <v>7</v>
      </c>
      <c r="C10246" s="0" t="n">
        <v>1.85</v>
      </c>
      <c r="D10246" s="0" t="n">
        <v>0.066</v>
      </c>
    </row>
    <row r="10247" customFormat="false" ht="13.8" hidden="true" customHeight="false" outlineLevel="0" collapsed="false">
      <c r="A10247" s="0" t="s">
        <v>1076</v>
      </c>
      <c r="B10247" s="0" t="n">
        <v>7</v>
      </c>
      <c r="C10247" s="0" t="n">
        <v>1.9</v>
      </c>
      <c r="D10247" s="0" t="n">
        <v>0.0676875</v>
      </c>
    </row>
    <row r="10248" customFormat="false" ht="13.8" hidden="true" customHeight="false" outlineLevel="0" collapsed="false">
      <c r="A10248" s="0" t="s">
        <v>1076</v>
      </c>
      <c r="B10248" s="0" t="n">
        <v>7</v>
      </c>
      <c r="C10248" s="0" t="n">
        <v>1.95</v>
      </c>
      <c r="D10248" s="0" t="n">
        <v>0.06946875</v>
      </c>
    </row>
    <row r="10249" customFormat="false" ht="13.8" hidden="true" customHeight="false" outlineLevel="0" collapsed="false">
      <c r="A10249" s="0" t="s">
        <v>1076</v>
      </c>
      <c r="B10249" s="0" t="n">
        <v>7</v>
      </c>
      <c r="C10249" s="0" t="n">
        <v>2</v>
      </c>
      <c r="D10249" s="0" t="n">
        <v>0</v>
      </c>
    </row>
    <row r="10250" customFormat="false" ht="13.8" hidden="true" customHeight="false" outlineLevel="0" collapsed="false">
      <c r="A10250" s="0" t="s">
        <v>1076</v>
      </c>
      <c r="B10250" s="0" t="n">
        <v>7</v>
      </c>
      <c r="C10250" s="0" t="n">
        <v>2.05</v>
      </c>
      <c r="D10250" s="0" t="n">
        <v>0</v>
      </c>
    </row>
    <row r="10251" customFormat="false" ht="13.8" hidden="true" customHeight="false" outlineLevel="0" collapsed="false">
      <c r="A10251" s="0" t="s">
        <v>1076</v>
      </c>
      <c r="B10251" s="0" t="n">
        <v>7</v>
      </c>
      <c r="C10251" s="0" t="n">
        <v>2.1</v>
      </c>
      <c r="D10251" s="0" t="n">
        <v>0</v>
      </c>
    </row>
    <row r="10252" customFormat="false" ht="13.8" hidden="true" customHeight="false" outlineLevel="0" collapsed="false">
      <c r="A10252" s="0" t="s">
        <v>1076</v>
      </c>
      <c r="B10252" s="0" t="n">
        <v>7</v>
      </c>
      <c r="C10252" s="0" t="n">
        <v>2.15</v>
      </c>
      <c r="D10252" s="0" t="n">
        <v>0</v>
      </c>
    </row>
    <row r="10253" customFormat="false" ht="13.8" hidden="true" customHeight="false" outlineLevel="0" collapsed="false">
      <c r="A10253" s="0" t="s">
        <v>1076</v>
      </c>
      <c r="B10253" s="0" t="n">
        <v>7</v>
      </c>
      <c r="C10253" s="0" t="n">
        <v>2.2</v>
      </c>
      <c r="D10253" s="0" t="n">
        <v>0</v>
      </c>
    </row>
    <row r="10254" customFormat="false" ht="13.8" hidden="true" customHeight="false" outlineLevel="0" collapsed="false">
      <c r="A10254" s="0" t="s">
        <v>1076</v>
      </c>
      <c r="B10254" s="0" t="n">
        <v>7</v>
      </c>
      <c r="C10254" s="0" t="n">
        <v>2.25</v>
      </c>
      <c r="D10254" s="0" t="n">
        <v>0</v>
      </c>
    </row>
    <row r="10255" customFormat="false" ht="13.8" hidden="true" customHeight="false" outlineLevel="0" collapsed="false">
      <c r="A10255" s="0" t="s">
        <v>1076</v>
      </c>
      <c r="B10255" s="0" t="n">
        <v>7</v>
      </c>
      <c r="C10255" s="0" t="n">
        <v>2.3</v>
      </c>
      <c r="D10255" s="0" t="n">
        <v>0</v>
      </c>
    </row>
    <row r="10256" customFormat="false" ht="13.8" hidden="true" customHeight="false" outlineLevel="0" collapsed="false">
      <c r="A10256" s="0" t="s">
        <v>1076</v>
      </c>
      <c r="B10256" s="0" t="n">
        <v>7</v>
      </c>
      <c r="C10256" s="0" t="n">
        <v>2.35</v>
      </c>
      <c r="D10256" s="0" t="n">
        <v>0</v>
      </c>
    </row>
    <row r="10257" customFormat="false" ht="13.8" hidden="true" customHeight="false" outlineLevel="0" collapsed="false">
      <c r="A10257" s="0" t="s">
        <v>1076</v>
      </c>
      <c r="B10257" s="0" t="n">
        <v>7</v>
      </c>
      <c r="C10257" s="0" t="n">
        <v>2.4</v>
      </c>
      <c r="D10257" s="0" t="n">
        <v>0</v>
      </c>
    </row>
    <row r="10258" customFormat="false" ht="13.8" hidden="true" customHeight="false" outlineLevel="0" collapsed="false">
      <c r="A10258" s="0" t="s">
        <v>1076</v>
      </c>
      <c r="B10258" s="0" t="n">
        <v>7</v>
      </c>
      <c r="C10258" s="0" t="n">
        <v>2.45</v>
      </c>
      <c r="D10258" s="0" t="n">
        <v>0</v>
      </c>
    </row>
    <row r="10259" customFormat="false" ht="13.8" hidden="true" customHeight="false" outlineLevel="0" collapsed="false">
      <c r="A10259" s="0" t="s">
        <v>1076</v>
      </c>
      <c r="B10259" s="0" t="n">
        <v>7</v>
      </c>
      <c r="C10259" s="0" t="n">
        <v>2.5</v>
      </c>
      <c r="D10259" s="0" t="n">
        <v>0</v>
      </c>
    </row>
    <row r="10260" customFormat="false" ht="13.8" hidden="true" customHeight="false" outlineLevel="0" collapsed="false">
      <c r="A10260" s="0" t="s">
        <v>1076</v>
      </c>
      <c r="B10260" s="0" t="n">
        <v>7</v>
      </c>
      <c r="C10260" s="0" t="n">
        <v>2.55</v>
      </c>
      <c r="D10260" s="0" t="n">
        <v>0</v>
      </c>
    </row>
    <row r="10261" customFormat="false" ht="13.8" hidden="true" customHeight="false" outlineLevel="0" collapsed="false">
      <c r="A10261" s="0" t="s">
        <v>1076</v>
      </c>
      <c r="B10261" s="0" t="n">
        <v>7</v>
      </c>
      <c r="C10261" s="0" t="n">
        <v>2.6</v>
      </c>
      <c r="D10261" s="0" t="n">
        <v>0</v>
      </c>
    </row>
    <row r="10262" customFormat="false" ht="13.8" hidden="true" customHeight="false" outlineLevel="0" collapsed="false">
      <c r="A10262" s="0" t="s">
        <v>1079</v>
      </c>
      <c r="B10262" s="0" t="n">
        <v>7</v>
      </c>
      <c r="C10262" s="0" t="n">
        <v>1.3</v>
      </c>
      <c r="D10262" s="0" t="n">
        <v>0</v>
      </c>
    </row>
    <row r="10263" customFormat="false" ht="13.8" hidden="true" customHeight="false" outlineLevel="0" collapsed="false">
      <c r="A10263" s="0" t="s">
        <v>1079</v>
      </c>
      <c r="B10263" s="0" t="n">
        <v>7</v>
      </c>
      <c r="C10263" s="0" t="n">
        <v>1.35</v>
      </c>
      <c r="D10263" s="0" t="n">
        <v>0</v>
      </c>
    </row>
    <row r="10264" customFormat="false" ht="13.8" hidden="true" customHeight="false" outlineLevel="0" collapsed="false">
      <c r="A10264" s="0" t="s">
        <v>1079</v>
      </c>
      <c r="B10264" s="0" t="n">
        <v>7</v>
      </c>
      <c r="C10264" s="0" t="n">
        <v>1.4</v>
      </c>
      <c r="D10264" s="0" t="n">
        <v>0</v>
      </c>
    </row>
    <row r="10265" customFormat="false" ht="13.8" hidden="true" customHeight="false" outlineLevel="0" collapsed="false">
      <c r="A10265" s="0" t="s">
        <v>1079</v>
      </c>
      <c r="B10265" s="0" t="n">
        <v>7</v>
      </c>
      <c r="C10265" s="0" t="n">
        <v>1.45</v>
      </c>
      <c r="D10265" s="0" t="n">
        <v>0</v>
      </c>
    </row>
    <row r="10266" customFormat="false" ht="13.8" hidden="true" customHeight="false" outlineLevel="0" collapsed="false">
      <c r="A10266" s="0" t="s">
        <v>1079</v>
      </c>
      <c r="B10266" s="0" t="n">
        <v>7</v>
      </c>
      <c r="C10266" s="0" t="n">
        <v>1.5</v>
      </c>
      <c r="D10266" s="0" t="n">
        <v>0</v>
      </c>
    </row>
    <row r="10267" customFormat="false" ht="13.8" hidden="true" customHeight="false" outlineLevel="0" collapsed="false">
      <c r="A10267" s="0" t="s">
        <v>1079</v>
      </c>
      <c r="B10267" s="0" t="n">
        <v>7</v>
      </c>
      <c r="C10267" s="0" t="n">
        <v>1.55</v>
      </c>
      <c r="D10267" s="0" t="n">
        <v>0</v>
      </c>
    </row>
    <row r="10268" customFormat="false" ht="13.8" hidden="true" customHeight="false" outlineLevel="0" collapsed="false">
      <c r="A10268" s="0" t="s">
        <v>1079</v>
      </c>
      <c r="B10268" s="0" t="n">
        <v>7</v>
      </c>
      <c r="C10268" s="0" t="n">
        <v>1.6</v>
      </c>
      <c r="D10268" s="0" t="n">
        <v>0.058</v>
      </c>
    </row>
    <row r="10269" customFormat="false" ht="13.8" hidden="true" customHeight="false" outlineLevel="0" collapsed="false">
      <c r="A10269" s="0" t="s">
        <v>1079</v>
      </c>
      <c r="B10269" s="0" t="n">
        <v>7</v>
      </c>
      <c r="C10269" s="0" t="n">
        <v>1.65</v>
      </c>
      <c r="D10269" s="0" t="n">
        <v>0.059</v>
      </c>
    </row>
    <row r="10270" customFormat="false" ht="13.8" hidden="true" customHeight="false" outlineLevel="0" collapsed="false">
      <c r="A10270" s="0" t="s">
        <v>1079</v>
      </c>
      <c r="B10270" s="0" t="n">
        <v>7</v>
      </c>
      <c r="C10270" s="0" t="n">
        <v>1.7</v>
      </c>
      <c r="D10270" s="0" t="n">
        <v>0.061</v>
      </c>
    </row>
    <row r="10271" customFormat="false" ht="13.8" hidden="true" customHeight="false" outlineLevel="0" collapsed="false">
      <c r="A10271" s="0" t="s">
        <v>1079</v>
      </c>
      <c r="B10271" s="0" t="n">
        <v>7</v>
      </c>
      <c r="C10271" s="0" t="n">
        <v>1.75</v>
      </c>
      <c r="D10271" s="0" t="n">
        <v>0.063</v>
      </c>
    </row>
    <row r="10272" customFormat="false" ht="13.8" hidden="true" customHeight="false" outlineLevel="0" collapsed="false">
      <c r="A10272" s="0" t="s">
        <v>1079</v>
      </c>
      <c r="B10272" s="0" t="n">
        <v>7</v>
      </c>
      <c r="C10272" s="0" t="n">
        <v>1.8</v>
      </c>
      <c r="D10272" s="0" t="n">
        <v>0.064</v>
      </c>
    </row>
    <row r="10273" customFormat="false" ht="13.8" hidden="true" customHeight="false" outlineLevel="0" collapsed="false">
      <c r="A10273" s="0" t="s">
        <v>1079</v>
      </c>
      <c r="B10273" s="0" t="n">
        <v>7</v>
      </c>
      <c r="C10273" s="0" t="n">
        <v>1.85</v>
      </c>
      <c r="D10273" s="0" t="n">
        <v>0.066</v>
      </c>
    </row>
    <row r="10274" customFormat="false" ht="13.8" hidden="true" customHeight="false" outlineLevel="0" collapsed="false">
      <c r="A10274" s="0" t="s">
        <v>1079</v>
      </c>
      <c r="B10274" s="0" t="n">
        <v>7</v>
      </c>
      <c r="C10274" s="0" t="n">
        <v>1.9</v>
      </c>
      <c r="D10274" s="0" t="n">
        <v>0.0676875</v>
      </c>
    </row>
    <row r="10275" customFormat="false" ht="13.8" hidden="true" customHeight="false" outlineLevel="0" collapsed="false">
      <c r="A10275" s="0" t="s">
        <v>1079</v>
      </c>
      <c r="B10275" s="0" t="n">
        <v>7</v>
      </c>
      <c r="C10275" s="0" t="n">
        <v>1.95</v>
      </c>
      <c r="D10275" s="0" t="n">
        <v>0.06946875</v>
      </c>
    </row>
    <row r="10276" customFormat="false" ht="13.8" hidden="true" customHeight="false" outlineLevel="0" collapsed="false">
      <c r="A10276" s="0" t="s">
        <v>1079</v>
      </c>
      <c r="B10276" s="0" t="n">
        <v>7</v>
      </c>
      <c r="C10276" s="0" t="n">
        <v>2</v>
      </c>
      <c r="D10276" s="0" t="n">
        <v>0</v>
      </c>
    </row>
    <row r="10277" customFormat="false" ht="13.8" hidden="true" customHeight="false" outlineLevel="0" collapsed="false">
      <c r="A10277" s="0" t="s">
        <v>1079</v>
      </c>
      <c r="B10277" s="0" t="n">
        <v>7</v>
      </c>
      <c r="C10277" s="0" t="n">
        <v>2.05</v>
      </c>
      <c r="D10277" s="0" t="n">
        <v>0</v>
      </c>
    </row>
    <row r="10278" customFormat="false" ht="13.8" hidden="true" customHeight="false" outlineLevel="0" collapsed="false">
      <c r="A10278" s="0" t="s">
        <v>1079</v>
      </c>
      <c r="B10278" s="0" t="n">
        <v>7</v>
      </c>
      <c r="C10278" s="0" t="n">
        <v>2.1</v>
      </c>
      <c r="D10278" s="0" t="n">
        <v>0</v>
      </c>
    </row>
    <row r="10279" customFormat="false" ht="13.8" hidden="true" customHeight="false" outlineLevel="0" collapsed="false">
      <c r="A10279" s="0" t="s">
        <v>1079</v>
      </c>
      <c r="B10279" s="0" t="n">
        <v>7</v>
      </c>
      <c r="C10279" s="0" t="n">
        <v>2.15</v>
      </c>
      <c r="D10279" s="0" t="n">
        <v>0</v>
      </c>
    </row>
    <row r="10280" customFormat="false" ht="13.8" hidden="true" customHeight="false" outlineLevel="0" collapsed="false">
      <c r="A10280" s="0" t="s">
        <v>1079</v>
      </c>
      <c r="B10280" s="0" t="n">
        <v>7</v>
      </c>
      <c r="C10280" s="0" t="n">
        <v>2.2</v>
      </c>
      <c r="D10280" s="0" t="n">
        <v>0</v>
      </c>
    </row>
    <row r="10281" customFormat="false" ht="13.8" hidden="true" customHeight="false" outlineLevel="0" collapsed="false">
      <c r="A10281" s="0" t="s">
        <v>1079</v>
      </c>
      <c r="B10281" s="0" t="n">
        <v>7</v>
      </c>
      <c r="C10281" s="0" t="n">
        <v>2.25</v>
      </c>
      <c r="D10281" s="0" t="n">
        <v>0</v>
      </c>
    </row>
    <row r="10282" customFormat="false" ht="13.8" hidden="true" customHeight="false" outlineLevel="0" collapsed="false">
      <c r="A10282" s="0" t="s">
        <v>1079</v>
      </c>
      <c r="B10282" s="0" t="n">
        <v>7</v>
      </c>
      <c r="C10282" s="0" t="n">
        <v>2.3</v>
      </c>
      <c r="D10282" s="0" t="n">
        <v>0</v>
      </c>
    </row>
    <row r="10283" customFormat="false" ht="13.8" hidden="true" customHeight="false" outlineLevel="0" collapsed="false">
      <c r="A10283" s="0" t="s">
        <v>1079</v>
      </c>
      <c r="B10283" s="0" t="n">
        <v>7</v>
      </c>
      <c r="C10283" s="0" t="n">
        <v>2.35</v>
      </c>
      <c r="D10283" s="0" t="n">
        <v>0</v>
      </c>
    </row>
    <row r="10284" customFormat="false" ht="13.8" hidden="true" customHeight="false" outlineLevel="0" collapsed="false">
      <c r="A10284" s="0" t="s">
        <v>1079</v>
      </c>
      <c r="B10284" s="0" t="n">
        <v>7</v>
      </c>
      <c r="C10284" s="0" t="n">
        <v>2.4</v>
      </c>
      <c r="D10284" s="0" t="n">
        <v>0</v>
      </c>
    </row>
    <row r="10285" customFormat="false" ht="13.8" hidden="true" customHeight="false" outlineLevel="0" collapsed="false">
      <c r="A10285" s="0" t="s">
        <v>1079</v>
      </c>
      <c r="B10285" s="0" t="n">
        <v>7</v>
      </c>
      <c r="C10285" s="0" t="n">
        <v>2.45</v>
      </c>
      <c r="D10285" s="0" t="n">
        <v>0</v>
      </c>
    </row>
    <row r="10286" customFormat="false" ht="13.8" hidden="true" customHeight="false" outlineLevel="0" collapsed="false">
      <c r="A10286" s="0" t="s">
        <v>1079</v>
      </c>
      <c r="B10286" s="0" t="n">
        <v>7</v>
      </c>
      <c r="C10286" s="0" t="n">
        <v>2.5</v>
      </c>
      <c r="D10286" s="0" t="n">
        <v>0</v>
      </c>
    </row>
    <row r="10287" customFormat="false" ht="13.8" hidden="true" customHeight="false" outlineLevel="0" collapsed="false">
      <c r="A10287" s="0" t="s">
        <v>1079</v>
      </c>
      <c r="B10287" s="0" t="n">
        <v>7</v>
      </c>
      <c r="C10287" s="0" t="n">
        <v>2.55</v>
      </c>
      <c r="D10287" s="0" t="n">
        <v>0</v>
      </c>
    </row>
    <row r="10288" customFormat="false" ht="13.8" hidden="true" customHeight="false" outlineLevel="0" collapsed="false">
      <c r="A10288" s="0" t="s">
        <v>1079</v>
      </c>
      <c r="B10288" s="0" t="n">
        <v>7</v>
      </c>
      <c r="C10288" s="0" t="n">
        <v>2.6</v>
      </c>
      <c r="D10288" s="0" t="n">
        <v>0</v>
      </c>
    </row>
    <row r="10289" customFormat="false" ht="13.8" hidden="true" customHeight="false" outlineLevel="0" collapsed="false">
      <c r="A10289" s="0" t="s">
        <v>1082</v>
      </c>
      <c r="B10289" s="0" t="n">
        <v>7</v>
      </c>
      <c r="C10289" s="0" t="n">
        <v>1.3</v>
      </c>
      <c r="D10289" s="0" t="n">
        <v>0</v>
      </c>
    </row>
    <row r="10290" customFormat="false" ht="13.8" hidden="true" customHeight="false" outlineLevel="0" collapsed="false">
      <c r="A10290" s="0" t="s">
        <v>1082</v>
      </c>
      <c r="B10290" s="0" t="n">
        <v>7</v>
      </c>
      <c r="C10290" s="0" t="n">
        <v>1.35</v>
      </c>
      <c r="D10290" s="0" t="n">
        <v>0</v>
      </c>
    </row>
    <row r="10291" customFormat="false" ht="13.8" hidden="true" customHeight="false" outlineLevel="0" collapsed="false">
      <c r="A10291" s="0" t="s">
        <v>1082</v>
      </c>
      <c r="B10291" s="0" t="n">
        <v>7</v>
      </c>
      <c r="C10291" s="0" t="n">
        <v>1.4</v>
      </c>
      <c r="D10291" s="0" t="n">
        <v>0</v>
      </c>
    </row>
    <row r="10292" customFormat="false" ht="13.8" hidden="true" customHeight="false" outlineLevel="0" collapsed="false">
      <c r="A10292" s="0" t="s">
        <v>1082</v>
      </c>
      <c r="B10292" s="0" t="n">
        <v>7</v>
      </c>
      <c r="C10292" s="0" t="n">
        <v>1.45</v>
      </c>
      <c r="D10292" s="0" t="n">
        <v>0</v>
      </c>
    </row>
    <row r="10293" customFormat="false" ht="13.8" hidden="true" customHeight="false" outlineLevel="0" collapsed="false">
      <c r="A10293" s="0" t="s">
        <v>1082</v>
      </c>
      <c r="B10293" s="0" t="n">
        <v>7</v>
      </c>
      <c r="C10293" s="0" t="n">
        <v>1.5</v>
      </c>
      <c r="D10293" s="0" t="n">
        <v>0</v>
      </c>
    </row>
    <row r="10294" customFormat="false" ht="13.8" hidden="true" customHeight="false" outlineLevel="0" collapsed="false">
      <c r="A10294" s="0" t="s">
        <v>1082</v>
      </c>
      <c r="B10294" s="0" t="n">
        <v>7</v>
      </c>
      <c r="C10294" s="0" t="n">
        <v>1.55</v>
      </c>
      <c r="D10294" s="0" t="n">
        <v>0</v>
      </c>
    </row>
    <row r="10295" customFormat="false" ht="13.8" hidden="true" customHeight="false" outlineLevel="0" collapsed="false">
      <c r="A10295" s="0" t="s">
        <v>1082</v>
      </c>
      <c r="B10295" s="0" t="n">
        <v>7</v>
      </c>
      <c r="C10295" s="0" t="n">
        <v>1.6</v>
      </c>
      <c r="D10295" s="0" t="n">
        <v>0.058</v>
      </c>
    </row>
    <row r="10296" customFormat="false" ht="13.8" hidden="true" customHeight="false" outlineLevel="0" collapsed="false">
      <c r="A10296" s="0" t="s">
        <v>1082</v>
      </c>
      <c r="B10296" s="0" t="n">
        <v>7</v>
      </c>
      <c r="C10296" s="0" t="n">
        <v>1.65</v>
      </c>
      <c r="D10296" s="0" t="n">
        <v>0.059</v>
      </c>
    </row>
    <row r="10297" customFormat="false" ht="13.8" hidden="true" customHeight="false" outlineLevel="0" collapsed="false">
      <c r="A10297" s="0" t="s">
        <v>1082</v>
      </c>
      <c r="B10297" s="0" t="n">
        <v>7</v>
      </c>
      <c r="C10297" s="0" t="n">
        <v>1.7</v>
      </c>
      <c r="D10297" s="0" t="n">
        <v>0.061</v>
      </c>
    </row>
    <row r="10298" customFormat="false" ht="13.8" hidden="true" customHeight="false" outlineLevel="0" collapsed="false">
      <c r="A10298" s="0" t="s">
        <v>1082</v>
      </c>
      <c r="B10298" s="0" t="n">
        <v>7</v>
      </c>
      <c r="C10298" s="0" t="n">
        <v>1.75</v>
      </c>
      <c r="D10298" s="0" t="n">
        <v>0.063</v>
      </c>
    </row>
    <row r="10299" customFormat="false" ht="13.8" hidden="true" customHeight="false" outlineLevel="0" collapsed="false">
      <c r="A10299" s="0" t="s">
        <v>1082</v>
      </c>
      <c r="B10299" s="0" t="n">
        <v>7</v>
      </c>
      <c r="C10299" s="0" t="n">
        <v>1.8</v>
      </c>
      <c r="D10299" s="0" t="n">
        <v>0.064</v>
      </c>
    </row>
    <row r="10300" customFormat="false" ht="13.8" hidden="true" customHeight="false" outlineLevel="0" collapsed="false">
      <c r="A10300" s="0" t="s">
        <v>1082</v>
      </c>
      <c r="B10300" s="0" t="n">
        <v>7</v>
      </c>
      <c r="C10300" s="0" t="n">
        <v>1.85</v>
      </c>
      <c r="D10300" s="0" t="n">
        <v>0.066</v>
      </c>
    </row>
    <row r="10301" customFormat="false" ht="13.8" hidden="true" customHeight="false" outlineLevel="0" collapsed="false">
      <c r="A10301" s="0" t="s">
        <v>1082</v>
      </c>
      <c r="B10301" s="0" t="n">
        <v>7</v>
      </c>
      <c r="C10301" s="0" t="n">
        <v>1.9</v>
      </c>
      <c r="D10301" s="0" t="n">
        <v>0.0676875</v>
      </c>
    </row>
    <row r="10302" customFormat="false" ht="13.8" hidden="true" customHeight="false" outlineLevel="0" collapsed="false">
      <c r="A10302" s="0" t="s">
        <v>1082</v>
      </c>
      <c r="B10302" s="0" t="n">
        <v>7</v>
      </c>
      <c r="C10302" s="0" t="n">
        <v>1.95</v>
      </c>
      <c r="D10302" s="0" t="n">
        <v>0.06946875</v>
      </c>
    </row>
    <row r="10303" customFormat="false" ht="13.8" hidden="true" customHeight="false" outlineLevel="0" collapsed="false">
      <c r="A10303" s="0" t="s">
        <v>1082</v>
      </c>
      <c r="B10303" s="0" t="n">
        <v>7</v>
      </c>
      <c r="C10303" s="0" t="n">
        <v>2</v>
      </c>
      <c r="D10303" s="0" t="n">
        <v>0</v>
      </c>
    </row>
    <row r="10304" customFormat="false" ht="13.8" hidden="true" customHeight="false" outlineLevel="0" collapsed="false">
      <c r="A10304" s="0" t="s">
        <v>1082</v>
      </c>
      <c r="B10304" s="0" t="n">
        <v>7</v>
      </c>
      <c r="C10304" s="0" t="n">
        <v>2.05</v>
      </c>
      <c r="D10304" s="0" t="n">
        <v>0</v>
      </c>
    </row>
    <row r="10305" customFormat="false" ht="13.8" hidden="true" customHeight="false" outlineLevel="0" collapsed="false">
      <c r="A10305" s="0" t="s">
        <v>1082</v>
      </c>
      <c r="B10305" s="0" t="n">
        <v>7</v>
      </c>
      <c r="C10305" s="0" t="n">
        <v>2.1</v>
      </c>
      <c r="D10305" s="0" t="n">
        <v>0</v>
      </c>
    </row>
    <row r="10306" customFormat="false" ht="13.8" hidden="true" customHeight="false" outlineLevel="0" collapsed="false">
      <c r="A10306" s="0" t="s">
        <v>1082</v>
      </c>
      <c r="B10306" s="0" t="n">
        <v>7</v>
      </c>
      <c r="C10306" s="0" t="n">
        <v>2.15</v>
      </c>
      <c r="D10306" s="0" t="n">
        <v>0</v>
      </c>
    </row>
    <row r="10307" customFormat="false" ht="13.8" hidden="true" customHeight="false" outlineLevel="0" collapsed="false">
      <c r="A10307" s="0" t="s">
        <v>1082</v>
      </c>
      <c r="B10307" s="0" t="n">
        <v>7</v>
      </c>
      <c r="C10307" s="0" t="n">
        <v>2.2</v>
      </c>
      <c r="D10307" s="0" t="n">
        <v>0</v>
      </c>
    </row>
    <row r="10308" customFormat="false" ht="13.8" hidden="true" customHeight="false" outlineLevel="0" collapsed="false">
      <c r="A10308" s="0" t="s">
        <v>1082</v>
      </c>
      <c r="B10308" s="0" t="n">
        <v>7</v>
      </c>
      <c r="C10308" s="0" t="n">
        <v>2.25</v>
      </c>
      <c r="D10308" s="0" t="n">
        <v>0</v>
      </c>
    </row>
    <row r="10309" customFormat="false" ht="13.8" hidden="true" customHeight="false" outlineLevel="0" collapsed="false">
      <c r="A10309" s="0" t="s">
        <v>1082</v>
      </c>
      <c r="B10309" s="0" t="n">
        <v>7</v>
      </c>
      <c r="C10309" s="0" t="n">
        <v>2.3</v>
      </c>
      <c r="D10309" s="0" t="n">
        <v>0</v>
      </c>
    </row>
    <row r="10310" customFormat="false" ht="13.8" hidden="true" customHeight="false" outlineLevel="0" collapsed="false">
      <c r="A10310" s="0" t="s">
        <v>1082</v>
      </c>
      <c r="B10310" s="0" t="n">
        <v>7</v>
      </c>
      <c r="C10310" s="0" t="n">
        <v>2.35</v>
      </c>
      <c r="D10310" s="0" t="n">
        <v>0</v>
      </c>
    </row>
    <row r="10311" customFormat="false" ht="13.8" hidden="true" customHeight="false" outlineLevel="0" collapsed="false">
      <c r="A10311" s="0" t="s">
        <v>1082</v>
      </c>
      <c r="B10311" s="0" t="n">
        <v>7</v>
      </c>
      <c r="C10311" s="0" t="n">
        <v>2.4</v>
      </c>
      <c r="D10311" s="0" t="n">
        <v>0</v>
      </c>
    </row>
    <row r="10312" customFormat="false" ht="13.8" hidden="true" customHeight="false" outlineLevel="0" collapsed="false">
      <c r="A10312" s="0" t="s">
        <v>1082</v>
      </c>
      <c r="B10312" s="0" t="n">
        <v>7</v>
      </c>
      <c r="C10312" s="0" t="n">
        <v>2.45</v>
      </c>
      <c r="D10312" s="0" t="n">
        <v>0</v>
      </c>
    </row>
    <row r="10313" customFormat="false" ht="13.8" hidden="true" customHeight="false" outlineLevel="0" collapsed="false">
      <c r="A10313" s="0" t="s">
        <v>1082</v>
      </c>
      <c r="B10313" s="0" t="n">
        <v>7</v>
      </c>
      <c r="C10313" s="0" t="n">
        <v>2.5</v>
      </c>
      <c r="D10313" s="0" t="n">
        <v>0</v>
      </c>
    </row>
    <row r="10314" customFormat="false" ht="13.8" hidden="true" customHeight="false" outlineLevel="0" collapsed="false">
      <c r="A10314" s="0" t="s">
        <v>1082</v>
      </c>
      <c r="B10314" s="0" t="n">
        <v>7</v>
      </c>
      <c r="C10314" s="0" t="n">
        <v>2.55</v>
      </c>
      <c r="D10314" s="0" t="n">
        <v>0</v>
      </c>
    </row>
    <row r="10315" customFormat="false" ht="13.8" hidden="true" customHeight="false" outlineLevel="0" collapsed="false">
      <c r="A10315" s="0" t="s">
        <v>1082</v>
      </c>
      <c r="B10315" s="0" t="n">
        <v>7</v>
      </c>
      <c r="C10315" s="0" t="n">
        <v>2.6</v>
      </c>
      <c r="D10315" s="0" t="n">
        <v>0</v>
      </c>
    </row>
    <row r="10316" customFormat="false" ht="13.8" hidden="true" customHeight="false" outlineLevel="0" collapsed="false">
      <c r="A10316" s="0" t="s">
        <v>1085</v>
      </c>
      <c r="B10316" s="0" t="n">
        <v>6</v>
      </c>
      <c r="C10316" s="0" t="n">
        <v>1.3</v>
      </c>
      <c r="D10316" s="0" t="n">
        <v>0</v>
      </c>
    </row>
    <row r="10317" customFormat="false" ht="13.8" hidden="true" customHeight="false" outlineLevel="0" collapsed="false">
      <c r="A10317" s="0" t="s">
        <v>1085</v>
      </c>
      <c r="B10317" s="0" t="n">
        <v>6</v>
      </c>
      <c r="C10317" s="0" t="n">
        <v>1.35</v>
      </c>
      <c r="D10317" s="0" t="n">
        <v>0</v>
      </c>
    </row>
    <row r="10318" customFormat="false" ht="13.8" hidden="true" customHeight="false" outlineLevel="0" collapsed="false">
      <c r="A10318" s="0" t="s">
        <v>1085</v>
      </c>
      <c r="B10318" s="0" t="n">
        <v>6</v>
      </c>
      <c r="C10318" s="0" t="n">
        <v>1.4</v>
      </c>
      <c r="D10318" s="0" t="n">
        <v>0</v>
      </c>
    </row>
    <row r="10319" customFormat="false" ht="13.8" hidden="true" customHeight="false" outlineLevel="0" collapsed="false">
      <c r="A10319" s="0" t="s">
        <v>1085</v>
      </c>
      <c r="B10319" s="0" t="n">
        <v>6</v>
      </c>
      <c r="C10319" s="0" t="n">
        <v>1.45</v>
      </c>
      <c r="D10319" s="0" t="n">
        <v>0</v>
      </c>
    </row>
    <row r="10320" customFormat="false" ht="13.8" hidden="true" customHeight="false" outlineLevel="0" collapsed="false">
      <c r="A10320" s="0" t="s">
        <v>1085</v>
      </c>
      <c r="B10320" s="0" t="n">
        <v>6</v>
      </c>
      <c r="C10320" s="0" t="n">
        <v>1.5</v>
      </c>
      <c r="D10320" s="0" t="n">
        <v>0</v>
      </c>
    </row>
    <row r="10321" customFormat="false" ht="13.8" hidden="true" customHeight="false" outlineLevel="0" collapsed="false">
      <c r="A10321" s="0" t="s">
        <v>1085</v>
      </c>
      <c r="B10321" s="0" t="n">
        <v>6</v>
      </c>
      <c r="C10321" s="0" t="n">
        <v>1.55</v>
      </c>
      <c r="D10321" s="0" t="n">
        <v>0</v>
      </c>
    </row>
    <row r="10322" customFormat="false" ht="13.8" hidden="true" customHeight="false" outlineLevel="0" collapsed="false">
      <c r="A10322" s="0" t="s">
        <v>1085</v>
      </c>
      <c r="B10322" s="0" t="n">
        <v>6</v>
      </c>
      <c r="C10322" s="0" t="n">
        <v>1.6</v>
      </c>
      <c r="D10322" s="0" t="n">
        <v>0.128</v>
      </c>
    </row>
    <row r="10323" customFormat="false" ht="13.8" hidden="true" customHeight="false" outlineLevel="0" collapsed="false">
      <c r="A10323" s="0" t="s">
        <v>1085</v>
      </c>
      <c r="B10323" s="0" t="n">
        <v>6</v>
      </c>
      <c r="C10323" s="0" t="n">
        <v>1.65</v>
      </c>
      <c r="D10323" s="0" t="n">
        <v>0.132</v>
      </c>
    </row>
    <row r="10324" customFormat="false" ht="13.8" hidden="true" customHeight="false" outlineLevel="0" collapsed="false">
      <c r="A10324" s="0" t="s">
        <v>1085</v>
      </c>
      <c r="B10324" s="0" t="n">
        <v>6</v>
      </c>
      <c r="C10324" s="0" t="n">
        <v>1.7</v>
      </c>
      <c r="D10324" s="0" t="n">
        <v>0.136</v>
      </c>
    </row>
    <row r="10325" customFormat="false" ht="13.8" hidden="true" customHeight="false" outlineLevel="0" collapsed="false">
      <c r="A10325" s="0" t="s">
        <v>1085</v>
      </c>
      <c r="B10325" s="0" t="n">
        <v>6</v>
      </c>
      <c r="C10325" s="0" t="n">
        <v>1.75</v>
      </c>
      <c r="D10325" s="0" t="n">
        <v>0.14</v>
      </c>
    </row>
    <row r="10326" customFormat="false" ht="13.8" hidden="true" customHeight="false" outlineLevel="0" collapsed="false">
      <c r="A10326" s="0" t="s">
        <v>1085</v>
      </c>
      <c r="B10326" s="0" t="n">
        <v>6</v>
      </c>
      <c r="C10326" s="0" t="n">
        <v>1.8</v>
      </c>
      <c r="D10326" s="0" t="n">
        <v>0.14</v>
      </c>
    </row>
    <row r="10327" customFormat="false" ht="13.8" hidden="true" customHeight="false" outlineLevel="0" collapsed="false">
      <c r="A10327" s="0" t="s">
        <v>1085</v>
      </c>
      <c r="B10327" s="0" t="n">
        <v>6</v>
      </c>
      <c r="C10327" s="0" t="n">
        <v>1.85</v>
      </c>
      <c r="D10327" s="0" t="n">
        <v>0.144</v>
      </c>
    </row>
    <row r="10328" customFormat="false" ht="13.8" hidden="true" customHeight="false" outlineLevel="0" collapsed="false">
      <c r="A10328" s="0" t="s">
        <v>1085</v>
      </c>
      <c r="B10328" s="0" t="n">
        <v>6</v>
      </c>
      <c r="C10328" s="0" t="n">
        <v>1.9</v>
      </c>
      <c r="D10328" s="0" t="n">
        <v>0.148</v>
      </c>
    </row>
    <row r="10329" customFormat="false" ht="13.8" hidden="true" customHeight="false" outlineLevel="0" collapsed="false">
      <c r="A10329" s="0" t="s">
        <v>1085</v>
      </c>
      <c r="B10329" s="0" t="n">
        <v>6</v>
      </c>
      <c r="C10329" s="0" t="n">
        <v>1.95</v>
      </c>
      <c r="D10329" s="0" t="n">
        <v>0.152</v>
      </c>
    </row>
    <row r="10330" customFormat="false" ht="13.8" hidden="true" customHeight="false" outlineLevel="0" collapsed="false">
      <c r="A10330" s="0" t="s">
        <v>1085</v>
      </c>
      <c r="B10330" s="0" t="n">
        <v>6</v>
      </c>
      <c r="C10330" s="0" t="n">
        <v>2</v>
      </c>
      <c r="D10330" s="0" t="n">
        <v>0.152</v>
      </c>
    </row>
    <row r="10331" customFormat="false" ht="13.8" hidden="true" customHeight="false" outlineLevel="0" collapsed="false">
      <c r="A10331" s="0" t="s">
        <v>1085</v>
      </c>
      <c r="B10331" s="0" t="n">
        <v>6</v>
      </c>
      <c r="C10331" s="0" t="n">
        <v>2.05</v>
      </c>
      <c r="D10331" s="0" t="n">
        <v>0.156</v>
      </c>
    </row>
    <row r="10332" customFormat="false" ht="13.8" hidden="true" customHeight="false" outlineLevel="0" collapsed="false">
      <c r="A10332" s="0" t="s">
        <v>1085</v>
      </c>
      <c r="B10332" s="0" t="n">
        <v>6</v>
      </c>
      <c r="C10332" s="0" t="n">
        <v>2.1</v>
      </c>
      <c r="D10332" s="0" t="n">
        <v>0.159</v>
      </c>
    </row>
    <row r="10333" customFormat="false" ht="13.8" hidden="true" customHeight="false" outlineLevel="0" collapsed="false">
      <c r="A10333" s="0" t="s">
        <v>1085</v>
      </c>
      <c r="B10333" s="0" t="n">
        <v>6</v>
      </c>
      <c r="C10333" s="0" t="n">
        <v>2.15</v>
      </c>
      <c r="D10333" s="0" t="n">
        <v>0.163257999</v>
      </c>
    </row>
    <row r="10334" customFormat="false" ht="13.8" hidden="true" customHeight="false" outlineLevel="0" collapsed="false">
      <c r="A10334" s="0" t="s">
        <v>1085</v>
      </c>
      <c r="B10334" s="0" t="n">
        <v>6</v>
      </c>
      <c r="C10334" s="0" t="n">
        <v>2.2</v>
      </c>
      <c r="D10334" s="0" t="n">
        <v>0.168727702</v>
      </c>
    </row>
    <row r="10335" customFormat="false" ht="13.8" hidden="true" customHeight="false" outlineLevel="0" collapsed="false">
      <c r="A10335" s="0" t="s">
        <v>1085</v>
      </c>
      <c r="B10335" s="0" t="n">
        <v>6</v>
      </c>
      <c r="C10335" s="0" t="n">
        <v>2.25</v>
      </c>
      <c r="D10335" s="0" t="n">
        <v>0.172562423</v>
      </c>
    </row>
    <row r="10336" customFormat="false" ht="13.8" hidden="true" customHeight="false" outlineLevel="0" collapsed="false">
      <c r="A10336" s="0" t="s">
        <v>1085</v>
      </c>
      <c r="B10336" s="0" t="n">
        <v>6</v>
      </c>
      <c r="C10336" s="0" t="n">
        <v>2.3</v>
      </c>
      <c r="D10336" s="0" t="n">
        <v>0.176397143</v>
      </c>
    </row>
    <row r="10337" customFormat="false" ht="13.8" hidden="true" customHeight="false" outlineLevel="0" collapsed="false">
      <c r="A10337" s="0" t="s">
        <v>1085</v>
      </c>
      <c r="B10337" s="0" t="n">
        <v>6</v>
      </c>
      <c r="C10337" s="0" t="n">
        <v>2.35</v>
      </c>
      <c r="D10337" s="0" t="n">
        <v>0.180231864</v>
      </c>
    </row>
    <row r="10338" customFormat="false" ht="13.8" hidden="true" customHeight="false" outlineLevel="0" collapsed="false">
      <c r="A10338" s="0" t="s">
        <v>1085</v>
      </c>
      <c r="B10338" s="0" t="n">
        <v>6</v>
      </c>
      <c r="C10338" s="0" t="n">
        <v>2.4</v>
      </c>
      <c r="D10338" s="0" t="n">
        <v>0</v>
      </c>
    </row>
    <row r="10339" customFormat="false" ht="13.8" hidden="true" customHeight="false" outlineLevel="0" collapsed="false">
      <c r="A10339" s="0" t="s">
        <v>1085</v>
      </c>
      <c r="B10339" s="0" t="n">
        <v>6</v>
      </c>
      <c r="C10339" s="0" t="n">
        <v>2.45</v>
      </c>
      <c r="D10339" s="0" t="n">
        <v>0</v>
      </c>
    </row>
    <row r="10340" customFormat="false" ht="13.8" hidden="true" customHeight="false" outlineLevel="0" collapsed="false">
      <c r="A10340" s="0" t="s">
        <v>1085</v>
      </c>
      <c r="B10340" s="0" t="n">
        <v>6</v>
      </c>
      <c r="C10340" s="0" t="n">
        <v>2.5</v>
      </c>
      <c r="D10340" s="0" t="n">
        <v>0</v>
      </c>
    </row>
    <row r="10341" customFormat="false" ht="13.8" hidden="true" customHeight="false" outlineLevel="0" collapsed="false">
      <c r="A10341" s="0" t="s">
        <v>1085</v>
      </c>
      <c r="B10341" s="0" t="n">
        <v>6</v>
      </c>
      <c r="C10341" s="0" t="n">
        <v>2.55</v>
      </c>
      <c r="D10341" s="0" t="n">
        <v>0</v>
      </c>
    </row>
    <row r="10342" customFormat="false" ht="13.8" hidden="true" customHeight="false" outlineLevel="0" collapsed="false">
      <c r="A10342" s="0" t="s">
        <v>1085</v>
      </c>
      <c r="B10342" s="0" t="n">
        <v>6</v>
      </c>
      <c r="C10342" s="0" t="n">
        <v>2.6</v>
      </c>
      <c r="D10342" s="0" t="n">
        <v>0</v>
      </c>
    </row>
    <row r="10343" customFormat="false" ht="13.8" hidden="true" customHeight="false" outlineLevel="0" collapsed="false">
      <c r="A10343" s="0" t="s">
        <v>1087</v>
      </c>
      <c r="B10343" s="0" t="n">
        <v>6</v>
      </c>
      <c r="C10343" s="0" t="n">
        <v>1.3</v>
      </c>
      <c r="D10343" s="0" t="n">
        <v>0</v>
      </c>
    </row>
    <row r="10344" customFormat="false" ht="13.8" hidden="true" customHeight="false" outlineLevel="0" collapsed="false">
      <c r="A10344" s="0" t="s">
        <v>1087</v>
      </c>
      <c r="B10344" s="0" t="n">
        <v>6</v>
      </c>
      <c r="C10344" s="0" t="n">
        <v>1.35</v>
      </c>
      <c r="D10344" s="0" t="n">
        <v>0</v>
      </c>
    </row>
    <row r="10345" customFormat="false" ht="13.8" hidden="true" customHeight="false" outlineLevel="0" collapsed="false">
      <c r="A10345" s="0" t="s">
        <v>1087</v>
      </c>
      <c r="B10345" s="0" t="n">
        <v>6</v>
      </c>
      <c r="C10345" s="0" t="n">
        <v>1.4</v>
      </c>
      <c r="D10345" s="0" t="n">
        <v>0</v>
      </c>
    </row>
    <row r="10346" customFormat="false" ht="13.8" hidden="true" customHeight="false" outlineLevel="0" collapsed="false">
      <c r="A10346" s="0" t="s">
        <v>1087</v>
      </c>
      <c r="B10346" s="0" t="n">
        <v>6</v>
      </c>
      <c r="C10346" s="0" t="n">
        <v>1.45</v>
      </c>
      <c r="D10346" s="0" t="n">
        <v>0</v>
      </c>
    </row>
    <row r="10347" customFormat="false" ht="13.8" hidden="true" customHeight="false" outlineLevel="0" collapsed="false">
      <c r="A10347" s="0" t="s">
        <v>1087</v>
      </c>
      <c r="B10347" s="0" t="n">
        <v>6</v>
      </c>
      <c r="C10347" s="0" t="n">
        <v>1.5</v>
      </c>
      <c r="D10347" s="0" t="n">
        <v>0</v>
      </c>
    </row>
    <row r="10348" customFormat="false" ht="13.8" hidden="true" customHeight="false" outlineLevel="0" collapsed="false">
      <c r="A10348" s="0" t="s">
        <v>1087</v>
      </c>
      <c r="B10348" s="0" t="n">
        <v>6</v>
      </c>
      <c r="C10348" s="0" t="n">
        <v>1.55</v>
      </c>
      <c r="D10348" s="0" t="n">
        <v>0</v>
      </c>
    </row>
    <row r="10349" customFormat="false" ht="13.8" hidden="true" customHeight="false" outlineLevel="0" collapsed="false">
      <c r="A10349" s="0" t="s">
        <v>1087</v>
      </c>
      <c r="B10349" s="0" t="n">
        <v>6</v>
      </c>
      <c r="C10349" s="0" t="n">
        <v>1.6</v>
      </c>
      <c r="D10349" s="0" t="n">
        <v>0.064</v>
      </c>
    </row>
    <row r="10350" customFormat="false" ht="13.8" hidden="true" customHeight="false" outlineLevel="0" collapsed="false">
      <c r="A10350" s="0" t="s">
        <v>1087</v>
      </c>
      <c r="B10350" s="0" t="n">
        <v>6</v>
      </c>
      <c r="C10350" s="0" t="n">
        <v>1.65</v>
      </c>
      <c r="D10350" s="0" t="n">
        <v>0.066</v>
      </c>
    </row>
    <row r="10351" customFormat="false" ht="13.8" hidden="true" customHeight="false" outlineLevel="0" collapsed="false">
      <c r="A10351" s="0" t="s">
        <v>1087</v>
      </c>
      <c r="B10351" s="0" t="n">
        <v>6</v>
      </c>
      <c r="C10351" s="0" t="n">
        <v>1.7</v>
      </c>
      <c r="D10351" s="0" t="n">
        <v>0.068</v>
      </c>
    </row>
    <row r="10352" customFormat="false" ht="13.8" hidden="true" customHeight="false" outlineLevel="0" collapsed="false">
      <c r="A10352" s="0" t="s">
        <v>1087</v>
      </c>
      <c r="B10352" s="0" t="n">
        <v>6</v>
      </c>
      <c r="C10352" s="0" t="n">
        <v>1.75</v>
      </c>
      <c r="D10352" s="0" t="n">
        <v>0.07</v>
      </c>
    </row>
    <row r="10353" customFormat="false" ht="13.8" hidden="true" customHeight="false" outlineLevel="0" collapsed="false">
      <c r="A10353" s="0" t="s">
        <v>1087</v>
      </c>
      <c r="B10353" s="0" t="n">
        <v>6</v>
      </c>
      <c r="C10353" s="0" t="n">
        <v>1.8</v>
      </c>
      <c r="D10353" s="0" t="n">
        <v>0.07</v>
      </c>
    </row>
    <row r="10354" customFormat="false" ht="13.8" hidden="true" customHeight="false" outlineLevel="0" collapsed="false">
      <c r="A10354" s="0" t="s">
        <v>1087</v>
      </c>
      <c r="B10354" s="0" t="n">
        <v>6</v>
      </c>
      <c r="C10354" s="0" t="n">
        <v>1.85</v>
      </c>
      <c r="D10354" s="0" t="n">
        <v>0.072</v>
      </c>
    </row>
    <row r="10355" customFormat="false" ht="13.8" hidden="true" customHeight="false" outlineLevel="0" collapsed="false">
      <c r="A10355" s="0" t="s">
        <v>1087</v>
      </c>
      <c r="B10355" s="0" t="n">
        <v>6</v>
      </c>
      <c r="C10355" s="0" t="n">
        <v>1.9</v>
      </c>
      <c r="D10355" s="0" t="n">
        <v>0.074076093</v>
      </c>
    </row>
    <row r="10356" customFormat="false" ht="13.8" hidden="true" customHeight="false" outlineLevel="0" collapsed="false">
      <c r="A10356" s="0" t="s">
        <v>1087</v>
      </c>
      <c r="B10356" s="0" t="n">
        <v>6</v>
      </c>
      <c r="C10356" s="0" t="n">
        <v>1.95</v>
      </c>
      <c r="D10356" s="0" t="n">
        <v>0.076025463</v>
      </c>
    </row>
    <row r="10357" customFormat="false" ht="13.8" hidden="true" customHeight="false" outlineLevel="0" collapsed="false">
      <c r="A10357" s="0" t="s">
        <v>1087</v>
      </c>
      <c r="B10357" s="0" t="n">
        <v>6</v>
      </c>
      <c r="C10357" s="0" t="n">
        <v>2</v>
      </c>
      <c r="D10357" s="0" t="n">
        <v>0.075933953</v>
      </c>
    </row>
    <row r="10358" customFormat="false" ht="13.8" hidden="true" customHeight="false" outlineLevel="0" collapsed="false">
      <c r="A10358" s="0" t="s">
        <v>1087</v>
      </c>
      <c r="B10358" s="0" t="n">
        <v>6</v>
      </c>
      <c r="C10358" s="0" t="n">
        <v>2.05</v>
      </c>
      <c r="D10358" s="0" t="n">
        <v>0.077832302</v>
      </c>
    </row>
    <row r="10359" customFormat="false" ht="13.8" hidden="true" customHeight="false" outlineLevel="0" collapsed="false">
      <c r="A10359" s="0" t="s">
        <v>1087</v>
      </c>
      <c r="B10359" s="0" t="n">
        <v>6</v>
      </c>
      <c r="C10359" s="0" t="n">
        <v>2.1</v>
      </c>
      <c r="D10359" s="0" t="n">
        <v>0.079730651</v>
      </c>
    </row>
    <row r="10360" customFormat="false" ht="13.8" hidden="true" customHeight="false" outlineLevel="0" collapsed="false">
      <c r="A10360" s="0" t="s">
        <v>1087</v>
      </c>
      <c r="B10360" s="0" t="n">
        <v>6</v>
      </c>
      <c r="C10360" s="0" t="n">
        <v>2.15</v>
      </c>
      <c r="D10360" s="0" t="n">
        <v>0.081629</v>
      </c>
    </row>
    <row r="10361" customFormat="false" ht="13.8" hidden="true" customHeight="false" outlineLevel="0" collapsed="false">
      <c r="A10361" s="0" t="s">
        <v>1087</v>
      </c>
      <c r="B10361" s="0" t="n">
        <v>6</v>
      </c>
      <c r="C10361" s="0" t="n">
        <v>2.2</v>
      </c>
      <c r="D10361" s="0" t="n">
        <v>0.084363851</v>
      </c>
    </row>
    <row r="10362" customFormat="false" ht="13.8" hidden="true" customHeight="false" outlineLevel="0" collapsed="false">
      <c r="A10362" s="0" t="s">
        <v>1087</v>
      </c>
      <c r="B10362" s="0" t="n">
        <v>6</v>
      </c>
      <c r="C10362" s="0" t="n">
        <v>2.25</v>
      </c>
      <c r="D10362" s="0" t="n">
        <v>0.086281211</v>
      </c>
    </row>
    <row r="10363" customFormat="false" ht="13.8" hidden="true" customHeight="false" outlineLevel="0" collapsed="false">
      <c r="A10363" s="0" t="s">
        <v>1087</v>
      </c>
      <c r="B10363" s="0" t="n">
        <v>6</v>
      </c>
      <c r="C10363" s="0" t="n">
        <v>2.3</v>
      </c>
      <c r="D10363" s="0" t="n">
        <v>0.088198572</v>
      </c>
    </row>
    <row r="10364" customFormat="false" ht="13.8" hidden="true" customHeight="false" outlineLevel="0" collapsed="false">
      <c r="A10364" s="0" t="s">
        <v>1087</v>
      </c>
      <c r="B10364" s="0" t="n">
        <v>6</v>
      </c>
      <c r="C10364" s="0" t="n">
        <v>2.35</v>
      </c>
      <c r="D10364" s="0" t="n">
        <v>0.090115932</v>
      </c>
    </row>
    <row r="10365" customFormat="false" ht="13.8" hidden="true" customHeight="false" outlineLevel="0" collapsed="false">
      <c r="A10365" s="0" t="s">
        <v>1087</v>
      </c>
      <c r="B10365" s="0" t="n">
        <v>6</v>
      </c>
      <c r="C10365" s="0" t="n">
        <v>2.4</v>
      </c>
      <c r="D10365" s="0" t="n">
        <v>0.092033292</v>
      </c>
    </row>
    <row r="10366" customFormat="false" ht="13.8" hidden="true" customHeight="false" outlineLevel="0" collapsed="false">
      <c r="A10366" s="0" t="s">
        <v>1087</v>
      </c>
      <c r="B10366" s="0" t="n">
        <v>6</v>
      </c>
      <c r="C10366" s="0" t="n">
        <v>2.45</v>
      </c>
      <c r="D10366" s="0" t="n">
        <v>0.093950652</v>
      </c>
    </row>
    <row r="10367" customFormat="false" ht="13.8" hidden="true" customHeight="false" outlineLevel="0" collapsed="false">
      <c r="A10367" s="0" t="s">
        <v>1087</v>
      </c>
      <c r="B10367" s="0" t="n">
        <v>6</v>
      </c>
      <c r="C10367" s="0" t="n">
        <v>2.5</v>
      </c>
      <c r="D10367" s="0" t="n">
        <v>0.095868013</v>
      </c>
    </row>
    <row r="10368" customFormat="false" ht="13.8" hidden="true" customHeight="false" outlineLevel="0" collapsed="false">
      <c r="A10368" s="0" t="s">
        <v>1087</v>
      </c>
      <c r="B10368" s="0" t="n">
        <v>6</v>
      </c>
      <c r="C10368" s="0" t="n">
        <v>2.55</v>
      </c>
      <c r="D10368" s="0" t="n">
        <v>0.097785373</v>
      </c>
    </row>
    <row r="10369" customFormat="false" ht="13.8" hidden="true" customHeight="false" outlineLevel="0" collapsed="false">
      <c r="A10369" s="0" t="s">
        <v>1087</v>
      </c>
      <c r="B10369" s="0" t="n">
        <v>6</v>
      </c>
      <c r="C10369" s="0" t="n">
        <v>2.6</v>
      </c>
      <c r="D10369" s="0" t="n">
        <v>0.099702733</v>
      </c>
    </row>
    <row r="10370" customFormat="false" ht="13.8" hidden="true" customHeight="false" outlineLevel="0" collapsed="false">
      <c r="A10370" s="0" t="s">
        <v>320</v>
      </c>
      <c r="B10370" s="0" t="n">
        <v>6</v>
      </c>
      <c r="C10370" s="0" t="n">
        <v>1.3</v>
      </c>
      <c r="D10370" s="0" t="n">
        <v>0</v>
      </c>
    </row>
    <row r="10371" customFormat="false" ht="13.8" hidden="true" customHeight="false" outlineLevel="0" collapsed="false">
      <c r="A10371" s="0" t="s">
        <v>320</v>
      </c>
      <c r="B10371" s="0" t="n">
        <v>6</v>
      </c>
      <c r="C10371" s="0" t="n">
        <v>1.35</v>
      </c>
      <c r="D10371" s="0" t="n">
        <v>0</v>
      </c>
    </row>
    <row r="10372" customFormat="false" ht="13.8" hidden="true" customHeight="false" outlineLevel="0" collapsed="false">
      <c r="A10372" s="0" t="s">
        <v>320</v>
      </c>
      <c r="B10372" s="0" t="n">
        <v>6</v>
      </c>
      <c r="C10372" s="0" t="n">
        <v>1.4</v>
      </c>
      <c r="D10372" s="0" t="n">
        <v>0</v>
      </c>
    </row>
    <row r="10373" customFormat="false" ht="13.8" hidden="true" customHeight="false" outlineLevel="0" collapsed="false">
      <c r="A10373" s="0" t="s">
        <v>320</v>
      </c>
      <c r="B10373" s="0" t="n">
        <v>6</v>
      </c>
      <c r="C10373" s="0" t="n">
        <v>1.45</v>
      </c>
      <c r="D10373" s="0" t="n">
        <v>0</v>
      </c>
    </row>
    <row r="10374" customFormat="false" ht="13.8" hidden="true" customHeight="false" outlineLevel="0" collapsed="false">
      <c r="A10374" s="0" t="s">
        <v>320</v>
      </c>
      <c r="B10374" s="0" t="n">
        <v>6</v>
      </c>
      <c r="C10374" s="0" t="n">
        <v>1.5</v>
      </c>
      <c r="D10374" s="0" t="n">
        <v>0</v>
      </c>
    </row>
    <row r="10375" customFormat="false" ht="13.8" hidden="true" customHeight="false" outlineLevel="0" collapsed="false">
      <c r="A10375" s="0" t="s">
        <v>320</v>
      </c>
      <c r="B10375" s="0" t="n">
        <v>6</v>
      </c>
      <c r="C10375" s="0" t="n">
        <v>1.55</v>
      </c>
      <c r="D10375" s="0" t="n">
        <v>0</v>
      </c>
    </row>
    <row r="10376" customFormat="false" ht="13.8" hidden="true" customHeight="false" outlineLevel="0" collapsed="false">
      <c r="A10376" s="0" t="s">
        <v>320</v>
      </c>
      <c r="B10376" s="0" t="n">
        <v>6</v>
      </c>
      <c r="C10376" s="0" t="n">
        <v>1.6</v>
      </c>
      <c r="D10376" s="0" t="n">
        <v>0.064</v>
      </c>
    </row>
    <row r="10377" customFormat="false" ht="13.8" hidden="true" customHeight="false" outlineLevel="0" collapsed="false">
      <c r="A10377" s="0" t="s">
        <v>320</v>
      </c>
      <c r="B10377" s="0" t="n">
        <v>6</v>
      </c>
      <c r="C10377" s="0" t="n">
        <v>1.65</v>
      </c>
      <c r="D10377" s="0" t="n">
        <v>0.066</v>
      </c>
    </row>
    <row r="10378" customFormat="false" ht="13.8" hidden="true" customHeight="false" outlineLevel="0" collapsed="false">
      <c r="A10378" s="0" t="s">
        <v>320</v>
      </c>
      <c r="B10378" s="0" t="n">
        <v>6</v>
      </c>
      <c r="C10378" s="0" t="n">
        <v>1.7</v>
      </c>
      <c r="D10378" s="0" t="n">
        <v>0.068</v>
      </c>
    </row>
    <row r="10379" customFormat="false" ht="13.8" hidden="true" customHeight="false" outlineLevel="0" collapsed="false">
      <c r="A10379" s="0" t="s">
        <v>320</v>
      </c>
      <c r="B10379" s="0" t="n">
        <v>6</v>
      </c>
      <c r="C10379" s="0" t="n">
        <v>1.75</v>
      </c>
      <c r="D10379" s="0" t="n">
        <v>0.07</v>
      </c>
    </row>
    <row r="10380" customFormat="false" ht="13.8" hidden="true" customHeight="false" outlineLevel="0" collapsed="false">
      <c r="A10380" s="0" t="s">
        <v>320</v>
      </c>
      <c r="B10380" s="0" t="n">
        <v>6</v>
      </c>
      <c r="C10380" s="0" t="n">
        <v>1.8</v>
      </c>
      <c r="D10380" s="0" t="n">
        <v>0.07</v>
      </c>
    </row>
    <row r="10381" customFormat="false" ht="13.8" hidden="true" customHeight="false" outlineLevel="0" collapsed="false">
      <c r="A10381" s="0" t="s">
        <v>320</v>
      </c>
      <c r="B10381" s="0" t="n">
        <v>6</v>
      </c>
      <c r="C10381" s="0" t="n">
        <v>1.85</v>
      </c>
      <c r="D10381" s="0" t="n">
        <v>0.072</v>
      </c>
    </row>
    <row r="10382" customFormat="false" ht="13.8" hidden="true" customHeight="false" outlineLevel="0" collapsed="false">
      <c r="A10382" s="0" t="s">
        <v>320</v>
      </c>
      <c r="B10382" s="0" t="n">
        <v>6</v>
      </c>
      <c r="C10382" s="0" t="n">
        <v>1.9</v>
      </c>
      <c r="D10382" s="0" t="n">
        <v>0.074076093</v>
      </c>
    </row>
    <row r="10383" customFormat="false" ht="13.8" hidden="true" customHeight="false" outlineLevel="0" collapsed="false">
      <c r="A10383" s="0" t="s">
        <v>320</v>
      </c>
      <c r="B10383" s="0" t="n">
        <v>6</v>
      </c>
      <c r="C10383" s="0" t="n">
        <v>1.95</v>
      </c>
      <c r="D10383" s="0" t="n">
        <v>0.076025463</v>
      </c>
    </row>
    <row r="10384" customFormat="false" ht="13.8" hidden="true" customHeight="false" outlineLevel="0" collapsed="false">
      <c r="A10384" s="0" t="s">
        <v>320</v>
      </c>
      <c r="B10384" s="0" t="n">
        <v>6</v>
      </c>
      <c r="C10384" s="0" t="n">
        <v>2</v>
      </c>
      <c r="D10384" s="0" t="n">
        <v>0.075933953</v>
      </c>
    </row>
    <row r="10385" customFormat="false" ht="13.8" hidden="true" customHeight="false" outlineLevel="0" collapsed="false">
      <c r="A10385" s="0" t="s">
        <v>320</v>
      </c>
      <c r="B10385" s="0" t="n">
        <v>6</v>
      </c>
      <c r="C10385" s="0" t="n">
        <v>2.05</v>
      </c>
      <c r="D10385" s="0" t="n">
        <v>0.077832302</v>
      </c>
    </row>
    <row r="10386" customFormat="false" ht="13.8" hidden="true" customHeight="false" outlineLevel="0" collapsed="false">
      <c r="A10386" s="0" t="s">
        <v>320</v>
      </c>
      <c r="B10386" s="0" t="n">
        <v>6</v>
      </c>
      <c r="C10386" s="0" t="n">
        <v>2.1</v>
      </c>
      <c r="D10386" s="0" t="n">
        <v>0.079730651</v>
      </c>
    </row>
    <row r="10387" customFormat="false" ht="13.8" hidden="true" customHeight="false" outlineLevel="0" collapsed="false">
      <c r="A10387" s="0" t="s">
        <v>320</v>
      </c>
      <c r="B10387" s="0" t="n">
        <v>6</v>
      </c>
      <c r="C10387" s="0" t="n">
        <v>2.15</v>
      </c>
      <c r="D10387" s="0" t="n">
        <v>0.081629</v>
      </c>
    </row>
    <row r="10388" customFormat="false" ht="13.8" hidden="true" customHeight="false" outlineLevel="0" collapsed="false">
      <c r="A10388" s="0" t="s">
        <v>320</v>
      </c>
      <c r="B10388" s="0" t="n">
        <v>6</v>
      </c>
      <c r="C10388" s="0" t="n">
        <v>2.2</v>
      </c>
      <c r="D10388" s="0" t="n">
        <v>0.084363851</v>
      </c>
    </row>
    <row r="10389" customFormat="false" ht="13.8" hidden="true" customHeight="false" outlineLevel="0" collapsed="false">
      <c r="A10389" s="0" t="s">
        <v>320</v>
      </c>
      <c r="B10389" s="0" t="n">
        <v>6</v>
      </c>
      <c r="C10389" s="0" t="n">
        <v>2.25</v>
      </c>
      <c r="D10389" s="0" t="n">
        <v>0.086281211</v>
      </c>
    </row>
    <row r="10390" customFormat="false" ht="13.8" hidden="true" customHeight="false" outlineLevel="0" collapsed="false">
      <c r="A10390" s="0" t="s">
        <v>320</v>
      </c>
      <c r="B10390" s="0" t="n">
        <v>6</v>
      </c>
      <c r="C10390" s="0" t="n">
        <v>2.3</v>
      </c>
      <c r="D10390" s="0" t="n">
        <v>0.088198572</v>
      </c>
    </row>
    <row r="10391" customFormat="false" ht="13.8" hidden="true" customHeight="false" outlineLevel="0" collapsed="false">
      <c r="A10391" s="0" t="s">
        <v>320</v>
      </c>
      <c r="B10391" s="0" t="n">
        <v>6</v>
      </c>
      <c r="C10391" s="0" t="n">
        <v>2.35</v>
      </c>
      <c r="D10391" s="0" t="n">
        <v>0.090115932</v>
      </c>
    </row>
    <row r="10392" customFormat="false" ht="13.8" hidden="true" customHeight="false" outlineLevel="0" collapsed="false">
      <c r="A10392" s="0" t="s">
        <v>320</v>
      </c>
      <c r="B10392" s="0" t="n">
        <v>6</v>
      </c>
      <c r="C10392" s="0" t="n">
        <v>2.4</v>
      </c>
      <c r="D10392" s="0" t="n">
        <v>0.092033292</v>
      </c>
    </row>
    <row r="10393" customFormat="false" ht="13.8" hidden="true" customHeight="false" outlineLevel="0" collapsed="false">
      <c r="A10393" s="0" t="s">
        <v>320</v>
      </c>
      <c r="B10393" s="0" t="n">
        <v>6</v>
      </c>
      <c r="C10393" s="0" t="n">
        <v>2.45</v>
      </c>
      <c r="D10393" s="0" t="n">
        <v>0.093950652</v>
      </c>
    </row>
    <row r="10394" customFormat="false" ht="13.8" hidden="true" customHeight="false" outlineLevel="0" collapsed="false">
      <c r="A10394" s="0" t="s">
        <v>320</v>
      </c>
      <c r="B10394" s="0" t="n">
        <v>6</v>
      </c>
      <c r="C10394" s="0" t="n">
        <v>2.5</v>
      </c>
      <c r="D10394" s="0" t="n">
        <v>0.095868013</v>
      </c>
    </row>
    <row r="10395" customFormat="false" ht="13.8" hidden="true" customHeight="false" outlineLevel="0" collapsed="false">
      <c r="A10395" s="0" t="s">
        <v>320</v>
      </c>
      <c r="B10395" s="0" t="n">
        <v>6</v>
      </c>
      <c r="C10395" s="0" t="n">
        <v>2.55</v>
      </c>
      <c r="D10395" s="0" t="n">
        <v>0.097785373</v>
      </c>
    </row>
    <row r="10396" customFormat="false" ht="13.8" hidden="true" customHeight="false" outlineLevel="0" collapsed="false">
      <c r="A10396" s="0" t="s">
        <v>320</v>
      </c>
      <c r="B10396" s="0" t="n">
        <v>6</v>
      </c>
      <c r="C10396" s="0" t="n">
        <v>2.6</v>
      </c>
      <c r="D10396" s="0" t="n">
        <v>0.099702733</v>
      </c>
    </row>
    <row r="10397" customFormat="false" ht="13.8" hidden="true" customHeight="false" outlineLevel="0" collapsed="false">
      <c r="A10397" s="0" t="s">
        <v>199</v>
      </c>
      <c r="B10397" s="0" t="n">
        <v>6</v>
      </c>
      <c r="C10397" s="0" t="n">
        <v>1.3</v>
      </c>
      <c r="D10397" s="0" t="n">
        <v>0</v>
      </c>
    </row>
    <row r="10398" customFormat="false" ht="13.8" hidden="true" customHeight="false" outlineLevel="0" collapsed="false">
      <c r="A10398" s="0" t="s">
        <v>199</v>
      </c>
      <c r="B10398" s="0" t="n">
        <v>6</v>
      </c>
      <c r="C10398" s="0" t="n">
        <v>1.35</v>
      </c>
      <c r="D10398" s="0" t="n">
        <v>0</v>
      </c>
    </row>
    <row r="10399" customFormat="false" ht="13.8" hidden="true" customHeight="false" outlineLevel="0" collapsed="false">
      <c r="A10399" s="0" t="s">
        <v>199</v>
      </c>
      <c r="B10399" s="0" t="n">
        <v>6</v>
      </c>
      <c r="C10399" s="0" t="n">
        <v>1.4</v>
      </c>
      <c r="D10399" s="0" t="n">
        <v>0</v>
      </c>
    </row>
    <row r="10400" customFormat="false" ht="13.8" hidden="true" customHeight="false" outlineLevel="0" collapsed="false">
      <c r="A10400" s="0" t="s">
        <v>199</v>
      </c>
      <c r="B10400" s="0" t="n">
        <v>6</v>
      </c>
      <c r="C10400" s="0" t="n">
        <v>1.45</v>
      </c>
      <c r="D10400" s="0" t="n">
        <v>0</v>
      </c>
    </row>
    <row r="10401" customFormat="false" ht="13.8" hidden="true" customHeight="false" outlineLevel="0" collapsed="false">
      <c r="A10401" s="0" t="s">
        <v>199</v>
      </c>
      <c r="B10401" s="0" t="n">
        <v>6</v>
      </c>
      <c r="C10401" s="0" t="n">
        <v>1.5</v>
      </c>
      <c r="D10401" s="0" t="n">
        <v>0</v>
      </c>
    </row>
    <row r="10402" customFormat="false" ht="13.8" hidden="true" customHeight="false" outlineLevel="0" collapsed="false">
      <c r="A10402" s="0" t="s">
        <v>199</v>
      </c>
      <c r="B10402" s="0" t="n">
        <v>6</v>
      </c>
      <c r="C10402" s="0" t="n">
        <v>1.55</v>
      </c>
      <c r="D10402" s="0" t="n">
        <v>0</v>
      </c>
    </row>
    <row r="10403" customFormat="false" ht="13.8" hidden="true" customHeight="false" outlineLevel="0" collapsed="false">
      <c r="A10403" s="0" t="s">
        <v>199</v>
      </c>
      <c r="B10403" s="0" t="n">
        <v>6</v>
      </c>
      <c r="C10403" s="0" t="n">
        <v>1.6</v>
      </c>
      <c r="D10403" s="0" t="n">
        <v>0</v>
      </c>
    </row>
    <row r="10404" customFormat="false" ht="13.8" hidden="true" customHeight="false" outlineLevel="0" collapsed="false">
      <c r="A10404" s="0" t="s">
        <v>199</v>
      </c>
      <c r="B10404" s="0" t="n">
        <v>6</v>
      </c>
      <c r="C10404" s="0" t="n">
        <v>1.65</v>
      </c>
      <c r="D10404" s="0" t="n">
        <v>0</v>
      </c>
    </row>
    <row r="10405" customFormat="false" ht="13.8" hidden="true" customHeight="false" outlineLevel="0" collapsed="false">
      <c r="A10405" s="0" t="s">
        <v>199</v>
      </c>
      <c r="B10405" s="0" t="n">
        <v>6</v>
      </c>
      <c r="C10405" s="0" t="n">
        <v>1.7</v>
      </c>
      <c r="D10405" s="0" t="n">
        <v>0</v>
      </c>
    </row>
    <row r="10406" customFormat="false" ht="13.8" hidden="true" customHeight="false" outlineLevel="0" collapsed="false">
      <c r="A10406" s="0" t="s">
        <v>199</v>
      </c>
      <c r="B10406" s="0" t="n">
        <v>6</v>
      </c>
      <c r="C10406" s="0" t="n">
        <v>1.75</v>
      </c>
      <c r="D10406" s="0" t="n">
        <v>0</v>
      </c>
    </row>
    <row r="10407" customFormat="false" ht="13.8" hidden="true" customHeight="false" outlineLevel="0" collapsed="false">
      <c r="A10407" s="0" t="s">
        <v>199</v>
      </c>
      <c r="B10407" s="0" t="n">
        <v>6</v>
      </c>
      <c r="C10407" s="0" t="n">
        <v>1.8</v>
      </c>
      <c r="D10407" s="0" t="n">
        <v>0</v>
      </c>
    </row>
    <row r="10408" customFormat="false" ht="13.8" hidden="true" customHeight="false" outlineLevel="0" collapsed="false">
      <c r="A10408" s="0" t="s">
        <v>199</v>
      </c>
      <c r="B10408" s="0" t="n">
        <v>6</v>
      </c>
      <c r="C10408" s="0" t="n">
        <v>1.85</v>
      </c>
      <c r="D10408" s="0" t="n">
        <v>0.144</v>
      </c>
    </row>
    <row r="10409" customFormat="false" ht="13.8" hidden="true" customHeight="false" outlineLevel="0" collapsed="false">
      <c r="A10409" s="0" t="s">
        <v>199</v>
      </c>
      <c r="B10409" s="0" t="n">
        <v>6</v>
      </c>
      <c r="C10409" s="0" t="n">
        <v>1.9</v>
      </c>
      <c r="D10409" s="0" t="n">
        <v>0.148</v>
      </c>
    </row>
    <row r="10410" customFormat="false" ht="13.8" hidden="true" customHeight="false" outlineLevel="0" collapsed="false">
      <c r="A10410" s="0" t="s">
        <v>199</v>
      </c>
      <c r="B10410" s="0" t="n">
        <v>6</v>
      </c>
      <c r="C10410" s="0" t="n">
        <v>1.95</v>
      </c>
      <c r="D10410" s="0" t="n">
        <v>0.152</v>
      </c>
    </row>
    <row r="10411" customFormat="false" ht="13.8" hidden="true" customHeight="false" outlineLevel="0" collapsed="false">
      <c r="A10411" s="0" t="s">
        <v>199</v>
      </c>
      <c r="B10411" s="0" t="n">
        <v>6</v>
      </c>
      <c r="C10411" s="0" t="n">
        <v>2</v>
      </c>
      <c r="D10411" s="0" t="n">
        <v>0.152</v>
      </c>
    </row>
    <row r="10412" customFormat="false" ht="13.8" hidden="true" customHeight="false" outlineLevel="0" collapsed="false">
      <c r="A10412" s="0" t="s">
        <v>199</v>
      </c>
      <c r="B10412" s="0" t="n">
        <v>6</v>
      </c>
      <c r="C10412" s="0" t="n">
        <v>2.05</v>
      </c>
      <c r="D10412" s="0" t="n">
        <v>0.156</v>
      </c>
    </row>
    <row r="10413" customFormat="false" ht="13.8" hidden="true" customHeight="false" outlineLevel="0" collapsed="false">
      <c r="A10413" s="0" t="s">
        <v>199</v>
      </c>
      <c r="B10413" s="0" t="n">
        <v>6</v>
      </c>
      <c r="C10413" s="0" t="n">
        <v>2.1</v>
      </c>
      <c r="D10413" s="0" t="n">
        <v>0.159</v>
      </c>
    </row>
    <row r="10414" customFormat="false" ht="13.8" hidden="true" customHeight="false" outlineLevel="0" collapsed="false">
      <c r="A10414" s="0" t="s">
        <v>199</v>
      </c>
      <c r="B10414" s="0" t="n">
        <v>6</v>
      </c>
      <c r="C10414" s="0" t="n">
        <v>2.15</v>
      </c>
      <c r="D10414" s="0" t="n">
        <v>0.163257999</v>
      </c>
    </row>
    <row r="10415" customFormat="false" ht="13.8" hidden="true" customHeight="false" outlineLevel="0" collapsed="false">
      <c r="A10415" s="0" t="s">
        <v>199</v>
      </c>
      <c r="B10415" s="0" t="n">
        <v>6</v>
      </c>
      <c r="C10415" s="0" t="n">
        <v>2.2</v>
      </c>
      <c r="D10415" s="0" t="n">
        <v>0.168727702</v>
      </c>
    </row>
    <row r="10416" customFormat="false" ht="13.8" hidden="true" customHeight="false" outlineLevel="0" collapsed="false">
      <c r="A10416" s="0" t="s">
        <v>199</v>
      </c>
      <c r="B10416" s="0" t="n">
        <v>6</v>
      </c>
      <c r="C10416" s="0" t="n">
        <v>2.25</v>
      </c>
      <c r="D10416" s="0" t="n">
        <v>0.172562423</v>
      </c>
    </row>
    <row r="10417" customFormat="false" ht="13.8" hidden="true" customHeight="false" outlineLevel="0" collapsed="false">
      <c r="A10417" s="0" t="s">
        <v>199</v>
      </c>
      <c r="B10417" s="0" t="n">
        <v>6</v>
      </c>
      <c r="C10417" s="0" t="n">
        <v>2.3</v>
      </c>
      <c r="D10417" s="0" t="n">
        <v>0.176397143</v>
      </c>
    </row>
    <row r="10418" customFormat="false" ht="13.8" hidden="true" customHeight="false" outlineLevel="0" collapsed="false">
      <c r="A10418" s="0" t="s">
        <v>199</v>
      </c>
      <c r="B10418" s="0" t="n">
        <v>6</v>
      </c>
      <c r="C10418" s="0" t="n">
        <v>2.35</v>
      </c>
      <c r="D10418" s="0" t="n">
        <v>0.180231864</v>
      </c>
    </row>
    <row r="10419" customFormat="false" ht="13.8" hidden="true" customHeight="false" outlineLevel="0" collapsed="false">
      <c r="A10419" s="0" t="s">
        <v>199</v>
      </c>
      <c r="B10419" s="0" t="n">
        <v>6</v>
      </c>
      <c r="C10419" s="0" t="n">
        <v>2.4</v>
      </c>
      <c r="D10419" s="0" t="n">
        <v>0</v>
      </c>
    </row>
    <row r="10420" customFormat="false" ht="13.8" hidden="true" customHeight="false" outlineLevel="0" collapsed="false">
      <c r="A10420" s="0" t="s">
        <v>199</v>
      </c>
      <c r="B10420" s="0" t="n">
        <v>6</v>
      </c>
      <c r="C10420" s="0" t="n">
        <v>2.45</v>
      </c>
      <c r="D10420" s="0" t="n">
        <v>0</v>
      </c>
    </row>
    <row r="10421" customFormat="false" ht="13.8" hidden="true" customHeight="false" outlineLevel="0" collapsed="false">
      <c r="A10421" s="0" t="s">
        <v>199</v>
      </c>
      <c r="B10421" s="0" t="n">
        <v>6</v>
      </c>
      <c r="C10421" s="0" t="n">
        <v>2.5</v>
      </c>
      <c r="D10421" s="0" t="n">
        <v>0</v>
      </c>
    </row>
    <row r="10422" customFormat="false" ht="13.8" hidden="true" customHeight="false" outlineLevel="0" collapsed="false">
      <c r="A10422" s="0" t="s">
        <v>199</v>
      </c>
      <c r="B10422" s="0" t="n">
        <v>6</v>
      </c>
      <c r="C10422" s="0" t="n">
        <v>2.55</v>
      </c>
      <c r="D10422" s="0" t="n">
        <v>0</v>
      </c>
    </row>
    <row r="10423" customFormat="false" ht="13.8" hidden="true" customHeight="false" outlineLevel="0" collapsed="false">
      <c r="A10423" s="0" t="s">
        <v>199</v>
      </c>
      <c r="B10423" s="0" t="n">
        <v>6</v>
      </c>
      <c r="C10423" s="0" t="n">
        <v>2.6</v>
      </c>
      <c r="D10423" s="0" t="n">
        <v>0</v>
      </c>
    </row>
    <row r="10424" customFormat="false" ht="13.8" hidden="true" customHeight="false" outlineLevel="0" collapsed="false">
      <c r="A10424" s="0" t="s">
        <v>321</v>
      </c>
      <c r="B10424" s="0" t="n">
        <v>6</v>
      </c>
      <c r="C10424" s="0" t="n">
        <v>1.3</v>
      </c>
      <c r="D10424" s="0" t="n">
        <v>0</v>
      </c>
    </row>
    <row r="10425" customFormat="false" ht="13.8" hidden="true" customHeight="false" outlineLevel="0" collapsed="false">
      <c r="A10425" s="0" t="s">
        <v>321</v>
      </c>
      <c r="B10425" s="0" t="n">
        <v>6</v>
      </c>
      <c r="C10425" s="0" t="n">
        <v>1.35</v>
      </c>
      <c r="D10425" s="0" t="n">
        <v>0</v>
      </c>
    </row>
    <row r="10426" customFormat="false" ht="13.8" hidden="true" customHeight="false" outlineLevel="0" collapsed="false">
      <c r="A10426" s="0" t="s">
        <v>321</v>
      </c>
      <c r="B10426" s="0" t="n">
        <v>6</v>
      </c>
      <c r="C10426" s="0" t="n">
        <v>1.4</v>
      </c>
      <c r="D10426" s="0" t="n">
        <v>0</v>
      </c>
    </row>
    <row r="10427" customFormat="false" ht="13.8" hidden="true" customHeight="false" outlineLevel="0" collapsed="false">
      <c r="A10427" s="0" t="s">
        <v>321</v>
      </c>
      <c r="B10427" s="0" t="n">
        <v>6</v>
      </c>
      <c r="C10427" s="0" t="n">
        <v>1.45</v>
      </c>
      <c r="D10427" s="0" t="n">
        <v>0</v>
      </c>
    </row>
    <row r="10428" customFormat="false" ht="13.8" hidden="true" customHeight="false" outlineLevel="0" collapsed="false">
      <c r="A10428" s="0" t="s">
        <v>321</v>
      </c>
      <c r="B10428" s="0" t="n">
        <v>6</v>
      </c>
      <c r="C10428" s="0" t="n">
        <v>1.5</v>
      </c>
      <c r="D10428" s="0" t="n">
        <v>0</v>
      </c>
    </row>
    <row r="10429" customFormat="false" ht="13.8" hidden="true" customHeight="false" outlineLevel="0" collapsed="false">
      <c r="A10429" s="0" t="s">
        <v>321</v>
      </c>
      <c r="B10429" s="0" t="n">
        <v>6</v>
      </c>
      <c r="C10429" s="0" t="n">
        <v>1.55</v>
      </c>
      <c r="D10429" s="0" t="n">
        <v>0</v>
      </c>
    </row>
    <row r="10430" customFormat="false" ht="13.8" hidden="true" customHeight="false" outlineLevel="0" collapsed="false">
      <c r="A10430" s="0" t="s">
        <v>321</v>
      </c>
      <c r="B10430" s="0" t="n">
        <v>6</v>
      </c>
      <c r="C10430" s="0" t="n">
        <v>1.6</v>
      </c>
      <c r="D10430" s="0" t="n">
        <v>0</v>
      </c>
    </row>
    <row r="10431" customFormat="false" ht="13.8" hidden="true" customHeight="false" outlineLevel="0" collapsed="false">
      <c r="A10431" s="0" t="s">
        <v>321</v>
      </c>
      <c r="B10431" s="0" t="n">
        <v>6</v>
      </c>
      <c r="C10431" s="0" t="n">
        <v>1.65</v>
      </c>
      <c r="D10431" s="0" t="n">
        <v>0</v>
      </c>
    </row>
    <row r="10432" customFormat="false" ht="13.8" hidden="true" customHeight="false" outlineLevel="0" collapsed="false">
      <c r="A10432" s="0" t="s">
        <v>321</v>
      </c>
      <c r="B10432" s="0" t="n">
        <v>6</v>
      </c>
      <c r="C10432" s="0" t="n">
        <v>1.7</v>
      </c>
      <c r="D10432" s="0" t="n">
        <v>0</v>
      </c>
    </row>
    <row r="10433" customFormat="false" ht="13.8" hidden="true" customHeight="false" outlineLevel="0" collapsed="false">
      <c r="A10433" s="0" t="s">
        <v>321</v>
      </c>
      <c r="B10433" s="0" t="n">
        <v>6</v>
      </c>
      <c r="C10433" s="0" t="n">
        <v>1.75</v>
      </c>
      <c r="D10433" s="0" t="n">
        <v>0</v>
      </c>
    </row>
    <row r="10434" customFormat="false" ht="13.8" hidden="true" customHeight="false" outlineLevel="0" collapsed="false">
      <c r="A10434" s="0" t="s">
        <v>321</v>
      </c>
      <c r="B10434" s="0" t="n">
        <v>6</v>
      </c>
      <c r="C10434" s="0" t="n">
        <v>1.8</v>
      </c>
      <c r="D10434" s="0" t="n">
        <v>0</v>
      </c>
    </row>
    <row r="10435" customFormat="false" ht="13.8" hidden="true" customHeight="false" outlineLevel="0" collapsed="false">
      <c r="A10435" s="0" t="s">
        <v>321</v>
      </c>
      <c r="B10435" s="0" t="n">
        <v>6</v>
      </c>
      <c r="C10435" s="0" t="n">
        <v>1.85</v>
      </c>
      <c r="D10435" s="0" t="n">
        <v>0.144</v>
      </c>
    </row>
    <row r="10436" customFormat="false" ht="13.8" hidden="true" customHeight="false" outlineLevel="0" collapsed="false">
      <c r="A10436" s="0" t="s">
        <v>321</v>
      </c>
      <c r="B10436" s="0" t="n">
        <v>6</v>
      </c>
      <c r="C10436" s="0" t="n">
        <v>1.9</v>
      </c>
      <c r="D10436" s="0" t="n">
        <v>0.148</v>
      </c>
    </row>
    <row r="10437" customFormat="false" ht="13.8" hidden="true" customHeight="false" outlineLevel="0" collapsed="false">
      <c r="A10437" s="0" t="s">
        <v>321</v>
      </c>
      <c r="B10437" s="0" t="n">
        <v>6</v>
      </c>
      <c r="C10437" s="0" t="n">
        <v>1.95</v>
      </c>
      <c r="D10437" s="0" t="n">
        <v>0.152</v>
      </c>
    </row>
    <row r="10438" customFormat="false" ht="13.8" hidden="true" customHeight="false" outlineLevel="0" collapsed="false">
      <c r="A10438" s="0" t="s">
        <v>321</v>
      </c>
      <c r="B10438" s="0" t="n">
        <v>6</v>
      </c>
      <c r="C10438" s="0" t="n">
        <v>2</v>
      </c>
      <c r="D10438" s="0" t="n">
        <v>0.152</v>
      </c>
    </row>
    <row r="10439" customFormat="false" ht="13.8" hidden="true" customHeight="false" outlineLevel="0" collapsed="false">
      <c r="A10439" s="0" t="s">
        <v>321</v>
      </c>
      <c r="B10439" s="0" t="n">
        <v>6</v>
      </c>
      <c r="C10439" s="0" t="n">
        <v>2.05</v>
      </c>
      <c r="D10439" s="0" t="n">
        <v>0.156</v>
      </c>
    </row>
    <row r="10440" customFormat="false" ht="13.8" hidden="true" customHeight="false" outlineLevel="0" collapsed="false">
      <c r="A10440" s="0" t="s">
        <v>321</v>
      </c>
      <c r="B10440" s="0" t="n">
        <v>6</v>
      </c>
      <c r="C10440" s="0" t="n">
        <v>2.1</v>
      </c>
      <c r="D10440" s="0" t="n">
        <v>0.159</v>
      </c>
    </row>
    <row r="10441" customFormat="false" ht="13.8" hidden="true" customHeight="false" outlineLevel="0" collapsed="false">
      <c r="A10441" s="0" t="s">
        <v>321</v>
      </c>
      <c r="B10441" s="0" t="n">
        <v>6</v>
      </c>
      <c r="C10441" s="0" t="n">
        <v>2.15</v>
      </c>
      <c r="D10441" s="0" t="n">
        <v>0.163257999</v>
      </c>
    </row>
    <row r="10442" customFormat="false" ht="13.8" hidden="true" customHeight="false" outlineLevel="0" collapsed="false">
      <c r="A10442" s="0" t="s">
        <v>321</v>
      </c>
      <c r="B10442" s="0" t="n">
        <v>6</v>
      </c>
      <c r="C10442" s="0" t="n">
        <v>2.2</v>
      </c>
      <c r="D10442" s="0" t="n">
        <v>0.168727702</v>
      </c>
    </row>
    <row r="10443" customFormat="false" ht="13.8" hidden="true" customHeight="false" outlineLevel="0" collapsed="false">
      <c r="A10443" s="0" t="s">
        <v>321</v>
      </c>
      <c r="B10443" s="0" t="n">
        <v>6</v>
      </c>
      <c r="C10443" s="0" t="n">
        <v>2.25</v>
      </c>
      <c r="D10443" s="0" t="n">
        <v>0.172562423</v>
      </c>
    </row>
    <row r="10444" customFormat="false" ht="13.8" hidden="true" customHeight="false" outlineLevel="0" collapsed="false">
      <c r="A10444" s="0" t="s">
        <v>321</v>
      </c>
      <c r="B10444" s="0" t="n">
        <v>6</v>
      </c>
      <c r="C10444" s="0" t="n">
        <v>2.3</v>
      </c>
      <c r="D10444" s="0" t="n">
        <v>0.176397143</v>
      </c>
    </row>
    <row r="10445" customFormat="false" ht="13.8" hidden="true" customHeight="false" outlineLevel="0" collapsed="false">
      <c r="A10445" s="0" t="s">
        <v>321</v>
      </c>
      <c r="B10445" s="0" t="n">
        <v>6</v>
      </c>
      <c r="C10445" s="0" t="n">
        <v>2.35</v>
      </c>
      <c r="D10445" s="0" t="n">
        <v>0.180231864</v>
      </c>
    </row>
    <row r="10446" customFormat="false" ht="13.8" hidden="true" customHeight="false" outlineLevel="0" collapsed="false">
      <c r="A10446" s="0" t="s">
        <v>321</v>
      </c>
      <c r="B10446" s="0" t="n">
        <v>6</v>
      </c>
      <c r="C10446" s="0" t="n">
        <v>2.4</v>
      </c>
      <c r="D10446" s="0" t="n">
        <v>0</v>
      </c>
    </row>
    <row r="10447" customFormat="false" ht="13.8" hidden="true" customHeight="false" outlineLevel="0" collapsed="false">
      <c r="A10447" s="0" t="s">
        <v>321</v>
      </c>
      <c r="B10447" s="0" t="n">
        <v>6</v>
      </c>
      <c r="C10447" s="0" t="n">
        <v>2.45</v>
      </c>
      <c r="D10447" s="0" t="n">
        <v>0</v>
      </c>
    </row>
    <row r="10448" customFormat="false" ht="13.8" hidden="true" customHeight="false" outlineLevel="0" collapsed="false">
      <c r="A10448" s="0" t="s">
        <v>321</v>
      </c>
      <c r="B10448" s="0" t="n">
        <v>6</v>
      </c>
      <c r="C10448" s="0" t="n">
        <v>2.5</v>
      </c>
      <c r="D10448" s="0" t="n">
        <v>0</v>
      </c>
    </row>
    <row r="10449" customFormat="false" ht="13.8" hidden="true" customHeight="false" outlineLevel="0" collapsed="false">
      <c r="A10449" s="0" t="s">
        <v>321</v>
      </c>
      <c r="B10449" s="0" t="n">
        <v>6</v>
      </c>
      <c r="C10449" s="0" t="n">
        <v>2.55</v>
      </c>
      <c r="D10449" s="0" t="n">
        <v>0</v>
      </c>
    </row>
    <row r="10450" customFormat="false" ht="13.8" hidden="true" customHeight="false" outlineLevel="0" collapsed="false">
      <c r="A10450" s="0" t="s">
        <v>321</v>
      </c>
      <c r="B10450" s="0" t="n">
        <v>6</v>
      </c>
      <c r="C10450" s="0" t="n">
        <v>2.6</v>
      </c>
      <c r="D10450" s="0" t="n">
        <v>0</v>
      </c>
    </row>
    <row r="10451" customFormat="false" ht="13.8" hidden="true" customHeight="false" outlineLevel="0" collapsed="false">
      <c r="A10451" s="0" t="s">
        <v>200</v>
      </c>
      <c r="B10451" s="0" t="n">
        <v>6</v>
      </c>
      <c r="C10451" s="0" t="n">
        <v>1.3</v>
      </c>
      <c r="D10451" s="0" t="n">
        <v>0</v>
      </c>
    </row>
    <row r="10452" customFormat="false" ht="13.8" hidden="true" customHeight="false" outlineLevel="0" collapsed="false">
      <c r="A10452" s="0" t="s">
        <v>200</v>
      </c>
      <c r="B10452" s="0" t="n">
        <v>6</v>
      </c>
      <c r="C10452" s="0" t="n">
        <v>1.35</v>
      </c>
      <c r="D10452" s="0" t="n">
        <v>0</v>
      </c>
    </row>
    <row r="10453" customFormat="false" ht="13.8" hidden="true" customHeight="false" outlineLevel="0" collapsed="false">
      <c r="A10453" s="0" t="s">
        <v>200</v>
      </c>
      <c r="B10453" s="0" t="n">
        <v>6</v>
      </c>
      <c r="C10453" s="0" t="n">
        <v>1.4</v>
      </c>
      <c r="D10453" s="0" t="n">
        <v>0</v>
      </c>
    </row>
    <row r="10454" customFormat="false" ht="13.8" hidden="true" customHeight="false" outlineLevel="0" collapsed="false">
      <c r="A10454" s="0" t="s">
        <v>200</v>
      </c>
      <c r="B10454" s="0" t="n">
        <v>6</v>
      </c>
      <c r="C10454" s="0" t="n">
        <v>1.45</v>
      </c>
      <c r="D10454" s="0" t="n">
        <v>0</v>
      </c>
    </row>
    <row r="10455" customFormat="false" ht="13.8" hidden="true" customHeight="false" outlineLevel="0" collapsed="false">
      <c r="A10455" s="0" t="s">
        <v>200</v>
      </c>
      <c r="B10455" s="0" t="n">
        <v>6</v>
      </c>
      <c r="C10455" s="0" t="n">
        <v>1.5</v>
      </c>
      <c r="D10455" s="0" t="n">
        <v>0</v>
      </c>
    </row>
    <row r="10456" customFormat="false" ht="13.8" hidden="true" customHeight="false" outlineLevel="0" collapsed="false">
      <c r="A10456" s="0" t="s">
        <v>200</v>
      </c>
      <c r="B10456" s="0" t="n">
        <v>6</v>
      </c>
      <c r="C10456" s="0" t="n">
        <v>1.55</v>
      </c>
      <c r="D10456" s="0" t="n">
        <v>0</v>
      </c>
    </row>
    <row r="10457" customFormat="false" ht="13.8" hidden="true" customHeight="false" outlineLevel="0" collapsed="false">
      <c r="A10457" s="0" t="s">
        <v>200</v>
      </c>
      <c r="B10457" s="0" t="n">
        <v>6</v>
      </c>
      <c r="C10457" s="0" t="n">
        <v>1.6</v>
      </c>
      <c r="D10457" s="0" t="n">
        <v>0</v>
      </c>
    </row>
    <row r="10458" customFormat="false" ht="13.8" hidden="true" customHeight="false" outlineLevel="0" collapsed="false">
      <c r="A10458" s="0" t="s">
        <v>200</v>
      </c>
      <c r="B10458" s="0" t="n">
        <v>6</v>
      </c>
      <c r="C10458" s="0" t="n">
        <v>1.65</v>
      </c>
      <c r="D10458" s="0" t="n">
        <v>0</v>
      </c>
    </row>
    <row r="10459" customFormat="false" ht="13.8" hidden="true" customHeight="false" outlineLevel="0" collapsed="false">
      <c r="A10459" s="0" t="s">
        <v>200</v>
      </c>
      <c r="B10459" s="0" t="n">
        <v>6</v>
      </c>
      <c r="C10459" s="0" t="n">
        <v>1.7</v>
      </c>
      <c r="D10459" s="0" t="n">
        <v>0</v>
      </c>
    </row>
    <row r="10460" customFormat="false" ht="13.8" hidden="true" customHeight="false" outlineLevel="0" collapsed="false">
      <c r="A10460" s="0" t="s">
        <v>200</v>
      </c>
      <c r="B10460" s="0" t="n">
        <v>6</v>
      </c>
      <c r="C10460" s="0" t="n">
        <v>1.75</v>
      </c>
      <c r="D10460" s="0" t="n">
        <v>0</v>
      </c>
    </row>
    <row r="10461" customFormat="false" ht="13.8" hidden="true" customHeight="false" outlineLevel="0" collapsed="false">
      <c r="A10461" s="0" t="s">
        <v>200</v>
      </c>
      <c r="B10461" s="0" t="n">
        <v>6</v>
      </c>
      <c r="C10461" s="0" t="n">
        <v>1.8</v>
      </c>
      <c r="D10461" s="0" t="n">
        <v>0</v>
      </c>
    </row>
    <row r="10462" customFormat="false" ht="13.8" hidden="true" customHeight="false" outlineLevel="0" collapsed="false">
      <c r="A10462" s="0" t="s">
        <v>200</v>
      </c>
      <c r="B10462" s="0" t="n">
        <v>6</v>
      </c>
      <c r="C10462" s="0" t="n">
        <v>1.85</v>
      </c>
      <c r="D10462" s="0" t="n">
        <v>0</v>
      </c>
    </row>
    <row r="10463" customFormat="false" ht="13.8" hidden="true" customHeight="false" outlineLevel="0" collapsed="false">
      <c r="A10463" s="0" t="s">
        <v>200</v>
      </c>
      <c r="B10463" s="0" t="n">
        <v>6</v>
      </c>
      <c r="C10463" s="0" t="n">
        <v>1.9</v>
      </c>
      <c r="D10463" s="0" t="n">
        <v>0</v>
      </c>
    </row>
    <row r="10464" customFormat="false" ht="13.8" hidden="true" customHeight="false" outlineLevel="0" collapsed="false">
      <c r="A10464" s="0" t="s">
        <v>200</v>
      </c>
      <c r="B10464" s="0" t="n">
        <v>6</v>
      </c>
      <c r="C10464" s="0" t="n">
        <v>1.95</v>
      </c>
      <c r="D10464" s="0" t="n">
        <v>0</v>
      </c>
    </row>
    <row r="10465" customFormat="false" ht="13.8" hidden="true" customHeight="false" outlineLevel="0" collapsed="false">
      <c r="A10465" s="0" t="s">
        <v>200</v>
      </c>
      <c r="B10465" s="0" t="n">
        <v>6</v>
      </c>
      <c r="C10465" s="0" t="n">
        <v>2</v>
      </c>
      <c r="D10465" s="0" t="n">
        <v>0</v>
      </c>
    </row>
    <row r="10466" customFormat="false" ht="13.8" hidden="true" customHeight="false" outlineLevel="0" collapsed="false">
      <c r="A10466" s="0" t="s">
        <v>200</v>
      </c>
      <c r="B10466" s="0" t="n">
        <v>6</v>
      </c>
      <c r="C10466" s="0" t="n">
        <v>2.05</v>
      </c>
      <c r="D10466" s="0" t="n">
        <v>0.156</v>
      </c>
    </row>
    <row r="10467" customFormat="false" ht="13.8" hidden="true" customHeight="false" outlineLevel="0" collapsed="false">
      <c r="A10467" s="0" t="s">
        <v>200</v>
      </c>
      <c r="B10467" s="0" t="n">
        <v>6</v>
      </c>
      <c r="C10467" s="0" t="n">
        <v>2.1</v>
      </c>
      <c r="D10467" s="0" t="n">
        <v>0.159</v>
      </c>
    </row>
    <row r="10468" customFormat="false" ht="13.8" hidden="true" customHeight="false" outlineLevel="0" collapsed="false">
      <c r="A10468" s="0" t="s">
        <v>200</v>
      </c>
      <c r="B10468" s="0" t="n">
        <v>6</v>
      </c>
      <c r="C10468" s="0" t="n">
        <v>2.15</v>
      </c>
      <c r="D10468" s="0" t="n">
        <v>0.163257999</v>
      </c>
    </row>
    <row r="10469" customFormat="false" ht="13.8" hidden="true" customHeight="false" outlineLevel="0" collapsed="false">
      <c r="A10469" s="0" t="s">
        <v>200</v>
      </c>
      <c r="B10469" s="0" t="n">
        <v>6</v>
      </c>
      <c r="C10469" s="0" t="n">
        <v>2.2</v>
      </c>
      <c r="D10469" s="0" t="n">
        <v>0.168727702</v>
      </c>
    </row>
    <row r="10470" customFormat="false" ht="13.8" hidden="true" customHeight="false" outlineLevel="0" collapsed="false">
      <c r="A10470" s="0" t="s">
        <v>200</v>
      </c>
      <c r="B10470" s="0" t="n">
        <v>6</v>
      </c>
      <c r="C10470" s="0" t="n">
        <v>2.25</v>
      </c>
      <c r="D10470" s="0" t="n">
        <v>0.172562423</v>
      </c>
    </row>
    <row r="10471" customFormat="false" ht="13.8" hidden="true" customHeight="false" outlineLevel="0" collapsed="false">
      <c r="A10471" s="0" t="s">
        <v>200</v>
      </c>
      <c r="B10471" s="0" t="n">
        <v>6</v>
      </c>
      <c r="C10471" s="0" t="n">
        <v>2.3</v>
      </c>
      <c r="D10471" s="0" t="n">
        <v>0.176397143</v>
      </c>
    </row>
    <row r="10472" customFormat="false" ht="13.8" hidden="true" customHeight="false" outlineLevel="0" collapsed="false">
      <c r="A10472" s="0" t="s">
        <v>200</v>
      </c>
      <c r="B10472" s="0" t="n">
        <v>6</v>
      </c>
      <c r="C10472" s="0" t="n">
        <v>2.35</v>
      </c>
      <c r="D10472" s="0" t="n">
        <v>0.180231864</v>
      </c>
    </row>
    <row r="10473" customFormat="false" ht="13.8" hidden="true" customHeight="false" outlineLevel="0" collapsed="false">
      <c r="A10473" s="0" t="s">
        <v>200</v>
      </c>
      <c r="B10473" s="0" t="n">
        <v>6</v>
      </c>
      <c r="C10473" s="0" t="n">
        <v>2.4</v>
      </c>
      <c r="D10473" s="0" t="n">
        <v>0.184066584</v>
      </c>
    </row>
    <row r="10474" customFormat="false" ht="13.8" hidden="true" customHeight="false" outlineLevel="0" collapsed="false">
      <c r="A10474" s="0" t="s">
        <v>200</v>
      </c>
      <c r="B10474" s="0" t="n">
        <v>6</v>
      </c>
      <c r="C10474" s="0" t="n">
        <v>2.45</v>
      </c>
      <c r="D10474" s="0" t="n">
        <v>0.187901305</v>
      </c>
    </row>
    <row r="10475" customFormat="false" ht="13.8" hidden="true" customHeight="false" outlineLevel="0" collapsed="false">
      <c r="A10475" s="0" t="s">
        <v>200</v>
      </c>
      <c r="B10475" s="0" t="n">
        <v>6</v>
      </c>
      <c r="C10475" s="0" t="n">
        <v>2.5</v>
      </c>
      <c r="D10475" s="0" t="n">
        <v>0.191736025</v>
      </c>
    </row>
    <row r="10476" customFormat="false" ht="13.8" hidden="true" customHeight="false" outlineLevel="0" collapsed="false">
      <c r="A10476" s="0" t="s">
        <v>200</v>
      </c>
      <c r="B10476" s="0" t="n">
        <v>6</v>
      </c>
      <c r="C10476" s="0" t="n">
        <v>2.55</v>
      </c>
      <c r="D10476" s="0" t="n">
        <v>0.195570746</v>
      </c>
    </row>
    <row r="10477" customFormat="false" ht="13.8" hidden="true" customHeight="false" outlineLevel="0" collapsed="false">
      <c r="A10477" s="0" t="s">
        <v>200</v>
      </c>
      <c r="B10477" s="0" t="n">
        <v>6</v>
      </c>
      <c r="C10477" s="0" t="n">
        <v>2.6</v>
      </c>
      <c r="D10477" s="0" t="n">
        <v>0.199405466</v>
      </c>
    </row>
    <row r="10478" customFormat="false" ht="13.8" hidden="true" customHeight="false" outlineLevel="0" collapsed="false">
      <c r="A10478" s="0" t="s">
        <v>322</v>
      </c>
      <c r="B10478" s="0" t="n">
        <v>6</v>
      </c>
      <c r="C10478" s="0" t="n">
        <v>1.3</v>
      </c>
      <c r="D10478" s="0" t="n">
        <v>0</v>
      </c>
    </row>
    <row r="10479" customFormat="false" ht="13.8" hidden="true" customHeight="false" outlineLevel="0" collapsed="false">
      <c r="A10479" s="0" t="s">
        <v>322</v>
      </c>
      <c r="B10479" s="0" t="n">
        <v>6</v>
      </c>
      <c r="C10479" s="0" t="n">
        <v>1.35</v>
      </c>
      <c r="D10479" s="0" t="n">
        <v>0</v>
      </c>
    </row>
    <row r="10480" customFormat="false" ht="13.8" hidden="true" customHeight="false" outlineLevel="0" collapsed="false">
      <c r="A10480" s="0" t="s">
        <v>322</v>
      </c>
      <c r="B10480" s="0" t="n">
        <v>6</v>
      </c>
      <c r="C10480" s="0" t="n">
        <v>1.4</v>
      </c>
      <c r="D10480" s="0" t="n">
        <v>0</v>
      </c>
    </row>
    <row r="10481" customFormat="false" ht="13.8" hidden="true" customHeight="false" outlineLevel="0" collapsed="false">
      <c r="A10481" s="0" t="s">
        <v>322</v>
      </c>
      <c r="B10481" s="0" t="n">
        <v>6</v>
      </c>
      <c r="C10481" s="0" t="n">
        <v>1.45</v>
      </c>
      <c r="D10481" s="0" t="n">
        <v>0</v>
      </c>
    </row>
    <row r="10482" customFormat="false" ht="13.8" hidden="true" customHeight="false" outlineLevel="0" collapsed="false">
      <c r="A10482" s="0" t="s">
        <v>322</v>
      </c>
      <c r="B10482" s="0" t="n">
        <v>6</v>
      </c>
      <c r="C10482" s="0" t="n">
        <v>1.5</v>
      </c>
      <c r="D10482" s="0" t="n">
        <v>0</v>
      </c>
    </row>
    <row r="10483" customFormat="false" ht="13.8" hidden="true" customHeight="false" outlineLevel="0" collapsed="false">
      <c r="A10483" s="0" t="s">
        <v>322</v>
      </c>
      <c r="B10483" s="0" t="n">
        <v>6</v>
      </c>
      <c r="C10483" s="0" t="n">
        <v>1.55</v>
      </c>
      <c r="D10483" s="0" t="n">
        <v>0</v>
      </c>
    </row>
    <row r="10484" customFormat="false" ht="13.8" hidden="true" customHeight="false" outlineLevel="0" collapsed="false">
      <c r="A10484" s="0" t="s">
        <v>322</v>
      </c>
      <c r="B10484" s="0" t="n">
        <v>6</v>
      </c>
      <c r="C10484" s="0" t="n">
        <v>1.6</v>
      </c>
      <c r="D10484" s="0" t="n">
        <v>0</v>
      </c>
    </row>
    <row r="10485" customFormat="false" ht="13.8" hidden="true" customHeight="false" outlineLevel="0" collapsed="false">
      <c r="A10485" s="0" t="s">
        <v>322</v>
      </c>
      <c r="B10485" s="0" t="n">
        <v>6</v>
      </c>
      <c r="C10485" s="0" t="n">
        <v>1.65</v>
      </c>
      <c r="D10485" s="0" t="n">
        <v>0</v>
      </c>
    </row>
    <row r="10486" customFormat="false" ht="13.8" hidden="true" customHeight="false" outlineLevel="0" collapsed="false">
      <c r="A10486" s="0" t="s">
        <v>322</v>
      </c>
      <c r="B10486" s="0" t="n">
        <v>6</v>
      </c>
      <c r="C10486" s="0" t="n">
        <v>1.7</v>
      </c>
      <c r="D10486" s="0" t="n">
        <v>0</v>
      </c>
    </row>
    <row r="10487" customFormat="false" ht="13.8" hidden="true" customHeight="false" outlineLevel="0" collapsed="false">
      <c r="A10487" s="0" t="s">
        <v>322</v>
      </c>
      <c r="B10487" s="0" t="n">
        <v>6</v>
      </c>
      <c r="C10487" s="0" t="n">
        <v>1.75</v>
      </c>
      <c r="D10487" s="0" t="n">
        <v>0</v>
      </c>
    </row>
    <row r="10488" customFormat="false" ht="13.8" hidden="true" customHeight="false" outlineLevel="0" collapsed="false">
      <c r="A10488" s="0" t="s">
        <v>322</v>
      </c>
      <c r="B10488" s="0" t="n">
        <v>6</v>
      </c>
      <c r="C10488" s="0" t="n">
        <v>1.8</v>
      </c>
      <c r="D10488" s="0" t="n">
        <v>0</v>
      </c>
    </row>
    <row r="10489" customFormat="false" ht="13.8" hidden="true" customHeight="false" outlineLevel="0" collapsed="false">
      <c r="A10489" s="0" t="s">
        <v>322</v>
      </c>
      <c r="B10489" s="0" t="n">
        <v>6</v>
      </c>
      <c r="C10489" s="0" t="n">
        <v>1.85</v>
      </c>
      <c r="D10489" s="0" t="n">
        <v>0</v>
      </c>
    </row>
    <row r="10490" customFormat="false" ht="13.8" hidden="true" customHeight="false" outlineLevel="0" collapsed="false">
      <c r="A10490" s="0" t="s">
        <v>322</v>
      </c>
      <c r="B10490" s="0" t="n">
        <v>6</v>
      </c>
      <c r="C10490" s="0" t="n">
        <v>1.9</v>
      </c>
      <c r="D10490" s="0" t="n">
        <v>0</v>
      </c>
    </row>
    <row r="10491" customFormat="false" ht="13.8" hidden="true" customHeight="false" outlineLevel="0" collapsed="false">
      <c r="A10491" s="0" t="s">
        <v>322</v>
      </c>
      <c r="B10491" s="0" t="n">
        <v>6</v>
      </c>
      <c r="C10491" s="0" t="n">
        <v>1.95</v>
      </c>
      <c r="D10491" s="0" t="n">
        <v>0</v>
      </c>
    </row>
    <row r="10492" customFormat="false" ht="13.8" hidden="true" customHeight="false" outlineLevel="0" collapsed="false">
      <c r="A10492" s="0" t="s">
        <v>322</v>
      </c>
      <c r="B10492" s="0" t="n">
        <v>6</v>
      </c>
      <c r="C10492" s="0" t="n">
        <v>2</v>
      </c>
      <c r="D10492" s="0" t="n">
        <v>0</v>
      </c>
    </row>
    <row r="10493" customFormat="false" ht="13.8" hidden="true" customHeight="false" outlineLevel="0" collapsed="false">
      <c r="A10493" s="0" t="s">
        <v>322</v>
      </c>
      <c r="B10493" s="0" t="n">
        <v>6</v>
      </c>
      <c r="C10493" s="0" t="n">
        <v>2.05</v>
      </c>
      <c r="D10493" s="0" t="n">
        <v>0.155664604</v>
      </c>
    </row>
    <row r="10494" customFormat="false" ht="13.8" hidden="true" customHeight="false" outlineLevel="0" collapsed="false">
      <c r="A10494" s="0" t="s">
        <v>322</v>
      </c>
      <c r="B10494" s="0" t="n">
        <v>6</v>
      </c>
      <c r="C10494" s="0" t="n">
        <v>2.1</v>
      </c>
      <c r="D10494" s="0" t="n">
        <v>0.159461301</v>
      </c>
    </row>
    <row r="10495" customFormat="false" ht="13.8" hidden="true" customHeight="false" outlineLevel="0" collapsed="false">
      <c r="A10495" s="0" t="s">
        <v>322</v>
      </c>
      <c r="B10495" s="0" t="n">
        <v>6</v>
      </c>
      <c r="C10495" s="0" t="n">
        <v>2.15</v>
      </c>
      <c r="D10495" s="0" t="n">
        <v>0.163257999</v>
      </c>
    </row>
    <row r="10496" customFormat="false" ht="13.8" hidden="true" customHeight="false" outlineLevel="0" collapsed="false">
      <c r="A10496" s="0" t="s">
        <v>322</v>
      </c>
      <c r="B10496" s="0" t="n">
        <v>6</v>
      </c>
      <c r="C10496" s="0" t="n">
        <v>2.2</v>
      </c>
      <c r="D10496" s="0" t="n">
        <v>0.168727702</v>
      </c>
    </row>
    <row r="10497" customFormat="false" ht="13.8" hidden="true" customHeight="false" outlineLevel="0" collapsed="false">
      <c r="A10497" s="0" t="s">
        <v>322</v>
      </c>
      <c r="B10497" s="0" t="n">
        <v>6</v>
      </c>
      <c r="C10497" s="0" t="n">
        <v>2.25</v>
      </c>
      <c r="D10497" s="0" t="n">
        <v>0.172562423</v>
      </c>
    </row>
    <row r="10498" customFormat="false" ht="13.8" hidden="true" customHeight="false" outlineLevel="0" collapsed="false">
      <c r="A10498" s="0" t="s">
        <v>322</v>
      </c>
      <c r="B10498" s="0" t="n">
        <v>6</v>
      </c>
      <c r="C10498" s="0" t="n">
        <v>2.3</v>
      </c>
      <c r="D10498" s="0" t="n">
        <v>0.176397143</v>
      </c>
    </row>
    <row r="10499" customFormat="false" ht="13.8" hidden="true" customHeight="false" outlineLevel="0" collapsed="false">
      <c r="A10499" s="0" t="s">
        <v>322</v>
      </c>
      <c r="B10499" s="0" t="n">
        <v>6</v>
      </c>
      <c r="C10499" s="0" t="n">
        <v>2.35</v>
      </c>
      <c r="D10499" s="0" t="n">
        <v>0.180231864</v>
      </c>
    </row>
    <row r="10500" customFormat="false" ht="13.8" hidden="true" customHeight="false" outlineLevel="0" collapsed="false">
      <c r="A10500" s="0" t="s">
        <v>322</v>
      </c>
      <c r="B10500" s="0" t="n">
        <v>6</v>
      </c>
      <c r="C10500" s="0" t="n">
        <v>2.4</v>
      </c>
      <c r="D10500" s="0" t="n">
        <v>0.184066584</v>
      </c>
    </row>
    <row r="10501" customFormat="false" ht="13.8" hidden="true" customHeight="false" outlineLevel="0" collapsed="false">
      <c r="A10501" s="0" t="s">
        <v>322</v>
      </c>
      <c r="B10501" s="0" t="n">
        <v>6</v>
      </c>
      <c r="C10501" s="0" t="n">
        <v>2.45</v>
      </c>
      <c r="D10501" s="0" t="n">
        <v>0.187901305</v>
      </c>
    </row>
    <row r="10502" customFormat="false" ht="13.8" hidden="true" customHeight="false" outlineLevel="0" collapsed="false">
      <c r="A10502" s="0" t="s">
        <v>322</v>
      </c>
      <c r="B10502" s="0" t="n">
        <v>6</v>
      </c>
      <c r="C10502" s="0" t="n">
        <v>2.5</v>
      </c>
      <c r="D10502" s="0" t="n">
        <v>0.191736025</v>
      </c>
    </row>
    <row r="10503" customFormat="false" ht="13.8" hidden="true" customHeight="false" outlineLevel="0" collapsed="false">
      <c r="A10503" s="0" t="s">
        <v>322</v>
      </c>
      <c r="B10503" s="0" t="n">
        <v>6</v>
      </c>
      <c r="C10503" s="0" t="n">
        <v>2.55</v>
      </c>
      <c r="D10503" s="0" t="n">
        <v>0.195570746</v>
      </c>
    </row>
    <row r="10504" customFormat="false" ht="13.8" hidden="true" customHeight="false" outlineLevel="0" collapsed="false">
      <c r="A10504" s="0" t="s">
        <v>322</v>
      </c>
      <c r="B10504" s="0" t="n">
        <v>6</v>
      </c>
      <c r="C10504" s="0" t="n">
        <v>2.6</v>
      </c>
      <c r="D10504" s="0" t="n">
        <v>0.199405466</v>
      </c>
    </row>
    <row r="10505" customFormat="false" ht="13.8" hidden="true" customHeight="false" outlineLevel="0" collapsed="false">
      <c r="A10505" s="0" t="s">
        <v>1101</v>
      </c>
      <c r="B10505" s="0" t="n">
        <v>6</v>
      </c>
      <c r="C10505" s="0" t="n">
        <v>1.3</v>
      </c>
      <c r="D10505" s="0" t="n">
        <v>0</v>
      </c>
    </row>
    <row r="10506" customFormat="false" ht="13.8" hidden="true" customHeight="false" outlineLevel="0" collapsed="false">
      <c r="A10506" s="0" t="s">
        <v>1101</v>
      </c>
      <c r="B10506" s="0" t="n">
        <v>6</v>
      </c>
      <c r="C10506" s="0" t="n">
        <v>1.35</v>
      </c>
      <c r="D10506" s="0" t="n">
        <v>0</v>
      </c>
    </row>
    <row r="10507" customFormat="false" ht="13.8" hidden="true" customHeight="false" outlineLevel="0" collapsed="false">
      <c r="A10507" s="0" t="s">
        <v>1101</v>
      </c>
      <c r="B10507" s="0" t="n">
        <v>6</v>
      </c>
      <c r="C10507" s="0" t="n">
        <v>1.4</v>
      </c>
      <c r="D10507" s="0" t="n">
        <v>0</v>
      </c>
    </row>
    <row r="10508" customFormat="false" ht="13.8" hidden="true" customHeight="false" outlineLevel="0" collapsed="false">
      <c r="A10508" s="0" t="s">
        <v>1101</v>
      </c>
      <c r="B10508" s="0" t="n">
        <v>6</v>
      </c>
      <c r="C10508" s="0" t="n">
        <v>1.45</v>
      </c>
      <c r="D10508" s="0" t="n">
        <v>0</v>
      </c>
    </row>
    <row r="10509" customFormat="false" ht="13.8" hidden="true" customHeight="false" outlineLevel="0" collapsed="false">
      <c r="A10509" s="0" t="s">
        <v>1101</v>
      </c>
      <c r="B10509" s="0" t="n">
        <v>6</v>
      </c>
      <c r="C10509" s="0" t="n">
        <v>1.5</v>
      </c>
      <c r="D10509" s="0" t="n">
        <v>0</v>
      </c>
    </row>
    <row r="10510" customFormat="false" ht="13.8" hidden="true" customHeight="false" outlineLevel="0" collapsed="false">
      <c r="A10510" s="0" t="s">
        <v>1101</v>
      </c>
      <c r="B10510" s="0" t="n">
        <v>6</v>
      </c>
      <c r="C10510" s="0" t="n">
        <v>1.55</v>
      </c>
      <c r="D10510" s="0" t="n">
        <v>0</v>
      </c>
    </row>
    <row r="10511" customFormat="false" ht="13.8" hidden="true" customHeight="false" outlineLevel="0" collapsed="false">
      <c r="A10511" s="0" t="s">
        <v>1101</v>
      </c>
      <c r="B10511" s="0" t="n">
        <v>6</v>
      </c>
      <c r="C10511" s="0" t="n">
        <v>1.6</v>
      </c>
      <c r="D10511" s="0" t="n">
        <v>0</v>
      </c>
    </row>
    <row r="10512" customFormat="false" ht="13.8" hidden="true" customHeight="false" outlineLevel="0" collapsed="false">
      <c r="A10512" s="0" t="s">
        <v>1101</v>
      </c>
      <c r="B10512" s="0" t="n">
        <v>6</v>
      </c>
      <c r="C10512" s="0" t="n">
        <v>1.65</v>
      </c>
      <c r="D10512" s="0" t="n">
        <v>0</v>
      </c>
    </row>
    <row r="10513" customFormat="false" ht="13.8" hidden="true" customHeight="false" outlineLevel="0" collapsed="false">
      <c r="A10513" s="0" t="s">
        <v>1101</v>
      </c>
      <c r="B10513" s="0" t="n">
        <v>6</v>
      </c>
      <c r="C10513" s="0" t="n">
        <v>1.7</v>
      </c>
      <c r="D10513" s="0" t="n">
        <v>0</v>
      </c>
    </row>
    <row r="10514" customFormat="false" ht="13.8" hidden="true" customHeight="false" outlineLevel="0" collapsed="false">
      <c r="A10514" s="0" t="s">
        <v>1101</v>
      </c>
      <c r="B10514" s="0" t="n">
        <v>6</v>
      </c>
      <c r="C10514" s="0" t="n">
        <v>1.75</v>
      </c>
      <c r="D10514" s="0" t="n">
        <v>0</v>
      </c>
    </row>
    <row r="10515" customFormat="false" ht="13.8" hidden="true" customHeight="false" outlineLevel="0" collapsed="false">
      <c r="A10515" s="0" t="s">
        <v>1101</v>
      </c>
      <c r="B10515" s="0" t="n">
        <v>6</v>
      </c>
      <c r="C10515" s="0" t="n">
        <v>1.8</v>
      </c>
      <c r="D10515" s="0" t="n">
        <v>0</v>
      </c>
    </row>
    <row r="10516" customFormat="false" ht="13.8" hidden="true" customHeight="false" outlineLevel="0" collapsed="false">
      <c r="A10516" s="0" t="s">
        <v>1101</v>
      </c>
      <c r="B10516" s="0" t="n">
        <v>6</v>
      </c>
      <c r="C10516" s="0" t="n">
        <v>1.85</v>
      </c>
      <c r="D10516" s="0" t="n">
        <v>0</v>
      </c>
    </row>
    <row r="10517" customFormat="false" ht="13.8" hidden="true" customHeight="false" outlineLevel="0" collapsed="false">
      <c r="A10517" s="0" t="s">
        <v>1101</v>
      </c>
      <c r="B10517" s="0" t="n">
        <v>6</v>
      </c>
      <c r="C10517" s="0" t="n">
        <v>1.9</v>
      </c>
      <c r="D10517" s="0" t="n">
        <v>0</v>
      </c>
    </row>
    <row r="10518" customFormat="false" ht="13.8" hidden="true" customHeight="false" outlineLevel="0" collapsed="false">
      <c r="A10518" s="0" t="s">
        <v>1101</v>
      </c>
      <c r="B10518" s="0" t="n">
        <v>6</v>
      </c>
      <c r="C10518" s="0" t="n">
        <v>1.95</v>
      </c>
      <c r="D10518" s="0" t="n">
        <v>0</v>
      </c>
    </row>
    <row r="10519" customFormat="false" ht="13.8" hidden="true" customHeight="false" outlineLevel="0" collapsed="false">
      <c r="A10519" s="0" t="s">
        <v>1101</v>
      </c>
      <c r="B10519" s="0" t="n">
        <v>6</v>
      </c>
      <c r="C10519" s="0" t="n">
        <v>2</v>
      </c>
      <c r="D10519" s="0" t="n">
        <v>0</v>
      </c>
    </row>
    <row r="10520" customFormat="false" ht="13.8" hidden="true" customHeight="false" outlineLevel="0" collapsed="false">
      <c r="A10520" s="0" t="s">
        <v>1101</v>
      </c>
      <c r="B10520" s="0" t="n">
        <v>6</v>
      </c>
      <c r="C10520" s="0" t="n">
        <v>2.05</v>
      </c>
      <c r="D10520" s="0" t="n">
        <v>0</v>
      </c>
    </row>
    <row r="10521" customFormat="false" ht="13.8" hidden="true" customHeight="false" outlineLevel="0" collapsed="false">
      <c r="A10521" s="0" t="s">
        <v>1101</v>
      </c>
      <c r="B10521" s="0" t="n">
        <v>6</v>
      </c>
      <c r="C10521" s="0" t="n">
        <v>2.1</v>
      </c>
      <c r="D10521" s="0" t="n">
        <v>0</v>
      </c>
    </row>
    <row r="10522" customFormat="false" ht="13.8" hidden="true" customHeight="false" outlineLevel="0" collapsed="false">
      <c r="A10522" s="0" t="s">
        <v>1101</v>
      </c>
      <c r="B10522" s="0" t="n">
        <v>6</v>
      </c>
      <c r="C10522" s="0" t="n">
        <v>2.15</v>
      </c>
      <c r="D10522" s="0" t="n">
        <v>0</v>
      </c>
    </row>
    <row r="10523" customFormat="false" ht="13.8" hidden="true" customHeight="false" outlineLevel="0" collapsed="false">
      <c r="A10523" s="0" t="s">
        <v>1101</v>
      </c>
      <c r="B10523" s="0" t="n">
        <v>6</v>
      </c>
      <c r="C10523" s="0" t="n">
        <v>2.2</v>
      </c>
      <c r="D10523" s="0" t="n">
        <v>0.168727702</v>
      </c>
    </row>
    <row r="10524" customFormat="false" ht="13.8" hidden="true" customHeight="false" outlineLevel="0" collapsed="false">
      <c r="A10524" s="0" t="s">
        <v>1101</v>
      </c>
      <c r="B10524" s="0" t="n">
        <v>6</v>
      </c>
      <c r="C10524" s="0" t="n">
        <v>2.25</v>
      </c>
      <c r="D10524" s="0" t="n">
        <v>0.172562423</v>
      </c>
    </row>
    <row r="10525" customFormat="false" ht="13.8" hidden="true" customHeight="false" outlineLevel="0" collapsed="false">
      <c r="A10525" s="0" t="s">
        <v>1101</v>
      </c>
      <c r="B10525" s="0" t="n">
        <v>6</v>
      </c>
      <c r="C10525" s="0" t="n">
        <v>2.3</v>
      </c>
      <c r="D10525" s="0" t="n">
        <v>0.176397143</v>
      </c>
    </row>
    <row r="10526" customFormat="false" ht="13.8" hidden="true" customHeight="false" outlineLevel="0" collapsed="false">
      <c r="A10526" s="0" t="s">
        <v>1101</v>
      </c>
      <c r="B10526" s="0" t="n">
        <v>6</v>
      </c>
      <c r="C10526" s="0" t="n">
        <v>2.35</v>
      </c>
      <c r="D10526" s="0" t="n">
        <v>0.180231864</v>
      </c>
    </row>
    <row r="10527" customFormat="false" ht="13.8" hidden="true" customHeight="false" outlineLevel="0" collapsed="false">
      <c r="A10527" s="0" t="s">
        <v>1101</v>
      </c>
      <c r="B10527" s="0" t="n">
        <v>6</v>
      </c>
      <c r="C10527" s="0" t="n">
        <v>2.4</v>
      </c>
      <c r="D10527" s="0" t="n">
        <v>0.184066584</v>
      </c>
    </row>
    <row r="10528" customFormat="false" ht="13.8" hidden="true" customHeight="false" outlineLevel="0" collapsed="false">
      <c r="A10528" s="0" t="s">
        <v>1101</v>
      </c>
      <c r="B10528" s="0" t="n">
        <v>6</v>
      </c>
      <c r="C10528" s="0" t="n">
        <v>2.45</v>
      </c>
      <c r="D10528" s="0" t="n">
        <v>0.187901305</v>
      </c>
    </row>
    <row r="10529" customFormat="false" ht="13.8" hidden="true" customHeight="false" outlineLevel="0" collapsed="false">
      <c r="A10529" s="0" t="s">
        <v>1101</v>
      </c>
      <c r="B10529" s="0" t="n">
        <v>6</v>
      </c>
      <c r="C10529" s="0" t="n">
        <v>2.5</v>
      </c>
      <c r="D10529" s="0" t="n">
        <v>0.191736025</v>
      </c>
    </row>
    <row r="10530" customFormat="false" ht="13.8" hidden="true" customHeight="false" outlineLevel="0" collapsed="false">
      <c r="A10530" s="0" t="s">
        <v>1101</v>
      </c>
      <c r="B10530" s="0" t="n">
        <v>6</v>
      </c>
      <c r="C10530" s="0" t="n">
        <v>2.55</v>
      </c>
      <c r="D10530" s="0" t="n">
        <v>0.195570746</v>
      </c>
    </row>
    <row r="10531" customFormat="false" ht="13.8" hidden="true" customHeight="false" outlineLevel="0" collapsed="false">
      <c r="A10531" s="0" t="s">
        <v>1101</v>
      </c>
      <c r="B10531" s="0" t="n">
        <v>6</v>
      </c>
      <c r="C10531" s="0" t="n">
        <v>2.6</v>
      </c>
      <c r="D10531" s="0" t="n">
        <v>0.199405466</v>
      </c>
    </row>
    <row r="10532" customFormat="false" ht="13.8" hidden="true" customHeight="false" outlineLevel="0" collapsed="false">
      <c r="A10532" s="0" t="s">
        <v>1104</v>
      </c>
      <c r="B10532" s="0" t="n">
        <v>6</v>
      </c>
      <c r="C10532" s="0" t="n">
        <v>1.3</v>
      </c>
      <c r="D10532" s="0" t="n">
        <v>0</v>
      </c>
    </row>
    <row r="10533" customFormat="false" ht="13.8" hidden="true" customHeight="false" outlineLevel="0" collapsed="false">
      <c r="A10533" s="0" t="s">
        <v>1104</v>
      </c>
      <c r="B10533" s="0" t="n">
        <v>6</v>
      </c>
      <c r="C10533" s="0" t="n">
        <v>1.35</v>
      </c>
      <c r="D10533" s="0" t="n">
        <v>0</v>
      </c>
    </row>
    <row r="10534" customFormat="false" ht="13.8" hidden="true" customHeight="false" outlineLevel="0" collapsed="false">
      <c r="A10534" s="0" t="s">
        <v>1104</v>
      </c>
      <c r="B10534" s="0" t="n">
        <v>6</v>
      </c>
      <c r="C10534" s="0" t="n">
        <v>1.4</v>
      </c>
      <c r="D10534" s="0" t="n">
        <v>0</v>
      </c>
    </row>
    <row r="10535" customFormat="false" ht="13.8" hidden="true" customHeight="false" outlineLevel="0" collapsed="false">
      <c r="A10535" s="0" t="s">
        <v>1104</v>
      </c>
      <c r="B10535" s="0" t="n">
        <v>6</v>
      </c>
      <c r="C10535" s="0" t="n">
        <v>1.45</v>
      </c>
      <c r="D10535" s="0" t="n">
        <v>0</v>
      </c>
    </row>
    <row r="10536" customFormat="false" ht="13.8" hidden="true" customHeight="false" outlineLevel="0" collapsed="false">
      <c r="A10536" s="0" t="s">
        <v>1104</v>
      </c>
      <c r="B10536" s="0" t="n">
        <v>6</v>
      </c>
      <c r="C10536" s="0" t="n">
        <v>1.5</v>
      </c>
      <c r="D10536" s="0" t="n">
        <v>0</v>
      </c>
    </row>
    <row r="10537" customFormat="false" ht="13.8" hidden="true" customHeight="false" outlineLevel="0" collapsed="false">
      <c r="A10537" s="0" t="s">
        <v>1104</v>
      </c>
      <c r="B10537" s="0" t="n">
        <v>6</v>
      </c>
      <c r="C10537" s="0" t="n">
        <v>1.55</v>
      </c>
      <c r="D10537" s="0" t="n">
        <v>0</v>
      </c>
    </row>
    <row r="10538" customFormat="false" ht="13.8" hidden="true" customHeight="false" outlineLevel="0" collapsed="false">
      <c r="A10538" s="0" t="s">
        <v>1104</v>
      </c>
      <c r="B10538" s="0" t="n">
        <v>6</v>
      </c>
      <c r="C10538" s="0" t="n">
        <v>1.6</v>
      </c>
      <c r="D10538" s="0" t="n">
        <v>0.064</v>
      </c>
    </row>
    <row r="10539" customFormat="false" ht="13.8" hidden="true" customHeight="false" outlineLevel="0" collapsed="false">
      <c r="A10539" s="0" t="s">
        <v>1104</v>
      </c>
      <c r="B10539" s="0" t="n">
        <v>6</v>
      </c>
      <c r="C10539" s="0" t="n">
        <v>1.65</v>
      </c>
      <c r="D10539" s="0" t="n">
        <v>0.066</v>
      </c>
    </row>
    <row r="10540" customFormat="false" ht="13.8" hidden="true" customHeight="false" outlineLevel="0" collapsed="false">
      <c r="A10540" s="0" t="s">
        <v>1104</v>
      </c>
      <c r="B10540" s="0" t="n">
        <v>6</v>
      </c>
      <c r="C10540" s="0" t="n">
        <v>1.7</v>
      </c>
      <c r="D10540" s="0" t="n">
        <v>0.068</v>
      </c>
    </row>
    <row r="10541" customFormat="false" ht="13.8" hidden="true" customHeight="false" outlineLevel="0" collapsed="false">
      <c r="A10541" s="0" t="s">
        <v>1104</v>
      </c>
      <c r="B10541" s="0" t="n">
        <v>6</v>
      </c>
      <c r="C10541" s="0" t="n">
        <v>1.75</v>
      </c>
      <c r="D10541" s="0" t="n">
        <v>0.07</v>
      </c>
    </row>
    <row r="10542" customFormat="false" ht="13.8" hidden="true" customHeight="false" outlineLevel="0" collapsed="false">
      <c r="A10542" s="0" t="s">
        <v>1104</v>
      </c>
      <c r="B10542" s="0" t="n">
        <v>6</v>
      </c>
      <c r="C10542" s="0" t="n">
        <v>1.8</v>
      </c>
      <c r="D10542" s="0" t="n">
        <v>0.07</v>
      </c>
    </row>
    <row r="10543" customFormat="false" ht="13.8" hidden="true" customHeight="false" outlineLevel="0" collapsed="false">
      <c r="A10543" s="0" t="s">
        <v>1104</v>
      </c>
      <c r="B10543" s="0" t="n">
        <v>6</v>
      </c>
      <c r="C10543" s="0" t="n">
        <v>1.85</v>
      </c>
      <c r="D10543" s="0" t="n">
        <v>0.072</v>
      </c>
    </row>
    <row r="10544" customFormat="false" ht="13.8" hidden="true" customHeight="false" outlineLevel="0" collapsed="false">
      <c r="A10544" s="0" t="s">
        <v>1104</v>
      </c>
      <c r="B10544" s="0" t="n">
        <v>6</v>
      </c>
      <c r="C10544" s="0" t="n">
        <v>1.9</v>
      </c>
      <c r="D10544" s="0" t="n">
        <v>0.074</v>
      </c>
    </row>
    <row r="10545" customFormat="false" ht="13.8" hidden="true" customHeight="false" outlineLevel="0" collapsed="false">
      <c r="A10545" s="0" t="s">
        <v>1104</v>
      </c>
      <c r="B10545" s="0" t="n">
        <v>6</v>
      </c>
      <c r="C10545" s="0" t="n">
        <v>1.95</v>
      </c>
      <c r="D10545" s="0" t="n">
        <v>0.076</v>
      </c>
    </row>
    <row r="10546" customFormat="false" ht="13.8" hidden="true" customHeight="false" outlineLevel="0" collapsed="false">
      <c r="A10546" s="0" t="s">
        <v>1104</v>
      </c>
      <c r="B10546" s="0" t="n">
        <v>6</v>
      </c>
      <c r="C10546" s="0" t="n">
        <v>2</v>
      </c>
      <c r="D10546" s="0" t="n">
        <v>0.075933953</v>
      </c>
    </row>
    <row r="10547" customFormat="false" ht="13.8" hidden="true" customHeight="false" outlineLevel="0" collapsed="false">
      <c r="A10547" s="0" t="s">
        <v>1104</v>
      </c>
      <c r="B10547" s="0" t="n">
        <v>6</v>
      </c>
      <c r="C10547" s="0" t="n">
        <v>2.05</v>
      </c>
      <c r="D10547" s="0" t="n">
        <v>0.077832302</v>
      </c>
    </row>
    <row r="10548" customFormat="false" ht="13.8" hidden="true" customHeight="false" outlineLevel="0" collapsed="false">
      <c r="A10548" s="0" t="s">
        <v>1104</v>
      </c>
      <c r="B10548" s="0" t="n">
        <v>6</v>
      </c>
      <c r="C10548" s="0" t="n">
        <v>2.1</v>
      </c>
      <c r="D10548" s="0" t="n">
        <v>0.079730651</v>
      </c>
    </row>
    <row r="10549" customFormat="false" ht="13.8" hidden="true" customHeight="false" outlineLevel="0" collapsed="false">
      <c r="A10549" s="0" t="s">
        <v>1104</v>
      </c>
      <c r="B10549" s="0" t="n">
        <v>6</v>
      </c>
      <c r="C10549" s="0" t="n">
        <v>2.15</v>
      </c>
      <c r="D10549" s="0" t="n">
        <v>0.081629</v>
      </c>
    </row>
    <row r="10550" customFormat="false" ht="13.8" hidden="true" customHeight="false" outlineLevel="0" collapsed="false">
      <c r="A10550" s="0" t="s">
        <v>1104</v>
      </c>
      <c r="B10550" s="0" t="n">
        <v>6</v>
      </c>
      <c r="C10550" s="0" t="n">
        <v>2.2</v>
      </c>
      <c r="D10550" s="0" t="n">
        <v>0.084363851</v>
      </c>
    </row>
    <row r="10551" customFormat="false" ht="13.8" hidden="true" customHeight="false" outlineLevel="0" collapsed="false">
      <c r="A10551" s="0" t="s">
        <v>1104</v>
      </c>
      <c r="B10551" s="0" t="n">
        <v>6</v>
      </c>
      <c r="C10551" s="0" t="n">
        <v>2.25</v>
      </c>
      <c r="D10551" s="0" t="n">
        <v>0.086281211</v>
      </c>
    </row>
    <row r="10552" customFormat="false" ht="13.8" hidden="true" customHeight="false" outlineLevel="0" collapsed="false">
      <c r="A10552" s="0" t="s">
        <v>1104</v>
      </c>
      <c r="B10552" s="0" t="n">
        <v>6</v>
      </c>
      <c r="C10552" s="0" t="n">
        <v>2.3</v>
      </c>
      <c r="D10552" s="0" t="n">
        <v>0.088198572</v>
      </c>
    </row>
    <row r="10553" customFormat="false" ht="13.8" hidden="true" customHeight="false" outlineLevel="0" collapsed="false">
      <c r="A10553" s="0" t="s">
        <v>1104</v>
      </c>
      <c r="B10553" s="0" t="n">
        <v>6</v>
      </c>
      <c r="C10553" s="0" t="n">
        <v>2.35</v>
      </c>
      <c r="D10553" s="0" t="n">
        <v>0.090115932</v>
      </c>
    </row>
    <row r="10554" customFormat="false" ht="13.8" hidden="true" customHeight="false" outlineLevel="0" collapsed="false">
      <c r="A10554" s="0" t="s">
        <v>1104</v>
      </c>
      <c r="B10554" s="0" t="n">
        <v>6</v>
      </c>
      <c r="C10554" s="0" t="n">
        <v>2.4</v>
      </c>
      <c r="D10554" s="0" t="n">
        <v>0.092033292</v>
      </c>
    </row>
    <row r="10555" customFormat="false" ht="13.8" hidden="true" customHeight="false" outlineLevel="0" collapsed="false">
      <c r="A10555" s="0" t="s">
        <v>1104</v>
      </c>
      <c r="B10555" s="0" t="n">
        <v>6</v>
      </c>
      <c r="C10555" s="0" t="n">
        <v>2.45</v>
      </c>
      <c r="D10555" s="0" t="n">
        <v>0.093950652</v>
      </c>
    </row>
    <row r="10556" customFormat="false" ht="13.8" hidden="true" customHeight="false" outlineLevel="0" collapsed="false">
      <c r="A10556" s="0" t="s">
        <v>1104</v>
      </c>
      <c r="B10556" s="0" t="n">
        <v>6</v>
      </c>
      <c r="C10556" s="0" t="n">
        <v>2.5</v>
      </c>
      <c r="D10556" s="0" t="n">
        <v>0.095868013</v>
      </c>
    </row>
    <row r="10557" customFormat="false" ht="13.8" hidden="true" customHeight="false" outlineLevel="0" collapsed="false">
      <c r="A10557" s="0" t="s">
        <v>1104</v>
      </c>
      <c r="B10557" s="0" t="n">
        <v>6</v>
      </c>
      <c r="C10557" s="0" t="n">
        <v>2.55</v>
      </c>
      <c r="D10557" s="0" t="n">
        <v>0.097785373</v>
      </c>
    </row>
    <row r="10558" customFormat="false" ht="13.8" hidden="true" customHeight="false" outlineLevel="0" collapsed="false">
      <c r="A10558" s="0" t="s">
        <v>1104</v>
      </c>
      <c r="B10558" s="0" t="n">
        <v>6</v>
      </c>
      <c r="C10558" s="0" t="n">
        <v>2.6</v>
      </c>
      <c r="D10558" s="0" t="n">
        <v>0.099702733</v>
      </c>
    </row>
    <row r="10559" customFormat="false" ht="13.8" hidden="true" customHeight="false" outlineLevel="0" collapsed="false">
      <c r="A10559" s="0" t="s">
        <v>1106</v>
      </c>
      <c r="B10559" s="0" t="n">
        <v>6</v>
      </c>
      <c r="C10559" s="0" t="n">
        <v>1.3</v>
      </c>
      <c r="D10559" s="0" t="n">
        <v>0</v>
      </c>
    </row>
    <row r="10560" customFormat="false" ht="13.8" hidden="true" customHeight="false" outlineLevel="0" collapsed="false">
      <c r="A10560" s="0" t="s">
        <v>1106</v>
      </c>
      <c r="B10560" s="0" t="n">
        <v>6</v>
      </c>
      <c r="C10560" s="0" t="n">
        <v>1.35</v>
      </c>
      <c r="D10560" s="0" t="n">
        <v>0</v>
      </c>
    </row>
    <row r="10561" customFormat="false" ht="13.8" hidden="true" customHeight="false" outlineLevel="0" collapsed="false">
      <c r="A10561" s="0" t="s">
        <v>1106</v>
      </c>
      <c r="B10561" s="0" t="n">
        <v>6</v>
      </c>
      <c r="C10561" s="0" t="n">
        <v>1.4</v>
      </c>
      <c r="D10561" s="0" t="n">
        <v>0</v>
      </c>
    </row>
    <row r="10562" customFormat="false" ht="13.8" hidden="true" customHeight="false" outlineLevel="0" collapsed="false">
      <c r="A10562" s="0" t="s">
        <v>1106</v>
      </c>
      <c r="B10562" s="0" t="n">
        <v>6</v>
      </c>
      <c r="C10562" s="0" t="n">
        <v>1.45</v>
      </c>
      <c r="D10562" s="0" t="n">
        <v>0</v>
      </c>
    </row>
    <row r="10563" customFormat="false" ht="13.8" hidden="true" customHeight="false" outlineLevel="0" collapsed="false">
      <c r="A10563" s="0" t="s">
        <v>1106</v>
      </c>
      <c r="B10563" s="0" t="n">
        <v>6</v>
      </c>
      <c r="C10563" s="0" t="n">
        <v>1.5</v>
      </c>
      <c r="D10563" s="0" t="n">
        <v>0</v>
      </c>
    </row>
    <row r="10564" customFormat="false" ht="13.8" hidden="true" customHeight="false" outlineLevel="0" collapsed="false">
      <c r="A10564" s="0" t="s">
        <v>1106</v>
      </c>
      <c r="B10564" s="0" t="n">
        <v>6</v>
      </c>
      <c r="C10564" s="0" t="n">
        <v>1.55</v>
      </c>
      <c r="D10564" s="0" t="n">
        <v>0</v>
      </c>
    </row>
    <row r="10565" customFormat="false" ht="13.8" hidden="true" customHeight="false" outlineLevel="0" collapsed="false">
      <c r="A10565" s="0" t="s">
        <v>1106</v>
      </c>
      <c r="B10565" s="0" t="n">
        <v>6</v>
      </c>
      <c r="C10565" s="0" t="n">
        <v>1.6</v>
      </c>
      <c r="D10565" s="0" t="n">
        <v>0.128</v>
      </c>
    </row>
    <row r="10566" customFormat="false" ht="13.8" hidden="true" customHeight="false" outlineLevel="0" collapsed="false">
      <c r="A10566" s="0" t="s">
        <v>1106</v>
      </c>
      <c r="B10566" s="0" t="n">
        <v>6</v>
      </c>
      <c r="C10566" s="0" t="n">
        <v>1.65</v>
      </c>
      <c r="D10566" s="0" t="n">
        <v>0.132</v>
      </c>
    </row>
    <row r="10567" customFormat="false" ht="13.8" hidden="true" customHeight="false" outlineLevel="0" collapsed="false">
      <c r="A10567" s="0" t="s">
        <v>1106</v>
      </c>
      <c r="B10567" s="0" t="n">
        <v>6</v>
      </c>
      <c r="C10567" s="0" t="n">
        <v>1.7</v>
      </c>
      <c r="D10567" s="0" t="n">
        <v>0.136</v>
      </c>
    </row>
    <row r="10568" customFormat="false" ht="13.8" hidden="true" customHeight="false" outlineLevel="0" collapsed="false">
      <c r="A10568" s="0" t="s">
        <v>1106</v>
      </c>
      <c r="B10568" s="0" t="n">
        <v>6</v>
      </c>
      <c r="C10568" s="0" t="n">
        <v>1.75</v>
      </c>
      <c r="D10568" s="0" t="n">
        <v>0.14</v>
      </c>
    </row>
    <row r="10569" customFormat="false" ht="13.8" hidden="true" customHeight="false" outlineLevel="0" collapsed="false">
      <c r="A10569" s="0" t="s">
        <v>1106</v>
      </c>
      <c r="B10569" s="0" t="n">
        <v>6</v>
      </c>
      <c r="C10569" s="0" t="n">
        <v>1.8</v>
      </c>
      <c r="D10569" s="0" t="n">
        <v>0</v>
      </c>
    </row>
    <row r="10570" customFormat="false" ht="13.8" hidden="true" customHeight="false" outlineLevel="0" collapsed="false">
      <c r="A10570" s="0" t="s">
        <v>1106</v>
      </c>
      <c r="B10570" s="0" t="n">
        <v>6</v>
      </c>
      <c r="C10570" s="0" t="n">
        <v>1.85</v>
      </c>
      <c r="D10570" s="0" t="n">
        <v>0</v>
      </c>
    </row>
    <row r="10571" customFormat="false" ht="13.8" hidden="true" customHeight="false" outlineLevel="0" collapsed="false">
      <c r="A10571" s="0" t="s">
        <v>1106</v>
      </c>
      <c r="B10571" s="0" t="n">
        <v>6</v>
      </c>
      <c r="C10571" s="0" t="n">
        <v>1.9</v>
      </c>
      <c r="D10571" s="0" t="n">
        <v>0</v>
      </c>
    </row>
    <row r="10572" customFormat="false" ht="13.8" hidden="true" customHeight="false" outlineLevel="0" collapsed="false">
      <c r="A10572" s="0" t="s">
        <v>1106</v>
      </c>
      <c r="B10572" s="0" t="n">
        <v>6</v>
      </c>
      <c r="C10572" s="0" t="n">
        <v>1.95</v>
      </c>
      <c r="D10572" s="0" t="n">
        <v>0</v>
      </c>
    </row>
    <row r="10573" customFormat="false" ht="13.8" hidden="true" customHeight="false" outlineLevel="0" collapsed="false">
      <c r="A10573" s="0" t="s">
        <v>1106</v>
      </c>
      <c r="B10573" s="0" t="n">
        <v>6</v>
      </c>
      <c r="C10573" s="0" t="n">
        <v>2</v>
      </c>
      <c r="D10573" s="0" t="n">
        <v>0</v>
      </c>
    </row>
    <row r="10574" customFormat="false" ht="13.8" hidden="true" customHeight="false" outlineLevel="0" collapsed="false">
      <c r="A10574" s="0" t="s">
        <v>1106</v>
      </c>
      <c r="B10574" s="0" t="n">
        <v>6</v>
      </c>
      <c r="C10574" s="0" t="n">
        <v>2.05</v>
      </c>
      <c r="D10574" s="0" t="n">
        <v>0</v>
      </c>
    </row>
    <row r="10575" customFormat="false" ht="13.8" hidden="true" customHeight="false" outlineLevel="0" collapsed="false">
      <c r="A10575" s="0" t="s">
        <v>1106</v>
      </c>
      <c r="B10575" s="0" t="n">
        <v>6</v>
      </c>
      <c r="C10575" s="0" t="n">
        <v>2.1</v>
      </c>
      <c r="D10575" s="0" t="n">
        <v>0</v>
      </c>
    </row>
    <row r="10576" customFormat="false" ht="13.8" hidden="true" customHeight="false" outlineLevel="0" collapsed="false">
      <c r="A10576" s="0" t="s">
        <v>1106</v>
      </c>
      <c r="B10576" s="0" t="n">
        <v>6</v>
      </c>
      <c r="C10576" s="0" t="n">
        <v>2.15</v>
      </c>
      <c r="D10576" s="0" t="n">
        <v>0</v>
      </c>
    </row>
    <row r="10577" customFormat="false" ht="13.8" hidden="true" customHeight="false" outlineLevel="0" collapsed="false">
      <c r="A10577" s="0" t="s">
        <v>1106</v>
      </c>
      <c r="B10577" s="0" t="n">
        <v>6</v>
      </c>
      <c r="C10577" s="0" t="n">
        <v>2.2</v>
      </c>
      <c r="D10577" s="0" t="n">
        <v>0</v>
      </c>
    </row>
    <row r="10578" customFormat="false" ht="13.8" hidden="true" customHeight="false" outlineLevel="0" collapsed="false">
      <c r="A10578" s="0" t="s">
        <v>1106</v>
      </c>
      <c r="B10578" s="0" t="n">
        <v>6</v>
      </c>
      <c r="C10578" s="0" t="n">
        <v>2.25</v>
      </c>
      <c r="D10578" s="0" t="n">
        <v>0</v>
      </c>
    </row>
    <row r="10579" customFormat="false" ht="13.8" hidden="true" customHeight="false" outlineLevel="0" collapsed="false">
      <c r="A10579" s="0" t="s">
        <v>1106</v>
      </c>
      <c r="B10579" s="0" t="n">
        <v>6</v>
      </c>
      <c r="C10579" s="0" t="n">
        <v>2.3</v>
      </c>
      <c r="D10579" s="0" t="n">
        <v>0</v>
      </c>
    </row>
    <row r="10580" customFormat="false" ht="13.8" hidden="true" customHeight="false" outlineLevel="0" collapsed="false">
      <c r="A10580" s="0" t="s">
        <v>1106</v>
      </c>
      <c r="B10580" s="0" t="n">
        <v>6</v>
      </c>
      <c r="C10580" s="0" t="n">
        <v>2.35</v>
      </c>
      <c r="D10580" s="0" t="n">
        <v>0</v>
      </c>
    </row>
    <row r="10581" customFormat="false" ht="13.8" hidden="true" customHeight="false" outlineLevel="0" collapsed="false">
      <c r="A10581" s="0" t="s">
        <v>1106</v>
      </c>
      <c r="B10581" s="0" t="n">
        <v>6</v>
      </c>
      <c r="C10581" s="0" t="n">
        <v>2.4</v>
      </c>
      <c r="D10581" s="0" t="n">
        <v>0</v>
      </c>
    </row>
    <row r="10582" customFormat="false" ht="13.8" hidden="true" customHeight="false" outlineLevel="0" collapsed="false">
      <c r="A10582" s="0" t="s">
        <v>1106</v>
      </c>
      <c r="B10582" s="0" t="n">
        <v>6</v>
      </c>
      <c r="C10582" s="0" t="n">
        <v>2.45</v>
      </c>
      <c r="D10582" s="0" t="n">
        <v>0</v>
      </c>
    </row>
    <row r="10583" customFormat="false" ht="13.8" hidden="true" customHeight="false" outlineLevel="0" collapsed="false">
      <c r="A10583" s="0" t="s">
        <v>1106</v>
      </c>
      <c r="B10583" s="0" t="n">
        <v>6</v>
      </c>
      <c r="C10583" s="0" t="n">
        <v>2.5</v>
      </c>
      <c r="D10583" s="0" t="n">
        <v>0</v>
      </c>
    </row>
    <row r="10584" customFormat="false" ht="13.8" hidden="true" customHeight="false" outlineLevel="0" collapsed="false">
      <c r="A10584" s="0" t="s">
        <v>1106</v>
      </c>
      <c r="B10584" s="0" t="n">
        <v>6</v>
      </c>
      <c r="C10584" s="0" t="n">
        <v>2.55</v>
      </c>
      <c r="D10584" s="0" t="n">
        <v>0</v>
      </c>
    </row>
    <row r="10585" customFormat="false" ht="13.8" hidden="true" customHeight="false" outlineLevel="0" collapsed="false">
      <c r="A10585" s="0" t="s">
        <v>1106</v>
      </c>
      <c r="B10585" s="0" t="n">
        <v>6</v>
      </c>
      <c r="C10585" s="0" t="n">
        <v>2.6</v>
      </c>
      <c r="D10585" s="0" t="n">
        <v>0</v>
      </c>
    </row>
    <row r="10586" customFormat="false" ht="13.8" hidden="true" customHeight="false" outlineLevel="0" collapsed="false">
      <c r="A10586" s="0" t="s">
        <v>1109</v>
      </c>
      <c r="B10586" s="0" t="n">
        <v>6</v>
      </c>
      <c r="C10586" s="0" t="n">
        <v>1.3</v>
      </c>
      <c r="D10586" s="0" t="n">
        <v>0</v>
      </c>
    </row>
    <row r="10587" customFormat="false" ht="13.8" hidden="true" customHeight="false" outlineLevel="0" collapsed="false">
      <c r="A10587" s="0" t="s">
        <v>1109</v>
      </c>
      <c r="B10587" s="0" t="n">
        <v>6</v>
      </c>
      <c r="C10587" s="0" t="n">
        <v>1.35</v>
      </c>
      <c r="D10587" s="0" t="n">
        <v>0</v>
      </c>
    </row>
    <row r="10588" customFormat="false" ht="13.8" hidden="true" customHeight="false" outlineLevel="0" collapsed="false">
      <c r="A10588" s="0" t="s">
        <v>1109</v>
      </c>
      <c r="B10588" s="0" t="n">
        <v>6</v>
      </c>
      <c r="C10588" s="0" t="n">
        <v>1.4</v>
      </c>
      <c r="D10588" s="0" t="n">
        <v>0</v>
      </c>
    </row>
    <row r="10589" customFormat="false" ht="13.8" hidden="true" customHeight="false" outlineLevel="0" collapsed="false">
      <c r="A10589" s="0" t="s">
        <v>1109</v>
      </c>
      <c r="B10589" s="0" t="n">
        <v>6</v>
      </c>
      <c r="C10589" s="0" t="n">
        <v>1.45</v>
      </c>
      <c r="D10589" s="0" t="n">
        <v>0</v>
      </c>
    </row>
    <row r="10590" customFormat="false" ht="13.8" hidden="true" customHeight="false" outlineLevel="0" collapsed="false">
      <c r="A10590" s="0" t="s">
        <v>1109</v>
      </c>
      <c r="B10590" s="0" t="n">
        <v>6</v>
      </c>
      <c r="C10590" s="0" t="n">
        <v>1.5</v>
      </c>
      <c r="D10590" s="0" t="n">
        <v>0</v>
      </c>
    </row>
    <row r="10591" customFormat="false" ht="13.8" hidden="true" customHeight="false" outlineLevel="0" collapsed="false">
      <c r="A10591" s="0" t="s">
        <v>1109</v>
      </c>
      <c r="B10591" s="0" t="n">
        <v>6</v>
      </c>
      <c r="C10591" s="0" t="n">
        <v>1.55</v>
      </c>
      <c r="D10591" s="0" t="n">
        <v>0</v>
      </c>
    </row>
    <row r="10592" customFormat="false" ht="13.8" hidden="true" customHeight="false" outlineLevel="0" collapsed="false">
      <c r="A10592" s="0" t="s">
        <v>1109</v>
      </c>
      <c r="B10592" s="0" t="n">
        <v>6</v>
      </c>
      <c r="C10592" s="0" t="n">
        <v>1.6</v>
      </c>
      <c r="D10592" s="0" t="n">
        <v>0.128</v>
      </c>
    </row>
    <row r="10593" customFormat="false" ht="13.8" hidden="true" customHeight="false" outlineLevel="0" collapsed="false">
      <c r="A10593" s="0" t="s">
        <v>1109</v>
      </c>
      <c r="B10593" s="0" t="n">
        <v>6</v>
      </c>
      <c r="C10593" s="0" t="n">
        <v>1.65</v>
      </c>
      <c r="D10593" s="0" t="n">
        <v>0.132</v>
      </c>
    </row>
    <row r="10594" customFormat="false" ht="13.8" hidden="true" customHeight="false" outlineLevel="0" collapsed="false">
      <c r="A10594" s="0" t="s">
        <v>1109</v>
      </c>
      <c r="B10594" s="0" t="n">
        <v>6</v>
      </c>
      <c r="C10594" s="0" t="n">
        <v>1.7</v>
      </c>
      <c r="D10594" s="0" t="n">
        <v>0.136</v>
      </c>
    </row>
    <row r="10595" customFormat="false" ht="13.8" hidden="true" customHeight="false" outlineLevel="0" collapsed="false">
      <c r="A10595" s="0" t="s">
        <v>1109</v>
      </c>
      <c r="B10595" s="0" t="n">
        <v>6</v>
      </c>
      <c r="C10595" s="0" t="n">
        <v>1.75</v>
      </c>
      <c r="D10595" s="0" t="n">
        <v>0.14</v>
      </c>
    </row>
    <row r="10596" customFormat="false" ht="13.8" hidden="true" customHeight="false" outlineLevel="0" collapsed="false">
      <c r="A10596" s="0" t="s">
        <v>1109</v>
      </c>
      <c r="B10596" s="0" t="n">
        <v>6</v>
      </c>
      <c r="C10596" s="0" t="n">
        <v>1.8</v>
      </c>
      <c r="D10596" s="0" t="n">
        <v>0</v>
      </c>
    </row>
    <row r="10597" customFormat="false" ht="13.8" hidden="true" customHeight="false" outlineLevel="0" collapsed="false">
      <c r="A10597" s="0" t="s">
        <v>1109</v>
      </c>
      <c r="B10597" s="0" t="n">
        <v>6</v>
      </c>
      <c r="C10597" s="0" t="n">
        <v>1.85</v>
      </c>
      <c r="D10597" s="0" t="n">
        <v>0</v>
      </c>
    </row>
    <row r="10598" customFormat="false" ht="13.8" hidden="true" customHeight="false" outlineLevel="0" collapsed="false">
      <c r="A10598" s="0" t="s">
        <v>1109</v>
      </c>
      <c r="B10598" s="0" t="n">
        <v>6</v>
      </c>
      <c r="C10598" s="0" t="n">
        <v>1.9</v>
      </c>
      <c r="D10598" s="0" t="n">
        <v>0</v>
      </c>
    </row>
    <row r="10599" customFormat="false" ht="13.8" hidden="true" customHeight="false" outlineLevel="0" collapsed="false">
      <c r="A10599" s="0" t="s">
        <v>1109</v>
      </c>
      <c r="B10599" s="0" t="n">
        <v>6</v>
      </c>
      <c r="C10599" s="0" t="n">
        <v>1.95</v>
      </c>
      <c r="D10599" s="0" t="n">
        <v>0</v>
      </c>
    </row>
    <row r="10600" customFormat="false" ht="13.8" hidden="true" customHeight="false" outlineLevel="0" collapsed="false">
      <c r="A10600" s="0" t="s">
        <v>1109</v>
      </c>
      <c r="B10600" s="0" t="n">
        <v>6</v>
      </c>
      <c r="C10600" s="0" t="n">
        <v>2</v>
      </c>
      <c r="D10600" s="0" t="n">
        <v>0</v>
      </c>
    </row>
    <row r="10601" customFormat="false" ht="13.8" hidden="true" customHeight="false" outlineLevel="0" collapsed="false">
      <c r="A10601" s="0" t="s">
        <v>1109</v>
      </c>
      <c r="B10601" s="0" t="n">
        <v>6</v>
      </c>
      <c r="C10601" s="0" t="n">
        <v>2.05</v>
      </c>
      <c r="D10601" s="0" t="n">
        <v>0</v>
      </c>
    </row>
    <row r="10602" customFormat="false" ht="13.8" hidden="true" customHeight="false" outlineLevel="0" collapsed="false">
      <c r="A10602" s="0" t="s">
        <v>1109</v>
      </c>
      <c r="B10602" s="0" t="n">
        <v>6</v>
      </c>
      <c r="C10602" s="0" t="n">
        <v>2.1</v>
      </c>
      <c r="D10602" s="0" t="n">
        <v>0</v>
      </c>
    </row>
    <row r="10603" customFormat="false" ht="13.8" hidden="true" customHeight="false" outlineLevel="0" collapsed="false">
      <c r="A10603" s="0" t="s">
        <v>1109</v>
      </c>
      <c r="B10603" s="0" t="n">
        <v>6</v>
      </c>
      <c r="C10603" s="0" t="n">
        <v>2.15</v>
      </c>
      <c r="D10603" s="0" t="n">
        <v>0</v>
      </c>
    </row>
    <row r="10604" customFormat="false" ht="13.8" hidden="true" customHeight="false" outlineLevel="0" collapsed="false">
      <c r="A10604" s="0" t="s">
        <v>1109</v>
      </c>
      <c r="B10604" s="0" t="n">
        <v>6</v>
      </c>
      <c r="C10604" s="0" t="n">
        <v>2.2</v>
      </c>
      <c r="D10604" s="0" t="n">
        <v>0</v>
      </c>
    </row>
    <row r="10605" customFormat="false" ht="13.8" hidden="true" customHeight="false" outlineLevel="0" collapsed="false">
      <c r="A10605" s="0" t="s">
        <v>1109</v>
      </c>
      <c r="B10605" s="0" t="n">
        <v>6</v>
      </c>
      <c r="C10605" s="0" t="n">
        <v>2.25</v>
      </c>
      <c r="D10605" s="0" t="n">
        <v>0</v>
      </c>
    </row>
    <row r="10606" customFormat="false" ht="13.8" hidden="true" customHeight="false" outlineLevel="0" collapsed="false">
      <c r="A10606" s="0" t="s">
        <v>1109</v>
      </c>
      <c r="B10606" s="0" t="n">
        <v>6</v>
      </c>
      <c r="C10606" s="0" t="n">
        <v>2.3</v>
      </c>
      <c r="D10606" s="0" t="n">
        <v>0</v>
      </c>
    </row>
    <row r="10607" customFormat="false" ht="13.8" hidden="true" customHeight="false" outlineLevel="0" collapsed="false">
      <c r="A10607" s="0" t="s">
        <v>1109</v>
      </c>
      <c r="B10607" s="0" t="n">
        <v>6</v>
      </c>
      <c r="C10607" s="0" t="n">
        <v>2.35</v>
      </c>
      <c r="D10607" s="0" t="n">
        <v>0</v>
      </c>
    </row>
    <row r="10608" customFormat="false" ht="13.8" hidden="true" customHeight="false" outlineLevel="0" collapsed="false">
      <c r="A10608" s="0" t="s">
        <v>1109</v>
      </c>
      <c r="B10608" s="0" t="n">
        <v>6</v>
      </c>
      <c r="C10608" s="0" t="n">
        <v>2.4</v>
      </c>
      <c r="D10608" s="0" t="n">
        <v>0</v>
      </c>
    </row>
    <row r="10609" customFormat="false" ht="13.8" hidden="true" customHeight="false" outlineLevel="0" collapsed="false">
      <c r="A10609" s="0" t="s">
        <v>1109</v>
      </c>
      <c r="B10609" s="0" t="n">
        <v>6</v>
      </c>
      <c r="C10609" s="0" t="n">
        <v>2.45</v>
      </c>
      <c r="D10609" s="0" t="n">
        <v>0</v>
      </c>
    </row>
    <row r="10610" customFormat="false" ht="13.8" hidden="true" customHeight="false" outlineLevel="0" collapsed="false">
      <c r="A10610" s="0" t="s">
        <v>1109</v>
      </c>
      <c r="B10610" s="0" t="n">
        <v>6</v>
      </c>
      <c r="C10610" s="0" t="n">
        <v>2.5</v>
      </c>
      <c r="D10610" s="0" t="n">
        <v>0</v>
      </c>
    </row>
    <row r="10611" customFormat="false" ht="13.8" hidden="true" customHeight="false" outlineLevel="0" collapsed="false">
      <c r="A10611" s="0" t="s">
        <v>1109</v>
      </c>
      <c r="B10611" s="0" t="n">
        <v>6</v>
      </c>
      <c r="C10611" s="0" t="n">
        <v>2.55</v>
      </c>
      <c r="D10611" s="0" t="n">
        <v>0</v>
      </c>
    </row>
    <row r="10612" customFormat="false" ht="13.8" hidden="true" customHeight="false" outlineLevel="0" collapsed="false">
      <c r="A10612" s="0" t="s">
        <v>1109</v>
      </c>
      <c r="B10612" s="0" t="n">
        <v>6</v>
      </c>
      <c r="C10612" s="0" t="n">
        <v>2.6</v>
      </c>
      <c r="D10612" s="0" t="n">
        <v>0</v>
      </c>
    </row>
    <row r="10613" customFormat="false" ht="13.8" hidden="true" customHeight="false" outlineLevel="0" collapsed="false">
      <c r="A10613" s="0" t="s">
        <v>1111</v>
      </c>
      <c r="B10613" s="0" t="n">
        <v>6</v>
      </c>
      <c r="C10613" s="0" t="n">
        <v>1.3</v>
      </c>
      <c r="D10613" s="0" t="n">
        <v>0</v>
      </c>
    </row>
    <row r="10614" customFormat="false" ht="13.8" hidden="true" customHeight="false" outlineLevel="0" collapsed="false">
      <c r="A10614" s="0" t="s">
        <v>1111</v>
      </c>
      <c r="B10614" s="0" t="n">
        <v>6</v>
      </c>
      <c r="C10614" s="0" t="n">
        <v>1.35</v>
      </c>
      <c r="D10614" s="0" t="n">
        <v>0</v>
      </c>
    </row>
    <row r="10615" customFormat="false" ht="13.8" hidden="true" customHeight="false" outlineLevel="0" collapsed="false">
      <c r="A10615" s="0" t="s">
        <v>1111</v>
      </c>
      <c r="B10615" s="0" t="n">
        <v>6</v>
      </c>
      <c r="C10615" s="0" t="n">
        <v>1.4</v>
      </c>
      <c r="D10615" s="0" t="n">
        <v>0</v>
      </c>
    </row>
    <row r="10616" customFormat="false" ht="13.8" hidden="true" customHeight="false" outlineLevel="0" collapsed="false">
      <c r="A10616" s="0" t="s">
        <v>1111</v>
      </c>
      <c r="B10616" s="0" t="n">
        <v>6</v>
      </c>
      <c r="C10616" s="0" t="n">
        <v>1.45</v>
      </c>
      <c r="D10616" s="0" t="n">
        <v>0</v>
      </c>
    </row>
    <row r="10617" customFormat="false" ht="13.8" hidden="true" customHeight="false" outlineLevel="0" collapsed="false">
      <c r="A10617" s="0" t="s">
        <v>1111</v>
      </c>
      <c r="B10617" s="0" t="n">
        <v>6</v>
      </c>
      <c r="C10617" s="0" t="n">
        <v>1.5</v>
      </c>
      <c r="D10617" s="0" t="n">
        <v>0</v>
      </c>
    </row>
    <row r="10618" customFormat="false" ht="13.8" hidden="true" customHeight="false" outlineLevel="0" collapsed="false">
      <c r="A10618" s="0" t="s">
        <v>1111</v>
      </c>
      <c r="B10618" s="0" t="n">
        <v>6</v>
      </c>
      <c r="C10618" s="0" t="n">
        <v>1.55</v>
      </c>
      <c r="D10618" s="0" t="n">
        <v>0</v>
      </c>
    </row>
    <row r="10619" customFormat="false" ht="13.8" hidden="true" customHeight="false" outlineLevel="0" collapsed="false">
      <c r="A10619" s="0" t="s">
        <v>1111</v>
      </c>
      <c r="B10619" s="0" t="n">
        <v>6</v>
      </c>
      <c r="C10619" s="0" t="n">
        <v>1.6</v>
      </c>
      <c r="D10619" s="0" t="n">
        <v>0.064</v>
      </c>
    </row>
    <row r="10620" customFormat="false" ht="13.8" hidden="true" customHeight="false" outlineLevel="0" collapsed="false">
      <c r="A10620" s="0" t="s">
        <v>1111</v>
      </c>
      <c r="B10620" s="0" t="n">
        <v>6</v>
      </c>
      <c r="C10620" s="0" t="n">
        <v>1.65</v>
      </c>
      <c r="D10620" s="0" t="n">
        <v>0.066</v>
      </c>
    </row>
    <row r="10621" customFormat="false" ht="13.8" hidden="true" customHeight="false" outlineLevel="0" collapsed="false">
      <c r="A10621" s="0" t="s">
        <v>1111</v>
      </c>
      <c r="B10621" s="0" t="n">
        <v>6</v>
      </c>
      <c r="C10621" s="0" t="n">
        <v>1.7</v>
      </c>
      <c r="D10621" s="0" t="n">
        <v>0.068</v>
      </c>
    </row>
    <row r="10622" customFormat="false" ht="13.8" hidden="true" customHeight="false" outlineLevel="0" collapsed="false">
      <c r="A10622" s="0" t="s">
        <v>1111</v>
      </c>
      <c r="B10622" s="0" t="n">
        <v>6</v>
      </c>
      <c r="C10622" s="0" t="n">
        <v>1.75</v>
      </c>
      <c r="D10622" s="0" t="n">
        <v>0.07</v>
      </c>
    </row>
    <row r="10623" customFormat="false" ht="13.8" hidden="true" customHeight="false" outlineLevel="0" collapsed="false">
      <c r="A10623" s="0" t="s">
        <v>1111</v>
      </c>
      <c r="B10623" s="0" t="n">
        <v>6</v>
      </c>
      <c r="C10623" s="0" t="n">
        <v>1.8</v>
      </c>
      <c r="D10623" s="0" t="n">
        <v>0.07</v>
      </c>
    </row>
    <row r="10624" customFormat="false" ht="13.8" hidden="true" customHeight="false" outlineLevel="0" collapsed="false">
      <c r="A10624" s="0" t="s">
        <v>1111</v>
      </c>
      <c r="B10624" s="0" t="n">
        <v>6</v>
      </c>
      <c r="C10624" s="0" t="n">
        <v>1.85</v>
      </c>
      <c r="D10624" s="0" t="n">
        <v>0.072</v>
      </c>
    </row>
    <row r="10625" customFormat="false" ht="13.8" hidden="true" customHeight="false" outlineLevel="0" collapsed="false">
      <c r="A10625" s="0" t="s">
        <v>1111</v>
      </c>
      <c r="B10625" s="0" t="n">
        <v>6</v>
      </c>
      <c r="C10625" s="0" t="n">
        <v>1.9</v>
      </c>
      <c r="D10625" s="0" t="n">
        <v>0.074</v>
      </c>
    </row>
    <row r="10626" customFormat="false" ht="13.8" hidden="true" customHeight="false" outlineLevel="0" collapsed="false">
      <c r="A10626" s="0" t="s">
        <v>1111</v>
      </c>
      <c r="B10626" s="0" t="n">
        <v>6</v>
      </c>
      <c r="C10626" s="0" t="n">
        <v>1.95</v>
      </c>
      <c r="D10626" s="0" t="n">
        <v>0.076</v>
      </c>
    </row>
    <row r="10627" customFormat="false" ht="13.8" hidden="true" customHeight="false" outlineLevel="0" collapsed="false">
      <c r="A10627" s="0" t="s">
        <v>1111</v>
      </c>
      <c r="B10627" s="0" t="n">
        <v>6</v>
      </c>
      <c r="C10627" s="0" t="n">
        <v>2</v>
      </c>
      <c r="D10627" s="0" t="n">
        <v>0.075933953</v>
      </c>
    </row>
    <row r="10628" customFormat="false" ht="13.8" hidden="true" customHeight="false" outlineLevel="0" collapsed="false">
      <c r="A10628" s="0" t="s">
        <v>1111</v>
      </c>
      <c r="B10628" s="0" t="n">
        <v>6</v>
      </c>
      <c r="C10628" s="0" t="n">
        <v>2.05</v>
      </c>
      <c r="D10628" s="0" t="n">
        <v>0.077832302</v>
      </c>
    </row>
    <row r="10629" customFormat="false" ht="13.8" hidden="true" customHeight="false" outlineLevel="0" collapsed="false">
      <c r="A10629" s="0" t="s">
        <v>1111</v>
      </c>
      <c r="B10629" s="0" t="n">
        <v>6</v>
      </c>
      <c r="C10629" s="0" t="n">
        <v>2.1</v>
      </c>
      <c r="D10629" s="0" t="n">
        <v>0.079730651</v>
      </c>
    </row>
    <row r="10630" customFormat="false" ht="13.8" hidden="true" customHeight="false" outlineLevel="0" collapsed="false">
      <c r="A10630" s="0" t="s">
        <v>1111</v>
      </c>
      <c r="B10630" s="0" t="n">
        <v>6</v>
      </c>
      <c r="C10630" s="0" t="n">
        <v>2.15</v>
      </c>
      <c r="D10630" s="0" t="n">
        <v>0.081629</v>
      </c>
    </row>
    <row r="10631" customFormat="false" ht="13.8" hidden="true" customHeight="false" outlineLevel="0" collapsed="false">
      <c r="A10631" s="0" t="s">
        <v>1111</v>
      </c>
      <c r="B10631" s="0" t="n">
        <v>6</v>
      </c>
      <c r="C10631" s="0" t="n">
        <v>2.2</v>
      </c>
      <c r="D10631" s="0" t="n">
        <v>0.084363851</v>
      </c>
    </row>
    <row r="10632" customFormat="false" ht="13.8" hidden="true" customHeight="false" outlineLevel="0" collapsed="false">
      <c r="A10632" s="0" t="s">
        <v>1111</v>
      </c>
      <c r="B10632" s="0" t="n">
        <v>6</v>
      </c>
      <c r="C10632" s="0" t="n">
        <v>2.25</v>
      </c>
      <c r="D10632" s="0" t="n">
        <v>0.086281211</v>
      </c>
    </row>
    <row r="10633" customFormat="false" ht="13.8" hidden="true" customHeight="false" outlineLevel="0" collapsed="false">
      <c r="A10633" s="0" t="s">
        <v>1111</v>
      </c>
      <c r="B10633" s="0" t="n">
        <v>6</v>
      </c>
      <c r="C10633" s="0" t="n">
        <v>2.3</v>
      </c>
      <c r="D10633" s="0" t="n">
        <v>0.088198572</v>
      </c>
    </row>
    <row r="10634" customFormat="false" ht="13.8" hidden="true" customHeight="false" outlineLevel="0" collapsed="false">
      <c r="A10634" s="0" t="s">
        <v>1111</v>
      </c>
      <c r="B10634" s="0" t="n">
        <v>6</v>
      </c>
      <c r="C10634" s="0" t="n">
        <v>2.35</v>
      </c>
      <c r="D10634" s="0" t="n">
        <v>0.090115932</v>
      </c>
    </row>
    <row r="10635" customFormat="false" ht="13.8" hidden="true" customHeight="false" outlineLevel="0" collapsed="false">
      <c r="A10635" s="0" t="s">
        <v>1111</v>
      </c>
      <c r="B10635" s="0" t="n">
        <v>6</v>
      </c>
      <c r="C10635" s="0" t="n">
        <v>2.4</v>
      </c>
      <c r="D10635" s="0" t="n">
        <v>0.092033292</v>
      </c>
    </row>
    <row r="10636" customFormat="false" ht="13.8" hidden="true" customHeight="false" outlineLevel="0" collapsed="false">
      <c r="A10636" s="0" t="s">
        <v>1111</v>
      </c>
      <c r="B10636" s="0" t="n">
        <v>6</v>
      </c>
      <c r="C10636" s="0" t="n">
        <v>2.45</v>
      </c>
      <c r="D10636" s="0" t="n">
        <v>0.093950652</v>
      </c>
    </row>
    <row r="10637" customFormat="false" ht="13.8" hidden="true" customHeight="false" outlineLevel="0" collapsed="false">
      <c r="A10637" s="0" t="s">
        <v>1111</v>
      </c>
      <c r="B10637" s="0" t="n">
        <v>6</v>
      </c>
      <c r="C10637" s="0" t="n">
        <v>2.5</v>
      </c>
      <c r="D10637" s="0" t="n">
        <v>0.095868013</v>
      </c>
    </row>
    <row r="10638" customFormat="false" ht="13.8" hidden="true" customHeight="false" outlineLevel="0" collapsed="false">
      <c r="A10638" s="0" t="s">
        <v>1111</v>
      </c>
      <c r="B10638" s="0" t="n">
        <v>6</v>
      </c>
      <c r="C10638" s="0" t="n">
        <v>2.55</v>
      </c>
      <c r="D10638" s="0" t="n">
        <v>0.097785373</v>
      </c>
    </row>
    <row r="10639" customFormat="false" ht="13.8" hidden="true" customHeight="false" outlineLevel="0" collapsed="false">
      <c r="A10639" s="0" t="s">
        <v>1111</v>
      </c>
      <c r="B10639" s="0" t="n">
        <v>6</v>
      </c>
      <c r="C10639" s="0" t="n">
        <v>2.6</v>
      </c>
      <c r="D10639" s="0" t="n">
        <v>0.099702733</v>
      </c>
    </row>
    <row r="10640" customFormat="false" ht="13.8" hidden="true" customHeight="false" outlineLevel="0" collapsed="false">
      <c r="A10640" s="0" t="s">
        <v>1114</v>
      </c>
      <c r="B10640" s="0" t="n">
        <v>7</v>
      </c>
      <c r="C10640" s="0" t="n">
        <v>1.3</v>
      </c>
      <c r="D10640" s="0" t="n">
        <v>0</v>
      </c>
    </row>
    <row r="10641" customFormat="false" ht="13.8" hidden="true" customHeight="false" outlineLevel="0" collapsed="false">
      <c r="A10641" s="0" t="s">
        <v>1114</v>
      </c>
      <c r="B10641" s="0" t="n">
        <v>7</v>
      </c>
      <c r="C10641" s="0" t="n">
        <v>1.35</v>
      </c>
      <c r="D10641" s="0" t="n">
        <v>0</v>
      </c>
    </row>
    <row r="10642" customFormat="false" ht="13.8" hidden="true" customHeight="false" outlineLevel="0" collapsed="false">
      <c r="A10642" s="0" t="s">
        <v>1114</v>
      </c>
      <c r="B10642" s="0" t="n">
        <v>7</v>
      </c>
      <c r="C10642" s="0" t="n">
        <v>1.4</v>
      </c>
      <c r="D10642" s="0" t="n">
        <v>0</v>
      </c>
    </row>
    <row r="10643" customFormat="false" ht="13.8" hidden="true" customHeight="false" outlineLevel="0" collapsed="false">
      <c r="A10643" s="0" t="s">
        <v>1114</v>
      </c>
      <c r="B10643" s="0" t="n">
        <v>7</v>
      </c>
      <c r="C10643" s="0" t="n">
        <v>1.45</v>
      </c>
      <c r="D10643" s="0" t="n">
        <v>0</v>
      </c>
    </row>
    <row r="10644" customFormat="false" ht="13.8" hidden="true" customHeight="false" outlineLevel="0" collapsed="false">
      <c r="A10644" s="0" t="s">
        <v>1114</v>
      </c>
      <c r="B10644" s="0" t="n">
        <v>7</v>
      </c>
      <c r="C10644" s="0" t="n">
        <v>1.5</v>
      </c>
      <c r="D10644" s="0" t="n">
        <v>0</v>
      </c>
    </row>
    <row r="10645" customFormat="false" ht="13.8" hidden="true" customHeight="false" outlineLevel="0" collapsed="false">
      <c r="A10645" s="0" t="s">
        <v>1114</v>
      </c>
      <c r="B10645" s="0" t="n">
        <v>7</v>
      </c>
      <c r="C10645" s="0" t="n">
        <v>1.55</v>
      </c>
      <c r="D10645" s="0" t="n">
        <v>0</v>
      </c>
    </row>
    <row r="10646" customFormat="false" ht="13.8" hidden="true" customHeight="false" outlineLevel="0" collapsed="false">
      <c r="A10646" s="0" t="s">
        <v>1114</v>
      </c>
      <c r="B10646" s="0" t="n">
        <v>7</v>
      </c>
      <c r="C10646" s="0" t="n">
        <v>1.6</v>
      </c>
      <c r="D10646" s="0" t="n">
        <v>0.07</v>
      </c>
    </row>
    <row r="10647" customFormat="false" ht="13.8" hidden="true" customHeight="false" outlineLevel="0" collapsed="false">
      <c r="A10647" s="0" t="s">
        <v>1114</v>
      </c>
      <c r="B10647" s="0" t="n">
        <v>7</v>
      </c>
      <c r="C10647" s="0" t="n">
        <v>1.65</v>
      </c>
      <c r="D10647" s="0" t="n">
        <v>0.072</v>
      </c>
    </row>
    <row r="10648" customFormat="false" ht="13.8" hidden="true" customHeight="false" outlineLevel="0" collapsed="false">
      <c r="A10648" s="0" t="s">
        <v>1114</v>
      </c>
      <c r="B10648" s="0" t="n">
        <v>7</v>
      </c>
      <c r="C10648" s="0" t="n">
        <v>1.7</v>
      </c>
      <c r="D10648" s="0" t="n">
        <v>0.074</v>
      </c>
    </row>
    <row r="10649" customFormat="false" ht="13.8" hidden="true" customHeight="false" outlineLevel="0" collapsed="false">
      <c r="A10649" s="0" t="s">
        <v>1114</v>
      </c>
      <c r="B10649" s="0" t="n">
        <v>7</v>
      </c>
      <c r="C10649" s="0" t="n">
        <v>1.75</v>
      </c>
      <c r="D10649" s="0" t="n">
        <v>0.076</v>
      </c>
    </row>
    <row r="10650" customFormat="false" ht="13.8" hidden="true" customHeight="false" outlineLevel="0" collapsed="false">
      <c r="A10650" s="0" t="s">
        <v>1114</v>
      </c>
      <c r="B10650" s="0" t="n">
        <v>7</v>
      </c>
      <c r="C10650" s="0" t="n">
        <v>1.8</v>
      </c>
      <c r="D10650" s="0" t="n">
        <v>0.076</v>
      </c>
    </row>
    <row r="10651" customFormat="false" ht="13.8" hidden="true" customHeight="false" outlineLevel="0" collapsed="false">
      <c r="A10651" s="0" t="s">
        <v>1114</v>
      </c>
      <c r="B10651" s="0" t="n">
        <v>7</v>
      </c>
      <c r="C10651" s="0" t="n">
        <v>1.85</v>
      </c>
      <c r="D10651" s="0" t="n">
        <v>0.078</v>
      </c>
    </row>
    <row r="10652" customFormat="false" ht="13.8" hidden="true" customHeight="false" outlineLevel="0" collapsed="false">
      <c r="A10652" s="0" t="s">
        <v>1114</v>
      </c>
      <c r="B10652" s="0" t="n">
        <v>7</v>
      </c>
      <c r="C10652" s="0" t="n">
        <v>1.9</v>
      </c>
      <c r="D10652" s="0" t="n">
        <v>0.08</v>
      </c>
    </row>
    <row r="10653" customFormat="false" ht="13.8" hidden="true" customHeight="false" outlineLevel="0" collapsed="false">
      <c r="A10653" s="0" t="s">
        <v>1114</v>
      </c>
      <c r="B10653" s="0" t="n">
        <v>7</v>
      </c>
      <c r="C10653" s="0" t="n">
        <v>1.95</v>
      </c>
      <c r="D10653" s="0" t="n">
        <v>0.082</v>
      </c>
    </row>
    <row r="10654" customFormat="false" ht="13.8" hidden="true" customHeight="false" outlineLevel="0" collapsed="false">
      <c r="A10654" s="0" t="s">
        <v>1114</v>
      </c>
      <c r="B10654" s="0" t="n">
        <v>7</v>
      </c>
      <c r="C10654" s="0" t="n">
        <v>2</v>
      </c>
      <c r="D10654" s="0" t="n">
        <v>0.081642764</v>
      </c>
    </row>
    <row r="10655" customFormat="false" ht="13.8" hidden="true" customHeight="false" outlineLevel="0" collapsed="false">
      <c r="A10655" s="0" t="s">
        <v>1114</v>
      </c>
      <c r="B10655" s="0" t="n">
        <v>7</v>
      </c>
      <c r="C10655" s="0" t="n">
        <v>2.05</v>
      </c>
      <c r="D10655" s="0" t="n">
        <v>0.083683833</v>
      </c>
    </row>
    <row r="10656" customFormat="false" ht="13.8" hidden="true" customHeight="false" outlineLevel="0" collapsed="false">
      <c r="A10656" s="0" t="s">
        <v>1114</v>
      </c>
      <c r="B10656" s="0" t="n">
        <v>7</v>
      </c>
      <c r="C10656" s="0" t="n">
        <v>2.1</v>
      </c>
      <c r="D10656" s="0" t="n">
        <v>0.085724902</v>
      </c>
    </row>
    <row r="10657" customFormat="false" ht="13.8" hidden="true" customHeight="false" outlineLevel="0" collapsed="false">
      <c r="A10657" s="0" t="s">
        <v>1114</v>
      </c>
      <c r="B10657" s="0" t="n">
        <v>7</v>
      </c>
      <c r="C10657" s="0" t="n">
        <v>2.15</v>
      </c>
      <c r="D10657" s="0" t="n">
        <v>0.087765972</v>
      </c>
    </row>
    <row r="10658" customFormat="false" ht="13.8" hidden="true" customHeight="false" outlineLevel="0" collapsed="false">
      <c r="A10658" s="0" t="s">
        <v>1114</v>
      </c>
      <c r="B10658" s="0" t="n">
        <v>7</v>
      </c>
      <c r="C10658" s="0" t="n">
        <v>2.2</v>
      </c>
      <c r="D10658" s="0" t="n">
        <v>0.091654412</v>
      </c>
    </row>
    <row r="10659" customFormat="false" ht="13.8" hidden="true" customHeight="false" outlineLevel="0" collapsed="false">
      <c r="A10659" s="0" t="s">
        <v>1114</v>
      </c>
      <c r="B10659" s="0" t="n">
        <v>7</v>
      </c>
      <c r="C10659" s="0" t="n">
        <v>2.25</v>
      </c>
      <c r="D10659" s="0" t="n">
        <v>0</v>
      </c>
    </row>
    <row r="10660" customFormat="false" ht="13.8" hidden="true" customHeight="false" outlineLevel="0" collapsed="false">
      <c r="A10660" s="0" t="s">
        <v>1114</v>
      </c>
      <c r="B10660" s="0" t="n">
        <v>7</v>
      </c>
      <c r="C10660" s="0" t="n">
        <v>2.3</v>
      </c>
      <c r="D10660" s="0" t="n">
        <v>0</v>
      </c>
    </row>
    <row r="10661" customFormat="false" ht="13.8" hidden="true" customHeight="false" outlineLevel="0" collapsed="false">
      <c r="A10661" s="0" t="s">
        <v>1114</v>
      </c>
      <c r="B10661" s="0" t="n">
        <v>7</v>
      </c>
      <c r="C10661" s="0" t="n">
        <v>2.35</v>
      </c>
      <c r="D10661" s="0" t="n">
        <v>0</v>
      </c>
    </row>
    <row r="10662" customFormat="false" ht="13.8" hidden="true" customHeight="false" outlineLevel="0" collapsed="false">
      <c r="A10662" s="0" t="s">
        <v>1114</v>
      </c>
      <c r="B10662" s="0" t="n">
        <v>7</v>
      </c>
      <c r="C10662" s="0" t="n">
        <v>2.4</v>
      </c>
      <c r="D10662" s="0" t="n">
        <v>0</v>
      </c>
    </row>
    <row r="10663" customFormat="false" ht="13.8" hidden="true" customHeight="false" outlineLevel="0" collapsed="false">
      <c r="A10663" s="0" t="s">
        <v>1114</v>
      </c>
      <c r="B10663" s="0" t="n">
        <v>7</v>
      </c>
      <c r="C10663" s="0" t="n">
        <v>2.45</v>
      </c>
      <c r="D10663" s="0" t="n">
        <v>0</v>
      </c>
    </row>
    <row r="10664" customFormat="false" ht="13.8" hidden="true" customHeight="false" outlineLevel="0" collapsed="false">
      <c r="A10664" s="0" t="s">
        <v>1114</v>
      </c>
      <c r="B10664" s="0" t="n">
        <v>7</v>
      </c>
      <c r="C10664" s="0" t="n">
        <v>2.5</v>
      </c>
      <c r="D10664" s="0" t="n">
        <v>0</v>
      </c>
    </row>
    <row r="10665" customFormat="false" ht="13.8" hidden="true" customHeight="false" outlineLevel="0" collapsed="false">
      <c r="A10665" s="0" t="s">
        <v>1114</v>
      </c>
      <c r="B10665" s="0" t="n">
        <v>7</v>
      </c>
      <c r="C10665" s="0" t="n">
        <v>2.55</v>
      </c>
      <c r="D10665" s="0" t="n">
        <v>0</v>
      </c>
    </row>
    <row r="10666" customFormat="false" ht="13.8" hidden="true" customHeight="false" outlineLevel="0" collapsed="false">
      <c r="A10666" s="0" t="s">
        <v>1114</v>
      </c>
      <c r="B10666" s="0" t="n">
        <v>7</v>
      </c>
      <c r="C10666" s="0" t="n">
        <v>2.6</v>
      </c>
      <c r="D10666" s="0" t="n">
        <v>0</v>
      </c>
    </row>
    <row r="10667" customFormat="false" ht="13.8" hidden="true" customHeight="false" outlineLevel="0" collapsed="false">
      <c r="A10667" s="0" t="s">
        <v>1114</v>
      </c>
      <c r="B10667" s="0" t="n">
        <v>8</v>
      </c>
      <c r="C10667" s="0" t="n">
        <v>1.3</v>
      </c>
      <c r="D10667" s="0" t="n">
        <v>0</v>
      </c>
    </row>
    <row r="10668" customFormat="false" ht="13.8" hidden="true" customHeight="false" outlineLevel="0" collapsed="false">
      <c r="A10668" s="0" t="s">
        <v>1114</v>
      </c>
      <c r="B10668" s="0" t="n">
        <v>8</v>
      </c>
      <c r="C10668" s="0" t="n">
        <v>1.35</v>
      </c>
      <c r="D10668" s="0" t="n">
        <v>0</v>
      </c>
    </row>
    <row r="10669" customFormat="false" ht="13.8" hidden="true" customHeight="false" outlineLevel="0" collapsed="false">
      <c r="A10669" s="0" t="s">
        <v>1114</v>
      </c>
      <c r="B10669" s="0" t="n">
        <v>8</v>
      </c>
      <c r="C10669" s="0" t="n">
        <v>1.4</v>
      </c>
      <c r="D10669" s="0" t="n">
        <v>0</v>
      </c>
    </row>
    <row r="10670" customFormat="false" ht="13.8" hidden="true" customHeight="false" outlineLevel="0" collapsed="false">
      <c r="A10670" s="0" t="s">
        <v>1114</v>
      </c>
      <c r="B10670" s="0" t="n">
        <v>8</v>
      </c>
      <c r="C10670" s="0" t="n">
        <v>1.45</v>
      </c>
      <c r="D10670" s="0" t="n">
        <v>0</v>
      </c>
    </row>
    <row r="10671" customFormat="false" ht="13.8" hidden="true" customHeight="false" outlineLevel="0" collapsed="false">
      <c r="A10671" s="0" t="s">
        <v>1114</v>
      </c>
      <c r="B10671" s="0" t="n">
        <v>8</v>
      </c>
      <c r="C10671" s="0" t="n">
        <v>1.5</v>
      </c>
      <c r="D10671" s="0" t="n">
        <v>0</v>
      </c>
    </row>
    <row r="10672" customFormat="false" ht="13.8" hidden="true" customHeight="false" outlineLevel="0" collapsed="false">
      <c r="A10672" s="0" t="s">
        <v>1114</v>
      </c>
      <c r="B10672" s="0" t="n">
        <v>8</v>
      </c>
      <c r="C10672" s="0" t="n">
        <v>1.55</v>
      </c>
      <c r="D10672" s="0" t="n">
        <v>0</v>
      </c>
    </row>
    <row r="10673" customFormat="false" ht="13.8" hidden="true" customHeight="false" outlineLevel="0" collapsed="false">
      <c r="A10673" s="0" t="s">
        <v>1114</v>
      </c>
      <c r="B10673" s="0" t="n">
        <v>8</v>
      </c>
      <c r="C10673" s="0" t="n">
        <v>1.6</v>
      </c>
      <c r="D10673" s="0" t="n">
        <v>0.07</v>
      </c>
    </row>
    <row r="10674" customFormat="false" ht="13.8" hidden="true" customHeight="false" outlineLevel="0" collapsed="false">
      <c r="A10674" s="0" t="s">
        <v>1114</v>
      </c>
      <c r="B10674" s="0" t="n">
        <v>8</v>
      </c>
      <c r="C10674" s="0" t="n">
        <v>1.65</v>
      </c>
      <c r="D10674" s="0" t="n">
        <v>0.072</v>
      </c>
    </row>
    <row r="10675" customFormat="false" ht="13.8" hidden="true" customHeight="false" outlineLevel="0" collapsed="false">
      <c r="A10675" s="0" t="s">
        <v>1114</v>
      </c>
      <c r="B10675" s="0" t="n">
        <v>8</v>
      </c>
      <c r="C10675" s="0" t="n">
        <v>1.7</v>
      </c>
      <c r="D10675" s="0" t="n">
        <v>0.074</v>
      </c>
    </row>
    <row r="10676" customFormat="false" ht="13.8" hidden="true" customHeight="false" outlineLevel="0" collapsed="false">
      <c r="A10676" s="0" t="s">
        <v>1114</v>
      </c>
      <c r="B10676" s="0" t="n">
        <v>8</v>
      </c>
      <c r="C10676" s="0" t="n">
        <v>1.75</v>
      </c>
      <c r="D10676" s="0" t="n">
        <v>0.076</v>
      </c>
    </row>
    <row r="10677" customFormat="false" ht="13.8" hidden="true" customHeight="false" outlineLevel="0" collapsed="false">
      <c r="A10677" s="0" t="s">
        <v>1114</v>
      </c>
      <c r="B10677" s="0" t="n">
        <v>8</v>
      </c>
      <c r="C10677" s="0" t="n">
        <v>1.8</v>
      </c>
      <c r="D10677" s="0" t="n">
        <v>0.076</v>
      </c>
    </row>
    <row r="10678" customFormat="false" ht="13.8" hidden="true" customHeight="false" outlineLevel="0" collapsed="false">
      <c r="A10678" s="0" t="s">
        <v>1114</v>
      </c>
      <c r="B10678" s="0" t="n">
        <v>8</v>
      </c>
      <c r="C10678" s="0" t="n">
        <v>1.85</v>
      </c>
      <c r="D10678" s="0" t="n">
        <v>0.078</v>
      </c>
    </row>
    <row r="10679" customFormat="false" ht="13.8" hidden="true" customHeight="false" outlineLevel="0" collapsed="false">
      <c r="A10679" s="0" t="s">
        <v>1114</v>
      </c>
      <c r="B10679" s="0" t="n">
        <v>8</v>
      </c>
      <c r="C10679" s="0" t="n">
        <v>1.9</v>
      </c>
      <c r="D10679" s="0" t="n">
        <v>0.08</v>
      </c>
    </row>
    <row r="10680" customFormat="false" ht="13.8" hidden="true" customHeight="false" outlineLevel="0" collapsed="false">
      <c r="A10680" s="0" t="s">
        <v>1114</v>
      </c>
      <c r="B10680" s="0" t="n">
        <v>8</v>
      </c>
      <c r="C10680" s="0" t="n">
        <v>1.95</v>
      </c>
      <c r="D10680" s="0" t="n">
        <v>0.082</v>
      </c>
    </row>
    <row r="10681" customFormat="false" ht="13.8" hidden="true" customHeight="false" outlineLevel="0" collapsed="false">
      <c r="A10681" s="0" t="s">
        <v>1114</v>
      </c>
      <c r="B10681" s="0" t="n">
        <v>8</v>
      </c>
      <c r="C10681" s="0" t="n">
        <v>2</v>
      </c>
      <c r="D10681" s="0" t="n">
        <v>0.082</v>
      </c>
    </row>
    <row r="10682" customFormat="false" ht="13.8" hidden="true" customHeight="false" outlineLevel="0" collapsed="false">
      <c r="A10682" s="0" t="s">
        <v>1114</v>
      </c>
      <c r="B10682" s="0" t="n">
        <v>8</v>
      </c>
      <c r="C10682" s="0" t="n">
        <v>2.05</v>
      </c>
      <c r="D10682" s="0" t="n">
        <v>0.084</v>
      </c>
    </row>
    <row r="10683" customFormat="false" ht="13.8" hidden="true" customHeight="false" outlineLevel="0" collapsed="false">
      <c r="A10683" s="0" t="s">
        <v>1114</v>
      </c>
      <c r="B10683" s="0" t="n">
        <v>8</v>
      </c>
      <c r="C10683" s="0" t="n">
        <v>2.1</v>
      </c>
      <c r="D10683" s="0" t="n">
        <v>0.086</v>
      </c>
    </row>
    <row r="10684" customFormat="false" ht="13.8" hidden="true" customHeight="false" outlineLevel="0" collapsed="false">
      <c r="A10684" s="0" t="s">
        <v>1114</v>
      </c>
      <c r="B10684" s="0" t="n">
        <v>8</v>
      </c>
      <c r="C10684" s="0" t="n">
        <v>2.15</v>
      </c>
      <c r="D10684" s="0" t="n">
        <v>0.087765972</v>
      </c>
    </row>
    <row r="10685" customFormat="false" ht="13.8" hidden="true" customHeight="false" outlineLevel="0" collapsed="false">
      <c r="A10685" s="0" t="s">
        <v>1114</v>
      </c>
      <c r="B10685" s="0" t="n">
        <v>8</v>
      </c>
      <c r="C10685" s="0" t="n">
        <v>2.2</v>
      </c>
      <c r="D10685" s="0" t="n">
        <v>0.091654412</v>
      </c>
    </row>
    <row r="10686" customFormat="false" ht="13.8" hidden="true" customHeight="false" outlineLevel="0" collapsed="false">
      <c r="A10686" s="0" t="s">
        <v>1114</v>
      </c>
      <c r="B10686" s="0" t="n">
        <v>8</v>
      </c>
      <c r="C10686" s="0" t="n">
        <v>2.25</v>
      </c>
      <c r="D10686" s="0" t="n">
        <v>0</v>
      </c>
    </row>
    <row r="10687" customFormat="false" ht="13.8" hidden="true" customHeight="false" outlineLevel="0" collapsed="false">
      <c r="A10687" s="0" t="s">
        <v>1114</v>
      </c>
      <c r="B10687" s="0" t="n">
        <v>8</v>
      </c>
      <c r="C10687" s="0" t="n">
        <v>2.3</v>
      </c>
      <c r="D10687" s="0" t="n">
        <v>0</v>
      </c>
    </row>
    <row r="10688" customFormat="false" ht="13.8" hidden="true" customHeight="false" outlineLevel="0" collapsed="false">
      <c r="A10688" s="0" t="s">
        <v>1114</v>
      </c>
      <c r="B10688" s="0" t="n">
        <v>8</v>
      </c>
      <c r="C10688" s="0" t="n">
        <v>2.35</v>
      </c>
      <c r="D10688" s="0" t="n">
        <v>0</v>
      </c>
    </row>
    <row r="10689" customFormat="false" ht="13.8" hidden="true" customHeight="false" outlineLevel="0" collapsed="false">
      <c r="A10689" s="0" t="s">
        <v>1114</v>
      </c>
      <c r="B10689" s="0" t="n">
        <v>8</v>
      </c>
      <c r="C10689" s="0" t="n">
        <v>2.4</v>
      </c>
      <c r="D10689" s="0" t="n">
        <v>0</v>
      </c>
    </row>
    <row r="10690" customFormat="false" ht="13.8" hidden="true" customHeight="false" outlineLevel="0" collapsed="false">
      <c r="A10690" s="0" t="s">
        <v>1114</v>
      </c>
      <c r="B10690" s="0" t="n">
        <v>8</v>
      </c>
      <c r="C10690" s="0" t="n">
        <v>2.45</v>
      </c>
      <c r="D10690" s="0" t="n">
        <v>0</v>
      </c>
    </row>
    <row r="10691" customFormat="false" ht="13.8" hidden="true" customHeight="false" outlineLevel="0" collapsed="false">
      <c r="A10691" s="0" t="s">
        <v>1114</v>
      </c>
      <c r="B10691" s="0" t="n">
        <v>8</v>
      </c>
      <c r="C10691" s="0" t="n">
        <v>2.5</v>
      </c>
      <c r="D10691" s="0" t="n">
        <v>0</v>
      </c>
    </row>
    <row r="10692" customFormat="false" ht="13.8" hidden="true" customHeight="false" outlineLevel="0" collapsed="false">
      <c r="A10692" s="0" t="s">
        <v>1114</v>
      </c>
      <c r="B10692" s="0" t="n">
        <v>8</v>
      </c>
      <c r="C10692" s="0" t="n">
        <v>2.55</v>
      </c>
      <c r="D10692" s="0" t="n">
        <v>0</v>
      </c>
    </row>
    <row r="10693" customFormat="false" ht="13.8" hidden="true" customHeight="false" outlineLevel="0" collapsed="false">
      <c r="A10693" s="0" t="s">
        <v>1114</v>
      </c>
      <c r="B10693" s="0" t="n">
        <v>8</v>
      </c>
      <c r="C10693" s="0" t="n">
        <v>2.6</v>
      </c>
      <c r="D10693" s="0" t="n">
        <v>0</v>
      </c>
    </row>
    <row r="10694" customFormat="false" ht="13.8" hidden="true" customHeight="false" outlineLevel="0" collapsed="false">
      <c r="A10694" s="0" t="s">
        <v>323</v>
      </c>
      <c r="B10694" s="0" t="n">
        <v>7</v>
      </c>
      <c r="C10694" s="0" t="n">
        <v>1.3</v>
      </c>
      <c r="D10694" s="0" t="n">
        <v>0</v>
      </c>
    </row>
    <row r="10695" customFormat="false" ht="13.8" hidden="true" customHeight="false" outlineLevel="0" collapsed="false">
      <c r="A10695" s="0" t="s">
        <v>323</v>
      </c>
      <c r="B10695" s="0" t="n">
        <v>7</v>
      </c>
      <c r="C10695" s="0" t="n">
        <v>1.35</v>
      </c>
      <c r="D10695" s="0" t="n">
        <v>0</v>
      </c>
    </row>
    <row r="10696" customFormat="false" ht="13.8" hidden="true" customHeight="false" outlineLevel="0" collapsed="false">
      <c r="A10696" s="0" t="s">
        <v>323</v>
      </c>
      <c r="B10696" s="0" t="n">
        <v>7</v>
      </c>
      <c r="C10696" s="0" t="n">
        <v>1.4</v>
      </c>
      <c r="D10696" s="0" t="n">
        <v>0</v>
      </c>
    </row>
    <row r="10697" customFormat="false" ht="13.8" hidden="true" customHeight="false" outlineLevel="0" collapsed="false">
      <c r="A10697" s="0" t="s">
        <v>323</v>
      </c>
      <c r="B10697" s="0" t="n">
        <v>7</v>
      </c>
      <c r="C10697" s="0" t="n">
        <v>1.45</v>
      </c>
      <c r="D10697" s="0" t="n">
        <v>0</v>
      </c>
    </row>
    <row r="10698" customFormat="false" ht="13.8" hidden="true" customHeight="false" outlineLevel="0" collapsed="false">
      <c r="A10698" s="0" t="s">
        <v>323</v>
      </c>
      <c r="B10698" s="0" t="n">
        <v>7</v>
      </c>
      <c r="C10698" s="0" t="n">
        <v>1.5</v>
      </c>
      <c r="D10698" s="0" t="n">
        <v>0</v>
      </c>
    </row>
    <row r="10699" customFormat="false" ht="13.8" hidden="true" customHeight="false" outlineLevel="0" collapsed="false">
      <c r="A10699" s="0" t="s">
        <v>323</v>
      </c>
      <c r="B10699" s="0" t="n">
        <v>7</v>
      </c>
      <c r="C10699" s="0" t="n">
        <v>1.55</v>
      </c>
      <c r="D10699" s="0" t="n">
        <v>0</v>
      </c>
    </row>
    <row r="10700" customFormat="false" ht="13.8" hidden="true" customHeight="false" outlineLevel="0" collapsed="false">
      <c r="A10700" s="0" t="s">
        <v>323</v>
      </c>
      <c r="B10700" s="0" t="n">
        <v>7</v>
      </c>
      <c r="C10700" s="0" t="n">
        <v>1.6</v>
      </c>
      <c r="D10700" s="0" t="n">
        <v>0</v>
      </c>
    </row>
    <row r="10701" customFormat="false" ht="13.8" hidden="true" customHeight="false" outlineLevel="0" collapsed="false">
      <c r="A10701" s="0" t="s">
        <v>323</v>
      </c>
      <c r="B10701" s="0" t="n">
        <v>7</v>
      </c>
      <c r="C10701" s="0" t="n">
        <v>1.65</v>
      </c>
      <c r="D10701" s="0" t="n">
        <v>0</v>
      </c>
    </row>
    <row r="10702" customFormat="false" ht="13.8" hidden="true" customHeight="false" outlineLevel="0" collapsed="false">
      <c r="A10702" s="0" t="s">
        <v>323</v>
      </c>
      <c r="B10702" s="0" t="n">
        <v>7</v>
      </c>
      <c r="C10702" s="0" t="n">
        <v>1.7</v>
      </c>
      <c r="D10702" s="0" t="n">
        <v>0</v>
      </c>
    </row>
    <row r="10703" customFormat="false" ht="13.8" hidden="true" customHeight="false" outlineLevel="0" collapsed="false">
      <c r="A10703" s="0" t="s">
        <v>323</v>
      </c>
      <c r="B10703" s="0" t="n">
        <v>7</v>
      </c>
      <c r="C10703" s="0" t="n">
        <v>1.75</v>
      </c>
      <c r="D10703" s="0" t="n">
        <v>0</v>
      </c>
    </row>
    <row r="10704" customFormat="false" ht="13.8" hidden="true" customHeight="false" outlineLevel="0" collapsed="false">
      <c r="A10704" s="0" t="s">
        <v>323</v>
      </c>
      <c r="B10704" s="0" t="n">
        <v>7</v>
      </c>
      <c r="C10704" s="0" t="n">
        <v>1.8</v>
      </c>
      <c r="D10704" s="0" t="n">
        <v>0</v>
      </c>
    </row>
    <row r="10705" customFormat="false" ht="13.8" hidden="true" customHeight="false" outlineLevel="0" collapsed="false">
      <c r="A10705" s="0" t="s">
        <v>323</v>
      </c>
      <c r="B10705" s="0" t="n">
        <v>7</v>
      </c>
      <c r="C10705" s="0" t="n">
        <v>1.85</v>
      </c>
      <c r="D10705" s="0" t="n">
        <v>0</v>
      </c>
    </row>
    <row r="10706" customFormat="false" ht="13.8" hidden="true" customHeight="false" outlineLevel="0" collapsed="false">
      <c r="A10706" s="0" t="s">
        <v>323</v>
      </c>
      <c r="B10706" s="0" t="n">
        <v>7</v>
      </c>
      <c r="C10706" s="0" t="n">
        <v>1.9</v>
      </c>
      <c r="D10706" s="0" t="n">
        <v>0.08</v>
      </c>
    </row>
    <row r="10707" customFormat="false" ht="13.8" hidden="true" customHeight="false" outlineLevel="0" collapsed="false">
      <c r="A10707" s="0" t="s">
        <v>323</v>
      </c>
      <c r="B10707" s="0" t="n">
        <v>7</v>
      </c>
      <c r="C10707" s="0" t="n">
        <v>1.95</v>
      </c>
      <c r="D10707" s="0" t="n">
        <v>0.082</v>
      </c>
    </row>
    <row r="10708" customFormat="false" ht="13.8" hidden="true" customHeight="false" outlineLevel="0" collapsed="false">
      <c r="A10708" s="0" t="s">
        <v>323</v>
      </c>
      <c r="B10708" s="0" t="n">
        <v>7</v>
      </c>
      <c r="C10708" s="0" t="n">
        <v>2</v>
      </c>
      <c r="D10708" s="0" t="n">
        <v>0.081642764</v>
      </c>
    </row>
    <row r="10709" customFormat="false" ht="13.8" hidden="true" customHeight="false" outlineLevel="0" collapsed="false">
      <c r="A10709" s="0" t="s">
        <v>323</v>
      </c>
      <c r="B10709" s="0" t="n">
        <v>7</v>
      </c>
      <c r="C10709" s="0" t="n">
        <v>2.05</v>
      </c>
      <c r="D10709" s="0" t="n">
        <v>0.083683833</v>
      </c>
    </row>
    <row r="10710" customFormat="false" ht="13.8" hidden="true" customHeight="false" outlineLevel="0" collapsed="false">
      <c r="A10710" s="0" t="s">
        <v>323</v>
      </c>
      <c r="B10710" s="0" t="n">
        <v>7</v>
      </c>
      <c r="C10710" s="0" t="n">
        <v>2.1</v>
      </c>
      <c r="D10710" s="0" t="n">
        <v>0.085724902</v>
      </c>
    </row>
    <row r="10711" customFormat="false" ht="13.8" hidden="true" customHeight="false" outlineLevel="0" collapsed="false">
      <c r="A10711" s="0" t="s">
        <v>323</v>
      </c>
      <c r="B10711" s="0" t="n">
        <v>7</v>
      </c>
      <c r="C10711" s="0" t="n">
        <v>2.15</v>
      </c>
      <c r="D10711" s="0" t="n">
        <v>0.087765972</v>
      </c>
    </row>
    <row r="10712" customFormat="false" ht="13.8" hidden="true" customHeight="false" outlineLevel="0" collapsed="false">
      <c r="A10712" s="0" t="s">
        <v>323</v>
      </c>
      <c r="B10712" s="0" t="n">
        <v>7</v>
      </c>
      <c r="C10712" s="0" t="n">
        <v>2.2</v>
      </c>
      <c r="D10712" s="0" t="n">
        <v>0.091654412</v>
      </c>
    </row>
    <row r="10713" customFormat="false" ht="13.8" hidden="true" customHeight="false" outlineLevel="0" collapsed="false">
      <c r="A10713" s="0" t="s">
        <v>323</v>
      </c>
      <c r="B10713" s="0" t="n">
        <v>7</v>
      </c>
      <c r="C10713" s="0" t="n">
        <v>2.25</v>
      </c>
      <c r="D10713" s="0" t="n">
        <v>0.093737467</v>
      </c>
    </row>
    <row r="10714" customFormat="false" ht="13.8" hidden="true" customHeight="false" outlineLevel="0" collapsed="false">
      <c r="A10714" s="0" t="s">
        <v>323</v>
      </c>
      <c r="B10714" s="0" t="n">
        <v>7</v>
      </c>
      <c r="C10714" s="0" t="n">
        <v>2.3</v>
      </c>
      <c r="D10714" s="0" t="n">
        <v>0.095820522</v>
      </c>
    </row>
    <row r="10715" customFormat="false" ht="13.8" hidden="true" customHeight="false" outlineLevel="0" collapsed="false">
      <c r="A10715" s="0" t="s">
        <v>323</v>
      </c>
      <c r="B10715" s="0" t="n">
        <v>7</v>
      </c>
      <c r="C10715" s="0" t="n">
        <v>2.35</v>
      </c>
      <c r="D10715" s="0" t="n">
        <v>0.097903577</v>
      </c>
    </row>
    <row r="10716" customFormat="false" ht="13.8" hidden="true" customHeight="false" outlineLevel="0" collapsed="false">
      <c r="A10716" s="0" t="s">
        <v>323</v>
      </c>
      <c r="B10716" s="0" t="n">
        <v>7</v>
      </c>
      <c r="C10716" s="0" t="n">
        <v>2.4</v>
      </c>
      <c r="D10716" s="0" t="n">
        <v>0.099986632</v>
      </c>
    </row>
    <row r="10717" customFormat="false" ht="13.8" hidden="true" customHeight="false" outlineLevel="0" collapsed="false">
      <c r="A10717" s="0" t="s">
        <v>323</v>
      </c>
      <c r="B10717" s="0" t="n">
        <v>7</v>
      </c>
      <c r="C10717" s="0" t="n">
        <v>2.45</v>
      </c>
      <c r="D10717" s="0" t="n">
        <v>0.102069686</v>
      </c>
    </row>
    <row r="10718" customFormat="false" ht="13.8" hidden="true" customHeight="false" outlineLevel="0" collapsed="false">
      <c r="A10718" s="0" t="s">
        <v>323</v>
      </c>
      <c r="B10718" s="0" t="n">
        <v>7</v>
      </c>
      <c r="C10718" s="0" t="n">
        <v>2.5</v>
      </c>
      <c r="D10718" s="0" t="n">
        <v>0.104152741</v>
      </c>
    </row>
    <row r="10719" customFormat="false" ht="13.8" hidden="true" customHeight="false" outlineLevel="0" collapsed="false">
      <c r="A10719" s="0" t="s">
        <v>323</v>
      </c>
      <c r="B10719" s="0" t="n">
        <v>7</v>
      </c>
      <c r="C10719" s="0" t="n">
        <v>2.55</v>
      </c>
      <c r="D10719" s="0" t="n">
        <v>0.106235796</v>
      </c>
    </row>
    <row r="10720" customFormat="false" ht="13.8" hidden="true" customHeight="false" outlineLevel="0" collapsed="false">
      <c r="A10720" s="0" t="s">
        <v>323</v>
      </c>
      <c r="B10720" s="0" t="n">
        <v>7</v>
      </c>
      <c r="C10720" s="0" t="n">
        <v>2.6</v>
      </c>
      <c r="D10720" s="0" t="n">
        <v>0.108318851</v>
      </c>
    </row>
    <row r="10721" customFormat="false" ht="13.8" hidden="true" customHeight="false" outlineLevel="0" collapsed="false">
      <c r="A10721" s="0" t="s">
        <v>323</v>
      </c>
      <c r="B10721" s="0" t="n">
        <v>8</v>
      </c>
      <c r="C10721" s="0" t="n">
        <v>1.3</v>
      </c>
      <c r="D10721" s="0" t="n">
        <v>0</v>
      </c>
    </row>
    <row r="10722" customFormat="false" ht="13.8" hidden="true" customHeight="false" outlineLevel="0" collapsed="false">
      <c r="A10722" s="0" t="s">
        <v>323</v>
      </c>
      <c r="B10722" s="0" t="n">
        <v>8</v>
      </c>
      <c r="C10722" s="0" t="n">
        <v>1.35</v>
      </c>
      <c r="D10722" s="0" t="n">
        <v>0</v>
      </c>
    </row>
    <row r="10723" customFormat="false" ht="13.8" hidden="true" customHeight="false" outlineLevel="0" collapsed="false">
      <c r="A10723" s="0" t="s">
        <v>323</v>
      </c>
      <c r="B10723" s="0" t="n">
        <v>8</v>
      </c>
      <c r="C10723" s="0" t="n">
        <v>1.4</v>
      </c>
      <c r="D10723" s="0" t="n">
        <v>0</v>
      </c>
    </row>
    <row r="10724" customFormat="false" ht="13.8" hidden="true" customHeight="false" outlineLevel="0" collapsed="false">
      <c r="A10724" s="0" t="s">
        <v>323</v>
      </c>
      <c r="B10724" s="0" t="n">
        <v>8</v>
      </c>
      <c r="C10724" s="0" t="n">
        <v>1.45</v>
      </c>
      <c r="D10724" s="0" t="n">
        <v>0</v>
      </c>
    </row>
    <row r="10725" customFormat="false" ht="13.8" hidden="true" customHeight="false" outlineLevel="0" collapsed="false">
      <c r="A10725" s="0" t="s">
        <v>323</v>
      </c>
      <c r="B10725" s="0" t="n">
        <v>8</v>
      </c>
      <c r="C10725" s="0" t="n">
        <v>1.5</v>
      </c>
      <c r="D10725" s="0" t="n">
        <v>0</v>
      </c>
    </row>
    <row r="10726" customFormat="false" ht="13.8" hidden="true" customHeight="false" outlineLevel="0" collapsed="false">
      <c r="A10726" s="0" t="s">
        <v>323</v>
      </c>
      <c r="B10726" s="0" t="n">
        <v>8</v>
      </c>
      <c r="C10726" s="0" t="n">
        <v>1.55</v>
      </c>
      <c r="D10726" s="0" t="n">
        <v>0</v>
      </c>
    </row>
    <row r="10727" customFormat="false" ht="13.8" hidden="true" customHeight="false" outlineLevel="0" collapsed="false">
      <c r="A10727" s="0" t="s">
        <v>323</v>
      </c>
      <c r="B10727" s="0" t="n">
        <v>8</v>
      </c>
      <c r="C10727" s="0" t="n">
        <v>1.6</v>
      </c>
      <c r="D10727" s="0" t="n">
        <v>0</v>
      </c>
    </row>
    <row r="10728" customFormat="false" ht="13.8" hidden="true" customHeight="false" outlineLevel="0" collapsed="false">
      <c r="A10728" s="0" t="s">
        <v>323</v>
      </c>
      <c r="B10728" s="0" t="n">
        <v>8</v>
      </c>
      <c r="C10728" s="0" t="n">
        <v>1.65</v>
      </c>
      <c r="D10728" s="0" t="n">
        <v>0</v>
      </c>
    </row>
    <row r="10729" customFormat="false" ht="13.8" hidden="true" customHeight="false" outlineLevel="0" collapsed="false">
      <c r="A10729" s="0" t="s">
        <v>323</v>
      </c>
      <c r="B10729" s="0" t="n">
        <v>8</v>
      </c>
      <c r="C10729" s="0" t="n">
        <v>1.7</v>
      </c>
      <c r="D10729" s="0" t="n">
        <v>0</v>
      </c>
    </row>
    <row r="10730" customFormat="false" ht="13.8" hidden="true" customHeight="false" outlineLevel="0" collapsed="false">
      <c r="A10730" s="0" t="s">
        <v>323</v>
      </c>
      <c r="B10730" s="0" t="n">
        <v>8</v>
      </c>
      <c r="C10730" s="0" t="n">
        <v>1.75</v>
      </c>
      <c r="D10730" s="0" t="n">
        <v>0</v>
      </c>
    </row>
    <row r="10731" customFormat="false" ht="13.8" hidden="true" customHeight="false" outlineLevel="0" collapsed="false">
      <c r="A10731" s="0" t="s">
        <v>323</v>
      </c>
      <c r="B10731" s="0" t="n">
        <v>8</v>
      </c>
      <c r="C10731" s="0" t="n">
        <v>1.8</v>
      </c>
      <c r="D10731" s="0" t="n">
        <v>0</v>
      </c>
    </row>
    <row r="10732" customFormat="false" ht="13.8" hidden="true" customHeight="false" outlineLevel="0" collapsed="false">
      <c r="A10732" s="0" t="s">
        <v>323</v>
      </c>
      <c r="B10732" s="0" t="n">
        <v>8</v>
      </c>
      <c r="C10732" s="0" t="n">
        <v>1.85</v>
      </c>
      <c r="D10732" s="0" t="n">
        <v>0</v>
      </c>
    </row>
    <row r="10733" customFormat="false" ht="13.8" hidden="true" customHeight="false" outlineLevel="0" collapsed="false">
      <c r="A10733" s="0" t="s">
        <v>323</v>
      </c>
      <c r="B10733" s="0" t="n">
        <v>8</v>
      </c>
      <c r="C10733" s="0" t="n">
        <v>1.9</v>
      </c>
      <c r="D10733" s="0" t="n">
        <v>0.08</v>
      </c>
    </row>
    <row r="10734" customFormat="false" ht="13.8" hidden="true" customHeight="false" outlineLevel="0" collapsed="false">
      <c r="A10734" s="0" t="s">
        <v>323</v>
      </c>
      <c r="B10734" s="0" t="n">
        <v>8</v>
      </c>
      <c r="C10734" s="0" t="n">
        <v>1.95</v>
      </c>
      <c r="D10734" s="0" t="n">
        <v>0.082</v>
      </c>
    </row>
    <row r="10735" customFormat="false" ht="13.8" hidden="true" customHeight="false" outlineLevel="0" collapsed="false">
      <c r="A10735" s="0" t="s">
        <v>323</v>
      </c>
      <c r="B10735" s="0" t="n">
        <v>8</v>
      </c>
      <c r="C10735" s="0" t="n">
        <v>2</v>
      </c>
      <c r="D10735" s="0" t="n">
        <v>0.081642764</v>
      </c>
    </row>
    <row r="10736" customFormat="false" ht="13.8" hidden="true" customHeight="false" outlineLevel="0" collapsed="false">
      <c r="A10736" s="0" t="s">
        <v>323</v>
      </c>
      <c r="B10736" s="0" t="n">
        <v>8</v>
      </c>
      <c r="C10736" s="0" t="n">
        <v>2.05</v>
      </c>
      <c r="D10736" s="0" t="n">
        <v>0.083683833</v>
      </c>
    </row>
    <row r="10737" customFormat="false" ht="13.8" hidden="true" customHeight="false" outlineLevel="0" collapsed="false">
      <c r="A10737" s="0" t="s">
        <v>323</v>
      </c>
      <c r="B10737" s="0" t="n">
        <v>8</v>
      </c>
      <c r="C10737" s="0" t="n">
        <v>2.1</v>
      </c>
      <c r="D10737" s="0" t="n">
        <v>0.085724902</v>
      </c>
    </row>
    <row r="10738" customFormat="false" ht="13.8" hidden="true" customHeight="false" outlineLevel="0" collapsed="false">
      <c r="A10738" s="0" t="s">
        <v>323</v>
      </c>
      <c r="B10738" s="0" t="n">
        <v>8</v>
      </c>
      <c r="C10738" s="0" t="n">
        <v>2.15</v>
      </c>
      <c r="D10738" s="0" t="n">
        <v>0.087765972</v>
      </c>
    </row>
    <row r="10739" customFormat="false" ht="13.8" hidden="true" customHeight="false" outlineLevel="0" collapsed="false">
      <c r="A10739" s="0" t="s">
        <v>323</v>
      </c>
      <c r="B10739" s="0" t="n">
        <v>8</v>
      </c>
      <c r="C10739" s="0" t="n">
        <v>2.2</v>
      </c>
      <c r="D10739" s="0" t="n">
        <v>0.091654412</v>
      </c>
    </row>
    <row r="10740" customFormat="false" ht="13.8" hidden="true" customHeight="false" outlineLevel="0" collapsed="false">
      <c r="A10740" s="0" t="s">
        <v>323</v>
      </c>
      <c r="B10740" s="0" t="n">
        <v>8</v>
      </c>
      <c r="C10740" s="0" t="n">
        <v>2.25</v>
      </c>
      <c r="D10740" s="0" t="n">
        <v>0.093737467</v>
      </c>
    </row>
    <row r="10741" customFormat="false" ht="13.8" hidden="true" customHeight="false" outlineLevel="0" collapsed="false">
      <c r="A10741" s="0" t="s">
        <v>323</v>
      </c>
      <c r="B10741" s="0" t="n">
        <v>8</v>
      </c>
      <c r="C10741" s="0" t="n">
        <v>2.3</v>
      </c>
      <c r="D10741" s="0" t="n">
        <v>0.095820522</v>
      </c>
    </row>
    <row r="10742" customFormat="false" ht="13.8" hidden="true" customHeight="false" outlineLevel="0" collapsed="false">
      <c r="A10742" s="0" t="s">
        <v>323</v>
      </c>
      <c r="B10742" s="0" t="n">
        <v>8</v>
      </c>
      <c r="C10742" s="0" t="n">
        <v>2.35</v>
      </c>
      <c r="D10742" s="0" t="n">
        <v>0.097903577</v>
      </c>
    </row>
    <row r="10743" customFormat="false" ht="13.8" hidden="true" customHeight="false" outlineLevel="0" collapsed="false">
      <c r="A10743" s="0" t="s">
        <v>323</v>
      </c>
      <c r="B10743" s="0" t="n">
        <v>8</v>
      </c>
      <c r="C10743" s="0" t="n">
        <v>2.4</v>
      </c>
      <c r="D10743" s="0" t="n">
        <v>0.099986632</v>
      </c>
    </row>
    <row r="10744" customFormat="false" ht="13.8" hidden="true" customHeight="false" outlineLevel="0" collapsed="false">
      <c r="A10744" s="0" t="s">
        <v>323</v>
      </c>
      <c r="B10744" s="0" t="n">
        <v>8</v>
      </c>
      <c r="C10744" s="0" t="n">
        <v>2.45</v>
      </c>
      <c r="D10744" s="0" t="n">
        <v>0.102069686</v>
      </c>
    </row>
    <row r="10745" customFormat="false" ht="13.8" hidden="true" customHeight="false" outlineLevel="0" collapsed="false">
      <c r="A10745" s="0" t="s">
        <v>323</v>
      </c>
      <c r="B10745" s="0" t="n">
        <v>8</v>
      </c>
      <c r="C10745" s="0" t="n">
        <v>2.5</v>
      </c>
      <c r="D10745" s="0" t="n">
        <v>0.104152741</v>
      </c>
    </row>
    <row r="10746" customFormat="false" ht="13.8" hidden="true" customHeight="false" outlineLevel="0" collapsed="false">
      <c r="A10746" s="0" t="s">
        <v>323</v>
      </c>
      <c r="B10746" s="0" t="n">
        <v>8</v>
      </c>
      <c r="C10746" s="0" t="n">
        <v>2.55</v>
      </c>
      <c r="D10746" s="0" t="n">
        <v>0.106235796</v>
      </c>
    </row>
    <row r="10747" customFormat="false" ht="13.8" hidden="true" customHeight="false" outlineLevel="0" collapsed="false">
      <c r="A10747" s="0" t="s">
        <v>323</v>
      </c>
      <c r="B10747" s="0" t="n">
        <v>8</v>
      </c>
      <c r="C10747" s="0" t="n">
        <v>2.6</v>
      </c>
      <c r="D10747" s="0" t="n">
        <v>0.108318851</v>
      </c>
    </row>
    <row r="10748" customFormat="false" ht="13.8" hidden="true" customHeight="false" outlineLevel="0" collapsed="false">
      <c r="A10748" s="0" t="s">
        <v>201</v>
      </c>
      <c r="B10748" s="0" t="n">
        <v>7</v>
      </c>
      <c r="C10748" s="0" t="n">
        <v>1.3</v>
      </c>
      <c r="D10748" s="0" t="n">
        <v>0</v>
      </c>
    </row>
    <row r="10749" customFormat="false" ht="13.8" hidden="true" customHeight="false" outlineLevel="0" collapsed="false">
      <c r="A10749" s="0" t="s">
        <v>201</v>
      </c>
      <c r="B10749" s="0" t="n">
        <v>7</v>
      </c>
      <c r="C10749" s="0" t="n">
        <v>1.35</v>
      </c>
      <c r="D10749" s="0" t="n">
        <v>0</v>
      </c>
    </row>
    <row r="10750" customFormat="false" ht="13.8" hidden="true" customHeight="false" outlineLevel="0" collapsed="false">
      <c r="A10750" s="0" t="s">
        <v>201</v>
      </c>
      <c r="B10750" s="0" t="n">
        <v>7</v>
      </c>
      <c r="C10750" s="0" t="n">
        <v>1.4</v>
      </c>
      <c r="D10750" s="0" t="n">
        <v>0</v>
      </c>
    </row>
    <row r="10751" customFormat="false" ht="13.8" hidden="true" customHeight="false" outlineLevel="0" collapsed="false">
      <c r="A10751" s="0" t="s">
        <v>201</v>
      </c>
      <c r="B10751" s="0" t="n">
        <v>7</v>
      </c>
      <c r="C10751" s="0" t="n">
        <v>1.45</v>
      </c>
      <c r="D10751" s="0" t="n">
        <v>0</v>
      </c>
    </row>
    <row r="10752" customFormat="false" ht="13.8" hidden="true" customHeight="false" outlineLevel="0" collapsed="false">
      <c r="A10752" s="0" t="s">
        <v>201</v>
      </c>
      <c r="B10752" s="0" t="n">
        <v>7</v>
      </c>
      <c r="C10752" s="0" t="n">
        <v>1.5</v>
      </c>
      <c r="D10752" s="0" t="n">
        <v>0</v>
      </c>
    </row>
    <row r="10753" customFormat="false" ht="13.8" hidden="true" customHeight="false" outlineLevel="0" collapsed="false">
      <c r="A10753" s="0" t="s">
        <v>201</v>
      </c>
      <c r="B10753" s="0" t="n">
        <v>7</v>
      </c>
      <c r="C10753" s="0" t="n">
        <v>1.55</v>
      </c>
      <c r="D10753" s="0" t="n">
        <v>0</v>
      </c>
    </row>
    <row r="10754" customFormat="false" ht="13.8" hidden="true" customHeight="false" outlineLevel="0" collapsed="false">
      <c r="A10754" s="0" t="s">
        <v>201</v>
      </c>
      <c r="B10754" s="0" t="n">
        <v>7</v>
      </c>
      <c r="C10754" s="0" t="n">
        <v>1.6</v>
      </c>
      <c r="D10754" s="0" t="n">
        <v>0.035</v>
      </c>
    </row>
    <row r="10755" customFormat="false" ht="13.8" hidden="true" customHeight="false" outlineLevel="0" collapsed="false">
      <c r="A10755" s="0" t="s">
        <v>201</v>
      </c>
      <c r="B10755" s="0" t="n">
        <v>7</v>
      </c>
      <c r="C10755" s="0" t="n">
        <v>1.65</v>
      </c>
      <c r="D10755" s="0" t="n">
        <v>0.036</v>
      </c>
    </row>
    <row r="10756" customFormat="false" ht="13.8" hidden="true" customHeight="false" outlineLevel="0" collapsed="false">
      <c r="A10756" s="0" t="s">
        <v>201</v>
      </c>
      <c r="B10756" s="0" t="n">
        <v>7</v>
      </c>
      <c r="C10756" s="0" t="n">
        <v>1.7</v>
      </c>
      <c r="D10756" s="0" t="n">
        <v>0.037</v>
      </c>
    </row>
    <row r="10757" customFormat="false" ht="13.8" hidden="true" customHeight="false" outlineLevel="0" collapsed="false">
      <c r="A10757" s="0" t="s">
        <v>201</v>
      </c>
      <c r="B10757" s="0" t="n">
        <v>7</v>
      </c>
      <c r="C10757" s="0" t="n">
        <v>1.75</v>
      </c>
      <c r="D10757" s="0" t="n">
        <v>0.038</v>
      </c>
    </row>
    <row r="10758" customFormat="false" ht="13.8" hidden="true" customHeight="false" outlineLevel="0" collapsed="false">
      <c r="A10758" s="0" t="s">
        <v>201</v>
      </c>
      <c r="B10758" s="0" t="n">
        <v>7</v>
      </c>
      <c r="C10758" s="0" t="n">
        <v>1.8</v>
      </c>
      <c r="D10758" s="0" t="n">
        <v>0.038</v>
      </c>
    </row>
    <row r="10759" customFormat="false" ht="13.8" hidden="true" customHeight="false" outlineLevel="0" collapsed="false">
      <c r="A10759" s="0" t="s">
        <v>201</v>
      </c>
      <c r="B10759" s="0" t="n">
        <v>7</v>
      </c>
      <c r="C10759" s="0" t="n">
        <v>1.85</v>
      </c>
      <c r="D10759" s="0" t="n">
        <v>0.039</v>
      </c>
    </row>
    <row r="10760" customFormat="false" ht="13.8" hidden="true" customHeight="false" outlineLevel="0" collapsed="false">
      <c r="A10760" s="0" t="s">
        <v>201</v>
      </c>
      <c r="B10760" s="0" t="n">
        <v>7</v>
      </c>
      <c r="C10760" s="0" t="n">
        <v>1.9</v>
      </c>
      <c r="D10760" s="0" t="n">
        <v>0.040106217</v>
      </c>
    </row>
    <row r="10761" customFormat="false" ht="13.8" hidden="true" customHeight="false" outlineLevel="0" collapsed="false">
      <c r="A10761" s="0" t="s">
        <v>201</v>
      </c>
      <c r="B10761" s="0" t="n">
        <v>7</v>
      </c>
      <c r="C10761" s="0" t="n">
        <v>1.95</v>
      </c>
      <c r="D10761" s="0" t="n">
        <v>0.041161644</v>
      </c>
    </row>
    <row r="10762" customFormat="false" ht="13.8" hidden="true" customHeight="false" outlineLevel="0" collapsed="false">
      <c r="A10762" s="0" t="s">
        <v>201</v>
      </c>
      <c r="B10762" s="0" t="n">
        <v>7</v>
      </c>
      <c r="C10762" s="0" t="n">
        <v>2</v>
      </c>
      <c r="D10762" s="0" t="n">
        <v>0.040821382</v>
      </c>
    </row>
    <row r="10763" customFormat="false" ht="13.8" hidden="true" customHeight="false" outlineLevel="0" collapsed="false">
      <c r="A10763" s="0" t="s">
        <v>201</v>
      </c>
      <c r="B10763" s="0" t="n">
        <v>7</v>
      </c>
      <c r="C10763" s="0" t="n">
        <v>2.05</v>
      </c>
      <c r="D10763" s="0" t="n">
        <v>0.041841917</v>
      </c>
    </row>
    <row r="10764" customFormat="false" ht="13.8" hidden="true" customHeight="false" outlineLevel="0" collapsed="false">
      <c r="A10764" s="0" t="s">
        <v>201</v>
      </c>
      <c r="B10764" s="0" t="n">
        <v>7</v>
      </c>
      <c r="C10764" s="0" t="n">
        <v>2.1</v>
      </c>
      <c r="D10764" s="0" t="n">
        <v>0.042862451</v>
      </c>
    </row>
    <row r="10765" customFormat="false" ht="13.8" hidden="true" customHeight="false" outlineLevel="0" collapsed="false">
      <c r="A10765" s="0" t="s">
        <v>201</v>
      </c>
      <c r="B10765" s="0" t="n">
        <v>7</v>
      </c>
      <c r="C10765" s="0" t="n">
        <v>2.15</v>
      </c>
      <c r="D10765" s="0" t="n">
        <v>0.043882986</v>
      </c>
    </row>
    <row r="10766" customFormat="false" ht="13.8" hidden="true" customHeight="false" outlineLevel="0" collapsed="false">
      <c r="A10766" s="0" t="s">
        <v>201</v>
      </c>
      <c r="B10766" s="0" t="n">
        <v>7</v>
      </c>
      <c r="C10766" s="0" t="n">
        <v>2.2</v>
      </c>
      <c r="D10766" s="0" t="n">
        <v>0.045827206</v>
      </c>
    </row>
    <row r="10767" customFormat="false" ht="13.8" hidden="true" customHeight="false" outlineLevel="0" collapsed="false">
      <c r="A10767" s="0" t="s">
        <v>201</v>
      </c>
      <c r="B10767" s="0" t="n">
        <v>7</v>
      </c>
      <c r="C10767" s="0" t="n">
        <v>2.25</v>
      </c>
      <c r="D10767" s="0" t="n">
        <v>0.046868734</v>
      </c>
    </row>
    <row r="10768" customFormat="false" ht="13.8" hidden="true" customHeight="false" outlineLevel="0" collapsed="false">
      <c r="A10768" s="0" t="s">
        <v>201</v>
      </c>
      <c r="B10768" s="0" t="n">
        <v>7</v>
      </c>
      <c r="C10768" s="0" t="n">
        <v>2.3</v>
      </c>
      <c r="D10768" s="0" t="n">
        <v>0.047910261</v>
      </c>
    </row>
    <row r="10769" customFormat="false" ht="13.8" hidden="true" customHeight="false" outlineLevel="0" collapsed="false">
      <c r="A10769" s="0" t="s">
        <v>201</v>
      </c>
      <c r="B10769" s="0" t="n">
        <v>7</v>
      </c>
      <c r="C10769" s="0" t="n">
        <v>2.35</v>
      </c>
      <c r="D10769" s="0" t="n">
        <v>0.048951788</v>
      </c>
    </row>
    <row r="10770" customFormat="false" ht="13.8" hidden="true" customHeight="false" outlineLevel="0" collapsed="false">
      <c r="A10770" s="0" t="s">
        <v>201</v>
      </c>
      <c r="B10770" s="0" t="n">
        <v>7</v>
      </c>
      <c r="C10770" s="0" t="n">
        <v>2.4</v>
      </c>
      <c r="D10770" s="0" t="n">
        <v>0.049993316</v>
      </c>
    </row>
    <row r="10771" customFormat="false" ht="13.8" hidden="true" customHeight="false" outlineLevel="0" collapsed="false">
      <c r="A10771" s="0" t="s">
        <v>201</v>
      </c>
      <c r="B10771" s="0" t="n">
        <v>7</v>
      </c>
      <c r="C10771" s="0" t="n">
        <v>2.45</v>
      </c>
      <c r="D10771" s="0" t="n">
        <v>0.051034843</v>
      </c>
    </row>
    <row r="10772" customFormat="false" ht="13.8" hidden="true" customHeight="false" outlineLevel="0" collapsed="false">
      <c r="A10772" s="0" t="s">
        <v>201</v>
      </c>
      <c r="B10772" s="0" t="n">
        <v>7</v>
      </c>
      <c r="C10772" s="0" t="n">
        <v>2.5</v>
      </c>
      <c r="D10772" s="0" t="n">
        <v>0.052076371</v>
      </c>
    </row>
    <row r="10773" customFormat="false" ht="13.8" hidden="true" customHeight="false" outlineLevel="0" collapsed="false">
      <c r="A10773" s="0" t="s">
        <v>201</v>
      </c>
      <c r="B10773" s="0" t="n">
        <v>7</v>
      </c>
      <c r="C10773" s="0" t="n">
        <v>2.55</v>
      </c>
      <c r="D10773" s="0" t="n">
        <v>0.053117898</v>
      </c>
    </row>
    <row r="10774" customFormat="false" ht="13.8" hidden="true" customHeight="false" outlineLevel="0" collapsed="false">
      <c r="A10774" s="0" t="s">
        <v>201</v>
      </c>
      <c r="B10774" s="0" t="n">
        <v>7</v>
      </c>
      <c r="C10774" s="0" t="n">
        <v>2.6</v>
      </c>
      <c r="D10774" s="0" t="n">
        <v>0.054159425</v>
      </c>
    </row>
    <row r="10775" customFormat="false" ht="13.8" hidden="true" customHeight="false" outlineLevel="0" collapsed="false">
      <c r="A10775" s="0" t="s">
        <v>201</v>
      </c>
      <c r="B10775" s="0" t="n">
        <v>8</v>
      </c>
      <c r="C10775" s="0" t="n">
        <v>1.3</v>
      </c>
      <c r="D10775" s="0" t="n">
        <v>0</v>
      </c>
    </row>
    <row r="10776" customFormat="false" ht="13.8" hidden="true" customHeight="false" outlineLevel="0" collapsed="false">
      <c r="A10776" s="0" t="s">
        <v>201</v>
      </c>
      <c r="B10776" s="0" t="n">
        <v>8</v>
      </c>
      <c r="C10776" s="0" t="n">
        <v>1.35</v>
      </c>
      <c r="D10776" s="0" t="n">
        <v>0</v>
      </c>
    </row>
    <row r="10777" customFormat="false" ht="13.8" hidden="true" customHeight="false" outlineLevel="0" collapsed="false">
      <c r="A10777" s="0" t="s">
        <v>201</v>
      </c>
      <c r="B10777" s="0" t="n">
        <v>8</v>
      </c>
      <c r="C10777" s="0" t="n">
        <v>1.4</v>
      </c>
      <c r="D10777" s="0" t="n">
        <v>0</v>
      </c>
    </row>
    <row r="10778" customFormat="false" ht="13.8" hidden="true" customHeight="false" outlineLevel="0" collapsed="false">
      <c r="A10778" s="0" t="s">
        <v>201</v>
      </c>
      <c r="B10778" s="0" t="n">
        <v>8</v>
      </c>
      <c r="C10778" s="0" t="n">
        <v>1.45</v>
      </c>
      <c r="D10778" s="0" t="n">
        <v>0</v>
      </c>
    </row>
    <row r="10779" customFormat="false" ht="13.8" hidden="true" customHeight="false" outlineLevel="0" collapsed="false">
      <c r="A10779" s="0" t="s">
        <v>201</v>
      </c>
      <c r="B10779" s="0" t="n">
        <v>8</v>
      </c>
      <c r="C10779" s="0" t="n">
        <v>1.5</v>
      </c>
      <c r="D10779" s="0" t="n">
        <v>0</v>
      </c>
    </row>
    <row r="10780" customFormat="false" ht="13.8" hidden="true" customHeight="false" outlineLevel="0" collapsed="false">
      <c r="A10780" s="0" t="s">
        <v>201</v>
      </c>
      <c r="B10780" s="0" t="n">
        <v>8</v>
      </c>
      <c r="C10780" s="0" t="n">
        <v>1.55</v>
      </c>
      <c r="D10780" s="0" t="n">
        <v>0</v>
      </c>
    </row>
    <row r="10781" customFormat="false" ht="13.8" hidden="true" customHeight="false" outlineLevel="0" collapsed="false">
      <c r="A10781" s="0" t="s">
        <v>201</v>
      </c>
      <c r="B10781" s="0" t="n">
        <v>8</v>
      </c>
      <c r="C10781" s="0" t="n">
        <v>1.6</v>
      </c>
      <c r="D10781" s="0" t="n">
        <v>0.035</v>
      </c>
    </row>
    <row r="10782" customFormat="false" ht="13.8" hidden="true" customHeight="false" outlineLevel="0" collapsed="false">
      <c r="A10782" s="0" t="s">
        <v>201</v>
      </c>
      <c r="B10782" s="0" t="n">
        <v>8</v>
      </c>
      <c r="C10782" s="0" t="n">
        <v>1.65</v>
      </c>
      <c r="D10782" s="0" t="n">
        <v>0.036</v>
      </c>
    </row>
    <row r="10783" customFormat="false" ht="13.8" hidden="true" customHeight="false" outlineLevel="0" collapsed="false">
      <c r="A10783" s="0" t="s">
        <v>201</v>
      </c>
      <c r="B10783" s="0" t="n">
        <v>8</v>
      </c>
      <c r="C10783" s="0" t="n">
        <v>1.7</v>
      </c>
      <c r="D10783" s="0" t="n">
        <v>0.037</v>
      </c>
    </row>
    <row r="10784" customFormat="false" ht="13.8" hidden="true" customHeight="false" outlineLevel="0" collapsed="false">
      <c r="A10784" s="0" t="s">
        <v>201</v>
      </c>
      <c r="B10784" s="0" t="n">
        <v>8</v>
      </c>
      <c r="C10784" s="0" t="n">
        <v>1.75</v>
      </c>
      <c r="D10784" s="0" t="n">
        <v>0.038</v>
      </c>
    </row>
    <row r="10785" customFormat="false" ht="13.8" hidden="true" customHeight="false" outlineLevel="0" collapsed="false">
      <c r="A10785" s="0" t="s">
        <v>201</v>
      </c>
      <c r="B10785" s="0" t="n">
        <v>8</v>
      </c>
      <c r="C10785" s="0" t="n">
        <v>1.8</v>
      </c>
      <c r="D10785" s="0" t="n">
        <v>0.038</v>
      </c>
    </row>
    <row r="10786" customFormat="false" ht="13.8" hidden="true" customHeight="false" outlineLevel="0" collapsed="false">
      <c r="A10786" s="0" t="s">
        <v>201</v>
      </c>
      <c r="B10786" s="0" t="n">
        <v>8</v>
      </c>
      <c r="C10786" s="0" t="n">
        <v>1.85</v>
      </c>
      <c r="D10786" s="0" t="n">
        <v>0.039</v>
      </c>
    </row>
    <row r="10787" customFormat="false" ht="13.8" hidden="true" customHeight="false" outlineLevel="0" collapsed="false">
      <c r="A10787" s="0" t="s">
        <v>201</v>
      </c>
      <c r="B10787" s="0" t="n">
        <v>8</v>
      </c>
      <c r="C10787" s="0" t="n">
        <v>1.9</v>
      </c>
      <c r="D10787" s="0" t="n">
        <v>0.04</v>
      </c>
    </row>
    <row r="10788" customFormat="false" ht="13.8" hidden="true" customHeight="false" outlineLevel="0" collapsed="false">
      <c r="A10788" s="0" t="s">
        <v>201</v>
      </c>
      <c r="B10788" s="0" t="n">
        <v>8</v>
      </c>
      <c r="C10788" s="0" t="n">
        <v>1.95</v>
      </c>
      <c r="D10788" s="0" t="n">
        <v>0.041</v>
      </c>
    </row>
    <row r="10789" customFormat="false" ht="13.8" hidden="true" customHeight="false" outlineLevel="0" collapsed="false">
      <c r="A10789" s="0" t="s">
        <v>201</v>
      </c>
      <c r="B10789" s="0" t="n">
        <v>8</v>
      </c>
      <c r="C10789" s="0" t="n">
        <v>2</v>
      </c>
      <c r="D10789" s="0" t="n">
        <v>0.041</v>
      </c>
    </row>
    <row r="10790" customFormat="false" ht="13.8" hidden="true" customHeight="false" outlineLevel="0" collapsed="false">
      <c r="A10790" s="0" t="s">
        <v>201</v>
      </c>
      <c r="B10790" s="0" t="n">
        <v>8</v>
      </c>
      <c r="C10790" s="0" t="n">
        <v>2.05</v>
      </c>
      <c r="D10790" s="0" t="n">
        <v>0.042</v>
      </c>
    </row>
    <row r="10791" customFormat="false" ht="13.8" hidden="true" customHeight="false" outlineLevel="0" collapsed="false">
      <c r="A10791" s="0" t="s">
        <v>201</v>
      </c>
      <c r="B10791" s="0" t="n">
        <v>8</v>
      </c>
      <c r="C10791" s="0" t="n">
        <v>2.1</v>
      </c>
      <c r="D10791" s="0" t="n">
        <v>0.043</v>
      </c>
    </row>
    <row r="10792" customFormat="false" ht="13.8" hidden="true" customHeight="false" outlineLevel="0" collapsed="false">
      <c r="A10792" s="0" t="s">
        <v>201</v>
      </c>
      <c r="B10792" s="0" t="n">
        <v>8</v>
      </c>
      <c r="C10792" s="0" t="n">
        <v>2.15</v>
      </c>
      <c r="D10792" s="0" t="n">
        <v>0.043882986</v>
      </c>
    </row>
    <row r="10793" customFormat="false" ht="13.8" hidden="true" customHeight="false" outlineLevel="0" collapsed="false">
      <c r="A10793" s="0" t="s">
        <v>201</v>
      </c>
      <c r="B10793" s="0" t="n">
        <v>8</v>
      </c>
      <c r="C10793" s="0" t="n">
        <v>2.2</v>
      </c>
      <c r="D10793" s="0" t="n">
        <v>0.045827206</v>
      </c>
    </row>
    <row r="10794" customFormat="false" ht="13.8" hidden="true" customHeight="false" outlineLevel="0" collapsed="false">
      <c r="A10794" s="0" t="s">
        <v>201</v>
      </c>
      <c r="B10794" s="0" t="n">
        <v>8</v>
      </c>
      <c r="C10794" s="0" t="n">
        <v>2.25</v>
      </c>
      <c r="D10794" s="0" t="n">
        <v>0.046868734</v>
      </c>
    </row>
    <row r="10795" customFormat="false" ht="13.8" hidden="true" customHeight="false" outlineLevel="0" collapsed="false">
      <c r="A10795" s="0" t="s">
        <v>201</v>
      </c>
      <c r="B10795" s="0" t="n">
        <v>8</v>
      </c>
      <c r="C10795" s="0" t="n">
        <v>2.3</v>
      </c>
      <c r="D10795" s="0" t="n">
        <v>0.047910261</v>
      </c>
    </row>
    <row r="10796" customFormat="false" ht="13.8" hidden="true" customHeight="false" outlineLevel="0" collapsed="false">
      <c r="A10796" s="0" t="s">
        <v>201</v>
      </c>
      <c r="B10796" s="0" t="n">
        <v>8</v>
      </c>
      <c r="C10796" s="0" t="n">
        <v>2.35</v>
      </c>
      <c r="D10796" s="0" t="n">
        <v>0.048951788</v>
      </c>
    </row>
    <row r="10797" customFormat="false" ht="13.8" hidden="true" customHeight="false" outlineLevel="0" collapsed="false">
      <c r="A10797" s="0" t="s">
        <v>201</v>
      </c>
      <c r="B10797" s="0" t="n">
        <v>8</v>
      </c>
      <c r="C10797" s="0" t="n">
        <v>2.4</v>
      </c>
      <c r="D10797" s="0" t="n">
        <v>0.049993316</v>
      </c>
    </row>
    <row r="10798" customFormat="false" ht="13.8" hidden="true" customHeight="false" outlineLevel="0" collapsed="false">
      <c r="A10798" s="0" t="s">
        <v>201</v>
      </c>
      <c r="B10798" s="0" t="n">
        <v>8</v>
      </c>
      <c r="C10798" s="0" t="n">
        <v>2.45</v>
      </c>
      <c r="D10798" s="0" t="n">
        <v>0.051034843</v>
      </c>
    </row>
    <row r="10799" customFormat="false" ht="13.8" hidden="true" customHeight="false" outlineLevel="0" collapsed="false">
      <c r="A10799" s="0" t="s">
        <v>201</v>
      </c>
      <c r="B10799" s="0" t="n">
        <v>8</v>
      </c>
      <c r="C10799" s="0" t="n">
        <v>2.5</v>
      </c>
      <c r="D10799" s="0" t="n">
        <v>0.052076371</v>
      </c>
    </row>
    <row r="10800" customFormat="false" ht="13.8" hidden="true" customHeight="false" outlineLevel="0" collapsed="false">
      <c r="A10800" s="0" t="s">
        <v>201</v>
      </c>
      <c r="B10800" s="0" t="n">
        <v>8</v>
      </c>
      <c r="C10800" s="0" t="n">
        <v>2.55</v>
      </c>
      <c r="D10800" s="0" t="n">
        <v>0.053117898</v>
      </c>
    </row>
    <row r="10801" customFormat="false" ht="13.8" hidden="true" customHeight="false" outlineLevel="0" collapsed="false">
      <c r="A10801" s="0" t="s">
        <v>201</v>
      </c>
      <c r="B10801" s="0" t="n">
        <v>8</v>
      </c>
      <c r="C10801" s="0" t="n">
        <v>2.6</v>
      </c>
      <c r="D10801" s="0" t="n">
        <v>0.054159425</v>
      </c>
    </row>
    <row r="10802" customFormat="false" ht="13.8" hidden="true" customHeight="false" outlineLevel="0" collapsed="false">
      <c r="A10802" s="0" t="s">
        <v>324</v>
      </c>
      <c r="B10802" s="0" t="n">
        <v>7</v>
      </c>
      <c r="C10802" s="0" t="n">
        <v>1.3</v>
      </c>
      <c r="D10802" s="0" t="n">
        <v>0</v>
      </c>
    </row>
    <row r="10803" customFormat="false" ht="13.8" hidden="true" customHeight="false" outlineLevel="0" collapsed="false">
      <c r="A10803" s="0" t="s">
        <v>324</v>
      </c>
      <c r="B10803" s="0" t="n">
        <v>7</v>
      </c>
      <c r="C10803" s="0" t="n">
        <v>1.35</v>
      </c>
      <c r="D10803" s="0" t="n">
        <v>0</v>
      </c>
    </row>
    <row r="10804" customFormat="false" ht="13.8" hidden="true" customHeight="false" outlineLevel="0" collapsed="false">
      <c r="A10804" s="0" t="s">
        <v>324</v>
      </c>
      <c r="B10804" s="0" t="n">
        <v>7</v>
      </c>
      <c r="C10804" s="0" t="n">
        <v>1.4</v>
      </c>
      <c r="D10804" s="0" t="n">
        <v>0</v>
      </c>
    </row>
    <row r="10805" customFormat="false" ht="13.8" hidden="true" customHeight="false" outlineLevel="0" collapsed="false">
      <c r="A10805" s="0" t="s">
        <v>324</v>
      </c>
      <c r="B10805" s="0" t="n">
        <v>7</v>
      </c>
      <c r="C10805" s="0" t="n">
        <v>1.45</v>
      </c>
      <c r="D10805" s="0" t="n">
        <v>0</v>
      </c>
    </row>
    <row r="10806" customFormat="false" ht="13.8" hidden="true" customHeight="false" outlineLevel="0" collapsed="false">
      <c r="A10806" s="0" t="s">
        <v>324</v>
      </c>
      <c r="B10806" s="0" t="n">
        <v>7</v>
      </c>
      <c r="C10806" s="0" t="n">
        <v>1.5</v>
      </c>
      <c r="D10806" s="0" t="n">
        <v>0</v>
      </c>
    </row>
    <row r="10807" customFormat="false" ht="13.8" hidden="true" customHeight="false" outlineLevel="0" collapsed="false">
      <c r="A10807" s="0" t="s">
        <v>324</v>
      </c>
      <c r="B10807" s="0" t="n">
        <v>7</v>
      </c>
      <c r="C10807" s="0" t="n">
        <v>1.55</v>
      </c>
      <c r="D10807" s="0" t="n">
        <v>0</v>
      </c>
    </row>
    <row r="10808" customFormat="false" ht="13.8" hidden="true" customHeight="false" outlineLevel="0" collapsed="false">
      <c r="A10808" s="0" t="s">
        <v>324</v>
      </c>
      <c r="B10808" s="0" t="n">
        <v>7</v>
      </c>
      <c r="C10808" s="0" t="n">
        <v>1.6</v>
      </c>
      <c r="D10808" s="0" t="n">
        <v>0.035</v>
      </c>
    </row>
    <row r="10809" customFormat="false" ht="13.8" hidden="true" customHeight="false" outlineLevel="0" collapsed="false">
      <c r="A10809" s="0" t="s">
        <v>324</v>
      </c>
      <c r="B10809" s="0" t="n">
        <v>7</v>
      </c>
      <c r="C10809" s="0" t="n">
        <v>1.65</v>
      </c>
      <c r="D10809" s="0" t="n">
        <v>0.036</v>
      </c>
    </row>
    <row r="10810" customFormat="false" ht="13.8" hidden="true" customHeight="false" outlineLevel="0" collapsed="false">
      <c r="A10810" s="0" t="s">
        <v>324</v>
      </c>
      <c r="B10810" s="0" t="n">
        <v>7</v>
      </c>
      <c r="C10810" s="0" t="n">
        <v>1.7</v>
      </c>
      <c r="D10810" s="0" t="n">
        <v>0.037</v>
      </c>
    </row>
    <row r="10811" customFormat="false" ht="13.8" hidden="true" customHeight="false" outlineLevel="0" collapsed="false">
      <c r="A10811" s="0" t="s">
        <v>324</v>
      </c>
      <c r="B10811" s="0" t="n">
        <v>7</v>
      </c>
      <c r="C10811" s="0" t="n">
        <v>1.75</v>
      </c>
      <c r="D10811" s="0" t="n">
        <v>0.038</v>
      </c>
    </row>
    <row r="10812" customFormat="false" ht="13.8" hidden="true" customHeight="false" outlineLevel="0" collapsed="false">
      <c r="A10812" s="0" t="s">
        <v>324</v>
      </c>
      <c r="B10812" s="0" t="n">
        <v>7</v>
      </c>
      <c r="C10812" s="0" t="n">
        <v>1.8</v>
      </c>
      <c r="D10812" s="0" t="n">
        <v>0.038</v>
      </c>
    </row>
    <row r="10813" customFormat="false" ht="13.8" hidden="true" customHeight="false" outlineLevel="0" collapsed="false">
      <c r="A10813" s="0" t="s">
        <v>324</v>
      </c>
      <c r="B10813" s="0" t="n">
        <v>7</v>
      </c>
      <c r="C10813" s="0" t="n">
        <v>1.85</v>
      </c>
      <c r="D10813" s="0" t="n">
        <v>0.039</v>
      </c>
    </row>
    <row r="10814" customFormat="false" ht="13.8" hidden="true" customHeight="false" outlineLevel="0" collapsed="false">
      <c r="A10814" s="0" t="s">
        <v>324</v>
      </c>
      <c r="B10814" s="0" t="n">
        <v>7</v>
      </c>
      <c r="C10814" s="0" t="n">
        <v>1.9</v>
      </c>
      <c r="D10814" s="0" t="n">
        <v>0.04</v>
      </c>
    </row>
    <row r="10815" customFormat="false" ht="13.8" hidden="true" customHeight="false" outlineLevel="0" collapsed="false">
      <c r="A10815" s="0" t="s">
        <v>324</v>
      </c>
      <c r="B10815" s="0" t="n">
        <v>7</v>
      </c>
      <c r="C10815" s="0" t="n">
        <v>1.95</v>
      </c>
      <c r="D10815" s="0" t="n">
        <v>0.041</v>
      </c>
    </row>
    <row r="10816" customFormat="false" ht="13.8" hidden="true" customHeight="false" outlineLevel="0" collapsed="false">
      <c r="A10816" s="0" t="s">
        <v>324</v>
      </c>
      <c r="B10816" s="0" t="n">
        <v>7</v>
      </c>
      <c r="C10816" s="0" t="n">
        <v>2</v>
      </c>
      <c r="D10816" s="0" t="n">
        <v>0.040821382</v>
      </c>
    </row>
    <row r="10817" customFormat="false" ht="13.8" hidden="true" customHeight="false" outlineLevel="0" collapsed="false">
      <c r="A10817" s="0" t="s">
        <v>324</v>
      </c>
      <c r="B10817" s="0" t="n">
        <v>7</v>
      </c>
      <c r="C10817" s="0" t="n">
        <v>2.05</v>
      </c>
      <c r="D10817" s="0" t="n">
        <v>0.041841917</v>
      </c>
    </row>
    <row r="10818" customFormat="false" ht="13.8" hidden="true" customHeight="false" outlineLevel="0" collapsed="false">
      <c r="A10818" s="0" t="s">
        <v>324</v>
      </c>
      <c r="B10818" s="0" t="n">
        <v>7</v>
      </c>
      <c r="C10818" s="0" t="n">
        <v>2.1</v>
      </c>
      <c r="D10818" s="0" t="n">
        <v>0.042862451</v>
      </c>
    </row>
    <row r="10819" customFormat="false" ht="13.8" hidden="true" customHeight="false" outlineLevel="0" collapsed="false">
      <c r="A10819" s="0" t="s">
        <v>324</v>
      </c>
      <c r="B10819" s="0" t="n">
        <v>7</v>
      </c>
      <c r="C10819" s="0" t="n">
        <v>2.15</v>
      </c>
      <c r="D10819" s="0" t="n">
        <v>0.043882986</v>
      </c>
    </row>
    <row r="10820" customFormat="false" ht="13.8" hidden="true" customHeight="false" outlineLevel="0" collapsed="false">
      <c r="A10820" s="0" t="s">
        <v>324</v>
      </c>
      <c r="B10820" s="0" t="n">
        <v>7</v>
      </c>
      <c r="C10820" s="0" t="n">
        <v>2.2</v>
      </c>
      <c r="D10820" s="0" t="n">
        <v>0.045827206</v>
      </c>
    </row>
    <row r="10821" customFormat="false" ht="13.8" hidden="true" customHeight="false" outlineLevel="0" collapsed="false">
      <c r="A10821" s="0" t="s">
        <v>324</v>
      </c>
      <c r="B10821" s="0" t="n">
        <v>7</v>
      </c>
      <c r="C10821" s="0" t="n">
        <v>2.25</v>
      </c>
      <c r="D10821" s="0" t="n">
        <v>0.046868734</v>
      </c>
    </row>
    <row r="10822" customFormat="false" ht="13.8" hidden="true" customHeight="false" outlineLevel="0" collapsed="false">
      <c r="A10822" s="0" t="s">
        <v>324</v>
      </c>
      <c r="B10822" s="0" t="n">
        <v>7</v>
      </c>
      <c r="C10822" s="0" t="n">
        <v>2.3</v>
      </c>
      <c r="D10822" s="0" t="n">
        <v>0.047910261</v>
      </c>
    </row>
    <row r="10823" customFormat="false" ht="13.8" hidden="true" customHeight="false" outlineLevel="0" collapsed="false">
      <c r="A10823" s="0" t="s">
        <v>324</v>
      </c>
      <c r="B10823" s="0" t="n">
        <v>7</v>
      </c>
      <c r="C10823" s="0" t="n">
        <v>2.35</v>
      </c>
      <c r="D10823" s="0" t="n">
        <v>0.048951788</v>
      </c>
    </row>
    <row r="10824" customFormat="false" ht="13.8" hidden="true" customHeight="false" outlineLevel="0" collapsed="false">
      <c r="A10824" s="0" t="s">
        <v>324</v>
      </c>
      <c r="B10824" s="0" t="n">
        <v>7</v>
      </c>
      <c r="C10824" s="0" t="n">
        <v>2.4</v>
      </c>
      <c r="D10824" s="0" t="n">
        <v>0.049993316</v>
      </c>
    </row>
    <row r="10825" customFormat="false" ht="13.8" hidden="true" customHeight="false" outlineLevel="0" collapsed="false">
      <c r="A10825" s="0" t="s">
        <v>324</v>
      </c>
      <c r="B10825" s="0" t="n">
        <v>7</v>
      </c>
      <c r="C10825" s="0" t="n">
        <v>2.45</v>
      </c>
      <c r="D10825" s="0" t="n">
        <v>0.051034843</v>
      </c>
    </row>
    <row r="10826" customFormat="false" ht="13.8" hidden="true" customHeight="false" outlineLevel="0" collapsed="false">
      <c r="A10826" s="0" t="s">
        <v>324</v>
      </c>
      <c r="B10826" s="0" t="n">
        <v>7</v>
      </c>
      <c r="C10826" s="0" t="n">
        <v>2.5</v>
      </c>
      <c r="D10826" s="0" t="n">
        <v>0.052076371</v>
      </c>
    </row>
    <row r="10827" customFormat="false" ht="13.8" hidden="true" customHeight="false" outlineLevel="0" collapsed="false">
      <c r="A10827" s="0" t="s">
        <v>324</v>
      </c>
      <c r="B10827" s="0" t="n">
        <v>7</v>
      </c>
      <c r="C10827" s="0" t="n">
        <v>2.55</v>
      </c>
      <c r="D10827" s="0" t="n">
        <v>0.053117898</v>
      </c>
    </row>
    <row r="10828" customFormat="false" ht="13.8" hidden="true" customHeight="false" outlineLevel="0" collapsed="false">
      <c r="A10828" s="0" t="s">
        <v>324</v>
      </c>
      <c r="B10828" s="0" t="n">
        <v>7</v>
      </c>
      <c r="C10828" s="0" t="n">
        <v>2.6</v>
      </c>
      <c r="D10828" s="0" t="n">
        <v>0.054159425</v>
      </c>
    </row>
    <row r="10829" customFormat="false" ht="13.8" hidden="true" customHeight="false" outlineLevel="0" collapsed="false">
      <c r="A10829" s="0" t="s">
        <v>324</v>
      </c>
      <c r="B10829" s="0" t="n">
        <v>8</v>
      </c>
      <c r="C10829" s="0" t="n">
        <v>1.3</v>
      </c>
      <c r="D10829" s="0" t="n">
        <v>0</v>
      </c>
    </row>
    <row r="10830" customFormat="false" ht="13.8" hidden="true" customHeight="false" outlineLevel="0" collapsed="false">
      <c r="A10830" s="0" t="s">
        <v>324</v>
      </c>
      <c r="B10830" s="0" t="n">
        <v>8</v>
      </c>
      <c r="C10830" s="0" t="n">
        <v>1.35</v>
      </c>
      <c r="D10830" s="0" t="n">
        <v>0</v>
      </c>
    </row>
    <row r="10831" customFormat="false" ht="13.8" hidden="true" customHeight="false" outlineLevel="0" collapsed="false">
      <c r="A10831" s="0" t="s">
        <v>324</v>
      </c>
      <c r="B10831" s="0" t="n">
        <v>8</v>
      </c>
      <c r="C10831" s="0" t="n">
        <v>1.4</v>
      </c>
      <c r="D10831" s="0" t="n">
        <v>0</v>
      </c>
    </row>
    <row r="10832" customFormat="false" ht="13.8" hidden="true" customHeight="false" outlineLevel="0" collapsed="false">
      <c r="A10832" s="0" t="s">
        <v>324</v>
      </c>
      <c r="B10832" s="0" t="n">
        <v>8</v>
      </c>
      <c r="C10832" s="0" t="n">
        <v>1.45</v>
      </c>
      <c r="D10832" s="0" t="n">
        <v>0</v>
      </c>
    </row>
    <row r="10833" customFormat="false" ht="13.8" hidden="true" customHeight="false" outlineLevel="0" collapsed="false">
      <c r="A10833" s="0" t="s">
        <v>324</v>
      </c>
      <c r="B10833" s="0" t="n">
        <v>8</v>
      </c>
      <c r="C10833" s="0" t="n">
        <v>1.5</v>
      </c>
      <c r="D10833" s="0" t="n">
        <v>0</v>
      </c>
    </row>
    <row r="10834" customFormat="false" ht="13.8" hidden="true" customHeight="false" outlineLevel="0" collapsed="false">
      <c r="A10834" s="0" t="s">
        <v>324</v>
      </c>
      <c r="B10834" s="0" t="n">
        <v>8</v>
      </c>
      <c r="C10834" s="0" t="n">
        <v>1.55</v>
      </c>
      <c r="D10834" s="0" t="n">
        <v>0</v>
      </c>
    </row>
    <row r="10835" customFormat="false" ht="13.8" hidden="true" customHeight="false" outlineLevel="0" collapsed="false">
      <c r="A10835" s="0" t="s">
        <v>324</v>
      </c>
      <c r="B10835" s="0" t="n">
        <v>8</v>
      </c>
      <c r="C10835" s="0" t="n">
        <v>1.6</v>
      </c>
      <c r="D10835" s="0" t="n">
        <v>0.035</v>
      </c>
    </row>
    <row r="10836" customFormat="false" ht="13.8" hidden="true" customHeight="false" outlineLevel="0" collapsed="false">
      <c r="A10836" s="0" t="s">
        <v>324</v>
      </c>
      <c r="B10836" s="0" t="n">
        <v>8</v>
      </c>
      <c r="C10836" s="0" t="n">
        <v>1.65</v>
      </c>
      <c r="D10836" s="0" t="n">
        <v>0.036</v>
      </c>
    </row>
    <row r="10837" customFormat="false" ht="13.8" hidden="true" customHeight="false" outlineLevel="0" collapsed="false">
      <c r="A10837" s="0" t="s">
        <v>324</v>
      </c>
      <c r="B10837" s="0" t="n">
        <v>8</v>
      </c>
      <c r="C10837" s="0" t="n">
        <v>1.7</v>
      </c>
      <c r="D10837" s="0" t="n">
        <v>0.037</v>
      </c>
    </row>
    <row r="10838" customFormat="false" ht="13.8" hidden="true" customHeight="false" outlineLevel="0" collapsed="false">
      <c r="A10838" s="0" t="s">
        <v>324</v>
      </c>
      <c r="B10838" s="0" t="n">
        <v>8</v>
      </c>
      <c r="C10838" s="0" t="n">
        <v>1.75</v>
      </c>
      <c r="D10838" s="0" t="n">
        <v>0.038</v>
      </c>
    </row>
    <row r="10839" customFormat="false" ht="13.8" hidden="true" customHeight="false" outlineLevel="0" collapsed="false">
      <c r="A10839" s="0" t="s">
        <v>324</v>
      </c>
      <c r="B10839" s="0" t="n">
        <v>8</v>
      </c>
      <c r="C10839" s="0" t="n">
        <v>1.8</v>
      </c>
      <c r="D10839" s="0" t="n">
        <v>0.038</v>
      </c>
    </row>
    <row r="10840" customFormat="false" ht="13.8" hidden="true" customHeight="false" outlineLevel="0" collapsed="false">
      <c r="A10840" s="0" t="s">
        <v>324</v>
      </c>
      <c r="B10840" s="0" t="n">
        <v>8</v>
      </c>
      <c r="C10840" s="0" t="n">
        <v>1.85</v>
      </c>
      <c r="D10840" s="0" t="n">
        <v>0.039</v>
      </c>
    </row>
    <row r="10841" customFormat="false" ht="13.8" hidden="true" customHeight="false" outlineLevel="0" collapsed="false">
      <c r="A10841" s="0" t="s">
        <v>324</v>
      </c>
      <c r="B10841" s="0" t="n">
        <v>8</v>
      </c>
      <c r="C10841" s="0" t="n">
        <v>1.9</v>
      </c>
      <c r="D10841" s="0" t="n">
        <v>0.04</v>
      </c>
    </row>
    <row r="10842" customFormat="false" ht="13.8" hidden="true" customHeight="false" outlineLevel="0" collapsed="false">
      <c r="A10842" s="0" t="s">
        <v>324</v>
      </c>
      <c r="B10842" s="0" t="n">
        <v>8</v>
      </c>
      <c r="C10842" s="0" t="n">
        <v>1.95</v>
      </c>
      <c r="D10842" s="0" t="n">
        <v>0.041</v>
      </c>
    </row>
    <row r="10843" customFormat="false" ht="13.8" hidden="true" customHeight="false" outlineLevel="0" collapsed="false">
      <c r="A10843" s="0" t="s">
        <v>324</v>
      </c>
      <c r="B10843" s="0" t="n">
        <v>8</v>
      </c>
      <c r="C10843" s="0" t="n">
        <v>2</v>
      </c>
      <c r="D10843" s="0" t="n">
        <v>0.041</v>
      </c>
    </row>
    <row r="10844" customFormat="false" ht="13.8" hidden="true" customHeight="false" outlineLevel="0" collapsed="false">
      <c r="A10844" s="0" t="s">
        <v>324</v>
      </c>
      <c r="B10844" s="0" t="n">
        <v>8</v>
      </c>
      <c r="C10844" s="0" t="n">
        <v>2.05</v>
      </c>
      <c r="D10844" s="0" t="n">
        <v>0.042</v>
      </c>
    </row>
    <row r="10845" customFormat="false" ht="13.8" hidden="true" customHeight="false" outlineLevel="0" collapsed="false">
      <c r="A10845" s="0" t="s">
        <v>324</v>
      </c>
      <c r="B10845" s="0" t="n">
        <v>8</v>
      </c>
      <c r="C10845" s="0" t="n">
        <v>2.1</v>
      </c>
      <c r="D10845" s="0" t="n">
        <v>0.043</v>
      </c>
    </row>
    <row r="10846" customFormat="false" ht="13.8" hidden="true" customHeight="false" outlineLevel="0" collapsed="false">
      <c r="A10846" s="0" t="s">
        <v>324</v>
      </c>
      <c r="B10846" s="0" t="n">
        <v>8</v>
      </c>
      <c r="C10846" s="0" t="n">
        <v>2.15</v>
      </c>
      <c r="D10846" s="0" t="n">
        <v>0.043882986</v>
      </c>
    </row>
    <row r="10847" customFormat="false" ht="13.8" hidden="true" customHeight="false" outlineLevel="0" collapsed="false">
      <c r="A10847" s="0" t="s">
        <v>324</v>
      </c>
      <c r="B10847" s="0" t="n">
        <v>8</v>
      </c>
      <c r="C10847" s="0" t="n">
        <v>2.2</v>
      </c>
      <c r="D10847" s="0" t="n">
        <v>0.045827206</v>
      </c>
    </row>
    <row r="10848" customFormat="false" ht="13.8" hidden="true" customHeight="false" outlineLevel="0" collapsed="false">
      <c r="A10848" s="0" t="s">
        <v>324</v>
      </c>
      <c r="B10848" s="0" t="n">
        <v>8</v>
      </c>
      <c r="C10848" s="0" t="n">
        <v>2.25</v>
      </c>
      <c r="D10848" s="0" t="n">
        <v>0.046868734</v>
      </c>
    </row>
    <row r="10849" customFormat="false" ht="13.8" hidden="true" customHeight="false" outlineLevel="0" collapsed="false">
      <c r="A10849" s="0" t="s">
        <v>324</v>
      </c>
      <c r="B10849" s="0" t="n">
        <v>8</v>
      </c>
      <c r="C10849" s="0" t="n">
        <v>2.3</v>
      </c>
      <c r="D10849" s="0" t="n">
        <v>0.047910261</v>
      </c>
    </row>
    <row r="10850" customFormat="false" ht="13.8" hidden="true" customHeight="false" outlineLevel="0" collapsed="false">
      <c r="A10850" s="0" t="s">
        <v>324</v>
      </c>
      <c r="B10850" s="0" t="n">
        <v>8</v>
      </c>
      <c r="C10850" s="0" t="n">
        <v>2.35</v>
      </c>
      <c r="D10850" s="0" t="n">
        <v>0.048951788</v>
      </c>
    </row>
    <row r="10851" customFormat="false" ht="13.8" hidden="true" customHeight="false" outlineLevel="0" collapsed="false">
      <c r="A10851" s="0" t="s">
        <v>324</v>
      </c>
      <c r="B10851" s="0" t="n">
        <v>8</v>
      </c>
      <c r="C10851" s="0" t="n">
        <v>2.4</v>
      </c>
      <c r="D10851" s="0" t="n">
        <v>0.049993316</v>
      </c>
    </row>
    <row r="10852" customFormat="false" ht="13.8" hidden="true" customHeight="false" outlineLevel="0" collapsed="false">
      <c r="A10852" s="0" t="s">
        <v>324</v>
      </c>
      <c r="B10852" s="0" t="n">
        <v>8</v>
      </c>
      <c r="C10852" s="0" t="n">
        <v>2.45</v>
      </c>
      <c r="D10852" s="0" t="n">
        <v>0.051034843</v>
      </c>
    </row>
    <row r="10853" customFormat="false" ht="13.8" hidden="true" customHeight="false" outlineLevel="0" collapsed="false">
      <c r="A10853" s="0" t="s">
        <v>324</v>
      </c>
      <c r="B10853" s="0" t="n">
        <v>8</v>
      </c>
      <c r="C10853" s="0" t="n">
        <v>2.5</v>
      </c>
      <c r="D10853" s="0" t="n">
        <v>0.052076371</v>
      </c>
    </row>
    <row r="10854" customFormat="false" ht="13.8" hidden="true" customHeight="false" outlineLevel="0" collapsed="false">
      <c r="A10854" s="0" t="s">
        <v>324</v>
      </c>
      <c r="B10854" s="0" t="n">
        <v>8</v>
      </c>
      <c r="C10854" s="0" t="n">
        <v>2.55</v>
      </c>
      <c r="D10854" s="0" t="n">
        <v>0.053117898</v>
      </c>
    </row>
    <row r="10855" customFormat="false" ht="13.8" hidden="true" customHeight="false" outlineLevel="0" collapsed="false">
      <c r="A10855" s="0" t="s">
        <v>324</v>
      </c>
      <c r="B10855" s="0" t="n">
        <v>8</v>
      </c>
      <c r="C10855" s="0" t="n">
        <v>2.6</v>
      </c>
      <c r="D10855" s="0" t="n">
        <v>0.054159425</v>
      </c>
    </row>
    <row r="10856" customFormat="false" ht="13.8" hidden="true" customHeight="false" outlineLevel="0" collapsed="false">
      <c r="A10856" s="0" t="s">
        <v>1121</v>
      </c>
      <c r="B10856" s="0" t="n">
        <v>7</v>
      </c>
      <c r="C10856" s="0" t="n">
        <v>1.3</v>
      </c>
      <c r="D10856" s="0" t="n">
        <v>0</v>
      </c>
    </row>
    <row r="10857" customFormat="false" ht="13.8" hidden="true" customHeight="false" outlineLevel="0" collapsed="false">
      <c r="A10857" s="0" t="s">
        <v>1121</v>
      </c>
      <c r="B10857" s="0" t="n">
        <v>7</v>
      </c>
      <c r="C10857" s="0" t="n">
        <v>1.35</v>
      </c>
      <c r="D10857" s="0" t="n">
        <v>0</v>
      </c>
    </row>
    <row r="10858" customFormat="false" ht="13.8" hidden="true" customHeight="false" outlineLevel="0" collapsed="false">
      <c r="A10858" s="0" t="s">
        <v>1121</v>
      </c>
      <c r="B10858" s="0" t="n">
        <v>7</v>
      </c>
      <c r="C10858" s="0" t="n">
        <v>1.4</v>
      </c>
      <c r="D10858" s="0" t="n">
        <v>0</v>
      </c>
    </row>
    <row r="10859" customFormat="false" ht="13.8" hidden="true" customHeight="false" outlineLevel="0" collapsed="false">
      <c r="A10859" s="0" t="s">
        <v>1121</v>
      </c>
      <c r="B10859" s="0" t="n">
        <v>7</v>
      </c>
      <c r="C10859" s="0" t="n">
        <v>1.45</v>
      </c>
      <c r="D10859" s="0" t="n">
        <v>0</v>
      </c>
    </row>
    <row r="10860" customFormat="false" ht="13.8" hidden="true" customHeight="false" outlineLevel="0" collapsed="false">
      <c r="A10860" s="0" t="s">
        <v>1121</v>
      </c>
      <c r="B10860" s="0" t="n">
        <v>7</v>
      </c>
      <c r="C10860" s="0" t="n">
        <v>1.5</v>
      </c>
      <c r="D10860" s="0" t="n">
        <v>0</v>
      </c>
    </row>
    <row r="10861" customFormat="false" ht="13.8" hidden="true" customHeight="false" outlineLevel="0" collapsed="false">
      <c r="A10861" s="0" t="s">
        <v>1121</v>
      </c>
      <c r="B10861" s="0" t="n">
        <v>7</v>
      </c>
      <c r="C10861" s="0" t="n">
        <v>1.55</v>
      </c>
      <c r="D10861" s="0" t="n">
        <v>0</v>
      </c>
    </row>
    <row r="10862" customFormat="false" ht="13.8" hidden="true" customHeight="false" outlineLevel="0" collapsed="false">
      <c r="A10862" s="0" t="s">
        <v>1121</v>
      </c>
      <c r="B10862" s="0" t="n">
        <v>7</v>
      </c>
      <c r="C10862" s="0" t="n">
        <v>1.6</v>
      </c>
      <c r="D10862" s="0" t="n">
        <v>0.035</v>
      </c>
    </row>
    <row r="10863" customFormat="false" ht="13.8" hidden="true" customHeight="false" outlineLevel="0" collapsed="false">
      <c r="A10863" s="0" t="s">
        <v>1121</v>
      </c>
      <c r="B10863" s="0" t="n">
        <v>7</v>
      </c>
      <c r="C10863" s="0" t="n">
        <v>1.65</v>
      </c>
      <c r="D10863" s="0" t="n">
        <v>0.036</v>
      </c>
    </row>
    <row r="10864" customFormat="false" ht="13.8" hidden="true" customHeight="false" outlineLevel="0" collapsed="false">
      <c r="A10864" s="0" t="s">
        <v>1121</v>
      </c>
      <c r="B10864" s="0" t="n">
        <v>7</v>
      </c>
      <c r="C10864" s="0" t="n">
        <v>1.7</v>
      </c>
      <c r="D10864" s="0" t="n">
        <v>0.037</v>
      </c>
    </row>
    <row r="10865" customFormat="false" ht="13.8" hidden="true" customHeight="false" outlineLevel="0" collapsed="false">
      <c r="A10865" s="0" t="s">
        <v>1121</v>
      </c>
      <c r="B10865" s="0" t="n">
        <v>7</v>
      </c>
      <c r="C10865" s="0" t="n">
        <v>1.75</v>
      </c>
      <c r="D10865" s="0" t="n">
        <v>0.038</v>
      </c>
    </row>
    <row r="10866" customFormat="false" ht="13.8" hidden="true" customHeight="false" outlineLevel="0" collapsed="false">
      <c r="A10866" s="0" t="s">
        <v>1121</v>
      </c>
      <c r="B10866" s="0" t="n">
        <v>7</v>
      </c>
      <c r="C10866" s="0" t="n">
        <v>1.8</v>
      </c>
      <c r="D10866" s="0" t="n">
        <v>0.038</v>
      </c>
    </row>
    <row r="10867" customFormat="false" ht="13.8" hidden="true" customHeight="false" outlineLevel="0" collapsed="false">
      <c r="A10867" s="0" t="s">
        <v>1121</v>
      </c>
      <c r="B10867" s="0" t="n">
        <v>7</v>
      </c>
      <c r="C10867" s="0" t="n">
        <v>1.85</v>
      </c>
      <c r="D10867" s="0" t="n">
        <v>0.039</v>
      </c>
    </row>
    <row r="10868" customFormat="false" ht="13.8" hidden="true" customHeight="false" outlineLevel="0" collapsed="false">
      <c r="A10868" s="0" t="s">
        <v>1121</v>
      </c>
      <c r="B10868" s="0" t="n">
        <v>7</v>
      </c>
      <c r="C10868" s="0" t="n">
        <v>1.9</v>
      </c>
      <c r="D10868" s="0" t="n">
        <v>0.04</v>
      </c>
    </row>
    <row r="10869" customFormat="false" ht="13.8" hidden="true" customHeight="false" outlineLevel="0" collapsed="false">
      <c r="A10869" s="0" t="s">
        <v>1121</v>
      </c>
      <c r="B10869" s="0" t="n">
        <v>7</v>
      </c>
      <c r="C10869" s="0" t="n">
        <v>1.95</v>
      </c>
      <c r="D10869" s="0" t="n">
        <v>0.041</v>
      </c>
    </row>
    <row r="10870" customFormat="false" ht="13.8" hidden="true" customHeight="false" outlineLevel="0" collapsed="false">
      <c r="A10870" s="0" t="s">
        <v>1121</v>
      </c>
      <c r="B10870" s="0" t="n">
        <v>7</v>
      </c>
      <c r="C10870" s="0" t="n">
        <v>2</v>
      </c>
      <c r="D10870" s="0" t="n">
        <v>0.040821382</v>
      </c>
    </row>
    <row r="10871" customFormat="false" ht="13.8" hidden="true" customHeight="false" outlineLevel="0" collapsed="false">
      <c r="A10871" s="0" t="s">
        <v>1121</v>
      </c>
      <c r="B10871" s="0" t="n">
        <v>7</v>
      </c>
      <c r="C10871" s="0" t="n">
        <v>2.05</v>
      </c>
      <c r="D10871" s="0" t="n">
        <v>0.041841917</v>
      </c>
    </row>
    <row r="10872" customFormat="false" ht="13.8" hidden="true" customHeight="false" outlineLevel="0" collapsed="false">
      <c r="A10872" s="0" t="s">
        <v>1121</v>
      </c>
      <c r="B10872" s="0" t="n">
        <v>7</v>
      </c>
      <c r="C10872" s="0" t="n">
        <v>2.1</v>
      </c>
      <c r="D10872" s="0" t="n">
        <v>0.042862451</v>
      </c>
    </row>
    <row r="10873" customFormat="false" ht="13.8" hidden="true" customHeight="false" outlineLevel="0" collapsed="false">
      <c r="A10873" s="0" t="s">
        <v>1121</v>
      </c>
      <c r="B10873" s="0" t="n">
        <v>7</v>
      </c>
      <c r="C10873" s="0" t="n">
        <v>2.15</v>
      </c>
      <c r="D10873" s="0" t="n">
        <v>0.043882986</v>
      </c>
    </row>
    <row r="10874" customFormat="false" ht="13.8" hidden="true" customHeight="false" outlineLevel="0" collapsed="false">
      <c r="A10874" s="0" t="s">
        <v>1121</v>
      </c>
      <c r="B10874" s="0" t="n">
        <v>7</v>
      </c>
      <c r="C10874" s="0" t="n">
        <v>2.2</v>
      </c>
      <c r="D10874" s="0" t="n">
        <v>0.045827206</v>
      </c>
    </row>
    <row r="10875" customFormat="false" ht="13.8" hidden="true" customHeight="false" outlineLevel="0" collapsed="false">
      <c r="A10875" s="0" t="s">
        <v>1121</v>
      </c>
      <c r="B10875" s="0" t="n">
        <v>7</v>
      </c>
      <c r="C10875" s="0" t="n">
        <v>2.25</v>
      </c>
      <c r="D10875" s="0" t="n">
        <v>0.046868734</v>
      </c>
    </row>
    <row r="10876" customFormat="false" ht="13.8" hidden="true" customHeight="false" outlineLevel="0" collapsed="false">
      <c r="A10876" s="0" t="s">
        <v>1121</v>
      </c>
      <c r="B10876" s="0" t="n">
        <v>7</v>
      </c>
      <c r="C10876" s="0" t="n">
        <v>2.3</v>
      </c>
      <c r="D10876" s="0" t="n">
        <v>0.047910261</v>
      </c>
    </row>
    <row r="10877" customFormat="false" ht="13.8" hidden="true" customHeight="false" outlineLevel="0" collapsed="false">
      <c r="A10877" s="0" t="s">
        <v>1121</v>
      </c>
      <c r="B10877" s="0" t="n">
        <v>7</v>
      </c>
      <c r="C10877" s="0" t="n">
        <v>2.35</v>
      </c>
      <c r="D10877" s="0" t="n">
        <v>0.048951788</v>
      </c>
    </row>
    <row r="10878" customFormat="false" ht="13.8" hidden="true" customHeight="false" outlineLevel="0" collapsed="false">
      <c r="A10878" s="0" t="s">
        <v>1121</v>
      </c>
      <c r="B10878" s="0" t="n">
        <v>7</v>
      </c>
      <c r="C10878" s="0" t="n">
        <v>2.4</v>
      </c>
      <c r="D10878" s="0" t="n">
        <v>0.049993316</v>
      </c>
    </row>
    <row r="10879" customFormat="false" ht="13.8" hidden="true" customHeight="false" outlineLevel="0" collapsed="false">
      <c r="A10879" s="0" t="s">
        <v>1121</v>
      </c>
      <c r="B10879" s="0" t="n">
        <v>7</v>
      </c>
      <c r="C10879" s="0" t="n">
        <v>2.45</v>
      </c>
      <c r="D10879" s="0" t="n">
        <v>0.051034843</v>
      </c>
    </row>
    <row r="10880" customFormat="false" ht="13.8" hidden="true" customHeight="false" outlineLevel="0" collapsed="false">
      <c r="A10880" s="0" t="s">
        <v>1121</v>
      </c>
      <c r="B10880" s="0" t="n">
        <v>7</v>
      </c>
      <c r="C10880" s="0" t="n">
        <v>2.5</v>
      </c>
      <c r="D10880" s="0" t="n">
        <v>0.052076371</v>
      </c>
    </row>
    <row r="10881" customFormat="false" ht="13.8" hidden="true" customHeight="false" outlineLevel="0" collapsed="false">
      <c r="A10881" s="0" t="s">
        <v>1121</v>
      </c>
      <c r="B10881" s="0" t="n">
        <v>7</v>
      </c>
      <c r="C10881" s="0" t="n">
        <v>2.55</v>
      </c>
      <c r="D10881" s="0" t="n">
        <v>0.053117898</v>
      </c>
    </row>
    <row r="10882" customFormat="false" ht="13.8" hidden="true" customHeight="false" outlineLevel="0" collapsed="false">
      <c r="A10882" s="0" t="s">
        <v>1121</v>
      </c>
      <c r="B10882" s="0" t="n">
        <v>7</v>
      </c>
      <c r="C10882" s="0" t="n">
        <v>2.6</v>
      </c>
      <c r="D10882" s="0" t="n">
        <v>0.054159425</v>
      </c>
    </row>
    <row r="10883" customFormat="false" ht="13.8" hidden="true" customHeight="false" outlineLevel="0" collapsed="false">
      <c r="A10883" s="0" t="s">
        <v>1121</v>
      </c>
      <c r="B10883" s="0" t="n">
        <v>8</v>
      </c>
      <c r="C10883" s="0" t="n">
        <v>1.3</v>
      </c>
      <c r="D10883" s="0" t="n">
        <v>0</v>
      </c>
    </row>
    <row r="10884" customFormat="false" ht="13.8" hidden="true" customHeight="false" outlineLevel="0" collapsed="false">
      <c r="A10884" s="0" t="s">
        <v>1121</v>
      </c>
      <c r="B10884" s="0" t="n">
        <v>8</v>
      </c>
      <c r="C10884" s="0" t="n">
        <v>1.35</v>
      </c>
      <c r="D10884" s="0" t="n">
        <v>0</v>
      </c>
    </row>
    <row r="10885" customFormat="false" ht="13.8" hidden="true" customHeight="false" outlineLevel="0" collapsed="false">
      <c r="A10885" s="0" t="s">
        <v>1121</v>
      </c>
      <c r="B10885" s="0" t="n">
        <v>8</v>
      </c>
      <c r="C10885" s="0" t="n">
        <v>1.4</v>
      </c>
      <c r="D10885" s="0" t="n">
        <v>0</v>
      </c>
    </row>
    <row r="10886" customFormat="false" ht="13.8" hidden="true" customHeight="false" outlineLevel="0" collapsed="false">
      <c r="A10886" s="0" t="s">
        <v>1121</v>
      </c>
      <c r="B10886" s="0" t="n">
        <v>8</v>
      </c>
      <c r="C10886" s="0" t="n">
        <v>1.45</v>
      </c>
      <c r="D10886" s="0" t="n">
        <v>0</v>
      </c>
    </row>
    <row r="10887" customFormat="false" ht="13.8" hidden="true" customHeight="false" outlineLevel="0" collapsed="false">
      <c r="A10887" s="0" t="s">
        <v>1121</v>
      </c>
      <c r="B10887" s="0" t="n">
        <v>8</v>
      </c>
      <c r="C10887" s="0" t="n">
        <v>1.5</v>
      </c>
      <c r="D10887" s="0" t="n">
        <v>0</v>
      </c>
    </row>
    <row r="10888" customFormat="false" ht="13.8" hidden="true" customHeight="false" outlineLevel="0" collapsed="false">
      <c r="A10888" s="0" t="s">
        <v>1121</v>
      </c>
      <c r="B10888" s="0" t="n">
        <v>8</v>
      </c>
      <c r="C10888" s="0" t="n">
        <v>1.55</v>
      </c>
      <c r="D10888" s="0" t="n">
        <v>0</v>
      </c>
    </row>
    <row r="10889" customFormat="false" ht="13.8" hidden="true" customHeight="false" outlineLevel="0" collapsed="false">
      <c r="A10889" s="0" t="s">
        <v>1121</v>
      </c>
      <c r="B10889" s="0" t="n">
        <v>8</v>
      </c>
      <c r="C10889" s="0" t="n">
        <v>1.6</v>
      </c>
      <c r="D10889" s="0" t="n">
        <v>0.035</v>
      </c>
    </row>
    <row r="10890" customFormat="false" ht="13.8" hidden="true" customHeight="false" outlineLevel="0" collapsed="false">
      <c r="A10890" s="0" t="s">
        <v>1121</v>
      </c>
      <c r="B10890" s="0" t="n">
        <v>8</v>
      </c>
      <c r="C10890" s="0" t="n">
        <v>1.65</v>
      </c>
      <c r="D10890" s="0" t="n">
        <v>0.036</v>
      </c>
    </row>
    <row r="10891" customFormat="false" ht="13.8" hidden="true" customHeight="false" outlineLevel="0" collapsed="false">
      <c r="A10891" s="0" t="s">
        <v>1121</v>
      </c>
      <c r="B10891" s="0" t="n">
        <v>8</v>
      </c>
      <c r="C10891" s="0" t="n">
        <v>1.7</v>
      </c>
      <c r="D10891" s="0" t="n">
        <v>0.037</v>
      </c>
    </row>
    <row r="10892" customFormat="false" ht="13.8" hidden="true" customHeight="false" outlineLevel="0" collapsed="false">
      <c r="A10892" s="0" t="s">
        <v>1121</v>
      </c>
      <c r="B10892" s="0" t="n">
        <v>8</v>
      </c>
      <c r="C10892" s="0" t="n">
        <v>1.75</v>
      </c>
      <c r="D10892" s="0" t="n">
        <v>0.038</v>
      </c>
    </row>
    <row r="10893" customFormat="false" ht="13.8" hidden="true" customHeight="false" outlineLevel="0" collapsed="false">
      <c r="A10893" s="0" t="s">
        <v>1121</v>
      </c>
      <c r="B10893" s="0" t="n">
        <v>8</v>
      </c>
      <c r="C10893" s="0" t="n">
        <v>1.8</v>
      </c>
      <c r="D10893" s="0" t="n">
        <v>0.038</v>
      </c>
    </row>
    <row r="10894" customFormat="false" ht="13.8" hidden="true" customHeight="false" outlineLevel="0" collapsed="false">
      <c r="A10894" s="0" t="s">
        <v>1121</v>
      </c>
      <c r="B10894" s="0" t="n">
        <v>8</v>
      </c>
      <c r="C10894" s="0" t="n">
        <v>1.85</v>
      </c>
      <c r="D10894" s="0" t="n">
        <v>0.039</v>
      </c>
    </row>
    <row r="10895" customFormat="false" ht="13.8" hidden="true" customHeight="false" outlineLevel="0" collapsed="false">
      <c r="A10895" s="0" t="s">
        <v>1121</v>
      </c>
      <c r="B10895" s="0" t="n">
        <v>8</v>
      </c>
      <c r="C10895" s="0" t="n">
        <v>1.9</v>
      </c>
      <c r="D10895" s="0" t="n">
        <v>0.04</v>
      </c>
    </row>
    <row r="10896" customFormat="false" ht="13.8" hidden="true" customHeight="false" outlineLevel="0" collapsed="false">
      <c r="A10896" s="0" t="s">
        <v>1121</v>
      </c>
      <c r="B10896" s="0" t="n">
        <v>8</v>
      </c>
      <c r="C10896" s="0" t="n">
        <v>1.95</v>
      </c>
      <c r="D10896" s="0" t="n">
        <v>0.041</v>
      </c>
    </row>
    <row r="10897" customFormat="false" ht="13.8" hidden="true" customHeight="false" outlineLevel="0" collapsed="false">
      <c r="A10897" s="0" t="s">
        <v>1121</v>
      </c>
      <c r="B10897" s="0" t="n">
        <v>8</v>
      </c>
      <c r="C10897" s="0" t="n">
        <v>2</v>
      </c>
      <c r="D10897" s="0" t="n">
        <v>0.040821382</v>
      </c>
    </row>
    <row r="10898" customFormat="false" ht="13.8" hidden="true" customHeight="false" outlineLevel="0" collapsed="false">
      <c r="A10898" s="0" t="s">
        <v>1121</v>
      </c>
      <c r="B10898" s="0" t="n">
        <v>8</v>
      </c>
      <c r="C10898" s="0" t="n">
        <v>2.05</v>
      </c>
      <c r="D10898" s="0" t="n">
        <v>0.041841917</v>
      </c>
    </row>
    <row r="10899" customFormat="false" ht="13.8" hidden="true" customHeight="false" outlineLevel="0" collapsed="false">
      <c r="A10899" s="0" t="s">
        <v>1121</v>
      </c>
      <c r="B10899" s="0" t="n">
        <v>8</v>
      </c>
      <c r="C10899" s="0" t="n">
        <v>2.1</v>
      </c>
      <c r="D10899" s="0" t="n">
        <v>0.042862451</v>
      </c>
    </row>
    <row r="10900" customFormat="false" ht="13.8" hidden="true" customHeight="false" outlineLevel="0" collapsed="false">
      <c r="A10900" s="0" t="s">
        <v>1121</v>
      </c>
      <c r="B10900" s="0" t="n">
        <v>8</v>
      </c>
      <c r="C10900" s="0" t="n">
        <v>2.15</v>
      </c>
      <c r="D10900" s="0" t="n">
        <v>0.043882986</v>
      </c>
    </row>
    <row r="10901" customFormat="false" ht="13.8" hidden="true" customHeight="false" outlineLevel="0" collapsed="false">
      <c r="A10901" s="0" t="s">
        <v>1121</v>
      </c>
      <c r="B10901" s="0" t="n">
        <v>8</v>
      </c>
      <c r="C10901" s="0" t="n">
        <v>2.2</v>
      </c>
      <c r="D10901" s="0" t="n">
        <v>0.045827206</v>
      </c>
    </row>
    <row r="10902" customFormat="false" ht="13.8" hidden="true" customHeight="false" outlineLevel="0" collapsed="false">
      <c r="A10902" s="0" t="s">
        <v>1121</v>
      </c>
      <c r="B10902" s="0" t="n">
        <v>8</v>
      </c>
      <c r="C10902" s="0" t="n">
        <v>2.25</v>
      </c>
      <c r="D10902" s="0" t="n">
        <v>0.046868734</v>
      </c>
    </row>
    <row r="10903" customFormat="false" ht="13.8" hidden="true" customHeight="false" outlineLevel="0" collapsed="false">
      <c r="A10903" s="0" t="s">
        <v>1121</v>
      </c>
      <c r="B10903" s="0" t="n">
        <v>8</v>
      </c>
      <c r="C10903" s="0" t="n">
        <v>2.3</v>
      </c>
      <c r="D10903" s="0" t="n">
        <v>0.047910261</v>
      </c>
    </row>
    <row r="10904" customFormat="false" ht="13.8" hidden="true" customHeight="false" outlineLevel="0" collapsed="false">
      <c r="A10904" s="0" t="s">
        <v>1121</v>
      </c>
      <c r="B10904" s="0" t="n">
        <v>8</v>
      </c>
      <c r="C10904" s="0" t="n">
        <v>2.35</v>
      </c>
      <c r="D10904" s="0" t="n">
        <v>0.048951788</v>
      </c>
    </row>
    <row r="10905" customFormat="false" ht="13.8" hidden="true" customHeight="false" outlineLevel="0" collapsed="false">
      <c r="A10905" s="0" t="s">
        <v>1121</v>
      </c>
      <c r="B10905" s="0" t="n">
        <v>8</v>
      </c>
      <c r="C10905" s="0" t="n">
        <v>2.4</v>
      </c>
      <c r="D10905" s="0" t="n">
        <v>0.049993316</v>
      </c>
    </row>
    <row r="10906" customFormat="false" ht="13.8" hidden="true" customHeight="false" outlineLevel="0" collapsed="false">
      <c r="A10906" s="0" t="s">
        <v>1121</v>
      </c>
      <c r="B10906" s="0" t="n">
        <v>8</v>
      </c>
      <c r="C10906" s="0" t="n">
        <v>2.45</v>
      </c>
      <c r="D10906" s="0" t="n">
        <v>0.051034843</v>
      </c>
    </row>
    <row r="10907" customFormat="false" ht="13.8" hidden="true" customHeight="false" outlineLevel="0" collapsed="false">
      <c r="A10907" s="0" t="s">
        <v>1121</v>
      </c>
      <c r="B10907" s="0" t="n">
        <v>8</v>
      </c>
      <c r="C10907" s="0" t="n">
        <v>2.5</v>
      </c>
      <c r="D10907" s="0" t="n">
        <v>0.052076371</v>
      </c>
    </row>
    <row r="10908" customFormat="false" ht="13.8" hidden="true" customHeight="false" outlineLevel="0" collapsed="false">
      <c r="A10908" s="0" t="s">
        <v>1121</v>
      </c>
      <c r="B10908" s="0" t="n">
        <v>8</v>
      </c>
      <c r="C10908" s="0" t="n">
        <v>2.55</v>
      </c>
      <c r="D10908" s="0" t="n">
        <v>0.053117898</v>
      </c>
    </row>
    <row r="10909" customFormat="false" ht="13.8" hidden="true" customHeight="false" outlineLevel="0" collapsed="false">
      <c r="A10909" s="0" t="s">
        <v>1121</v>
      </c>
      <c r="B10909" s="0" t="n">
        <v>8</v>
      </c>
      <c r="C10909" s="0" t="n">
        <v>2.6</v>
      </c>
      <c r="D10909" s="0" t="n">
        <v>0.054159425</v>
      </c>
    </row>
    <row r="10910" customFormat="false" ht="13.8" hidden="true" customHeight="false" outlineLevel="0" collapsed="false">
      <c r="A10910" s="0" t="s">
        <v>1123</v>
      </c>
      <c r="B10910" s="0" t="n">
        <v>7</v>
      </c>
      <c r="C10910" s="0" t="n">
        <v>1.3</v>
      </c>
      <c r="D10910" s="0" t="n">
        <v>0</v>
      </c>
    </row>
    <row r="10911" customFormat="false" ht="13.8" hidden="true" customHeight="false" outlineLevel="0" collapsed="false">
      <c r="A10911" s="0" t="s">
        <v>1123</v>
      </c>
      <c r="B10911" s="0" t="n">
        <v>7</v>
      </c>
      <c r="C10911" s="0" t="n">
        <v>1.35</v>
      </c>
      <c r="D10911" s="0" t="n">
        <v>0</v>
      </c>
    </row>
    <row r="10912" customFormat="false" ht="13.8" hidden="true" customHeight="false" outlineLevel="0" collapsed="false">
      <c r="A10912" s="0" t="s">
        <v>1123</v>
      </c>
      <c r="B10912" s="0" t="n">
        <v>7</v>
      </c>
      <c r="C10912" s="0" t="n">
        <v>1.4</v>
      </c>
      <c r="D10912" s="0" t="n">
        <v>0</v>
      </c>
    </row>
    <row r="10913" customFormat="false" ht="13.8" hidden="true" customHeight="false" outlineLevel="0" collapsed="false">
      <c r="A10913" s="0" t="s">
        <v>1123</v>
      </c>
      <c r="B10913" s="0" t="n">
        <v>7</v>
      </c>
      <c r="C10913" s="0" t="n">
        <v>1.45</v>
      </c>
      <c r="D10913" s="0" t="n">
        <v>0</v>
      </c>
    </row>
    <row r="10914" customFormat="false" ht="13.8" hidden="true" customHeight="false" outlineLevel="0" collapsed="false">
      <c r="A10914" s="0" t="s">
        <v>1123</v>
      </c>
      <c r="B10914" s="0" t="n">
        <v>7</v>
      </c>
      <c r="C10914" s="0" t="n">
        <v>1.5</v>
      </c>
      <c r="D10914" s="0" t="n">
        <v>0</v>
      </c>
    </row>
    <row r="10915" customFormat="false" ht="13.8" hidden="true" customHeight="false" outlineLevel="0" collapsed="false">
      <c r="A10915" s="0" t="s">
        <v>1123</v>
      </c>
      <c r="B10915" s="0" t="n">
        <v>7</v>
      </c>
      <c r="C10915" s="0" t="n">
        <v>1.55</v>
      </c>
      <c r="D10915" s="0" t="n">
        <v>0</v>
      </c>
    </row>
    <row r="10916" customFormat="false" ht="13.8" hidden="true" customHeight="false" outlineLevel="0" collapsed="false">
      <c r="A10916" s="0" t="s">
        <v>1123</v>
      </c>
      <c r="B10916" s="0" t="n">
        <v>7</v>
      </c>
      <c r="C10916" s="0" t="n">
        <v>1.6</v>
      </c>
      <c r="D10916" s="0" t="n">
        <v>0.035</v>
      </c>
    </row>
    <row r="10917" customFormat="false" ht="13.8" hidden="true" customHeight="false" outlineLevel="0" collapsed="false">
      <c r="A10917" s="0" t="s">
        <v>1123</v>
      </c>
      <c r="B10917" s="0" t="n">
        <v>7</v>
      </c>
      <c r="C10917" s="0" t="n">
        <v>1.65</v>
      </c>
      <c r="D10917" s="0" t="n">
        <v>0.036</v>
      </c>
    </row>
    <row r="10918" customFormat="false" ht="13.8" hidden="true" customHeight="false" outlineLevel="0" collapsed="false">
      <c r="A10918" s="0" t="s">
        <v>1123</v>
      </c>
      <c r="B10918" s="0" t="n">
        <v>7</v>
      </c>
      <c r="C10918" s="0" t="n">
        <v>1.7</v>
      </c>
      <c r="D10918" s="0" t="n">
        <v>0.037</v>
      </c>
    </row>
    <row r="10919" customFormat="false" ht="13.8" hidden="true" customHeight="false" outlineLevel="0" collapsed="false">
      <c r="A10919" s="0" t="s">
        <v>1123</v>
      </c>
      <c r="B10919" s="0" t="n">
        <v>7</v>
      </c>
      <c r="C10919" s="0" t="n">
        <v>1.75</v>
      </c>
      <c r="D10919" s="0" t="n">
        <v>0.038</v>
      </c>
    </row>
    <row r="10920" customFormat="false" ht="13.8" hidden="true" customHeight="false" outlineLevel="0" collapsed="false">
      <c r="A10920" s="0" t="s">
        <v>1123</v>
      </c>
      <c r="B10920" s="0" t="n">
        <v>7</v>
      </c>
      <c r="C10920" s="0" t="n">
        <v>1.8</v>
      </c>
      <c r="D10920" s="0" t="n">
        <v>0.038</v>
      </c>
    </row>
    <row r="10921" customFormat="false" ht="13.8" hidden="true" customHeight="false" outlineLevel="0" collapsed="false">
      <c r="A10921" s="0" t="s">
        <v>1123</v>
      </c>
      <c r="B10921" s="0" t="n">
        <v>7</v>
      </c>
      <c r="C10921" s="0" t="n">
        <v>1.85</v>
      </c>
      <c r="D10921" s="0" t="n">
        <v>0.039</v>
      </c>
    </row>
    <row r="10922" customFormat="false" ht="13.8" hidden="true" customHeight="false" outlineLevel="0" collapsed="false">
      <c r="A10922" s="0" t="s">
        <v>1123</v>
      </c>
      <c r="B10922" s="0" t="n">
        <v>7</v>
      </c>
      <c r="C10922" s="0" t="n">
        <v>1.9</v>
      </c>
      <c r="D10922" s="0" t="n">
        <v>0.04</v>
      </c>
    </row>
    <row r="10923" customFormat="false" ht="13.8" hidden="true" customHeight="false" outlineLevel="0" collapsed="false">
      <c r="A10923" s="0" t="s">
        <v>1123</v>
      </c>
      <c r="B10923" s="0" t="n">
        <v>7</v>
      </c>
      <c r="C10923" s="0" t="n">
        <v>1.95</v>
      </c>
      <c r="D10923" s="0" t="n">
        <v>0.041</v>
      </c>
    </row>
    <row r="10924" customFormat="false" ht="13.8" hidden="true" customHeight="false" outlineLevel="0" collapsed="false">
      <c r="A10924" s="0" t="s">
        <v>1123</v>
      </c>
      <c r="B10924" s="0" t="n">
        <v>7</v>
      </c>
      <c r="C10924" s="0" t="n">
        <v>2</v>
      </c>
      <c r="D10924" s="0" t="n">
        <v>0.040821382</v>
      </c>
    </row>
    <row r="10925" customFormat="false" ht="13.8" hidden="true" customHeight="false" outlineLevel="0" collapsed="false">
      <c r="A10925" s="0" t="s">
        <v>1123</v>
      </c>
      <c r="B10925" s="0" t="n">
        <v>7</v>
      </c>
      <c r="C10925" s="0" t="n">
        <v>2.05</v>
      </c>
      <c r="D10925" s="0" t="n">
        <v>0.041841917</v>
      </c>
    </row>
    <row r="10926" customFormat="false" ht="13.8" hidden="true" customHeight="false" outlineLevel="0" collapsed="false">
      <c r="A10926" s="0" t="s">
        <v>1123</v>
      </c>
      <c r="B10926" s="0" t="n">
        <v>7</v>
      </c>
      <c r="C10926" s="0" t="n">
        <v>2.1</v>
      </c>
      <c r="D10926" s="0" t="n">
        <v>0.042862451</v>
      </c>
    </row>
    <row r="10927" customFormat="false" ht="13.8" hidden="true" customHeight="false" outlineLevel="0" collapsed="false">
      <c r="A10927" s="0" t="s">
        <v>1123</v>
      </c>
      <c r="B10927" s="0" t="n">
        <v>7</v>
      </c>
      <c r="C10927" s="0" t="n">
        <v>2.15</v>
      </c>
      <c r="D10927" s="0" t="n">
        <v>0.043882986</v>
      </c>
    </row>
    <row r="10928" customFormat="false" ht="13.8" hidden="true" customHeight="false" outlineLevel="0" collapsed="false">
      <c r="A10928" s="0" t="s">
        <v>1123</v>
      </c>
      <c r="B10928" s="0" t="n">
        <v>7</v>
      </c>
      <c r="C10928" s="0" t="n">
        <v>2.2</v>
      </c>
      <c r="D10928" s="0" t="n">
        <v>0.045827206</v>
      </c>
    </row>
    <row r="10929" customFormat="false" ht="13.8" hidden="true" customHeight="false" outlineLevel="0" collapsed="false">
      <c r="A10929" s="0" t="s">
        <v>1123</v>
      </c>
      <c r="B10929" s="0" t="n">
        <v>7</v>
      </c>
      <c r="C10929" s="0" t="n">
        <v>2.25</v>
      </c>
      <c r="D10929" s="0" t="n">
        <v>0.046868734</v>
      </c>
    </row>
    <row r="10930" customFormat="false" ht="13.8" hidden="true" customHeight="false" outlineLevel="0" collapsed="false">
      <c r="A10930" s="0" t="s">
        <v>1123</v>
      </c>
      <c r="B10930" s="0" t="n">
        <v>7</v>
      </c>
      <c r="C10930" s="0" t="n">
        <v>2.3</v>
      </c>
      <c r="D10930" s="0" t="n">
        <v>0.047910261</v>
      </c>
    </row>
    <row r="10931" customFormat="false" ht="13.8" hidden="true" customHeight="false" outlineLevel="0" collapsed="false">
      <c r="A10931" s="0" t="s">
        <v>1123</v>
      </c>
      <c r="B10931" s="0" t="n">
        <v>7</v>
      </c>
      <c r="C10931" s="0" t="n">
        <v>2.35</v>
      </c>
      <c r="D10931" s="0" t="n">
        <v>0.048951788</v>
      </c>
    </row>
    <row r="10932" customFormat="false" ht="13.8" hidden="true" customHeight="false" outlineLevel="0" collapsed="false">
      <c r="A10932" s="0" t="s">
        <v>1123</v>
      </c>
      <c r="B10932" s="0" t="n">
        <v>7</v>
      </c>
      <c r="C10932" s="0" t="n">
        <v>2.4</v>
      </c>
      <c r="D10932" s="0" t="n">
        <v>0.049993316</v>
      </c>
    </row>
    <row r="10933" customFormat="false" ht="13.8" hidden="true" customHeight="false" outlineLevel="0" collapsed="false">
      <c r="A10933" s="0" t="s">
        <v>1123</v>
      </c>
      <c r="B10933" s="0" t="n">
        <v>7</v>
      </c>
      <c r="C10933" s="0" t="n">
        <v>2.45</v>
      </c>
      <c r="D10933" s="0" t="n">
        <v>0.051034843</v>
      </c>
    </row>
    <row r="10934" customFormat="false" ht="13.8" hidden="true" customHeight="false" outlineLevel="0" collapsed="false">
      <c r="A10934" s="0" t="s">
        <v>1123</v>
      </c>
      <c r="B10934" s="0" t="n">
        <v>7</v>
      </c>
      <c r="C10934" s="0" t="n">
        <v>2.5</v>
      </c>
      <c r="D10934" s="0" t="n">
        <v>0.052076371</v>
      </c>
    </row>
    <row r="10935" customFormat="false" ht="13.8" hidden="true" customHeight="false" outlineLevel="0" collapsed="false">
      <c r="A10935" s="0" t="s">
        <v>1123</v>
      </c>
      <c r="B10935" s="0" t="n">
        <v>7</v>
      </c>
      <c r="C10935" s="0" t="n">
        <v>2.55</v>
      </c>
      <c r="D10935" s="0" t="n">
        <v>0.053117898</v>
      </c>
    </row>
    <row r="10936" customFormat="false" ht="13.8" hidden="true" customHeight="false" outlineLevel="0" collapsed="false">
      <c r="A10936" s="0" t="s">
        <v>1123</v>
      </c>
      <c r="B10936" s="0" t="n">
        <v>7</v>
      </c>
      <c r="C10936" s="0" t="n">
        <v>2.6</v>
      </c>
      <c r="D10936" s="0" t="n">
        <v>0.054159425</v>
      </c>
    </row>
    <row r="10937" customFormat="false" ht="13.8" hidden="true" customHeight="false" outlineLevel="0" collapsed="false">
      <c r="A10937" s="0" t="s">
        <v>1123</v>
      </c>
      <c r="B10937" s="0" t="n">
        <v>8</v>
      </c>
      <c r="C10937" s="0" t="n">
        <v>1.3</v>
      </c>
      <c r="D10937" s="0" t="n">
        <v>0</v>
      </c>
    </row>
    <row r="10938" customFormat="false" ht="13.8" hidden="true" customHeight="false" outlineLevel="0" collapsed="false">
      <c r="A10938" s="0" t="s">
        <v>1123</v>
      </c>
      <c r="B10938" s="0" t="n">
        <v>8</v>
      </c>
      <c r="C10938" s="0" t="n">
        <v>1.35</v>
      </c>
      <c r="D10938" s="0" t="n">
        <v>0</v>
      </c>
    </row>
    <row r="10939" customFormat="false" ht="13.8" hidden="true" customHeight="false" outlineLevel="0" collapsed="false">
      <c r="A10939" s="0" t="s">
        <v>1123</v>
      </c>
      <c r="B10939" s="0" t="n">
        <v>8</v>
      </c>
      <c r="C10939" s="0" t="n">
        <v>1.4</v>
      </c>
      <c r="D10939" s="0" t="n">
        <v>0</v>
      </c>
    </row>
    <row r="10940" customFormat="false" ht="13.8" hidden="true" customHeight="false" outlineLevel="0" collapsed="false">
      <c r="A10940" s="0" t="s">
        <v>1123</v>
      </c>
      <c r="B10940" s="0" t="n">
        <v>8</v>
      </c>
      <c r="C10940" s="0" t="n">
        <v>1.45</v>
      </c>
      <c r="D10940" s="0" t="n">
        <v>0</v>
      </c>
    </row>
    <row r="10941" customFormat="false" ht="13.8" hidden="true" customHeight="false" outlineLevel="0" collapsed="false">
      <c r="A10941" s="0" t="s">
        <v>1123</v>
      </c>
      <c r="B10941" s="0" t="n">
        <v>8</v>
      </c>
      <c r="C10941" s="0" t="n">
        <v>1.5</v>
      </c>
      <c r="D10941" s="0" t="n">
        <v>0</v>
      </c>
    </row>
    <row r="10942" customFormat="false" ht="13.8" hidden="true" customHeight="false" outlineLevel="0" collapsed="false">
      <c r="A10942" s="0" t="s">
        <v>1123</v>
      </c>
      <c r="B10942" s="0" t="n">
        <v>8</v>
      </c>
      <c r="C10942" s="0" t="n">
        <v>1.55</v>
      </c>
      <c r="D10942" s="0" t="n">
        <v>0</v>
      </c>
    </row>
    <row r="10943" customFormat="false" ht="13.8" hidden="true" customHeight="false" outlineLevel="0" collapsed="false">
      <c r="A10943" s="0" t="s">
        <v>1123</v>
      </c>
      <c r="B10943" s="0" t="n">
        <v>8</v>
      </c>
      <c r="C10943" s="0" t="n">
        <v>1.6</v>
      </c>
      <c r="D10943" s="0" t="n">
        <v>0.035</v>
      </c>
    </row>
    <row r="10944" customFormat="false" ht="13.8" hidden="true" customHeight="false" outlineLevel="0" collapsed="false">
      <c r="A10944" s="0" t="s">
        <v>1123</v>
      </c>
      <c r="B10944" s="0" t="n">
        <v>8</v>
      </c>
      <c r="C10944" s="0" t="n">
        <v>1.65</v>
      </c>
      <c r="D10944" s="0" t="n">
        <v>0.036</v>
      </c>
    </row>
    <row r="10945" customFormat="false" ht="13.8" hidden="true" customHeight="false" outlineLevel="0" collapsed="false">
      <c r="A10945" s="0" t="s">
        <v>1123</v>
      </c>
      <c r="B10945" s="0" t="n">
        <v>8</v>
      </c>
      <c r="C10945" s="0" t="n">
        <v>1.7</v>
      </c>
      <c r="D10945" s="0" t="n">
        <v>0.037</v>
      </c>
    </row>
    <row r="10946" customFormat="false" ht="13.8" hidden="true" customHeight="false" outlineLevel="0" collapsed="false">
      <c r="A10946" s="0" t="s">
        <v>1123</v>
      </c>
      <c r="B10946" s="0" t="n">
        <v>8</v>
      </c>
      <c r="C10946" s="0" t="n">
        <v>1.75</v>
      </c>
      <c r="D10946" s="0" t="n">
        <v>0.038</v>
      </c>
    </row>
    <row r="10947" customFormat="false" ht="13.8" hidden="true" customHeight="false" outlineLevel="0" collapsed="false">
      <c r="A10947" s="0" t="s">
        <v>1123</v>
      </c>
      <c r="B10947" s="0" t="n">
        <v>8</v>
      </c>
      <c r="C10947" s="0" t="n">
        <v>1.8</v>
      </c>
      <c r="D10947" s="0" t="n">
        <v>0.038</v>
      </c>
    </row>
    <row r="10948" customFormat="false" ht="13.8" hidden="true" customHeight="false" outlineLevel="0" collapsed="false">
      <c r="A10948" s="0" t="s">
        <v>1123</v>
      </c>
      <c r="B10948" s="0" t="n">
        <v>8</v>
      </c>
      <c r="C10948" s="0" t="n">
        <v>1.85</v>
      </c>
      <c r="D10948" s="0" t="n">
        <v>0.039</v>
      </c>
    </row>
    <row r="10949" customFormat="false" ht="13.8" hidden="true" customHeight="false" outlineLevel="0" collapsed="false">
      <c r="A10949" s="0" t="s">
        <v>1123</v>
      </c>
      <c r="B10949" s="0" t="n">
        <v>8</v>
      </c>
      <c r="C10949" s="0" t="n">
        <v>1.9</v>
      </c>
      <c r="D10949" s="0" t="n">
        <v>0.04</v>
      </c>
    </row>
    <row r="10950" customFormat="false" ht="13.8" hidden="true" customHeight="false" outlineLevel="0" collapsed="false">
      <c r="A10950" s="0" t="s">
        <v>1123</v>
      </c>
      <c r="B10950" s="0" t="n">
        <v>8</v>
      </c>
      <c r="C10950" s="0" t="n">
        <v>1.95</v>
      </c>
      <c r="D10950" s="0" t="n">
        <v>0.041</v>
      </c>
    </row>
    <row r="10951" customFormat="false" ht="13.8" hidden="true" customHeight="false" outlineLevel="0" collapsed="false">
      <c r="A10951" s="0" t="s">
        <v>1123</v>
      </c>
      <c r="B10951" s="0" t="n">
        <v>8</v>
      </c>
      <c r="C10951" s="0" t="n">
        <v>2</v>
      </c>
      <c r="D10951" s="0" t="n">
        <v>0.040821382</v>
      </c>
    </row>
    <row r="10952" customFormat="false" ht="13.8" hidden="true" customHeight="false" outlineLevel="0" collapsed="false">
      <c r="A10952" s="0" t="s">
        <v>1123</v>
      </c>
      <c r="B10952" s="0" t="n">
        <v>8</v>
      </c>
      <c r="C10952" s="0" t="n">
        <v>2.05</v>
      </c>
      <c r="D10952" s="0" t="n">
        <v>0.041841917</v>
      </c>
    </row>
    <row r="10953" customFormat="false" ht="13.8" hidden="true" customHeight="false" outlineLevel="0" collapsed="false">
      <c r="A10953" s="0" t="s">
        <v>1123</v>
      </c>
      <c r="B10953" s="0" t="n">
        <v>8</v>
      </c>
      <c r="C10953" s="0" t="n">
        <v>2.1</v>
      </c>
      <c r="D10953" s="0" t="n">
        <v>0.042862451</v>
      </c>
    </row>
    <row r="10954" customFormat="false" ht="13.8" hidden="true" customHeight="false" outlineLevel="0" collapsed="false">
      <c r="A10954" s="0" t="s">
        <v>1123</v>
      </c>
      <c r="B10954" s="0" t="n">
        <v>8</v>
      </c>
      <c r="C10954" s="0" t="n">
        <v>2.15</v>
      </c>
      <c r="D10954" s="0" t="n">
        <v>0.043882986</v>
      </c>
    </row>
    <row r="10955" customFormat="false" ht="13.8" hidden="true" customHeight="false" outlineLevel="0" collapsed="false">
      <c r="A10955" s="0" t="s">
        <v>1123</v>
      </c>
      <c r="B10955" s="0" t="n">
        <v>8</v>
      </c>
      <c r="C10955" s="0" t="n">
        <v>2.2</v>
      </c>
      <c r="D10955" s="0" t="n">
        <v>0.045827206</v>
      </c>
    </row>
    <row r="10956" customFormat="false" ht="13.8" hidden="true" customHeight="false" outlineLevel="0" collapsed="false">
      <c r="A10956" s="0" t="s">
        <v>1123</v>
      </c>
      <c r="B10956" s="0" t="n">
        <v>8</v>
      </c>
      <c r="C10956" s="0" t="n">
        <v>2.25</v>
      </c>
      <c r="D10956" s="0" t="n">
        <v>0.046868734</v>
      </c>
    </row>
    <row r="10957" customFormat="false" ht="13.8" hidden="true" customHeight="false" outlineLevel="0" collapsed="false">
      <c r="A10957" s="0" t="s">
        <v>1123</v>
      </c>
      <c r="B10957" s="0" t="n">
        <v>8</v>
      </c>
      <c r="C10957" s="0" t="n">
        <v>2.3</v>
      </c>
      <c r="D10957" s="0" t="n">
        <v>0.047910261</v>
      </c>
    </row>
    <row r="10958" customFormat="false" ht="13.8" hidden="true" customHeight="false" outlineLevel="0" collapsed="false">
      <c r="A10958" s="0" t="s">
        <v>1123</v>
      </c>
      <c r="B10958" s="0" t="n">
        <v>8</v>
      </c>
      <c r="C10958" s="0" t="n">
        <v>2.35</v>
      </c>
      <c r="D10958" s="0" t="n">
        <v>0.048951788</v>
      </c>
    </row>
    <row r="10959" customFormat="false" ht="13.8" hidden="true" customHeight="false" outlineLevel="0" collapsed="false">
      <c r="A10959" s="0" t="s">
        <v>1123</v>
      </c>
      <c r="B10959" s="0" t="n">
        <v>8</v>
      </c>
      <c r="C10959" s="0" t="n">
        <v>2.4</v>
      </c>
      <c r="D10959" s="0" t="n">
        <v>0.049993316</v>
      </c>
    </row>
    <row r="10960" customFormat="false" ht="13.8" hidden="true" customHeight="false" outlineLevel="0" collapsed="false">
      <c r="A10960" s="0" t="s">
        <v>1123</v>
      </c>
      <c r="B10960" s="0" t="n">
        <v>8</v>
      </c>
      <c r="C10960" s="0" t="n">
        <v>2.45</v>
      </c>
      <c r="D10960" s="0" t="n">
        <v>0.051034843</v>
      </c>
    </row>
    <row r="10961" customFormat="false" ht="13.8" hidden="true" customHeight="false" outlineLevel="0" collapsed="false">
      <c r="A10961" s="0" t="s">
        <v>1123</v>
      </c>
      <c r="B10961" s="0" t="n">
        <v>8</v>
      </c>
      <c r="C10961" s="0" t="n">
        <v>2.5</v>
      </c>
      <c r="D10961" s="0" t="n">
        <v>0.052076371</v>
      </c>
    </row>
    <row r="10962" customFormat="false" ht="13.8" hidden="true" customHeight="false" outlineLevel="0" collapsed="false">
      <c r="A10962" s="0" t="s">
        <v>1123</v>
      </c>
      <c r="B10962" s="0" t="n">
        <v>8</v>
      </c>
      <c r="C10962" s="0" t="n">
        <v>2.55</v>
      </c>
      <c r="D10962" s="0" t="n">
        <v>0.053117898</v>
      </c>
    </row>
    <row r="10963" customFormat="false" ht="13.8" hidden="true" customHeight="false" outlineLevel="0" collapsed="false">
      <c r="A10963" s="0" t="s">
        <v>1123</v>
      </c>
      <c r="B10963" s="0" t="n">
        <v>8</v>
      </c>
      <c r="C10963" s="0" t="n">
        <v>2.6</v>
      </c>
      <c r="D10963" s="0" t="n">
        <v>0.054159425</v>
      </c>
    </row>
    <row r="10964" customFormat="false" ht="13.8" hidden="true" customHeight="false" outlineLevel="0" collapsed="false">
      <c r="A10964" s="0" t="s">
        <v>1126</v>
      </c>
      <c r="B10964" s="0" t="n">
        <v>7</v>
      </c>
      <c r="C10964" s="0" t="n">
        <v>1.3</v>
      </c>
      <c r="D10964" s="0" t="n">
        <v>0</v>
      </c>
    </row>
    <row r="10965" customFormat="false" ht="13.8" hidden="true" customHeight="false" outlineLevel="0" collapsed="false">
      <c r="A10965" s="0" t="s">
        <v>1126</v>
      </c>
      <c r="B10965" s="0" t="n">
        <v>7</v>
      </c>
      <c r="C10965" s="0" t="n">
        <v>1.35</v>
      </c>
      <c r="D10965" s="0" t="n">
        <v>0</v>
      </c>
    </row>
    <row r="10966" customFormat="false" ht="13.8" hidden="true" customHeight="false" outlineLevel="0" collapsed="false">
      <c r="A10966" s="0" t="s">
        <v>1126</v>
      </c>
      <c r="B10966" s="0" t="n">
        <v>7</v>
      </c>
      <c r="C10966" s="0" t="n">
        <v>1.4</v>
      </c>
      <c r="D10966" s="0" t="n">
        <v>0</v>
      </c>
    </row>
    <row r="10967" customFormat="false" ht="13.8" hidden="true" customHeight="false" outlineLevel="0" collapsed="false">
      <c r="A10967" s="0" t="s">
        <v>1126</v>
      </c>
      <c r="B10967" s="0" t="n">
        <v>7</v>
      </c>
      <c r="C10967" s="0" t="n">
        <v>1.45</v>
      </c>
      <c r="D10967" s="0" t="n">
        <v>0</v>
      </c>
    </row>
    <row r="10968" customFormat="false" ht="13.8" hidden="true" customHeight="false" outlineLevel="0" collapsed="false">
      <c r="A10968" s="0" t="s">
        <v>1126</v>
      </c>
      <c r="B10968" s="0" t="n">
        <v>7</v>
      </c>
      <c r="C10968" s="0" t="n">
        <v>1.5</v>
      </c>
      <c r="D10968" s="0" t="n">
        <v>0</v>
      </c>
    </row>
    <row r="10969" customFormat="false" ht="13.8" hidden="true" customHeight="false" outlineLevel="0" collapsed="false">
      <c r="A10969" s="0" t="s">
        <v>1126</v>
      </c>
      <c r="B10969" s="0" t="n">
        <v>7</v>
      </c>
      <c r="C10969" s="0" t="n">
        <v>1.55</v>
      </c>
      <c r="D10969" s="0" t="n">
        <v>0</v>
      </c>
    </row>
    <row r="10970" customFormat="false" ht="13.8" hidden="true" customHeight="false" outlineLevel="0" collapsed="false">
      <c r="A10970" s="0" t="s">
        <v>1126</v>
      </c>
      <c r="B10970" s="0" t="n">
        <v>7</v>
      </c>
      <c r="C10970" s="0" t="n">
        <v>1.6</v>
      </c>
      <c r="D10970" s="0" t="n">
        <v>0.07</v>
      </c>
    </row>
    <row r="10971" customFormat="false" ht="13.8" hidden="true" customHeight="false" outlineLevel="0" collapsed="false">
      <c r="A10971" s="0" t="s">
        <v>1126</v>
      </c>
      <c r="B10971" s="0" t="n">
        <v>7</v>
      </c>
      <c r="C10971" s="0" t="n">
        <v>1.65</v>
      </c>
      <c r="D10971" s="0" t="n">
        <v>0.072</v>
      </c>
    </row>
    <row r="10972" customFormat="false" ht="13.8" hidden="true" customHeight="false" outlineLevel="0" collapsed="false">
      <c r="A10972" s="0" t="s">
        <v>1126</v>
      </c>
      <c r="B10972" s="0" t="n">
        <v>7</v>
      </c>
      <c r="C10972" s="0" t="n">
        <v>1.7</v>
      </c>
      <c r="D10972" s="0" t="n">
        <v>0.074</v>
      </c>
    </row>
    <row r="10973" customFormat="false" ht="13.8" hidden="true" customHeight="false" outlineLevel="0" collapsed="false">
      <c r="A10973" s="0" t="s">
        <v>1126</v>
      </c>
      <c r="B10973" s="0" t="n">
        <v>7</v>
      </c>
      <c r="C10973" s="0" t="n">
        <v>1.75</v>
      </c>
      <c r="D10973" s="0" t="n">
        <v>0.076</v>
      </c>
    </row>
    <row r="10974" customFormat="false" ht="13.8" hidden="true" customHeight="false" outlineLevel="0" collapsed="false">
      <c r="A10974" s="0" t="s">
        <v>1126</v>
      </c>
      <c r="B10974" s="0" t="n">
        <v>7</v>
      </c>
      <c r="C10974" s="0" t="n">
        <v>1.8</v>
      </c>
      <c r="D10974" s="0" t="n">
        <v>0</v>
      </c>
    </row>
    <row r="10975" customFormat="false" ht="13.8" hidden="true" customHeight="false" outlineLevel="0" collapsed="false">
      <c r="A10975" s="0" t="s">
        <v>1126</v>
      </c>
      <c r="B10975" s="0" t="n">
        <v>7</v>
      </c>
      <c r="C10975" s="0" t="n">
        <v>1.85</v>
      </c>
      <c r="D10975" s="0" t="n">
        <v>0</v>
      </c>
    </row>
    <row r="10976" customFormat="false" ht="13.8" hidden="true" customHeight="false" outlineLevel="0" collapsed="false">
      <c r="A10976" s="0" t="s">
        <v>1126</v>
      </c>
      <c r="B10976" s="0" t="n">
        <v>7</v>
      </c>
      <c r="C10976" s="0" t="n">
        <v>1.9</v>
      </c>
      <c r="D10976" s="0" t="n">
        <v>0</v>
      </c>
    </row>
    <row r="10977" customFormat="false" ht="13.8" hidden="true" customHeight="false" outlineLevel="0" collapsed="false">
      <c r="A10977" s="0" t="s">
        <v>1126</v>
      </c>
      <c r="B10977" s="0" t="n">
        <v>7</v>
      </c>
      <c r="C10977" s="0" t="n">
        <v>1.95</v>
      </c>
      <c r="D10977" s="0" t="n">
        <v>0</v>
      </c>
    </row>
    <row r="10978" customFormat="false" ht="13.8" hidden="true" customHeight="false" outlineLevel="0" collapsed="false">
      <c r="A10978" s="0" t="s">
        <v>1126</v>
      </c>
      <c r="B10978" s="0" t="n">
        <v>7</v>
      </c>
      <c r="C10978" s="0" t="n">
        <v>2</v>
      </c>
      <c r="D10978" s="0" t="n">
        <v>0</v>
      </c>
    </row>
    <row r="10979" customFormat="false" ht="13.8" hidden="true" customHeight="false" outlineLevel="0" collapsed="false">
      <c r="A10979" s="0" t="s">
        <v>1126</v>
      </c>
      <c r="B10979" s="0" t="n">
        <v>7</v>
      </c>
      <c r="C10979" s="0" t="n">
        <v>2.05</v>
      </c>
      <c r="D10979" s="0" t="n">
        <v>0</v>
      </c>
    </row>
    <row r="10980" customFormat="false" ht="13.8" hidden="true" customHeight="false" outlineLevel="0" collapsed="false">
      <c r="A10980" s="0" t="s">
        <v>1126</v>
      </c>
      <c r="B10980" s="0" t="n">
        <v>7</v>
      </c>
      <c r="C10980" s="0" t="n">
        <v>2.1</v>
      </c>
      <c r="D10980" s="0" t="n">
        <v>0</v>
      </c>
    </row>
    <row r="10981" customFormat="false" ht="13.8" hidden="true" customHeight="false" outlineLevel="0" collapsed="false">
      <c r="A10981" s="0" t="s">
        <v>1126</v>
      </c>
      <c r="B10981" s="0" t="n">
        <v>7</v>
      </c>
      <c r="C10981" s="0" t="n">
        <v>2.15</v>
      </c>
      <c r="D10981" s="0" t="n">
        <v>0</v>
      </c>
    </row>
    <row r="10982" customFormat="false" ht="13.8" hidden="true" customHeight="false" outlineLevel="0" collapsed="false">
      <c r="A10982" s="0" t="s">
        <v>1126</v>
      </c>
      <c r="B10982" s="0" t="n">
        <v>7</v>
      </c>
      <c r="C10982" s="0" t="n">
        <v>2.2</v>
      </c>
      <c r="D10982" s="0" t="n">
        <v>0</v>
      </c>
    </row>
    <row r="10983" customFormat="false" ht="13.8" hidden="true" customHeight="false" outlineLevel="0" collapsed="false">
      <c r="A10983" s="0" t="s">
        <v>1126</v>
      </c>
      <c r="B10983" s="0" t="n">
        <v>7</v>
      </c>
      <c r="C10983" s="0" t="n">
        <v>2.25</v>
      </c>
      <c r="D10983" s="0" t="n">
        <v>0</v>
      </c>
    </row>
    <row r="10984" customFormat="false" ht="13.8" hidden="true" customHeight="false" outlineLevel="0" collapsed="false">
      <c r="A10984" s="0" t="s">
        <v>1126</v>
      </c>
      <c r="B10984" s="0" t="n">
        <v>7</v>
      </c>
      <c r="C10984" s="0" t="n">
        <v>2.3</v>
      </c>
      <c r="D10984" s="0" t="n">
        <v>0</v>
      </c>
    </row>
    <row r="10985" customFormat="false" ht="13.8" hidden="true" customHeight="false" outlineLevel="0" collapsed="false">
      <c r="A10985" s="0" t="s">
        <v>1126</v>
      </c>
      <c r="B10985" s="0" t="n">
        <v>7</v>
      </c>
      <c r="C10985" s="0" t="n">
        <v>2.35</v>
      </c>
      <c r="D10985" s="0" t="n">
        <v>0</v>
      </c>
    </row>
    <row r="10986" customFormat="false" ht="13.8" hidden="true" customHeight="false" outlineLevel="0" collapsed="false">
      <c r="A10986" s="0" t="s">
        <v>1126</v>
      </c>
      <c r="B10986" s="0" t="n">
        <v>7</v>
      </c>
      <c r="C10986" s="0" t="n">
        <v>2.4</v>
      </c>
      <c r="D10986" s="0" t="n">
        <v>0</v>
      </c>
    </row>
    <row r="10987" customFormat="false" ht="13.8" hidden="true" customHeight="false" outlineLevel="0" collapsed="false">
      <c r="A10987" s="0" t="s">
        <v>1126</v>
      </c>
      <c r="B10987" s="0" t="n">
        <v>7</v>
      </c>
      <c r="C10987" s="0" t="n">
        <v>2.45</v>
      </c>
      <c r="D10987" s="0" t="n">
        <v>0</v>
      </c>
    </row>
    <row r="10988" customFormat="false" ht="13.8" hidden="true" customHeight="false" outlineLevel="0" collapsed="false">
      <c r="A10988" s="0" t="s">
        <v>1126</v>
      </c>
      <c r="B10988" s="0" t="n">
        <v>7</v>
      </c>
      <c r="C10988" s="0" t="n">
        <v>2.5</v>
      </c>
      <c r="D10988" s="0" t="n">
        <v>0</v>
      </c>
    </row>
    <row r="10989" customFormat="false" ht="13.8" hidden="true" customHeight="false" outlineLevel="0" collapsed="false">
      <c r="A10989" s="0" t="s">
        <v>1126</v>
      </c>
      <c r="B10989" s="0" t="n">
        <v>7</v>
      </c>
      <c r="C10989" s="0" t="n">
        <v>2.55</v>
      </c>
      <c r="D10989" s="0" t="n">
        <v>0</v>
      </c>
    </row>
    <row r="10990" customFormat="false" ht="13.8" hidden="true" customHeight="false" outlineLevel="0" collapsed="false">
      <c r="A10990" s="0" t="s">
        <v>1126</v>
      </c>
      <c r="B10990" s="0" t="n">
        <v>7</v>
      </c>
      <c r="C10990" s="0" t="n">
        <v>2.6</v>
      </c>
      <c r="D10990" s="0" t="n">
        <v>0</v>
      </c>
    </row>
    <row r="10991" customFormat="false" ht="13.8" hidden="true" customHeight="false" outlineLevel="0" collapsed="false">
      <c r="A10991" s="0" t="s">
        <v>1126</v>
      </c>
      <c r="B10991" s="0" t="n">
        <v>8</v>
      </c>
      <c r="C10991" s="0" t="n">
        <v>1.3</v>
      </c>
      <c r="D10991" s="0" t="n">
        <v>0</v>
      </c>
    </row>
    <row r="10992" customFormat="false" ht="13.8" hidden="true" customHeight="false" outlineLevel="0" collapsed="false">
      <c r="A10992" s="0" t="s">
        <v>1126</v>
      </c>
      <c r="B10992" s="0" t="n">
        <v>8</v>
      </c>
      <c r="C10992" s="0" t="n">
        <v>1.35</v>
      </c>
      <c r="D10992" s="0" t="n">
        <v>0</v>
      </c>
    </row>
    <row r="10993" customFormat="false" ht="13.8" hidden="true" customHeight="false" outlineLevel="0" collapsed="false">
      <c r="A10993" s="0" t="s">
        <v>1126</v>
      </c>
      <c r="B10993" s="0" t="n">
        <v>8</v>
      </c>
      <c r="C10993" s="0" t="n">
        <v>1.4</v>
      </c>
      <c r="D10993" s="0" t="n">
        <v>0</v>
      </c>
    </row>
    <row r="10994" customFormat="false" ht="13.8" hidden="true" customHeight="false" outlineLevel="0" collapsed="false">
      <c r="A10994" s="0" t="s">
        <v>1126</v>
      </c>
      <c r="B10994" s="0" t="n">
        <v>8</v>
      </c>
      <c r="C10994" s="0" t="n">
        <v>1.45</v>
      </c>
      <c r="D10994" s="0" t="n">
        <v>0</v>
      </c>
    </row>
    <row r="10995" customFormat="false" ht="13.8" hidden="true" customHeight="false" outlineLevel="0" collapsed="false">
      <c r="A10995" s="0" t="s">
        <v>1126</v>
      </c>
      <c r="B10995" s="0" t="n">
        <v>8</v>
      </c>
      <c r="C10995" s="0" t="n">
        <v>1.5</v>
      </c>
      <c r="D10995" s="0" t="n">
        <v>0</v>
      </c>
    </row>
    <row r="10996" customFormat="false" ht="13.8" hidden="true" customHeight="false" outlineLevel="0" collapsed="false">
      <c r="A10996" s="0" t="s">
        <v>1126</v>
      </c>
      <c r="B10996" s="0" t="n">
        <v>8</v>
      </c>
      <c r="C10996" s="0" t="n">
        <v>1.55</v>
      </c>
      <c r="D10996" s="0" t="n">
        <v>0</v>
      </c>
    </row>
    <row r="10997" customFormat="false" ht="13.8" hidden="true" customHeight="false" outlineLevel="0" collapsed="false">
      <c r="A10997" s="0" t="s">
        <v>1126</v>
      </c>
      <c r="B10997" s="0" t="n">
        <v>8</v>
      </c>
      <c r="C10997" s="0" t="n">
        <v>1.6</v>
      </c>
      <c r="D10997" s="0" t="n">
        <v>0.07</v>
      </c>
    </row>
    <row r="10998" customFormat="false" ht="13.8" hidden="true" customHeight="false" outlineLevel="0" collapsed="false">
      <c r="A10998" s="0" t="s">
        <v>1126</v>
      </c>
      <c r="B10998" s="0" t="n">
        <v>8</v>
      </c>
      <c r="C10998" s="0" t="n">
        <v>1.65</v>
      </c>
      <c r="D10998" s="0" t="n">
        <v>0.072</v>
      </c>
    </row>
    <row r="10999" customFormat="false" ht="13.8" hidden="true" customHeight="false" outlineLevel="0" collapsed="false">
      <c r="A10999" s="0" t="s">
        <v>1126</v>
      </c>
      <c r="B10999" s="0" t="n">
        <v>8</v>
      </c>
      <c r="C10999" s="0" t="n">
        <v>1.7</v>
      </c>
      <c r="D10999" s="0" t="n">
        <v>0.074</v>
      </c>
    </row>
    <row r="11000" customFormat="false" ht="13.8" hidden="true" customHeight="false" outlineLevel="0" collapsed="false">
      <c r="A11000" s="0" t="s">
        <v>1126</v>
      </c>
      <c r="B11000" s="0" t="n">
        <v>8</v>
      </c>
      <c r="C11000" s="0" t="n">
        <v>1.75</v>
      </c>
      <c r="D11000" s="0" t="n">
        <v>0.076</v>
      </c>
    </row>
    <row r="11001" customFormat="false" ht="13.8" hidden="true" customHeight="false" outlineLevel="0" collapsed="false">
      <c r="A11001" s="0" t="s">
        <v>1126</v>
      </c>
      <c r="B11001" s="0" t="n">
        <v>8</v>
      </c>
      <c r="C11001" s="0" t="n">
        <v>1.8</v>
      </c>
      <c r="D11001" s="0" t="n">
        <v>0</v>
      </c>
    </row>
    <row r="11002" customFormat="false" ht="13.8" hidden="true" customHeight="false" outlineLevel="0" collapsed="false">
      <c r="A11002" s="0" t="s">
        <v>1126</v>
      </c>
      <c r="B11002" s="0" t="n">
        <v>8</v>
      </c>
      <c r="C11002" s="0" t="n">
        <v>1.85</v>
      </c>
      <c r="D11002" s="0" t="n">
        <v>0</v>
      </c>
    </row>
    <row r="11003" customFormat="false" ht="13.8" hidden="true" customHeight="false" outlineLevel="0" collapsed="false">
      <c r="A11003" s="0" t="s">
        <v>1126</v>
      </c>
      <c r="B11003" s="0" t="n">
        <v>8</v>
      </c>
      <c r="C11003" s="0" t="n">
        <v>1.9</v>
      </c>
      <c r="D11003" s="0" t="n">
        <v>0</v>
      </c>
    </row>
    <row r="11004" customFormat="false" ht="13.8" hidden="true" customHeight="false" outlineLevel="0" collapsed="false">
      <c r="A11004" s="0" t="s">
        <v>1126</v>
      </c>
      <c r="B11004" s="0" t="n">
        <v>8</v>
      </c>
      <c r="C11004" s="0" t="n">
        <v>1.95</v>
      </c>
      <c r="D11004" s="0" t="n">
        <v>0</v>
      </c>
    </row>
    <row r="11005" customFormat="false" ht="13.8" hidden="true" customHeight="false" outlineLevel="0" collapsed="false">
      <c r="A11005" s="0" t="s">
        <v>1126</v>
      </c>
      <c r="B11005" s="0" t="n">
        <v>8</v>
      </c>
      <c r="C11005" s="0" t="n">
        <v>2</v>
      </c>
      <c r="D11005" s="0" t="n">
        <v>0</v>
      </c>
    </row>
    <row r="11006" customFormat="false" ht="13.8" hidden="true" customHeight="false" outlineLevel="0" collapsed="false">
      <c r="A11006" s="0" t="s">
        <v>1126</v>
      </c>
      <c r="B11006" s="0" t="n">
        <v>8</v>
      </c>
      <c r="C11006" s="0" t="n">
        <v>2.05</v>
      </c>
      <c r="D11006" s="0" t="n">
        <v>0</v>
      </c>
    </row>
    <row r="11007" customFormat="false" ht="13.8" hidden="true" customHeight="false" outlineLevel="0" collapsed="false">
      <c r="A11007" s="0" t="s">
        <v>1126</v>
      </c>
      <c r="B11007" s="0" t="n">
        <v>8</v>
      </c>
      <c r="C11007" s="0" t="n">
        <v>2.1</v>
      </c>
      <c r="D11007" s="0" t="n">
        <v>0</v>
      </c>
    </row>
    <row r="11008" customFormat="false" ht="13.8" hidden="true" customHeight="false" outlineLevel="0" collapsed="false">
      <c r="A11008" s="0" t="s">
        <v>1126</v>
      </c>
      <c r="B11008" s="0" t="n">
        <v>8</v>
      </c>
      <c r="C11008" s="0" t="n">
        <v>2.15</v>
      </c>
      <c r="D11008" s="0" t="n">
        <v>0</v>
      </c>
    </row>
    <row r="11009" customFormat="false" ht="13.8" hidden="true" customHeight="false" outlineLevel="0" collapsed="false">
      <c r="A11009" s="0" t="s">
        <v>1126</v>
      </c>
      <c r="B11009" s="0" t="n">
        <v>8</v>
      </c>
      <c r="C11009" s="0" t="n">
        <v>2.2</v>
      </c>
      <c r="D11009" s="0" t="n">
        <v>0</v>
      </c>
    </row>
    <row r="11010" customFormat="false" ht="13.8" hidden="true" customHeight="false" outlineLevel="0" collapsed="false">
      <c r="A11010" s="0" t="s">
        <v>1126</v>
      </c>
      <c r="B11010" s="0" t="n">
        <v>8</v>
      </c>
      <c r="C11010" s="0" t="n">
        <v>2.25</v>
      </c>
      <c r="D11010" s="0" t="n">
        <v>0</v>
      </c>
    </row>
    <row r="11011" customFormat="false" ht="13.8" hidden="true" customHeight="false" outlineLevel="0" collapsed="false">
      <c r="A11011" s="0" t="s">
        <v>1126</v>
      </c>
      <c r="B11011" s="0" t="n">
        <v>8</v>
      </c>
      <c r="C11011" s="0" t="n">
        <v>2.3</v>
      </c>
      <c r="D11011" s="0" t="n">
        <v>0</v>
      </c>
    </row>
    <row r="11012" customFormat="false" ht="13.8" hidden="true" customHeight="false" outlineLevel="0" collapsed="false">
      <c r="A11012" s="0" t="s">
        <v>1126</v>
      </c>
      <c r="B11012" s="0" t="n">
        <v>8</v>
      </c>
      <c r="C11012" s="0" t="n">
        <v>2.35</v>
      </c>
      <c r="D11012" s="0" t="n">
        <v>0</v>
      </c>
    </row>
    <row r="11013" customFormat="false" ht="13.8" hidden="true" customHeight="false" outlineLevel="0" collapsed="false">
      <c r="A11013" s="0" t="s">
        <v>1126</v>
      </c>
      <c r="B11013" s="0" t="n">
        <v>8</v>
      </c>
      <c r="C11013" s="0" t="n">
        <v>2.4</v>
      </c>
      <c r="D11013" s="0" t="n">
        <v>0</v>
      </c>
    </row>
    <row r="11014" customFormat="false" ht="13.8" hidden="true" customHeight="false" outlineLevel="0" collapsed="false">
      <c r="A11014" s="0" t="s">
        <v>1126</v>
      </c>
      <c r="B11014" s="0" t="n">
        <v>8</v>
      </c>
      <c r="C11014" s="0" t="n">
        <v>2.45</v>
      </c>
      <c r="D11014" s="0" t="n">
        <v>0</v>
      </c>
    </row>
    <row r="11015" customFormat="false" ht="13.8" hidden="true" customHeight="false" outlineLevel="0" collapsed="false">
      <c r="A11015" s="0" t="s">
        <v>1126</v>
      </c>
      <c r="B11015" s="0" t="n">
        <v>8</v>
      </c>
      <c r="C11015" s="0" t="n">
        <v>2.5</v>
      </c>
      <c r="D11015" s="0" t="n">
        <v>0</v>
      </c>
    </row>
    <row r="11016" customFormat="false" ht="13.8" hidden="true" customHeight="false" outlineLevel="0" collapsed="false">
      <c r="A11016" s="0" t="s">
        <v>1126</v>
      </c>
      <c r="B11016" s="0" t="n">
        <v>8</v>
      </c>
      <c r="C11016" s="0" t="n">
        <v>2.55</v>
      </c>
      <c r="D11016" s="0" t="n">
        <v>0</v>
      </c>
    </row>
    <row r="11017" customFormat="false" ht="13.8" hidden="true" customHeight="false" outlineLevel="0" collapsed="false">
      <c r="A11017" s="0" t="s">
        <v>1126</v>
      </c>
      <c r="B11017" s="0" t="n">
        <v>8</v>
      </c>
      <c r="C11017" s="0" t="n">
        <v>2.6</v>
      </c>
      <c r="D11017" s="0" t="n">
        <v>0</v>
      </c>
    </row>
    <row r="11018" customFormat="false" ht="13.8" hidden="true" customHeight="false" outlineLevel="0" collapsed="false">
      <c r="A11018" s="0" t="s">
        <v>1129</v>
      </c>
      <c r="B11018" s="0" t="n">
        <v>7</v>
      </c>
      <c r="C11018" s="0" t="n">
        <v>1.3</v>
      </c>
      <c r="D11018" s="0" t="n">
        <v>0</v>
      </c>
    </row>
    <row r="11019" customFormat="false" ht="13.8" hidden="true" customHeight="false" outlineLevel="0" collapsed="false">
      <c r="A11019" s="0" t="s">
        <v>1129</v>
      </c>
      <c r="B11019" s="0" t="n">
        <v>7</v>
      </c>
      <c r="C11019" s="0" t="n">
        <v>1.35</v>
      </c>
      <c r="D11019" s="0" t="n">
        <v>0</v>
      </c>
    </row>
    <row r="11020" customFormat="false" ht="13.8" hidden="true" customHeight="false" outlineLevel="0" collapsed="false">
      <c r="A11020" s="0" t="s">
        <v>1129</v>
      </c>
      <c r="B11020" s="0" t="n">
        <v>7</v>
      </c>
      <c r="C11020" s="0" t="n">
        <v>1.4</v>
      </c>
      <c r="D11020" s="0" t="n">
        <v>0</v>
      </c>
    </row>
    <row r="11021" customFormat="false" ht="13.8" hidden="true" customHeight="false" outlineLevel="0" collapsed="false">
      <c r="A11021" s="0" t="s">
        <v>1129</v>
      </c>
      <c r="B11021" s="0" t="n">
        <v>7</v>
      </c>
      <c r="C11021" s="0" t="n">
        <v>1.45</v>
      </c>
      <c r="D11021" s="0" t="n">
        <v>0</v>
      </c>
    </row>
    <row r="11022" customFormat="false" ht="13.8" hidden="true" customHeight="false" outlineLevel="0" collapsed="false">
      <c r="A11022" s="0" t="s">
        <v>1129</v>
      </c>
      <c r="B11022" s="0" t="n">
        <v>7</v>
      </c>
      <c r="C11022" s="0" t="n">
        <v>1.5</v>
      </c>
      <c r="D11022" s="0" t="n">
        <v>0</v>
      </c>
    </row>
    <row r="11023" customFormat="false" ht="13.8" hidden="true" customHeight="false" outlineLevel="0" collapsed="false">
      <c r="A11023" s="0" t="s">
        <v>1129</v>
      </c>
      <c r="B11023" s="0" t="n">
        <v>7</v>
      </c>
      <c r="C11023" s="0" t="n">
        <v>1.55</v>
      </c>
      <c r="D11023" s="0" t="n">
        <v>0</v>
      </c>
    </row>
    <row r="11024" customFormat="false" ht="13.8" hidden="true" customHeight="false" outlineLevel="0" collapsed="false">
      <c r="A11024" s="0" t="s">
        <v>1129</v>
      </c>
      <c r="B11024" s="0" t="n">
        <v>7</v>
      </c>
      <c r="C11024" s="0" t="n">
        <v>1.6</v>
      </c>
      <c r="D11024" s="0" t="n">
        <v>0.035</v>
      </c>
    </row>
    <row r="11025" customFormat="false" ht="13.8" hidden="true" customHeight="false" outlineLevel="0" collapsed="false">
      <c r="A11025" s="0" t="s">
        <v>1129</v>
      </c>
      <c r="B11025" s="0" t="n">
        <v>7</v>
      </c>
      <c r="C11025" s="0" t="n">
        <v>1.65</v>
      </c>
      <c r="D11025" s="0" t="n">
        <v>0.036</v>
      </c>
    </row>
    <row r="11026" customFormat="false" ht="13.8" hidden="true" customHeight="false" outlineLevel="0" collapsed="false">
      <c r="A11026" s="0" t="s">
        <v>1129</v>
      </c>
      <c r="B11026" s="0" t="n">
        <v>7</v>
      </c>
      <c r="C11026" s="0" t="n">
        <v>1.7</v>
      </c>
      <c r="D11026" s="0" t="n">
        <v>0.037</v>
      </c>
    </row>
    <row r="11027" customFormat="false" ht="13.8" hidden="true" customHeight="false" outlineLevel="0" collapsed="false">
      <c r="A11027" s="0" t="s">
        <v>1129</v>
      </c>
      <c r="B11027" s="0" t="n">
        <v>7</v>
      </c>
      <c r="C11027" s="0" t="n">
        <v>1.75</v>
      </c>
      <c r="D11027" s="0" t="n">
        <v>0.038</v>
      </c>
    </row>
    <row r="11028" customFormat="false" ht="13.8" hidden="true" customHeight="false" outlineLevel="0" collapsed="false">
      <c r="A11028" s="0" t="s">
        <v>1129</v>
      </c>
      <c r="B11028" s="0" t="n">
        <v>7</v>
      </c>
      <c r="C11028" s="0" t="n">
        <v>1.8</v>
      </c>
      <c r="D11028" s="0" t="n">
        <v>0.038</v>
      </c>
    </row>
    <row r="11029" customFormat="false" ht="13.8" hidden="true" customHeight="false" outlineLevel="0" collapsed="false">
      <c r="A11029" s="0" t="s">
        <v>1129</v>
      </c>
      <c r="B11029" s="0" t="n">
        <v>7</v>
      </c>
      <c r="C11029" s="0" t="n">
        <v>1.85</v>
      </c>
      <c r="D11029" s="0" t="n">
        <v>0.039</v>
      </c>
    </row>
    <row r="11030" customFormat="false" ht="13.8" hidden="true" customHeight="false" outlineLevel="0" collapsed="false">
      <c r="A11030" s="0" t="s">
        <v>1129</v>
      </c>
      <c r="B11030" s="0" t="n">
        <v>7</v>
      </c>
      <c r="C11030" s="0" t="n">
        <v>1.9</v>
      </c>
      <c r="D11030" s="0" t="n">
        <v>0.04</v>
      </c>
    </row>
    <row r="11031" customFormat="false" ht="13.8" hidden="true" customHeight="false" outlineLevel="0" collapsed="false">
      <c r="A11031" s="0" t="s">
        <v>1129</v>
      </c>
      <c r="B11031" s="0" t="n">
        <v>7</v>
      </c>
      <c r="C11031" s="0" t="n">
        <v>1.95</v>
      </c>
      <c r="D11031" s="0" t="n">
        <v>0.041</v>
      </c>
    </row>
    <row r="11032" customFormat="false" ht="13.8" hidden="true" customHeight="false" outlineLevel="0" collapsed="false">
      <c r="A11032" s="0" t="s">
        <v>1129</v>
      </c>
      <c r="B11032" s="0" t="n">
        <v>7</v>
      </c>
      <c r="C11032" s="0" t="n">
        <v>2</v>
      </c>
      <c r="D11032" s="0" t="n">
        <v>0.040821382</v>
      </c>
    </row>
    <row r="11033" customFormat="false" ht="13.8" hidden="true" customHeight="false" outlineLevel="0" collapsed="false">
      <c r="A11033" s="0" t="s">
        <v>1129</v>
      </c>
      <c r="B11033" s="0" t="n">
        <v>7</v>
      </c>
      <c r="C11033" s="0" t="n">
        <v>2.05</v>
      </c>
      <c r="D11033" s="0" t="n">
        <v>0.041841917</v>
      </c>
    </row>
    <row r="11034" customFormat="false" ht="13.8" hidden="true" customHeight="false" outlineLevel="0" collapsed="false">
      <c r="A11034" s="0" t="s">
        <v>1129</v>
      </c>
      <c r="B11034" s="0" t="n">
        <v>7</v>
      </c>
      <c r="C11034" s="0" t="n">
        <v>2.1</v>
      </c>
      <c r="D11034" s="0" t="n">
        <v>0.042862451</v>
      </c>
    </row>
    <row r="11035" customFormat="false" ht="13.8" hidden="true" customHeight="false" outlineLevel="0" collapsed="false">
      <c r="A11035" s="0" t="s">
        <v>1129</v>
      </c>
      <c r="B11035" s="0" t="n">
        <v>7</v>
      </c>
      <c r="C11035" s="0" t="n">
        <v>2.15</v>
      </c>
      <c r="D11035" s="0" t="n">
        <v>0.043882986</v>
      </c>
    </row>
    <row r="11036" customFormat="false" ht="13.8" hidden="true" customHeight="false" outlineLevel="0" collapsed="false">
      <c r="A11036" s="0" t="s">
        <v>1129</v>
      </c>
      <c r="B11036" s="0" t="n">
        <v>7</v>
      </c>
      <c r="C11036" s="0" t="n">
        <v>2.2</v>
      </c>
      <c r="D11036" s="0" t="n">
        <v>0.045827206</v>
      </c>
    </row>
    <row r="11037" customFormat="false" ht="13.8" hidden="true" customHeight="false" outlineLevel="0" collapsed="false">
      <c r="A11037" s="0" t="s">
        <v>1129</v>
      </c>
      <c r="B11037" s="0" t="n">
        <v>7</v>
      </c>
      <c r="C11037" s="0" t="n">
        <v>2.25</v>
      </c>
      <c r="D11037" s="0" t="n">
        <v>0.046868734</v>
      </c>
    </row>
    <row r="11038" customFormat="false" ht="13.8" hidden="true" customHeight="false" outlineLevel="0" collapsed="false">
      <c r="A11038" s="0" t="s">
        <v>1129</v>
      </c>
      <c r="B11038" s="0" t="n">
        <v>7</v>
      </c>
      <c r="C11038" s="0" t="n">
        <v>2.3</v>
      </c>
      <c r="D11038" s="0" t="n">
        <v>0.047910261</v>
      </c>
    </row>
    <row r="11039" customFormat="false" ht="13.8" hidden="true" customHeight="false" outlineLevel="0" collapsed="false">
      <c r="A11039" s="0" t="s">
        <v>1129</v>
      </c>
      <c r="B11039" s="0" t="n">
        <v>7</v>
      </c>
      <c r="C11039" s="0" t="n">
        <v>2.35</v>
      </c>
      <c r="D11039" s="0" t="n">
        <v>0.048951788</v>
      </c>
    </row>
    <row r="11040" customFormat="false" ht="13.8" hidden="true" customHeight="false" outlineLevel="0" collapsed="false">
      <c r="A11040" s="0" t="s">
        <v>1129</v>
      </c>
      <c r="B11040" s="0" t="n">
        <v>7</v>
      </c>
      <c r="C11040" s="0" t="n">
        <v>2.4</v>
      </c>
      <c r="D11040" s="0" t="n">
        <v>0.049993316</v>
      </c>
    </row>
    <row r="11041" customFormat="false" ht="13.8" hidden="true" customHeight="false" outlineLevel="0" collapsed="false">
      <c r="A11041" s="0" t="s">
        <v>1129</v>
      </c>
      <c r="B11041" s="0" t="n">
        <v>7</v>
      </c>
      <c r="C11041" s="0" t="n">
        <v>2.45</v>
      </c>
      <c r="D11041" s="0" t="n">
        <v>0.051034843</v>
      </c>
    </row>
    <row r="11042" customFormat="false" ht="13.8" hidden="true" customHeight="false" outlineLevel="0" collapsed="false">
      <c r="A11042" s="0" t="s">
        <v>1129</v>
      </c>
      <c r="B11042" s="0" t="n">
        <v>7</v>
      </c>
      <c r="C11042" s="0" t="n">
        <v>2.5</v>
      </c>
      <c r="D11042" s="0" t="n">
        <v>0.052076371</v>
      </c>
    </row>
    <row r="11043" customFormat="false" ht="13.8" hidden="true" customHeight="false" outlineLevel="0" collapsed="false">
      <c r="A11043" s="0" t="s">
        <v>1129</v>
      </c>
      <c r="B11043" s="0" t="n">
        <v>7</v>
      </c>
      <c r="C11043" s="0" t="n">
        <v>2.55</v>
      </c>
      <c r="D11043" s="0" t="n">
        <v>0.053117898</v>
      </c>
    </row>
    <row r="11044" customFormat="false" ht="13.8" hidden="true" customHeight="false" outlineLevel="0" collapsed="false">
      <c r="A11044" s="0" t="s">
        <v>1129</v>
      </c>
      <c r="B11044" s="0" t="n">
        <v>7</v>
      </c>
      <c r="C11044" s="0" t="n">
        <v>2.6</v>
      </c>
      <c r="D11044" s="0" t="n">
        <v>0.054159425</v>
      </c>
    </row>
    <row r="11045" customFormat="false" ht="13.8" hidden="true" customHeight="false" outlineLevel="0" collapsed="false">
      <c r="A11045" s="0" t="s">
        <v>1129</v>
      </c>
      <c r="B11045" s="0" t="n">
        <v>8</v>
      </c>
      <c r="C11045" s="0" t="n">
        <v>1.3</v>
      </c>
      <c r="D11045" s="0" t="n">
        <v>0</v>
      </c>
    </row>
    <row r="11046" customFormat="false" ht="13.8" hidden="true" customHeight="false" outlineLevel="0" collapsed="false">
      <c r="A11046" s="0" t="s">
        <v>1129</v>
      </c>
      <c r="B11046" s="0" t="n">
        <v>8</v>
      </c>
      <c r="C11046" s="0" t="n">
        <v>1.35</v>
      </c>
      <c r="D11046" s="0" t="n">
        <v>0</v>
      </c>
    </row>
    <row r="11047" customFormat="false" ht="13.8" hidden="true" customHeight="false" outlineLevel="0" collapsed="false">
      <c r="A11047" s="0" t="s">
        <v>1129</v>
      </c>
      <c r="B11047" s="0" t="n">
        <v>8</v>
      </c>
      <c r="C11047" s="0" t="n">
        <v>1.4</v>
      </c>
      <c r="D11047" s="0" t="n">
        <v>0</v>
      </c>
    </row>
    <row r="11048" customFormat="false" ht="13.8" hidden="true" customHeight="false" outlineLevel="0" collapsed="false">
      <c r="A11048" s="0" t="s">
        <v>1129</v>
      </c>
      <c r="B11048" s="0" t="n">
        <v>8</v>
      </c>
      <c r="C11048" s="0" t="n">
        <v>1.45</v>
      </c>
      <c r="D11048" s="0" t="n">
        <v>0</v>
      </c>
    </row>
    <row r="11049" customFormat="false" ht="13.8" hidden="true" customHeight="false" outlineLevel="0" collapsed="false">
      <c r="A11049" s="0" t="s">
        <v>1129</v>
      </c>
      <c r="B11049" s="0" t="n">
        <v>8</v>
      </c>
      <c r="C11049" s="0" t="n">
        <v>1.5</v>
      </c>
      <c r="D11049" s="0" t="n">
        <v>0</v>
      </c>
    </row>
    <row r="11050" customFormat="false" ht="13.8" hidden="true" customHeight="false" outlineLevel="0" collapsed="false">
      <c r="A11050" s="0" t="s">
        <v>1129</v>
      </c>
      <c r="B11050" s="0" t="n">
        <v>8</v>
      </c>
      <c r="C11050" s="0" t="n">
        <v>1.55</v>
      </c>
      <c r="D11050" s="0" t="n">
        <v>0</v>
      </c>
    </row>
    <row r="11051" customFormat="false" ht="13.8" hidden="true" customHeight="false" outlineLevel="0" collapsed="false">
      <c r="A11051" s="0" t="s">
        <v>1129</v>
      </c>
      <c r="B11051" s="0" t="n">
        <v>8</v>
      </c>
      <c r="C11051" s="0" t="n">
        <v>1.6</v>
      </c>
      <c r="D11051" s="0" t="n">
        <v>0.035</v>
      </c>
    </row>
    <row r="11052" customFormat="false" ht="13.8" hidden="true" customHeight="false" outlineLevel="0" collapsed="false">
      <c r="A11052" s="0" t="s">
        <v>1129</v>
      </c>
      <c r="B11052" s="0" t="n">
        <v>8</v>
      </c>
      <c r="C11052" s="0" t="n">
        <v>1.65</v>
      </c>
      <c r="D11052" s="0" t="n">
        <v>0.036</v>
      </c>
    </row>
    <row r="11053" customFormat="false" ht="13.8" hidden="true" customHeight="false" outlineLevel="0" collapsed="false">
      <c r="A11053" s="0" t="s">
        <v>1129</v>
      </c>
      <c r="B11053" s="0" t="n">
        <v>8</v>
      </c>
      <c r="C11053" s="0" t="n">
        <v>1.7</v>
      </c>
      <c r="D11053" s="0" t="n">
        <v>0.037</v>
      </c>
    </row>
    <row r="11054" customFormat="false" ht="13.8" hidden="true" customHeight="false" outlineLevel="0" collapsed="false">
      <c r="A11054" s="0" t="s">
        <v>1129</v>
      </c>
      <c r="B11054" s="0" t="n">
        <v>8</v>
      </c>
      <c r="C11054" s="0" t="n">
        <v>1.75</v>
      </c>
      <c r="D11054" s="0" t="n">
        <v>0.038</v>
      </c>
    </row>
    <row r="11055" customFormat="false" ht="13.8" hidden="true" customHeight="false" outlineLevel="0" collapsed="false">
      <c r="A11055" s="0" t="s">
        <v>1129</v>
      </c>
      <c r="B11055" s="0" t="n">
        <v>8</v>
      </c>
      <c r="C11055" s="0" t="n">
        <v>1.8</v>
      </c>
      <c r="D11055" s="0" t="n">
        <v>0.038</v>
      </c>
    </row>
    <row r="11056" customFormat="false" ht="13.8" hidden="true" customHeight="false" outlineLevel="0" collapsed="false">
      <c r="A11056" s="0" t="s">
        <v>1129</v>
      </c>
      <c r="B11056" s="0" t="n">
        <v>8</v>
      </c>
      <c r="C11056" s="0" t="n">
        <v>1.85</v>
      </c>
      <c r="D11056" s="0" t="n">
        <v>0.039</v>
      </c>
    </row>
    <row r="11057" customFormat="false" ht="13.8" hidden="true" customHeight="false" outlineLevel="0" collapsed="false">
      <c r="A11057" s="0" t="s">
        <v>1129</v>
      </c>
      <c r="B11057" s="0" t="n">
        <v>8</v>
      </c>
      <c r="C11057" s="0" t="n">
        <v>1.9</v>
      </c>
      <c r="D11057" s="0" t="n">
        <v>0.04</v>
      </c>
    </row>
    <row r="11058" customFormat="false" ht="13.8" hidden="true" customHeight="false" outlineLevel="0" collapsed="false">
      <c r="A11058" s="0" t="s">
        <v>1129</v>
      </c>
      <c r="B11058" s="0" t="n">
        <v>8</v>
      </c>
      <c r="C11058" s="0" t="n">
        <v>1.95</v>
      </c>
      <c r="D11058" s="0" t="n">
        <v>0.041</v>
      </c>
    </row>
    <row r="11059" customFormat="false" ht="13.8" hidden="true" customHeight="false" outlineLevel="0" collapsed="false">
      <c r="A11059" s="0" t="s">
        <v>1129</v>
      </c>
      <c r="B11059" s="0" t="n">
        <v>8</v>
      </c>
      <c r="C11059" s="0" t="n">
        <v>2</v>
      </c>
      <c r="D11059" s="0" t="n">
        <v>0.040821382</v>
      </c>
    </row>
    <row r="11060" customFormat="false" ht="13.8" hidden="true" customHeight="false" outlineLevel="0" collapsed="false">
      <c r="A11060" s="0" t="s">
        <v>1129</v>
      </c>
      <c r="B11060" s="0" t="n">
        <v>8</v>
      </c>
      <c r="C11060" s="0" t="n">
        <v>2.05</v>
      </c>
      <c r="D11060" s="0" t="n">
        <v>0.041841917</v>
      </c>
    </row>
    <row r="11061" customFormat="false" ht="13.8" hidden="true" customHeight="false" outlineLevel="0" collapsed="false">
      <c r="A11061" s="0" t="s">
        <v>1129</v>
      </c>
      <c r="B11061" s="0" t="n">
        <v>8</v>
      </c>
      <c r="C11061" s="0" t="n">
        <v>2.1</v>
      </c>
      <c r="D11061" s="0" t="n">
        <v>0.042862451</v>
      </c>
    </row>
    <row r="11062" customFormat="false" ht="13.8" hidden="true" customHeight="false" outlineLevel="0" collapsed="false">
      <c r="A11062" s="0" t="s">
        <v>1129</v>
      </c>
      <c r="B11062" s="0" t="n">
        <v>8</v>
      </c>
      <c r="C11062" s="0" t="n">
        <v>2.15</v>
      </c>
      <c r="D11062" s="0" t="n">
        <v>0.043882986</v>
      </c>
    </row>
    <row r="11063" customFormat="false" ht="13.8" hidden="true" customHeight="false" outlineLevel="0" collapsed="false">
      <c r="A11063" s="0" t="s">
        <v>1129</v>
      </c>
      <c r="B11063" s="0" t="n">
        <v>8</v>
      </c>
      <c r="C11063" s="0" t="n">
        <v>2.2</v>
      </c>
      <c r="D11063" s="0" t="n">
        <v>0.045827206</v>
      </c>
    </row>
    <row r="11064" customFormat="false" ht="13.8" hidden="true" customHeight="false" outlineLevel="0" collapsed="false">
      <c r="A11064" s="0" t="s">
        <v>1129</v>
      </c>
      <c r="B11064" s="0" t="n">
        <v>8</v>
      </c>
      <c r="C11064" s="0" t="n">
        <v>2.25</v>
      </c>
      <c r="D11064" s="0" t="n">
        <v>0.046868734</v>
      </c>
    </row>
    <row r="11065" customFormat="false" ht="13.8" hidden="true" customHeight="false" outlineLevel="0" collapsed="false">
      <c r="A11065" s="0" t="s">
        <v>1129</v>
      </c>
      <c r="B11065" s="0" t="n">
        <v>8</v>
      </c>
      <c r="C11065" s="0" t="n">
        <v>2.3</v>
      </c>
      <c r="D11065" s="0" t="n">
        <v>0.047910261</v>
      </c>
    </row>
    <row r="11066" customFormat="false" ht="13.8" hidden="true" customHeight="false" outlineLevel="0" collapsed="false">
      <c r="A11066" s="0" t="s">
        <v>1129</v>
      </c>
      <c r="B11066" s="0" t="n">
        <v>8</v>
      </c>
      <c r="C11066" s="0" t="n">
        <v>2.35</v>
      </c>
      <c r="D11066" s="0" t="n">
        <v>0.048951788</v>
      </c>
    </row>
    <row r="11067" customFormat="false" ht="13.8" hidden="true" customHeight="false" outlineLevel="0" collapsed="false">
      <c r="A11067" s="0" t="s">
        <v>1129</v>
      </c>
      <c r="B11067" s="0" t="n">
        <v>8</v>
      </c>
      <c r="C11067" s="0" t="n">
        <v>2.4</v>
      </c>
      <c r="D11067" s="0" t="n">
        <v>0.049993316</v>
      </c>
    </row>
    <row r="11068" customFormat="false" ht="13.8" hidden="true" customHeight="false" outlineLevel="0" collapsed="false">
      <c r="A11068" s="0" t="s">
        <v>1129</v>
      </c>
      <c r="B11068" s="0" t="n">
        <v>8</v>
      </c>
      <c r="C11068" s="0" t="n">
        <v>2.45</v>
      </c>
      <c r="D11068" s="0" t="n">
        <v>0.051034843</v>
      </c>
    </row>
    <row r="11069" customFormat="false" ht="13.8" hidden="true" customHeight="false" outlineLevel="0" collapsed="false">
      <c r="A11069" s="0" t="s">
        <v>1129</v>
      </c>
      <c r="B11069" s="0" t="n">
        <v>8</v>
      </c>
      <c r="C11069" s="0" t="n">
        <v>2.5</v>
      </c>
      <c r="D11069" s="0" t="n">
        <v>0.052076371</v>
      </c>
    </row>
    <row r="11070" customFormat="false" ht="13.8" hidden="true" customHeight="false" outlineLevel="0" collapsed="false">
      <c r="A11070" s="0" t="s">
        <v>1129</v>
      </c>
      <c r="B11070" s="0" t="n">
        <v>8</v>
      </c>
      <c r="C11070" s="0" t="n">
        <v>2.55</v>
      </c>
      <c r="D11070" s="0" t="n">
        <v>0.053117898</v>
      </c>
    </row>
    <row r="11071" customFormat="false" ht="13.8" hidden="true" customHeight="false" outlineLevel="0" collapsed="false">
      <c r="A11071" s="0" t="s">
        <v>1129</v>
      </c>
      <c r="B11071" s="0" t="n">
        <v>8</v>
      </c>
      <c r="C11071" s="0" t="n">
        <v>2.6</v>
      </c>
      <c r="D11071" s="0" t="n">
        <v>0.054159425</v>
      </c>
    </row>
    <row r="11072" customFormat="false" ht="13.8" hidden="true" customHeight="false" outlineLevel="0" collapsed="false">
      <c r="A11072" s="0" t="s">
        <v>1131</v>
      </c>
      <c r="B11072" s="0" t="n">
        <v>7</v>
      </c>
      <c r="C11072" s="0" t="n">
        <v>1.3</v>
      </c>
      <c r="D11072" s="0" t="n">
        <v>0</v>
      </c>
    </row>
    <row r="11073" customFormat="false" ht="13.8" hidden="true" customHeight="false" outlineLevel="0" collapsed="false">
      <c r="A11073" s="0" t="s">
        <v>1131</v>
      </c>
      <c r="B11073" s="0" t="n">
        <v>7</v>
      </c>
      <c r="C11073" s="0" t="n">
        <v>1.35</v>
      </c>
      <c r="D11073" s="0" t="n">
        <v>0</v>
      </c>
    </row>
    <row r="11074" customFormat="false" ht="13.8" hidden="true" customHeight="false" outlineLevel="0" collapsed="false">
      <c r="A11074" s="0" t="s">
        <v>1131</v>
      </c>
      <c r="B11074" s="0" t="n">
        <v>7</v>
      </c>
      <c r="C11074" s="0" t="n">
        <v>1.4</v>
      </c>
      <c r="D11074" s="0" t="n">
        <v>0</v>
      </c>
    </row>
    <row r="11075" customFormat="false" ht="13.8" hidden="true" customHeight="false" outlineLevel="0" collapsed="false">
      <c r="A11075" s="0" t="s">
        <v>1131</v>
      </c>
      <c r="B11075" s="0" t="n">
        <v>7</v>
      </c>
      <c r="C11075" s="0" t="n">
        <v>1.45</v>
      </c>
      <c r="D11075" s="0" t="n">
        <v>0</v>
      </c>
    </row>
    <row r="11076" customFormat="false" ht="13.8" hidden="true" customHeight="false" outlineLevel="0" collapsed="false">
      <c r="A11076" s="0" t="s">
        <v>1131</v>
      </c>
      <c r="B11076" s="0" t="n">
        <v>7</v>
      </c>
      <c r="C11076" s="0" t="n">
        <v>1.5</v>
      </c>
      <c r="D11076" s="0" t="n">
        <v>0</v>
      </c>
    </row>
    <row r="11077" customFormat="false" ht="13.8" hidden="true" customHeight="false" outlineLevel="0" collapsed="false">
      <c r="A11077" s="0" t="s">
        <v>1131</v>
      </c>
      <c r="B11077" s="0" t="n">
        <v>7</v>
      </c>
      <c r="C11077" s="0" t="n">
        <v>1.55</v>
      </c>
      <c r="D11077" s="0" t="n">
        <v>0</v>
      </c>
    </row>
    <row r="11078" customFormat="false" ht="13.8" hidden="true" customHeight="false" outlineLevel="0" collapsed="false">
      <c r="A11078" s="0" t="s">
        <v>1131</v>
      </c>
      <c r="B11078" s="0" t="n">
        <v>7</v>
      </c>
      <c r="C11078" s="0" t="n">
        <v>1.6</v>
      </c>
      <c r="D11078" s="0" t="n">
        <v>0.035</v>
      </c>
    </row>
    <row r="11079" customFormat="false" ht="13.8" hidden="true" customHeight="false" outlineLevel="0" collapsed="false">
      <c r="A11079" s="0" t="s">
        <v>1131</v>
      </c>
      <c r="B11079" s="0" t="n">
        <v>7</v>
      </c>
      <c r="C11079" s="0" t="n">
        <v>1.65</v>
      </c>
      <c r="D11079" s="0" t="n">
        <v>0.036</v>
      </c>
    </row>
    <row r="11080" customFormat="false" ht="13.8" hidden="true" customHeight="false" outlineLevel="0" collapsed="false">
      <c r="A11080" s="0" t="s">
        <v>1131</v>
      </c>
      <c r="B11080" s="0" t="n">
        <v>7</v>
      </c>
      <c r="C11080" s="0" t="n">
        <v>1.7</v>
      </c>
      <c r="D11080" s="0" t="n">
        <v>0.037</v>
      </c>
    </row>
    <row r="11081" customFormat="false" ht="13.8" hidden="true" customHeight="false" outlineLevel="0" collapsed="false">
      <c r="A11081" s="0" t="s">
        <v>1131</v>
      </c>
      <c r="B11081" s="0" t="n">
        <v>7</v>
      </c>
      <c r="C11081" s="0" t="n">
        <v>1.75</v>
      </c>
      <c r="D11081" s="0" t="n">
        <v>0.038</v>
      </c>
    </row>
    <row r="11082" customFormat="false" ht="13.8" hidden="true" customHeight="false" outlineLevel="0" collapsed="false">
      <c r="A11082" s="0" t="s">
        <v>1131</v>
      </c>
      <c r="B11082" s="0" t="n">
        <v>7</v>
      </c>
      <c r="C11082" s="0" t="n">
        <v>1.8</v>
      </c>
      <c r="D11082" s="0" t="n">
        <v>0.038</v>
      </c>
    </row>
    <row r="11083" customFormat="false" ht="13.8" hidden="true" customHeight="false" outlineLevel="0" collapsed="false">
      <c r="A11083" s="0" t="s">
        <v>1131</v>
      </c>
      <c r="B11083" s="0" t="n">
        <v>7</v>
      </c>
      <c r="C11083" s="0" t="n">
        <v>1.85</v>
      </c>
      <c r="D11083" s="0" t="n">
        <v>0.039</v>
      </c>
    </row>
    <row r="11084" customFormat="false" ht="13.8" hidden="true" customHeight="false" outlineLevel="0" collapsed="false">
      <c r="A11084" s="0" t="s">
        <v>1131</v>
      </c>
      <c r="B11084" s="0" t="n">
        <v>7</v>
      </c>
      <c r="C11084" s="0" t="n">
        <v>1.9</v>
      </c>
      <c r="D11084" s="0" t="n">
        <v>0.04</v>
      </c>
    </row>
    <row r="11085" customFormat="false" ht="13.8" hidden="true" customHeight="false" outlineLevel="0" collapsed="false">
      <c r="A11085" s="0" t="s">
        <v>1131</v>
      </c>
      <c r="B11085" s="0" t="n">
        <v>7</v>
      </c>
      <c r="C11085" s="0" t="n">
        <v>1.95</v>
      </c>
      <c r="D11085" s="0" t="n">
        <v>0.041</v>
      </c>
    </row>
    <row r="11086" customFormat="false" ht="13.8" hidden="true" customHeight="false" outlineLevel="0" collapsed="false">
      <c r="A11086" s="0" t="s">
        <v>1131</v>
      </c>
      <c r="B11086" s="0" t="n">
        <v>7</v>
      </c>
      <c r="C11086" s="0" t="n">
        <v>2</v>
      </c>
      <c r="D11086" s="0" t="n">
        <v>0.040821382</v>
      </c>
    </row>
    <row r="11087" customFormat="false" ht="13.8" hidden="true" customHeight="false" outlineLevel="0" collapsed="false">
      <c r="A11087" s="0" t="s">
        <v>1131</v>
      </c>
      <c r="B11087" s="0" t="n">
        <v>7</v>
      </c>
      <c r="C11087" s="0" t="n">
        <v>2.05</v>
      </c>
      <c r="D11087" s="0" t="n">
        <v>0.041841917</v>
      </c>
    </row>
    <row r="11088" customFormat="false" ht="13.8" hidden="true" customHeight="false" outlineLevel="0" collapsed="false">
      <c r="A11088" s="0" t="s">
        <v>1131</v>
      </c>
      <c r="B11088" s="0" t="n">
        <v>7</v>
      </c>
      <c r="C11088" s="0" t="n">
        <v>2.1</v>
      </c>
      <c r="D11088" s="0" t="n">
        <v>0.042862451</v>
      </c>
    </row>
    <row r="11089" customFormat="false" ht="13.8" hidden="true" customHeight="false" outlineLevel="0" collapsed="false">
      <c r="A11089" s="0" t="s">
        <v>1131</v>
      </c>
      <c r="B11089" s="0" t="n">
        <v>7</v>
      </c>
      <c r="C11089" s="0" t="n">
        <v>2.15</v>
      </c>
      <c r="D11089" s="0" t="n">
        <v>0.043882986</v>
      </c>
    </row>
    <row r="11090" customFormat="false" ht="13.8" hidden="true" customHeight="false" outlineLevel="0" collapsed="false">
      <c r="A11090" s="0" t="s">
        <v>1131</v>
      </c>
      <c r="B11090" s="0" t="n">
        <v>7</v>
      </c>
      <c r="C11090" s="0" t="n">
        <v>2.2</v>
      </c>
      <c r="D11090" s="0" t="n">
        <v>0.045827206</v>
      </c>
    </row>
    <row r="11091" customFormat="false" ht="13.8" hidden="true" customHeight="false" outlineLevel="0" collapsed="false">
      <c r="A11091" s="0" t="s">
        <v>1131</v>
      </c>
      <c r="B11091" s="0" t="n">
        <v>7</v>
      </c>
      <c r="C11091" s="0" t="n">
        <v>2.25</v>
      </c>
      <c r="D11091" s="0" t="n">
        <v>0.046868734</v>
      </c>
    </row>
    <row r="11092" customFormat="false" ht="13.8" hidden="true" customHeight="false" outlineLevel="0" collapsed="false">
      <c r="A11092" s="0" t="s">
        <v>1131</v>
      </c>
      <c r="B11092" s="0" t="n">
        <v>7</v>
      </c>
      <c r="C11092" s="0" t="n">
        <v>2.3</v>
      </c>
      <c r="D11092" s="0" t="n">
        <v>0.047910261</v>
      </c>
    </row>
    <row r="11093" customFormat="false" ht="13.8" hidden="true" customHeight="false" outlineLevel="0" collapsed="false">
      <c r="A11093" s="0" t="s">
        <v>1131</v>
      </c>
      <c r="B11093" s="0" t="n">
        <v>7</v>
      </c>
      <c r="C11093" s="0" t="n">
        <v>2.35</v>
      </c>
      <c r="D11093" s="0" t="n">
        <v>0.048951788</v>
      </c>
    </row>
    <row r="11094" customFormat="false" ht="13.8" hidden="true" customHeight="false" outlineLevel="0" collapsed="false">
      <c r="A11094" s="0" t="s">
        <v>1131</v>
      </c>
      <c r="B11094" s="0" t="n">
        <v>7</v>
      </c>
      <c r="C11094" s="0" t="n">
        <v>2.4</v>
      </c>
      <c r="D11094" s="0" t="n">
        <v>0.049993316</v>
      </c>
    </row>
    <row r="11095" customFormat="false" ht="13.8" hidden="true" customHeight="false" outlineLevel="0" collapsed="false">
      <c r="A11095" s="0" t="s">
        <v>1131</v>
      </c>
      <c r="B11095" s="0" t="n">
        <v>7</v>
      </c>
      <c r="C11095" s="0" t="n">
        <v>2.45</v>
      </c>
      <c r="D11095" s="0" t="n">
        <v>0.051034843</v>
      </c>
    </row>
    <row r="11096" customFormat="false" ht="13.8" hidden="true" customHeight="false" outlineLevel="0" collapsed="false">
      <c r="A11096" s="0" t="s">
        <v>1131</v>
      </c>
      <c r="B11096" s="0" t="n">
        <v>7</v>
      </c>
      <c r="C11096" s="0" t="n">
        <v>2.5</v>
      </c>
      <c r="D11096" s="0" t="n">
        <v>0.052076371</v>
      </c>
    </row>
    <row r="11097" customFormat="false" ht="13.8" hidden="true" customHeight="false" outlineLevel="0" collapsed="false">
      <c r="A11097" s="0" t="s">
        <v>1131</v>
      </c>
      <c r="B11097" s="0" t="n">
        <v>7</v>
      </c>
      <c r="C11097" s="0" t="n">
        <v>2.55</v>
      </c>
      <c r="D11097" s="0" t="n">
        <v>0.053117898</v>
      </c>
    </row>
    <row r="11098" customFormat="false" ht="13.8" hidden="true" customHeight="false" outlineLevel="0" collapsed="false">
      <c r="A11098" s="0" t="s">
        <v>1131</v>
      </c>
      <c r="B11098" s="0" t="n">
        <v>7</v>
      </c>
      <c r="C11098" s="0" t="n">
        <v>2.6</v>
      </c>
      <c r="D11098" s="0" t="n">
        <v>0.054159425</v>
      </c>
    </row>
    <row r="11099" customFormat="false" ht="13.8" hidden="true" customHeight="false" outlineLevel="0" collapsed="false">
      <c r="A11099" s="0" t="s">
        <v>1131</v>
      </c>
      <c r="B11099" s="0" t="n">
        <v>8</v>
      </c>
      <c r="C11099" s="0" t="n">
        <v>1.3</v>
      </c>
      <c r="D11099" s="0" t="n">
        <v>0</v>
      </c>
    </row>
    <row r="11100" customFormat="false" ht="13.8" hidden="true" customHeight="false" outlineLevel="0" collapsed="false">
      <c r="A11100" s="0" t="s">
        <v>1131</v>
      </c>
      <c r="B11100" s="0" t="n">
        <v>8</v>
      </c>
      <c r="C11100" s="0" t="n">
        <v>1.35</v>
      </c>
      <c r="D11100" s="0" t="n">
        <v>0</v>
      </c>
    </row>
    <row r="11101" customFormat="false" ht="13.8" hidden="true" customHeight="false" outlineLevel="0" collapsed="false">
      <c r="A11101" s="0" t="s">
        <v>1131</v>
      </c>
      <c r="B11101" s="0" t="n">
        <v>8</v>
      </c>
      <c r="C11101" s="0" t="n">
        <v>1.4</v>
      </c>
      <c r="D11101" s="0" t="n">
        <v>0</v>
      </c>
    </row>
    <row r="11102" customFormat="false" ht="13.8" hidden="true" customHeight="false" outlineLevel="0" collapsed="false">
      <c r="A11102" s="0" t="s">
        <v>1131</v>
      </c>
      <c r="B11102" s="0" t="n">
        <v>8</v>
      </c>
      <c r="C11102" s="0" t="n">
        <v>1.45</v>
      </c>
      <c r="D11102" s="0" t="n">
        <v>0</v>
      </c>
    </row>
    <row r="11103" customFormat="false" ht="13.8" hidden="true" customHeight="false" outlineLevel="0" collapsed="false">
      <c r="A11103" s="0" t="s">
        <v>1131</v>
      </c>
      <c r="B11103" s="0" t="n">
        <v>8</v>
      </c>
      <c r="C11103" s="0" t="n">
        <v>1.5</v>
      </c>
      <c r="D11103" s="0" t="n">
        <v>0</v>
      </c>
    </row>
    <row r="11104" customFormat="false" ht="13.8" hidden="true" customHeight="false" outlineLevel="0" collapsed="false">
      <c r="A11104" s="0" t="s">
        <v>1131</v>
      </c>
      <c r="B11104" s="0" t="n">
        <v>8</v>
      </c>
      <c r="C11104" s="0" t="n">
        <v>1.55</v>
      </c>
      <c r="D11104" s="0" t="n">
        <v>0</v>
      </c>
    </row>
    <row r="11105" customFormat="false" ht="13.8" hidden="true" customHeight="false" outlineLevel="0" collapsed="false">
      <c r="A11105" s="0" t="s">
        <v>1131</v>
      </c>
      <c r="B11105" s="0" t="n">
        <v>8</v>
      </c>
      <c r="C11105" s="0" t="n">
        <v>1.6</v>
      </c>
      <c r="D11105" s="0" t="n">
        <v>0.035</v>
      </c>
    </row>
    <row r="11106" customFormat="false" ht="13.8" hidden="true" customHeight="false" outlineLevel="0" collapsed="false">
      <c r="A11106" s="0" t="s">
        <v>1131</v>
      </c>
      <c r="B11106" s="0" t="n">
        <v>8</v>
      </c>
      <c r="C11106" s="0" t="n">
        <v>1.65</v>
      </c>
      <c r="D11106" s="0" t="n">
        <v>0.036</v>
      </c>
    </row>
    <row r="11107" customFormat="false" ht="13.8" hidden="true" customHeight="false" outlineLevel="0" collapsed="false">
      <c r="A11107" s="0" t="s">
        <v>1131</v>
      </c>
      <c r="B11107" s="0" t="n">
        <v>8</v>
      </c>
      <c r="C11107" s="0" t="n">
        <v>1.7</v>
      </c>
      <c r="D11107" s="0" t="n">
        <v>0.037</v>
      </c>
    </row>
    <row r="11108" customFormat="false" ht="13.8" hidden="true" customHeight="false" outlineLevel="0" collapsed="false">
      <c r="A11108" s="0" t="s">
        <v>1131</v>
      </c>
      <c r="B11108" s="0" t="n">
        <v>8</v>
      </c>
      <c r="C11108" s="0" t="n">
        <v>1.75</v>
      </c>
      <c r="D11108" s="0" t="n">
        <v>0.038</v>
      </c>
    </row>
    <row r="11109" customFormat="false" ht="13.8" hidden="true" customHeight="false" outlineLevel="0" collapsed="false">
      <c r="A11109" s="0" t="s">
        <v>1131</v>
      </c>
      <c r="B11109" s="0" t="n">
        <v>8</v>
      </c>
      <c r="C11109" s="0" t="n">
        <v>1.8</v>
      </c>
      <c r="D11109" s="0" t="n">
        <v>0.038</v>
      </c>
    </row>
    <row r="11110" customFormat="false" ht="13.8" hidden="true" customHeight="false" outlineLevel="0" collapsed="false">
      <c r="A11110" s="0" t="s">
        <v>1131</v>
      </c>
      <c r="B11110" s="0" t="n">
        <v>8</v>
      </c>
      <c r="C11110" s="0" t="n">
        <v>1.85</v>
      </c>
      <c r="D11110" s="0" t="n">
        <v>0.039</v>
      </c>
    </row>
    <row r="11111" customFormat="false" ht="13.8" hidden="true" customHeight="false" outlineLevel="0" collapsed="false">
      <c r="A11111" s="0" t="s">
        <v>1131</v>
      </c>
      <c r="B11111" s="0" t="n">
        <v>8</v>
      </c>
      <c r="C11111" s="0" t="n">
        <v>1.9</v>
      </c>
      <c r="D11111" s="0" t="n">
        <v>0.04</v>
      </c>
    </row>
    <row r="11112" customFormat="false" ht="13.8" hidden="true" customHeight="false" outlineLevel="0" collapsed="false">
      <c r="A11112" s="0" t="s">
        <v>1131</v>
      </c>
      <c r="B11112" s="0" t="n">
        <v>8</v>
      </c>
      <c r="C11112" s="0" t="n">
        <v>1.95</v>
      </c>
      <c r="D11112" s="0" t="n">
        <v>0.041</v>
      </c>
    </row>
    <row r="11113" customFormat="false" ht="13.8" hidden="true" customHeight="false" outlineLevel="0" collapsed="false">
      <c r="A11113" s="0" t="s">
        <v>1131</v>
      </c>
      <c r="B11113" s="0" t="n">
        <v>8</v>
      </c>
      <c r="C11113" s="0" t="n">
        <v>2</v>
      </c>
      <c r="D11113" s="0" t="n">
        <v>0.040821382</v>
      </c>
    </row>
    <row r="11114" customFormat="false" ht="13.8" hidden="true" customHeight="false" outlineLevel="0" collapsed="false">
      <c r="A11114" s="0" t="s">
        <v>1131</v>
      </c>
      <c r="B11114" s="0" t="n">
        <v>8</v>
      </c>
      <c r="C11114" s="0" t="n">
        <v>2.05</v>
      </c>
      <c r="D11114" s="0" t="n">
        <v>0.041841917</v>
      </c>
    </row>
    <row r="11115" customFormat="false" ht="13.8" hidden="true" customHeight="false" outlineLevel="0" collapsed="false">
      <c r="A11115" s="0" t="s">
        <v>1131</v>
      </c>
      <c r="B11115" s="0" t="n">
        <v>8</v>
      </c>
      <c r="C11115" s="0" t="n">
        <v>2.1</v>
      </c>
      <c r="D11115" s="0" t="n">
        <v>0.042862451</v>
      </c>
    </row>
    <row r="11116" customFormat="false" ht="13.8" hidden="true" customHeight="false" outlineLevel="0" collapsed="false">
      <c r="A11116" s="0" t="s">
        <v>1131</v>
      </c>
      <c r="B11116" s="0" t="n">
        <v>8</v>
      </c>
      <c r="C11116" s="0" t="n">
        <v>2.15</v>
      </c>
      <c r="D11116" s="0" t="n">
        <v>0.043882986</v>
      </c>
    </row>
    <row r="11117" customFormat="false" ht="13.8" hidden="true" customHeight="false" outlineLevel="0" collapsed="false">
      <c r="A11117" s="0" t="s">
        <v>1131</v>
      </c>
      <c r="B11117" s="0" t="n">
        <v>8</v>
      </c>
      <c r="C11117" s="0" t="n">
        <v>2.2</v>
      </c>
      <c r="D11117" s="0" t="n">
        <v>0.045827206</v>
      </c>
    </row>
    <row r="11118" customFormat="false" ht="13.8" hidden="true" customHeight="false" outlineLevel="0" collapsed="false">
      <c r="A11118" s="0" t="s">
        <v>1131</v>
      </c>
      <c r="B11118" s="0" t="n">
        <v>8</v>
      </c>
      <c r="C11118" s="0" t="n">
        <v>2.25</v>
      </c>
      <c r="D11118" s="0" t="n">
        <v>0.046868734</v>
      </c>
    </row>
    <row r="11119" customFormat="false" ht="13.8" hidden="true" customHeight="false" outlineLevel="0" collapsed="false">
      <c r="A11119" s="0" t="s">
        <v>1131</v>
      </c>
      <c r="B11119" s="0" t="n">
        <v>8</v>
      </c>
      <c r="C11119" s="0" t="n">
        <v>2.3</v>
      </c>
      <c r="D11119" s="0" t="n">
        <v>0.047910261</v>
      </c>
    </row>
    <row r="11120" customFormat="false" ht="13.8" hidden="true" customHeight="false" outlineLevel="0" collapsed="false">
      <c r="A11120" s="0" t="s">
        <v>1131</v>
      </c>
      <c r="B11120" s="0" t="n">
        <v>8</v>
      </c>
      <c r="C11120" s="0" t="n">
        <v>2.35</v>
      </c>
      <c r="D11120" s="0" t="n">
        <v>0.048951788</v>
      </c>
    </row>
    <row r="11121" customFormat="false" ht="13.8" hidden="true" customHeight="false" outlineLevel="0" collapsed="false">
      <c r="A11121" s="0" t="s">
        <v>1131</v>
      </c>
      <c r="B11121" s="0" t="n">
        <v>8</v>
      </c>
      <c r="C11121" s="0" t="n">
        <v>2.4</v>
      </c>
      <c r="D11121" s="0" t="n">
        <v>0.049993316</v>
      </c>
    </row>
    <row r="11122" customFormat="false" ht="13.8" hidden="true" customHeight="false" outlineLevel="0" collapsed="false">
      <c r="A11122" s="0" t="s">
        <v>1131</v>
      </c>
      <c r="B11122" s="0" t="n">
        <v>8</v>
      </c>
      <c r="C11122" s="0" t="n">
        <v>2.45</v>
      </c>
      <c r="D11122" s="0" t="n">
        <v>0.051034843</v>
      </c>
    </row>
    <row r="11123" customFormat="false" ht="13.8" hidden="true" customHeight="false" outlineLevel="0" collapsed="false">
      <c r="A11123" s="0" t="s">
        <v>1131</v>
      </c>
      <c r="B11123" s="0" t="n">
        <v>8</v>
      </c>
      <c r="C11123" s="0" t="n">
        <v>2.5</v>
      </c>
      <c r="D11123" s="0" t="n">
        <v>0.052076371</v>
      </c>
    </row>
    <row r="11124" customFormat="false" ht="13.8" hidden="true" customHeight="false" outlineLevel="0" collapsed="false">
      <c r="A11124" s="0" t="s">
        <v>1131</v>
      </c>
      <c r="B11124" s="0" t="n">
        <v>8</v>
      </c>
      <c r="C11124" s="0" t="n">
        <v>2.55</v>
      </c>
      <c r="D11124" s="0" t="n">
        <v>0.053117898</v>
      </c>
    </row>
    <row r="11125" customFormat="false" ht="13.8" hidden="true" customHeight="false" outlineLevel="0" collapsed="false">
      <c r="A11125" s="0" t="s">
        <v>1131</v>
      </c>
      <c r="B11125" s="0" t="n">
        <v>8</v>
      </c>
      <c r="C11125" s="0" t="n">
        <v>2.6</v>
      </c>
      <c r="D11125" s="0" t="n">
        <v>0.054159425</v>
      </c>
    </row>
    <row r="11126" customFormat="false" ht="13.8" hidden="true" customHeight="false" outlineLevel="0" collapsed="false">
      <c r="A11126" s="0" t="s">
        <v>202</v>
      </c>
      <c r="B11126" s="0" t="n">
        <v>7</v>
      </c>
      <c r="C11126" s="0" t="n">
        <v>1.3</v>
      </c>
      <c r="D11126" s="0" t="n">
        <v>0</v>
      </c>
    </row>
    <row r="11127" customFormat="false" ht="13.8" hidden="true" customHeight="false" outlineLevel="0" collapsed="false">
      <c r="A11127" s="0" t="s">
        <v>202</v>
      </c>
      <c r="B11127" s="0" t="n">
        <v>7</v>
      </c>
      <c r="C11127" s="0" t="n">
        <v>1.35</v>
      </c>
      <c r="D11127" s="0" t="n">
        <v>0</v>
      </c>
    </row>
    <row r="11128" customFormat="false" ht="13.8" hidden="true" customHeight="false" outlineLevel="0" collapsed="false">
      <c r="A11128" s="0" t="s">
        <v>202</v>
      </c>
      <c r="B11128" s="0" t="n">
        <v>7</v>
      </c>
      <c r="C11128" s="0" t="n">
        <v>1.4</v>
      </c>
      <c r="D11128" s="0" t="n">
        <v>0</v>
      </c>
    </row>
    <row r="11129" customFormat="false" ht="13.8" hidden="true" customHeight="false" outlineLevel="0" collapsed="false">
      <c r="A11129" s="0" t="s">
        <v>202</v>
      </c>
      <c r="B11129" s="0" t="n">
        <v>7</v>
      </c>
      <c r="C11129" s="0" t="n">
        <v>1.45</v>
      </c>
      <c r="D11129" s="0" t="n">
        <v>0</v>
      </c>
    </row>
    <row r="11130" customFormat="false" ht="13.8" hidden="true" customHeight="false" outlineLevel="0" collapsed="false">
      <c r="A11130" s="0" t="s">
        <v>202</v>
      </c>
      <c r="B11130" s="0" t="n">
        <v>7</v>
      </c>
      <c r="C11130" s="0" t="n">
        <v>1.5</v>
      </c>
      <c r="D11130" s="0" t="n">
        <v>0</v>
      </c>
    </row>
    <row r="11131" customFormat="false" ht="13.8" hidden="true" customHeight="false" outlineLevel="0" collapsed="false">
      <c r="A11131" s="0" t="s">
        <v>202</v>
      </c>
      <c r="B11131" s="0" t="n">
        <v>7</v>
      </c>
      <c r="C11131" s="0" t="n">
        <v>1.55</v>
      </c>
      <c r="D11131" s="0" t="n">
        <v>0</v>
      </c>
    </row>
    <row r="11132" customFormat="false" ht="13.8" hidden="true" customHeight="false" outlineLevel="0" collapsed="false">
      <c r="A11132" s="0" t="s">
        <v>202</v>
      </c>
      <c r="B11132" s="0" t="n">
        <v>7</v>
      </c>
      <c r="C11132" s="0" t="n">
        <v>1.6</v>
      </c>
      <c r="D11132" s="0" t="n">
        <v>0</v>
      </c>
    </row>
    <row r="11133" customFormat="false" ht="13.8" hidden="true" customHeight="false" outlineLevel="0" collapsed="false">
      <c r="A11133" s="0" t="s">
        <v>202</v>
      </c>
      <c r="B11133" s="0" t="n">
        <v>7</v>
      </c>
      <c r="C11133" s="0" t="n">
        <v>1.65</v>
      </c>
      <c r="D11133" s="0" t="n">
        <v>0</v>
      </c>
    </row>
    <row r="11134" customFormat="false" ht="13.8" hidden="true" customHeight="false" outlineLevel="0" collapsed="false">
      <c r="A11134" s="0" t="s">
        <v>202</v>
      </c>
      <c r="B11134" s="0" t="n">
        <v>7</v>
      </c>
      <c r="C11134" s="0" t="n">
        <v>1.7</v>
      </c>
      <c r="D11134" s="0" t="n">
        <v>0</v>
      </c>
    </row>
    <row r="11135" customFormat="false" ht="13.8" hidden="true" customHeight="false" outlineLevel="0" collapsed="false">
      <c r="A11135" s="0" t="s">
        <v>202</v>
      </c>
      <c r="B11135" s="0" t="n">
        <v>7</v>
      </c>
      <c r="C11135" s="0" t="n">
        <v>1.75</v>
      </c>
      <c r="D11135" s="0" t="n">
        <v>0</v>
      </c>
    </row>
    <row r="11136" customFormat="false" ht="13.8" hidden="true" customHeight="false" outlineLevel="0" collapsed="false">
      <c r="A11136" s="0" t="s">
        <v>202</v>
      </c>
      <c r="B11136" s="0" t="n">
        <v>7</v>
      </c>
      <c r="C11136" s="0" t="n">
        <v>1.8</v>
      </c>
      <c r="D11136" s="0" t="n">
        <v>0</v>
      </c>
    </row>
    <row r="11137" customFormat="false" ht="13.8" hidden="true" customHeight="false" outlineLevel="0" collapsed="false">
      <c r="A11137" s="0" t="s">
        <v>202</v>
      </c>
      <c r="B11137" s="0" t="n">
        <v>7</v>
      </c>
      <c r="C11137" s="0" t="n">
        <v>1.85</v>
      </c>
      <c r="D11137" s="0" t="n">
        <v>0</v>
      </c>
    </row>
    <row r="11138" customFormat="false" ht="13.8" hidden="true" customHeight="false" outlineLevel="0" collapsed="false">
      <c r="A11138" s="0" t="s">
        <v>202</v>
      </c>
      <c r="B11138" s="0" t="n">
        <v>7</v>
      </c>
      <c r="C11138" s="0" t="n">
        <v>1.9</v>
      </c>
      <c r="D11138" s="0" t="n">
        <v>0</v>
      </c>
    </row>
    <row r="11139" customFormat="false" ht="13.8" hidden="true" customHeight="false" outlineLevel="0" collapsed="false">
      <c r="A11139" s="0" t="s">
        <v>202</v>
      </c>
      <c r="B11139" s="0" t="n">
        <v>7</v>
      </c>
      <c r="C11139" s="0" t="n">
        <v>1.95</v>
      </c>
      <c r="D11139" s="0" t="n">
        <v>0</v>
      </c>
    </row>
    <row r="11140" customFormat="false" ht="13.8" hidden="true" customHeight="false" outlineLevel="0" collapsed="false">
      <c r="A11140" s="0" t="s">
        <v>202</v>
      </c>
      <c r="B11140" s="0" t="n">
        <v>7</v>
      </c>
      <c r="C11140" s="0" t="n">
        <v>2</v>
      </c>
      <c r="D11140" s="0" t="n">
        <v>0</v>
      </c>
    </row>
    <row r="11141" customFormat="false" ht="13.8" hidden="true" customHeight="false" outlineLevel="0" collapsed="false">
      <c r="A11141" s="0" t="s">
        <v>202</v>
      </c>
      <c r="B11141" s="0" t="n">
        <v>7</v>
      </c>
      <c r="C11141" s="0" t="n">
        <v>2.05</v>
      </c>
      <c r="D11141" s="0" t="n">
        <v>0.083683833</v>
      </c>
    </row>
    <row r="11142" customFormat="false" ht="13.8" hidden="true" customHeight="false" outlineLevel="0" collapsed="false">
      <c r="A11142" s="0" t="s">
        <v>202</v>
      </c>
      <c r="B11142" s="0" t="n">
        <v>7</v>
      </c>
      <c r="C11142" s="0" t="n">
        <v>2.1</v>
      </c>
      <c r="D11142" s="0" t="n">
        <v>0.085724902</v>
      </c>
    </row>
    <row r="11143" customFormat="false" ht="13.8" hidden="true" customHeight="false" outlineLevel="0" collapsed="false">
      <c r="A11143" s="0" t="s">
        <v>202</v>
      </c>
      <c r="B11143" s="0" t="n">
        <v>7</v>
      </c>
      <c r="C11143" s="0" t="n">
        <v>2.15</v>
      </c>
      <c r="D11143" s="0" t="n">
        <v>0.087765972</v>
      </c>
    </row>
    <row r="11144" customFormat="false" ht="13.8" hidden="true" customHeight="false" outlineLevel="0" collapsed="false">
      <c r="A11144" s="0" t="s">
        <v>202</v>
      </c>
      <c r="B11144" s="0" t="n">
        <v>7</v>
      </c>
      <c r="C11144" s="0" t="n">
        <v>2.2</v>
      </c>
      <c r="D11144" s="0" t="n">
        <v>0.091654412</v>
      </c>
    </row>
    <row r="11145" customFormat="false" ht="13.8" hidden="true" customHeight="false" outlineLevel="0" collapsed="false">
      <c r="A11145" s="0" t="s">
        <v>202</v>
      </c>
      <c r="B11145" s="0" t="n">
        <v>7</v>
      </c>
      <c r="C11145" s="0" t="n">
        <v>2.25</v>
      </c>
      <c r="D11145" s="0" t="n">
        <v>0.093737467</v>
      </c>
    </row>
    <row r="11146" customFormat="false" ht="13.8" hidden="true" customHeight="false" outlineLevel="0" collapsed="false">
      <c r="A11146" s="0" t="s">
        <v>202</v>
      </c>
      <c r="B11146" s="0" t="n">
        <v>7</v>
      </c>
      <c r="C11146" s="0" t="n">
        <v>2.3</v>
      </c>
      <c r="D11146" s="0" t="n">
        <v>0.095820522</v>
      </c>
    </row>
    <row r="11147" customFormat="false" ht="13.8" hidden="true" customHeight="false" outlineLevel="0" collapsed="false">
      <c r="A11147" s="0" t="s">
        <v>202</v>
      </c>
      <c r="B11147" s="0" t="n">
        <v>7</v>
      </c>
      <c r="C11147" s="0" t="n">
        <v>2.35</v>
      </c>
      <c r="D11147" s="0" t="n">
        <v>0.097903577</v>
      </c>
    </row>
    <row r="11148" customFormat="false" ht="13.8" hidden="true" customHeight="false" outlineLevel="0" collapsed="false">
      <c r="A11148" s="0" t="s">
        <v>202</v>
      </c>
      <c r="B11148" s="0" t="n">
        <v>7</v>
      </c>
      <c r="C11148" s="0" t="n">
        <v>2.4</v>
      </c>
      <c r="D11148" s="0" t="n">
        <v>0.099986632</v>
      </c>
    </row>
    <row r="11149" customFormat="false" ht="13.8" hidden="true" customHeight="false" outlineLevel="0" collapsed="false">
      <c r="A11149" s="0" t="s">
        <v>202</v>
      </c>
      <c r="B11149" s="0" t="n">
        <v>7</v>
      </c>
      <c r="C11149" s="0" t="n">
        <v>2.45</v>
      </c>
      <c r="D11149" s="0" t="n">
        <v>0.102069686</v>
      </c>
    </row>
    <row r="11150" customFormat="false" ht="13.8" hidden="true" customHeight="false" outlineLevel="0" collapsed="false">
      <c r="A11150" s="0" t="s">
        <v>202</v>
      </c>
      <c r="B11150" s="0" t="n">
        <v>7</v>
      </c>
      <c r="C11150" s="0" t="n">
        <v>2.5</v>
      </c>
      <c r="D11150" s="0" t="n">
        <v>0.104152741</v>
      </c>
    </row>
    <row r="11151" customFormat="false" ht="13.8" hidden="true" customHeight="false" outlineLevel="0" collapsed="false">
      <c r="A11151" s="0" t="s">
        <v>202</v>
      </c>
      <c r="B11151" s="0" t="n">
        <v>7</v>
      </c>
      <c r="C11151" s="0" t="n">
        <v>2.55</v>
      </c>
      <c r="D11151" s="0" t="n">
        <v>0.106235796</v>
      </c>
    </row>
    <row r="11152" customFormat="false" ht="13.8" hidden="true" customHeight="false" outlineLevel="0" collapsed="false">
      <c r="A11152" s="0" t="s">
        <v>202</v>
      </c>
      <c r="B11152" s="0" t="n">
        <v>7</v>
      </c>
      <c r="C11152" s="0" t="n">
        <v>2.6</v>
      </c>
      <c r="D11152" s="0" t="n">
        <v>0.108318851</v>
      </c>
    </row>
    <row r="11153" customFormat="false" ht="13.8" hidden="true" customHeight="false" outlineLevel="0" collapsed="false">
      <c r="A11153" s="0" t="s">
        <v>202</v>
      </c>
      <c r="B11153" s="0" t="n">
        <v>8</v>
      </c>
      <c r="C11153" s="0" t="n">
        <v>1.3</v>
      </c>
      <c r="D11153" s="0" t="n">
        <v>0</v>
      </c>
    </row>
    <row r="11154" customFormat="false" ht="13.8" hidden="true" customHeight="false" outlineLevel="0" collapsed="false">
      <c r="A11154" s="0" t="s">
        <v>202</v>
      </c>
      <c r="B11154" s="0" t="n">
        <v>8</v>
      </c>
      <c r="C11154" s="0" t="n">
        <v>1.35</v>
      </c>
      <c r="D11154" s="0" t="n">
        <v>0</v>
      </c>
    </row>
    <row r="11155" customFormat="false" ht="13.8" hidden="true" customHeight="false" outlineLevel="0" collapsed="false">
      <c r="A11155" s="0" t="s">
        <v>202</v>
      </c>
      <c r="B11155" s="0" t="n">
        <v>8</v>
      </c>
      <c r="C11155" s="0" t="n">
        <v>1.4</v>
      </c>
      <c r="D11155" s="0" t="n">
        <v>0</v>
      </c>
    </row>
    <row r="11156" customFormat="false" ht="13.8" hidden="true" customHeight="false" outlineLevel="0" collapsed="false">
      <c r="A11156" s="0" t="s">
        <v>202</v>
      </c>
      <c r="B11156" s="0" t="n">
        <v>8</v>
      </c>
      <c r="C11156" s="0" t="n">
        <v>1.45</v>
      </c>
      <c r="D11156" s="0" t="n">
        <v>0</v>
      </c>
    </row>
    <row r="11157" customFormat="false" ht="13.8" hidden="true" customHeight="false" outlineLevel="0" collapsed="false">
      <c r="A11157" s="0" t="s">
        <v>202</v>
      </c>
      <c r="B11157" s="0" t="n">
        <v>8</v>
      </c>
      <c r="C11157" s="0" t="n">
        <v>1.5</v>
      </c>
      <c r="D11157" s="0" t="n">
        <v>0</v>
      </c>
    </row>
    <row r="11158" customFormat="false" ht="13.8" hidden="true" customHeight="false" outlineLevel="0" collapsed="false">
      <c r="A11158" s="0" t="s">
        <v>202</v>
      </c>
      <c r="B11158" s="0" t="n">
        <v>8</v>
      </c>
      <c r="C11158" s="0" t="n">
        <v>1.55</v>
      </c>
      <c r="D11158" s="0" t="n">
        <v>0</v>
      </c>
    </row>
    <row r="11159" customFormat="false" ht="13.8" hidden="true" customHeight="false" outlineLevel="0" collapsed="false">
      <c r="A11159" s="0" t="s">
        <v>202</v>
      </c>
      <c r="B11159" s="0" t="n">
        <v>8</v>
      </c>
      <c r="C11159" s="0" t="n">
        <v>1.6</v>
      </c>
      <c r="D11159" s="0" t="n">
        <v>0</v>
      </c>
    </row>
    <row r="11160" customFormat="false" ht="13.8" hidden="true" customHeight="false" outlineLevel="0" collapsed="false">
      <c r="A11160" s="0" t="s">
        <v>202</v>
      </c>
      <c r="B11160" s="0" t="n">
        <v>8</v>
      </c>
      <c r="C11160" s="0" t="n">
        <v>1.65</v>
      </c>
      <c r="D11160" s="0" t="n">
        <v>0</v>
      </c>
    </row>
    <row r="11161" customFormat="false" ht="13.8" hidden="true" customHeight="false" outlineLevel="0" collapsed="false">
      <c r="A11161" s="0" t="s">
        <v>202</v>
      </c>
      <c r="B11161" s="0" t="n">
        <v>8</v>
      </c>
      <c r="C11161" s="0" t="n">
        <v>1.7</v>
      </c>
      <c r="D11161" s="0" t="n">
        <v>0</v>
      </c>
    </row>
    <row r="11162" customFormat="false" ht="13.8" hidden="true" customHeight="false" outlineLevel="0" collapsed="false">
      <c r="A11162" s="0" t="s">
        <v>202</v>
      </c>
      <c r="B11162" s="0" t="n">
        <v>8</v>
      </c>
      <c r="C11162" s="0" t="n">
        <v>1.75</v>
      </c>
      <c r="D11162" s="0" t="n">
        <v>0</v>
      </c>
    </row>
    <row r="11163" customFormat="false" ht="13.8" hidden="true" customHeight="false" outlineLevel="0" collapsed="false">
      <c r="A11163" s="0" t="s">
        <v>202</v>
      </c>
      <c r="B11163" s="0" t="n">
        <v>8</v>
      </c>
      <c r="C11163" s="0" t="n">
        <v>1.8</v>
      </c>
      <c r="D11163" s="0" t="n">
        <v>0</v>
      </c>
    </row>
    <row r="11164" customFormat="false" ht="13.8" hidden="true" customHeight="false" outlineLevel="0" collapsed="false">
      <c r="A11164" s="0" t="s">
        <v>202</v>
      </c>
      <c r="B11164" s="0" t="n">
        <v>8</v>
      </c>
      <c r="C11164" s="0" t="n">
        <v>1.85</v>
      </c>
      <c r="D11164" s="0" t="n">
        <v>0</v>
      </c>
    </row>
    <row r="11165" customFormat="false" ht="13.8" hidden="true" customHeight="false" outlineLevel="0" collapsed="false">
      <c r="A11165" s="0" t="s">
        <v>202</v>
      </c>
      <c r="B11165" s="0" t="n">
        <v>8</v>
      </c>
      <c r="C11165" s="0" t="n">
        <v>1.9</v>
      </c>
      <c r="D11165" s="0" t="n">
        <v>0</v>
      </c>
    </row>
    <row r="11166" customFormat="false" ht="13.8" hidden="true" customHeight="false" outlineLevel="0" collapsed="false">
      <c r="A11166" s="0" t="s">
        <v>202</v>
      </c>
      <c r="B11166" s="0" t="n">
        <v>8</v>
      </c>
      <c r="C11166" s="0" t="n">
        <v>1.95</v>
      </c>
      <c r="D11166" s="0" t="n">
        <v>0</v>
      </c>
    </row>
    <row r="11167" customFormat="false" ht="13.8" hidden="true" customHeight="false" outlineLevel="0" collapsed="false">
      <c r="A11167" s="0" t="s">
        <v>202</v>
      </c>
      <c r="B11167" s="0" t="n">
        <v>8</v>
      </c>
      <c r="C11167" s="0" t="n">
        <v>2</v>
      </c>
      <c r="D11167" s="0" t="n">
        <v>0</v>
      </c>
    </row>
    <row r="11168" customFormat="false" ht="13.8" hidden="true" customHeight="false" outlineLevel="0" collapsed="false">
      <c r="A11168" s="0" t="s">
        <v>202</v>
      </c>
      <c r="B11168" s="0" t="n">
        <v>8</v>
      </c>
      <c r="C11168" s="0" t="n">
        <v>2.05</v>
      </c>
      <c r="D11168" s="0" t="n">
        <v>0.083683833</v>
      </c>
    </row>
    <row r="11169" customFormat="false" ht="13.8" hidden="true" customHeight="false" outlineLevel="0" collapsed="false">
      <c r="A11169" s="0" t="s">
        <v>202</v>
      </c>
      <c r="B11169" s="0" t="n">
        <v>8</v>
      </c>
      <c r="C11169" s="0" t="n">
        <v>2.1</v>
      </c>
      <c r="D11169" s="0" t="n">
        <v>0.085724902</v>
      </c>
    </row>
    <row r="11170" customFormat="false" ht="13.8" hidden="true" customHeight="false" outlineLevel="0" collapsed="false">
      <c r="A11170" s="0" t="s">
        <v>202</v>
      </c>
      <c r="B11170" s="0" t="n">
        <v>8</v>
      </c>
      <c r="C11170" s="0" t="n">
        <v>2.15</v>
      </c>
      <c r="D11170" s="0" t="n">
        <v>0.087765972</v>
      </c>
    </row>
    <row r="11171" customFormat="false" ht="13.8" hidden="true" customHeight="false" outlineLevel="0" collapsed="false">
      <c r="A11171" s="0" t="s">
        <v>202</v>
      </c>
      <c r="B11171" s="0" t="n">
        <v>8</v>
      </c>
      <c r="C11171" s="0" t="n">
        <v>2.2</v>
      </c>
      <c r="D11171" s="0" t="n">
        <v>0.091654412</v>
      </c>
    </row>
    <row r="11172" customFormat="false" ht="13.8" hidden="true" customHeight="false" outlineLevel="0" collapsed="false">
      <c r="A11172" s="0" t="s">
        <v>202</v>
      </c>
      <c r="B11172" s="0" t="n">
        <v>8</v>
      </c>
      <c r="C11172" s="0" t="n">
        <v>2.25</v>
      </c>
      <c r="D11172" s="0" t="n">
        <v>0.093737467</v>
      </c>
    </row>
    <row r="11173" customFormat="false" ht="13.8" hidden="true" customHeight="false" outlineLevel="0" collapsed="false">
      <c r="A11173" s="0" t="s">
        <v>202</v>
      </c>
      <c r="B11173" s="0" t="n">
        <v>8</v>
      </c>
      <c r="C11173" s="0" t="n">
        <v>2.3</v>
      </c>
      <c r="D11173" s="0" t="n">
        <v>0.095820522</v>
      </c>
    </row>
    <row r="11174" customFormat="false" ht="13.8" hidden="true" customHeight="false" outlineLevel="0" collapsed="false">
      <c r="A11174" s="0" t="s">
        <v>202</v>
      </c>
      <c r="B11174" s="0" t="n">
        <v>8</v>
      </c>
      <c r="C11174" s="0" t="n">
        <v>2.35</v>
      </c>
      <c r="D11174" s="0" t="n">
        <v>0.097903577</v>
      </c>
    </row>
    <row r="11175" customFormat="false" ht="13.8" hidden="true" customHeight="false" outlineLevel="0" collapsed="false">
      <c r="A11175" s="0" t="s">
        <v>202</v>
      </c>
      <c r="B11175" s="0" t="n">
        <v>8</v>
      </c>
      <c r="C11175" s="0" t="n">
        <v>2.4</v>
      </c>
      <c r="D11175" s="0" t="n">
        <v>0.099986632</v>
      </c>
    </row>
    <row r="11176" customFormat="false" ht="13.8" hidden="true" customHeight="false" outlineLevel="0" collapsed="false">
      <c r="A11176" s="0" t="s">
        <v>202</v>
      </c>
      <c r="B11176" s="0" t="n">
        <v>8</v>
      </c>
      <c r="C11176" s="0" t="n">
        <v>2.45</v>
      </c>
      <c r="D11176" s="0" t="n">
        <v>0.102069686</v>
      </c>
    </row>
    <row r="11177" customFormat="false" ht="13.8" hidden="true" customHeight="false" outlineLevel="0" collapsed="false">
      <c r="A11177" s="0" t="s">
        <v>202</v>
      </c>
      <c r="B11177" s="0" t="n">
        <v>8</v>
      </c>
      <c r="C11177" s="0" t="n">
        <v>2.5</v>
      </c>
      <c r="D11177" s="0" t="n">
        <v>0.104152741</v>
      </c>
    </row>
    <row r="11178" customFormat="false" ht="13.8" hidden="true" customHeight="false" outlineLevel="0" collapsed="false">
      <c r="A11178" s="0" t="s">
        <v>202</v>
      </c>
      <c r="B11178" s="0" t="n">
        <v>8</v>
      </c>
      <c r="C11178" s="0" t="n">
        <v>2.55</v>
      </c>
      <c r="D11178" s="0" t="n">
        <v>0.106235796</v>
      </c>
    </row>
    <row r="11179" customFormat="false" ht="13.8" hidden="true" customHeight="false" outlineLevel="0" collapsed="false">
      <c r="A11179" s="0" t="s">
        <v>202</v>
      </c>
      <c r="B11179" s="0" t="n">
        <v>8</v>
      </c>
      <c r="C11179" s="0" t="n">
        <v>2.6</v>
      </c>
      <c r="D11179" s="0" t="n">
        <v>0.108318851</v>
      </c>
    </row>
    <row r="11180" customFormat="false" ht="13.8" hidden="true" customHeight="false" outlineLevel="0" collapsed="false">
      <c r="A11180" s="0" t="s">
        <v>1137</v>
      </c>
      <c r="B11180" s="0" t="n">
        <v>7</v>
      </c>
      <c r="C11180" s="0" t="n">
        <v>1.3</v>
      </c>
      <c r="D11180" s="0" t="n">
        <v>0</v>
      </c>
    </row>
    <row r="11181" customFormat="false" ht="13.8" hidden="true" customHeight="false" outlineLevel="0" collapsed="false">
      <c r="A11181" s="0" t="s">
        <v>1137</v>
      </c>
      <c r="B11181" s="0" t="n">
        <v>7</v>
      </c>
      <c r="C11181" s="0" t="n">
        <v>1.35</v>
      </c>
      <c r="D11181" s="0" t="n">
        <v>0</v>
      </c>
    </row>
    <row r="11182" customFormat="false" ht="13.8" hidden="true" customHeight="false" outlineLevel="0" collapsed="false">
      <c r="A11182" s="0" t="s">
        <v>1137</v>
      </c>
      <c r="B11182" s="0" t="n">
        <v>7</v>
      </c>
      <c r="C11182" s="0" t="n">
        <v>1.4</v>
      </c>
      <c r="D11182" s="0" t="n">
        <v>0</v>
      </c>
    </row>
    <row r="11183" customFormat="false" ht="13.8" hidden="true" customHeight="false" outlineLevel="0" collapsed="false">
      <c r="A11183" s="0" t="s">
        <v>1137</v>
      </c>
      <c r="B11183" s="0" t="n">
        <v>7</v>
      </c>
      <c r="C11183" s="0" t="n">
        <v>1.45</v>
      </c>
      <c r="D11183" s="0" t="n">
        <v>0</v>
      </c>
    </row>
    <row r="11184" customFormat="false" ht="13.8" hidden="true" customHeight="false" outlineLevel="0" collapsed="false">
      <c r="A11184" s="0" t="s">
        <v>1137</v>
      </c>
      <c r="B11184" s="0" t="n">
        <v>7</v>
      </c>
      <c r="C11184" s="0" t="n">
        <v>1.5</v>
      </c>
      <c r="D11184" s="0" t="n">
        <v>0</v>
      </c>
    </row>
    <row r="11185" customFormat="false" ht="13.8" hidden="true" customHeight="false" outlineLevel="0" collapsed="false">
      <c r="A11185" s="0" t="s">
        <v>1137</v>
      </c>
      <c r="B11185" s="0" t="n">
        <v>7</v>
      </c>
      <c r="C11185" s="0" t="n">
        <v>1.55</v>
      </c>
      <c r="D11185" s="0" t="n">
        <v>0</v>
      </c>
    </row>
    <row r="11186" customFormat="false" ht="13.8" hidden="true" customHeight="false" outlineLevel="0" collapsed="false">
      <c r="A11186" s="0" t="s">
        <v>1137</v>
      </c>
      <c r="B11186" s="0" t="n">
        <v>7</v>
      </c>
      <c r="C11186" s="0" t="n">
        <v>1.6</v>
      </c>
      <c r="D11186" s="0" t="n">
        <v>0</v>
      </c>
    </row>
    <row r="11187" customFormat="false" ht="13.8" hidden="true" customHeight="false" outlineLevel="0" collapsed="false">
      <c r="A11187" s="0" t="s">
        <v>1137</v>
      </c>
      <c r="B11187" s="0" t="n">
        <v>7</v>
      </c>
      <c r="C11187" s="0" t="n">
        <v>1.65</v>
      </c>
      <c r="D11187" s="0" t="n">
        <v>0</v>
      </c>
    </row>
    <row r="11188" customFormat="false" ht="13.8" hidden="true" customHeight="false" outlineLevel="0" collapsed="false">
      <c r="A11188" s="0" t="s">
        <v>1137</v>
      </c>
      <c r="B11188" s="0" t="n">
        <v>7</v>
      </c>
      <c r="C11188" s="0" t="n">
        <v>1.7</v>
      </c>
      <c r="D11188" s="0" t="n">
        <v>0</v>
      </c>
    </row>
    <row r="11189" customFormat="false" ht="13.8" hidden="true" customHeight="false" outlineLevel="0" collapsed="false">
      <c r="A11189" s="0" t="s">
        <v>1137</v>
      </c>
      <c r="B11189" s="0" t="n">
        <v>7</v>
      </c>
      <c r="C11189" s="0" t="n">
        <v>1.75</v>
      </c>
      <c r="D11189" s="0" t="n">
        <v>0</v>
      </c>
    </row>
    <row r="11190" customFormat="false" ht="13.8" hidden="true" customHeight="false" outlineLevel="0" collapsed="false">
      <c r="A11190" s="0" t="s">
        <v>1137</v>
      </c>
      <c r="B11190" s="0" t="n">
        <v>7</v>
      </c>
      <c r="C11190" s="0" t="n">
        <v>1.8</v>
      </c>
      <c r="D11190" s="0" t="n">
        <v>0</v>
      </c>
    </row>
    <row r="11191" customFormat="false" ht="13.8" hidden="true" customHeight="false" outlineLevel="0" collapsed="false">
      <c r="A11191" s="0" t="s">
        <v>1137</v>
      </c>
      <c r="B11191" s="0" t="n">
        <v>7</v>
      </c>
      <c r="C11191" s="0" t="n">
        <v>1.85</v>
      </c>
      <c r="D11191" s="0" t="n">
        <v>0</v>
      </c>
    </row>
    <row r="11192" customFormat="false" ht="13.8" hidden="true" customHeight="false" outlineLevel="0" collapsed="false">
      <c r="A11192" s="0" t="s">
        <v>1137</v>
      </c>
      <c r="B11192" s="0" t="n">
        <v>7</v>
      </c>
      <c r="C11192" s="0" t="n">
        <v>1.9</v>
      </c>
      <c r="D11192" s="0" t="n">
        <v>0</v>
      </c>
    </row>
    <row r="11193" customFormat="false" ht="13.8" hidden="true" customHeight="false" outlineLevel="0" collapsed="false">
      <c r="A11193" s="0" t="s">
        <v>1137</v>
      </c>
      <c r="B11193" s="0" t="n">
        <v>7</v>
      </c>
      <c r="C11193" s="0" t="n">
        <v>1.95</v>
      </c>
      <c r="D11193" s="0" t="n">
        <v>0</v>
      </c>
    </row>
    <row r="11194" customFormat="false" ht="13.8" hidden="true" customHeight="false" outlineLevel="0" collapsed="false">
      <c r="A11194" s="0" t="s">
        <v>1137</v>
      </c>
      <c r="B11194" s="0" t="n">
        <v>7</v>
      </c>
      <c r="C11194" s="0" t="n">
        <v>2</v>
      </c>
      <c r="D11194" s="0" t="n">
        <v>0</v>
      </c>
    </row>
    <row r="11195" customFormat="false" ht="13.8" hidden="true" customHeight="false" outlineLevel="0" collapsed="false">
      <c r="A11195" s="0" t="s">
        <v>1137</v>
      </c>
      <c r="B11195" s="0" t="n">
        <v>7</v>
      </c>
      <c r="C11195" s="0" t="n">
        <v>2.05</v>
      </c>
      <c r="D11195" s="0" t="n">
        <v>0.083683833</v>
      </c>
    </row>
    <row r="11196" customFormat="false" ht="13.8" hidden="true" customHeight="false" outlineLevel="0" collapsed="false">
      <c r="A11196" s="0" t="s">
        <v>1137</v>
      </c>
      <c r="B11196" s="0" t="n">
        <v>7</v>
      </c>
      <c r="C11196" s="0" t="n">
        <v>2.1</v>
      </c>
      <c r="D11196" s="0" t="n">
        <v>0.085724902</v>
      </c>
    </row>
    <row r="11197" customFormat="false" ht="13.8" hidden="true" customHeight="false" outlineLevel="0" collapsed="false">
      <c r="A11197" s="0" t="s">
        <v>1137</v>
      </c>
      <c r="B11197" s="0" t="n">
        <v>7</v>
      </c>
      <c r="C11197" s="0" t="n">
        <v>2.15</v>
      </c>
      <c r="D11197" s="0" t="n">
        <v>0.087765972</v>
      </c>
    </row>
    <row r="11198" customFormat="false" ht="13.8" hidden="true" customHeight="false" outlineLevel="0" collapsed="false">
      <c r="A11198" s="0" t="s">
        <v>1137</v>
      </c>
      <c r="B11198" s="0" t="n">
        <v>7</v>
      </c>
      <c r="C11198" s="0" t="n">
        <v>2.2</v>
      </c>
      <c r="D11198" s="0" t="n">
        <v>0.091654412</v>
      </c>
    </row>
    <row r="11199" customFormat="false" ht="13.8" hidden="true" customHeight="false" outlineLevel="0" collapsed="false">
      <c r="A11199" s="0" t="s">
        <v>1137</v>
      </c>
      <c r="B11199" s="0" t="n">
        <v>7</v>
      </c>
      <c r="C11199" s="0" t="n">
        <v>2.25</v>
      </c>
      <c r="D11199" s="0" t="n">
        <v>0.093737467</v>
      </c>
    </row>
    <row r="11200" customFormat="false" ht="13.8" hidden="true" customHeight="false" outlineLevel="0" collapsed="false">
      <c r="A11200" s="0" t="s">
        <v>1137</v>
      </c>
      <c r="B11200" s="0" t="n">
        <v>7</v>
      </c>
      <c r="C11200" s="0" t="n">
        <v>2.3</v>
      </c>
      <c r="D11200" s="0" t="n">
        <v>0.095820522</v>
      </c>
    </row>
    <row r="11201" customFormat="false" ht="13.8" hidden="true" customHeight="false" outlineLevel="0" collapsed="false">
      <c r="A11201" s="0" t="s">
        <v>1137</v>
      </c>
      <c r="B11201" s="0" t="n">
        <v>7</v>
      </c>
      <c r="C11201" s="0" t="n">
        <v>2.35</v>
      </c>
      <c r="D11201" s="0" t="n">
        <v>0.097903577</v>
      </c>
    </row>
    <row r="11202" customFormat="false" ht="13.8" hidden="true" customHeight="false" outlineLevel="0" collapsed="false">
      <c r="A11202" s="0" t="s">
        <v>1137</v>
      </c>
      <c r="B11202" s="0" t="n">
        <v>7</v>
      </c>
      <c r="C11202" s="0" t="n">
        <v>2.4</v>
      </c>
      <c r="D11202" s="0" t="n">
        <v>0.099986632</v>
      </c>
    </row>
    <row r="11203" customFormat="false" ht="13.8" hidden="true" customHeight="false" outlineLevel="0" collapsed="false">
      <c r="A11203" s="0" t="s">
        <v>1137</v>
      </c>
      <c r="B11203" s="0" t="n">
        <v>7</v>
      </c>
      <c r="C11203" s="0" t="n">
        <v>2.45</v>
      </c>
      <c r="D11203" s="0" t="n">
        <v>0.102069686</v>
      </c>
    </row>
    <row r="11204" customFormat="false" ht="13.8" hidden="true" customHeight="false" outlineLevel="0" collapsed="false">
      <c r="A11204" s="0" t="s">
        <v>1137</v>
      </c>
      <c r="B11204" s="0" t="n">
        <v>7</v>
      </c>
      <c r="C11204" s="0" t="n">
        <v>2.5</v>
      </c>
      <c r="D11204" s="0" t="n">
        <v>0.104152741</v>
      </c>
    </row>
    <row r="11205" customFormat="false" ht="13.8" hidden="true" customHeight="false" outlineLevel="0" collapsed="false">
      <c r="A11205" s="0" t="s">
        <v>1137</v>
      </c>
      <c r="B11205" s="0" t="n">
        <v>7</v>
      </c>
      <c r="C11205" s="0" t="n">
        <v>2.55</v>
      </c>
      <c r="D11205" s="0" t="n">
        <v>0.106235796</v>
      </c>
    </row>
    <row r="11206" customFormat="false" ht="13.8" hidden="true" customHeight="false" outlineLevel="0" collapsed="false">
      <c r="A11206" s="0" t="s">
        <v>1137</v>
      </c>
      <c r="B11206" s="0" t="n">
        <v>7</v>
      </c>
      <c r="C11206" s="0" t="n">
        <v>2.6</v>
      </c>
      <c r="D11206" s="0" t="n">
        <v>0.108318851</v>
      </c>
    </row>
    <row r="11207" customFormat="false" ht="13.8" hidden="true" customHeight="false" outlineLevel="0" collapsed="false">
      <c r="A11207" s="0" t="s">
        <v>1137</v>
      </c>
      <c r="B11207" s="0" t="n">
        <v>8</v>
      </c>
      <c r="C11207" s="0" t="n">
        <v>1.3</v>
      </c>
      <c r="D11207" s="0" t="n">
        <v>0</v>
      </c>
    </row>
    <row r="11208" customFormat="false" ht="13.8" hidden="true" customHeight="false" outlineLevel="0" collapsed="false">
      <c r="A11208" s="0" t="s">
        <v>1137</v>
      </c>
      <c r="B11208" s="0" t="n">
        <v>8</v>
      </c>
      <c r="C11208" s="0" t="n">
        <v>1.35</v>
      </c>
      <c r="D11208" s="0" t="n">
        <v>0</v>
      </c>
    </row>
    <row r="11209" customFormat="false" ht="13.8" hidden="true" customHeight="false" outlineLevel="0" collapsed="false">
      <c r="A11209" s="0" t="s">
        <v>1137</v>
      </c>
      <c r="B11209" s="0" t="n">
        <v>8</v>
      </c>
      <c r="C11209" s="0" t="n">
        <v>1.4</v>
      </c>
      <c r="D11209" s="0" t="n">
        <v>0</v>
      </c>
    </row>
    <row r="11210" customFormat="false" ht="13.8" hidden="true" customHeight="false" outlineLevel="0" collapsed="false">
      <c r="A11210" s="0" t="s">
        <v>1137</v>
      </c>
      <c r="B11210" s="0" t="n">
        <v>8</v>
      </c>
      <c r="C11210" s="0" t="n">
        <v>1.45</v>
      </c>
      <c r="D11210" s="0" t="n">
        <v>0</v>
      </c>
    </row>
    <row r="11211" customFormat="false" ht="13.8" hidden="true" customHeight="false" outlineLevel="0" collapsed="false">
      <c r="A11211" s="0" t="s">
        <v>1137</v>
      </c>
      <c r="B11211" s="0" t="n">
        <v>8</v>
      </c>
      <c r="C11211" s="0" t="n">
        <v>1.5</v>
      </c>
      <c r="D11211" s="0" t="n">
        <v>0</v>
      </c>
    </row>
    <row r="11212" customFormat="false" ht="13.8" hidden="true" customHeight="false" outlineLevel="0" collapsed="false">
      <c r="A11212" s="0" t="s">
        <v>1137</v>
      </c>
      <c r="B11212" s="0" t="n">
        <v>8</v>
      </c>
      <c r="C11212" s="0" t="n">
        <v>1.55</v>
      </c>
      <c r="D11212" s="0" t="n">
        <v>0</v>
      </c>
    </row>
    <row r="11213" customFormat="false" ht="13.8" hidden="true" customHeight="false" outlineLevel="0" collapsed="false">
      <c r="A11213" s="0" t="s">
        <v>1137</v>
      </c>
      <c r="B11213" s="0" t="n">
        <v>8</v>
      </c>
      <c r="C11213" s="0" t="n">
        <v>1.6</v>
      </c>
      <c r="D11213" s="0" t="n">
        <v>0</v>
      </c>
    </row>
    <row r="11214" customFormat="false" ht="13.8" hidden="true" customHeight="false" outlineLevel="0" collapsed="false">
      <c r="A11214" s="0" t="s">
        <v>1137</v>
      </c>
      <c r="B11214" s="0" t="n">
        <v>8</v>
      </c>
      <c r="C11214" s="0" t="n">
        <v>1.65</v>
      </c>
      <c r="D11214" s="0" t="n">
        <v>0</v>
      </c>
    </row>
    <row r="11215" customFormat="false" ht="13.8" hidden="true" customHeight="false" outlineLevel="0" collapsed="false">
      <c r="A11215" s="0" t="s">
        <v>1137</v>
      </c>
      <c r="B11215" s="0" t="n">
        <v>8</v>
      </c>
      <c r="C11215" s="0" t="n">
        <v>1.7</v>
      </c>
      <c r="D11215" s="0" t="n">
        <v>0</v>
      </c>
    </row>
    <row r="11216" customFormat="false" ht="13.8" hidden="true" customHeight="false" outlineLevel="0" collapsed="false">
      <c r="A11216" s="0" t="s">
        <v>1137</v>
      </c>
      <c r="B11216" s="0" t="n">
        <v>8</v>
      </c>
      <c r="C11216" s="0" t="n">
        <v>1.75</v>
      </c>
      <c r="D11216" s="0" t="n">
        <v>0</v>
      </c>
    </row>
    <row r="11217" customFormat="false" ht="13.8" hidden="true" customHeight="false" outlineLevel="0" collapsed="false">
      <c r="A11217" s="0" t="s">
        <v>1137</v>
      </c>
      <c r="B11217" s="0" t="n">
        <v>8</v>
      </c>
      <c r="C11217" s="0" t="n">
        <v>1.8</v>
      </c>
      <c r="D11217" s="0" t="n">
        <v>0</v>
      </c>
    </row>
    <row r="11218" customFormat="false" ht="13.8" hidden="true" customHeight="false" outlineLevel="0" collapsed="false">
      <c r="A11218" s="0" t="s">
        <v>1137</v>
      </c>
      <c r="B11218" s="0" t="n">
        <v>8</v>
      </c>
      <c r="C11218" s="0" t="n">
        <v>1.85</v>
      </c>
      <c r="D11218" s="0" t="n">
        <v>0</v>
      </c>
    </row>
    <row r="11219" customFormat="false" ht="13.8" hidden="true" customHeight="false" outlineLevel="0" collapsed="false">
      <c r="A11219" s="0" t="s">
        <v>1137</v>
      </c>
      <c r="B11219" s="0" t="n">
        <v>8</v>
      </c>
      <c r="C11219" s="0" t="n">
        <v>1.9</v>
      </c>
      <c r="D11219" s="0" t="n">
        <v>0</v>
      </c>
    </row>
    <row r="11220" customFormat="false" ht="13.8" hidden="true" customHeight="false" outlineLevel="0" collapsed="false">
      <c r="A11220" s="0" t="s">
        <v>1137</v>
      </c>
      <c r="B11220" s="0" t="n">
        <v>8</v>
      </c>
      <c r="C11220" s="0" t="n">
        <v>1.95</v>
      </c>
      <c r="D11220" s="0" t="n">
        <v>0</v>
      </c>
    </row>
    <row r="11221" customFormat="false" ht="13.8" hidden="true" customHeight="false" outlineLevel="0" collapsed="false">
      <c r="A11221" s="0" t="s">
        <v>1137</v>
      </c>
      <c r="B11221" s="0" t="n">
        <v>8</v>
      </c>
      <c r="C11221" s="0" t="n">
        <v>2</v>
      </c>
      <c r="D11221" s="0" t="n">
        <v>0</v>
      </c>
    </row>
    <row r="11222" customFormat="false" ht="13.8" hidden="true" customHeight="false" outlineLevel="0" collapsed="false">
      <c r="A11222" s="0" t="s">
        <v>1137</v>
      </c>
      <c r="B11222" s="0" t="n">
        <v>8</v>
      </c>
      <c r="C11222" s="0" t="n">
        <v>2.05</v>
      </c>
      <c r="D11222" s="0" t="n">
        <v>0.083683833</v>
      </c>
    </row>
    <row r="11223" customFormat="false" ht="13.8" hidden="true" customHeight="false" outlineLevel="0" collapsed="false">
      <c r="A11223" s="0" t="s">
        <v>1137</v>
      </c>
      <c r="B11223" s="0" t="n">
        <v>8</v>
      </c>
      <c r="C11223" s="0" t="n">
        <v>2.1</v>
      </c>
      <c r="D11223" s="0" t="n">
        <v>0.085724902</v>
      </c>
    </row>
    <row r="11224" customFormat="false" ht="13.8" hidden="true" customHeight="false" outlineLevel="0" collapsed="false">
      <c r="A11224" s="0" t="s">
        <v>1137</v>
      </c>
      <c r="B11224" s="0" t="n">
        <v>8</v>
      </c>
      <c r="C11224" s="0" t="n">
        <v>2.15</v>
      </c>
      <c r="D11224" s="0" t="n">
        <v>0.087765972</v>
      </c>
    </row>
    <row r="11225" customFormat="false" ht="13.8" hidden="true" customHeight="false" outlineLevel="0" collapsed="false">
      <c r="A11225" s="0" t="s">
        <v>1137</v>
      </c>
      <c r="B11225" s="0" t="n">
        <v>8</v>
      </c>
      <c r="C11225" s="0" t="n">
        <v>2.2</v>
      </c>
      <c r="D11225" s="0" t="n">
        <v>0.091654412</v>
      </c>
    </row>
    <row r="11226" customFormat="false" ht="13.8" hidden="true" customHeight="false" outlineLevel="0" collapsed="false">
      <c r="A11226" s="0" t="s">
        <v>1137</v>
      </c>
      <c r="B11226" s="0" t="n">
        <v>8</v>
      </c>
      <c r="C11226" s="0" t="n">
        <v>2.25</v>
      </c>
      <c r="D11226" s="0" t="n">
        <v>0.093737467</v>
      </c>
    </row>
    <row r="11227" customFormat="false" ht="13.8" hidden="true" customHeight="false" outlineLevel="0" collapsed="false">
      <c r="A11227" s="0" t="s">
        <v>1137</v>
      </c>
      <c r="B11227" s="0" t="n">
        <v>8</v>
      </c>
      <c r="C11227" s="0" t="n">
        <v>2.3</v>
      </c>
      <c r="D11227" s="0" t="n">
        <v>0.095820522</v>
      </c>
    </row>
    <row r="11228" customFormat="false" ht="13.8" hidden="true" customHeight="false" outlineLevel="0" collapsed="false">
      <c r="A11228" s="0" t="s">
        <v>1137</v>
      </c>
      <c r="B11228" s="0" t="n">
        <v>8</v>
      </c>
      <c r="C11228" s="0" t="n">
        <v>2.35</v>
      </c>
      <c r="D11228" s="0" t="n">
        <v>0.097903577</v>
      </c>
    </row>
    <row r="11229" customFormat="false" ht="13.8" hidden="true" customHeight="false" outlineLevel="0" collapsed="false">
      <c r="A11229" s="0" t="s">
        <v>1137</v>
      </c>
      <c r="B11229" s="0" t="n">
        <v>8</v>
      </c>
      <c r="C11229" s="0" t="n">
        <v>2.4</v>
      </c>
      <c r="D11229" s="0" t="n">
        <v>0.099986632</v>
      </c>
    </row>
    <row r="11230" customFormat="false" ht="13.8" hidden="true" customHeight="false" outlineLevel="0" collapsed="false">
      <c r="A11230" s="0" t="s">
        <v>1137</v>
      </c>
      <c r="B11230" s="0" t="n">
        <v>8</v>
      </c>
      <c r="C11230" s="0" t="n">
        <v>2.45</v>
      </c>
      <c r="D11230" s="0" t="n">
        <v>0.102069686</v>
      </c>
    </row>
    <row r="11231" customFormat="false" ht="13.8" hidden="true" customHeight="false" outlineLevel="0" collapsed="false">
      <c r="A11231" s="0" t="s">
        <v>1137</v>
      </c>
      <c r="B11231" s="0" t="n">
        <v>8</v>
      </c>
      <c r="C11231" s="0" t="n">
        <v>2.5</v>
      </c>
      <c r="D11231" s="0" t="n">
        <v>0.104152741</v>
      </c>
    </row>
    <row r="11232" customFormat="false" ht="13.8" hidden="true" customHeight="false" outlineLevel="0" collapsed="false">
      <c r="A11232" s="0" t="s">
        <v>1137</v>
      </c>
      <c r="B11232" s="0" t="n">
        <v>8</v>
      </c>
      <c r="C11232" s="0" t="n">
        <v>2.55</v>
      </c>
      <c r="D11232" s="0" t="n">
        <v>0.106235796</v>
      </c>
    </row>
    <row r="11233" customFormat="false" ht="13.8" hidden="true" customHeight="false" outlineLevel="0" collapsed="false">
      <c r="A11233" s="0" t="s">
        <v>1137</v>
      </c>
      <c r="B11233" s="0" t="n">
        <v>8</v>
      </c>
      <c r="C11233" s="0" t="n">
        <v>2.6</v>
      </c>
      <c r="D11233" s="0" t="n">
        <v>0.108318851</v>
      </c>
    </row>
    <row r="11234" customFormat="false" ht="13.8" hidden="true" customHeight="false" outlineLevel="0" collapsed="false">
      <c r="A11234" s="0" t="s">
        <v>1139</v>
      </c>
      <c r="B11234" s="0" t="n">
        <v>8</v>
      </c>
      <c r="C11234" s="0" t="n">
        <v>1.3</v>
      </c>
      <c r="D11234" s="0" t="n">
        <v>0</v>
      </c>
    </row>
    <row r="11235" customFormat="false" ht="13.8" hidden="true" customHeight="false" outlineLevel="0" collapsed="false">
      <c r="A11235" s="0" t="s">
        <v>1139</v>
      </c>
      <c r="B11235" s="0" t="n">
        <v>8</v>
      </c>
      <c r="C11235" s="0" t="n">
        <v>1.35</v>
      </c>
      <c r="D11235" s="0" t="n">
        <v>0</v>
      </c>
    </row>
    <row r="11236" customFormat="false" ht="13.8" hidden="true" customHeight="false" outlineLevel="0" collapsed="false">
      <c r="A11236" s="0" t="s">
        <v>1139</v>
      </c>
      <c r="B11236" s="0" t="n">
        <v>8</v>
      </c>
      <c r="C11236" s="0" t="n">
        <v>1.4</v>
      </c>
      <c r="D11236" s="0" t="n">
        <v>0</v>
      </c>
    </row>
    <row r="11237" customFormat="false" ht="13.8" hidden="true" customHeight="false" outlineLevel="0" collapsed="false">
      <c r="A11237" s="0" t="s">
        <v>1139</v>
      </c>
      <c r="B11237" s="0" t="n">
        <v>8</v>
      </c>
      <c r="C11237" s="0" t="n">
        <v>1.45</v>
      </c>
      <c r="D11237" s="0" t="n">
        <v>0</v>
      </c>
    </row>
    <row r="11238" customFormat="false" ht="13.8" hidden="true" customHeight="false" outlineLevel="0" collapsed="false">
      <c r="A11238" s="0" t="s">
        <v>1139</v>
      </c>
      <c r="B11238" s="0" t="n">
        <v>8</v>
      </c>
      <c r="C11238" s="0" t="n">
        <v>1.5</v>
      </c>
      <c r="D11238" s="0" t="n">
        <v>0</v>
      </c>
    </row>
    <row r="11239" customFormat="false" ht="13.8" hidden="true" customHeight="false" outlineLevel="0" collapsed="false">
      <c r="A11239" s="0" t="s">
        <v>1139</v>
      </c>
      <c r="B11239" s="0" t="n">
        <v>8</v>
      </c>
      <c r="C11239" s="0" t="n">
        <v>1.55</v>
      </c>
      <c r="D11239" s="0" t="n">
        <v>0</v>
      </c>
    </row>
    <row r="11240" customFormat="false" ht="13.8" hidden="true" customHeight="false" outlineLevel="0" collapsed="false">
      <c r="A11240" s="0" t="s">
        <v>1139</v>
      </c>
      <c r="B11240" s="0" t="n">
        <v>8</v>
      </c>
      <c r="C11240" s="0" t="n">
        <v>1.6</v>
      </c>
      <c r="D11240" s="0" t="n">
        <v>0</v>
      </c>
    </row>
    <row r="11241" customFormat="false" ht="13.8" hidden="true" customHeight="false" outlineLevel="0" collapsed="false">
      <c r="A11241" s="0" t="s">
        <v>1139</v>
      </c>
      <c r="B11241" s="0" t="n">
        <v>8</v>
      </c>
      <c r="C11241" s="0" t="n">
        <v>1.65</v>
      </c>
      <c r="D11241" s="0" t="n">
        <v>0</v>
      </c>
    </row>
    <row r="11242" customFormat="false" ht="13.8" hidden="true" customHeight="false" outlineLevel="0" collapsed="false">
      <c r="A11242" s="0" t="s">
        <v>1139</v>
      </c>
      <c r="B11242" s="0" t="n">
        <v>8</v>
      </c>
      <c r="C11242" s="0" t="n">
        <v>1.7</v>
      </c>
      <c r="D11242" s="0" t="n">
        <v>0</v>
      </c>
    </row>
    <row r="11243" customFormat="false" ht="13.8" hidden="true" customHeight="false" outlineLevel="0" collapsed="false">
      <c r="A11243" s="0" t="s">
        <v>1139</v>
      </c>
      <c r="B11243" s="0" t="n">
        <v>8</v>
      </c>
      <c r="C11243" s="0" t="n">
        <v>1.75</v>
      </c>
      <c r="D11243" s="0" t="n">
        <v>0</v>
      </c>
    </row>
    <row r="11244" customFormat="false" ht="13.8" hidden="true" customHeight="false" outlineLevel="0" collapsed="false">
      <c r="A11244" s="0" t="s">
        <v>1139</v>
      </c>
      <c r="B11244" s="0" t="n">
        <v>8</v>
      </c>
      <c r="C11244" s="0" t="n">
        <v>1.8</v>
      </c>
      <c r="D11244" s="0" t="n">
        <v>0</v>
      </c>
    </row>
    <row r="11245" customFormat="false" ht="13.8" hidden="true" customHeight="false" outlineLevel="0" collapsed="false">
      <c r="A11245" s="0" t="s">
        <v>1139</v>
      </c>
      <c r="B11245" s="0" t="n">
        <v>8</v>
      </c>
      <c r="C11245" s="0" t="n">
        <v>1.85</v>
      </c>
      <c r="D11245" s="0" t="n">
        <v>0</v>
      </c>
    </row>
    <row r="11246" customFormat="false" ht="13.8" hidden="true" customHeight="false" outlineLevel="0" collapsed="false">
      <c r="A11246" s="0" t="s">
        <v>1139</v>
      </c>
      <c r="B11246" s="0" t="n">
        <v>8</v>
      </c>
      <c r="C11246" s="0" t="n">
        <v>1.9</v>
      </c>
      <c r="D11246" s="0" t="n">
        <v>0</v>
      </c>
    </row>
    <row r="11247" customFormat="false" ht="13.8" hidden="true" customHeight="false" outlineLevel="0" collapsed="false">
      <c r="A11247" s="0" t="s">
        <v>1139</v>
      </c>
      <c r="B11247" s="0" t="n">
        <v>8</v>
      </c>
      <c r="C11247" s="0" t="n">
        <v>1.95</v>
      </c>
      <c r="D11247" s="0" t="n">
        <v>0</v>
      </c>
    </row>
    <row r="11248" customFormat="false" ht="13.8" hidden="true" customHeight="false" outlineLevel="0" collapsed="false">
      <c r="A11248" s="0" t="s">
        <v>1139</v>
      </c>
      <c r="B11248" s="0" t="n">
        <v>8</v>
      </c>
      <c r="C11248" s="0" t="n">
        <v>2</v>
      </c>
      <c r="D11248" s="0" t="n">
        <v>0</v>
      </c>
    </row>
    <row r="11249" customFormat="false" ht="13.8" hidden="true" customHeight="false" outlineLevel="0" collapsed="false">
      <c r="A11249" s="0" t="s">
        <v>1139</v>
      </c>
      <c r="B11249" s="0" t="n">
        <v>8</v>
      </c>
      <c r="C11249" s="0" t="n">
        <v>2.05</v>
      </c>
      <c r="D11249" s="0" t="n">
        <v>0.05179415</v>
      </c>
    </row>
    <row r="11250" customFormat="false" ht="13.8" hidden="true" customHeight="false" outlineLevel="0" collapsed="false">
      <c r="A11250" s="0" t="s">
        <v>1139</v>
      </c>
      <c r="B11250" s="0" t="n">
        <v>8</v>
      </c>
      <c r="C11250" s="0" t="n">
        <v>2.1</v>
      </c>
      <c r="D11250" s="0" t="n">
        <v>0.053057422</v>
      </c>
    </row>
    <row r="11251" customFormat="false" ht="13.8" hidden="true" customHeight="false" outlineLevel="0" collapsed="false">
      <c r="A11251" s="0" t="s">
        <v>1139</v>
      </c>
      <c r="B11251" s="0" t="n">
        <v>8</v>
      </c>
      <c r="C11251" s="0" t="n">
        <v>2.15</v>
      </c>
      <c r="D11251" s="0" t="n">
        <v>0.054320694</v>
      </c>
    </row>
    <row r="11252" customFormat="false" ht="13.8" hidden="true" customHeight="false" outlineLevel="0" collapsed="false">
      <c r="A11252" s="0" t="s">
        <v>1139</v>
      </c>
      <c r="B11252" s="0" t="n">
        <v>8</v>
      </c>
      <c r="C11252" s="0" t="n">
        <v>2.2</v>
      </c>
      <c r="D11252" s="0" t="n">
        <v>0.056769629</v>
      </c>
    </row>
    <row r="11253" customFormat="false" ht="13.8" hidden="true" customHeight="false" outlineLevel="0" collapsed="false">
      <c r="A11253" s="0" t="s">
        <v>1139</v>
      </c>
      <c r="B11253" s="0" t="n">
        <v>8</v>
      </c>
      <c r="C11253" s="0" t="n">
        <v>2.25</v>
      </c>
      <c r="D11253" s="0" t="n">
        <v>0.058059847</v>
      </c>
    </row>
    <row r="11254" customFormat="false" ht="13.8" hidden="true" customHeight="false" outlineLevel="0" collapsed="false">
      <c r="A11254" s="0" t="s">
        <v>1139</v>
      </c>
      <c r="B11254" s="0" t="n">
        <v>8</v>
      </c>
      <c r="C11254" s="0" t="n">
        <v>2.3</v>
      </c>
      <c r="D11254" s="0" t="n">
        <v>0.059350066</v>
      </c>
    </row>
    <row r="11255" customFormat="false" ht="13.8" hidden="true" customHeight="false" outlineLevel="0" collapsed="false">
      <c r="A11255" s="0" t="s">
        <v>1139</v>
      </c>
      <c r="B11255" s="0" t="n">
        <v>8</v>
      </c>
      <c r="C11255" s="0" t="n">
        <v>2.35</v>
      </c>
      <c r="D11255" s="0" t="n">
        <v>0.060640285</v>
      </c>
    </row>
    <row r="11256" customFormat="false" ht="13.8" hidden="true" customHeight="false" outlineLevel="0" collapsed="false">
      <c r="A11256" s="0" t="s">
        <v>1139</v>
      </c>
      <c r="B11256" s="0" t="n">
        <v>8</v>
      </c>
      <c r="C11256" s="0" t="n">
        <v>2.4</v>
      </c>
      <c r="D11256" s="0" t="n">
        <v>0.061930504</v>
      </c>
    </row>
    <row r="11257" customFormat="false" ht="13.8" hidden="true" customHeight="false" outlineLevel="0" collapsed="false">
      <c r="A11257" s="0" t="s">
        <v>1139</v>
      </c>
      <c r="B11257" s="0" t="n">
        <v>8</v>
      </c>
      <c r="C11257" s="0" t="n">
        <v>2.45</v>
      </c>
      <c r="D11257" s="0" t="n">
        <v>0.063220723</v>
      </c>
    </row>
    <row r="11258" customFormat="false" ht="13.8" hidden="true" customHeight="false" outlineLevel="0" collapsed="false">
      <c r="A11258" s="0" t="s">
        <v>1139</v>
      </c>
      <c r="B11258" s="0" t="n">
        <v>8</v>
      </c>
      <c r="C11258" s="0" t="n">
        <v>2.5</v>
      </c>
      <c r="D11258" s="0" t="n">
        <v>0.064510942</v>
      </c>
    </row>
    <row r="11259" customFormat="false" ht="13.8" hidden="true" customHeight="false" outlineLevel="0" collapsed="false">
      <c r="A11259" s="0" t="s">
        <v>1139</v>
      </c>
      <c r="B11259" s="0" t="n">
        <v>8</v>
      </c>
      <c r="C11259" s="0" t="n">
        <v>2.55</v>
      </c>
      <c r="D11259" s="0" t="n">
        <v>0.06580116</v>
      </c>
    </row>
    <row r="11260" customFormat="false" ht="13.8" hidden="true" customHeight="false" outlineLevel="0" collapsed="false">
      <c r="A11260" s="0" t="s">
        <v>1139</v>
      </c>
      <c r="B11260" s="0" t="n">
        <v>8</v>
      </c>
      <c r="C11260" s="0" t="n">
        <v>2.6</v>
      </c>
      <c r="D11260" s="0" t="n">
        <v>0.067091379</v>
      </c>
    </row>
    <row r="11261" customFormat="false" ht="13.8" hidden="true" customHeight="false" outlineLevel="0" collapsed="false">
      <c r="A11261" s="0" t="s">
        <v>1142</v>
      </c>
      <c r="B11261" s="0" t="n">
        <v>8</v>
      </c>
      <c r="C11261" s="0" t="n">
        <v>1.3</v>
      </c>
      <c r="D11261" s="0" t="n">
        <v>0</v>
      </c>
    </row>
    <row r="11262" customFormat="false" ht="13.8" hidden="true" customHeight="false" outlineLevel="0" collapsed="false">
      <c r="A11262" s="0" t="s">
        <v>1142</v>
      </c>
      <c r="B11262" s="0" t="n">
        <v>8</v>
      </c>
      <c r="C11262" s="0" t="n">
        <v>1.35</v>
      </c>
      <c r="D11262" s="0" t="n">
        <v>0</v>
      </c>
    </row>
    <row r="11263" customFormat="false" ht="13.8" hidden="true" customHeight="false" outlineLevel="0" collapsed="false">
      <c r="A11263" s="0" t="s">
        <v>1142</v>
      </c>
      <c r="B11263" s="0" t="n">
        <v>8</v>
      </c>
      <c r="C11263" s="0" t="n">
        <v>1.4</v>
      </c>
      <c r="D11263" s="0" t="n">
        <v>0</v>
      </c>
    </row>
    <row r="11264" customFormat="false" ht="13.8" hidden="true" customHeight="false" outlineLevel="0" collapsed="false">
      <c r="A11264" s="0" t="s">
        <v>1142</v>
      </c>
      <c r="B11264" s="0" t="n">
        <v>8</v>
      </c>
      <c r="C11264" s="0" t="n">
        <v>1.45</v>
      </c>
      <c r="D11264" s="0" t="n">
        <v>0</v>
      </c>
    </row>
    <row r="11265" customFormat="false" ht="13.8" hidden="true" customHeight="false" outlineLevel="0" collapsed="false">
      <c r="A11265" s="0" t="s">
        <v>1142</v>
      </c>
      <c r="B11265" s="0" t="n">
        <v>8</v>
      </c>
      <c r="C11265" s="0" t="n">
        <v>1.5</v>
      </c>
      <c r="D11265" s="0" t="n">
        <v>0</v>
      </c>
    </row>
    <row r="11266" customFormat="false" ht="13.8" hidden="true" customHeight="false" outlineLevel="0" collapsed="false">
      <c r="A11266" s="0" t="s">
        <v>1142</v>
      </c>
      <c r="B11266" s="0" t="n">
        <v>8</v>
      </c>
      <c r="C11266" s="0" t="n">
        <v>1.55</v>
      </c>
      <c r="D11266" s="0" t="n">
        <v>0</v>
      </c>
    </row>
    <row r="11267" customFormat="false" ht="13.8" hidden="true" customHeight="false" outlineLevel="0" collapsed="false">
      <c r="A11267" s="0" t="s">
        <v>1142</v>
      </c>
      <c r="B11267" s="0" t="n">
        <v>8</v>
      </c>
      <c r="C11267" s="0" t="n">
        <v>1.6</v>
      </c>
      <c r="D11267" s="0" t="n">
        <v>0.021</v>
      </c>
    </row>
    <row r="11268" customFormat="false" ht="13.8" hidden="true" customHeight="false" outlineLevel="0" collapsed="false">
      <c r="A11268" s="0" t="s">
        <v>1142</v>
      </c>
      <c r="B11268" s="0" t="n">
        <v>8</v>
      </c>
      <c r="C11268" s="0" t="n">
        <v>1.65</v>
      </c>
      <c r="D11268" s="0" t="n">
        <v>0.022</v>
      </c>
    </row>
    <row r="11269" customFormat="false" ht="13.8" hidden="true" customHeight="false" outlineLevel="0" collapsed="false">
      <c r="A11269" s="0" t="s">
        <v>1142</v>
      </c>
      <c r="B11269" s="0" t="n">
        <v>8</v>
      </c>
      <c r="C11269" s="0" t="n">
        <v>1.7</v>
      </c>
      <c r="D11269" s="0" t="n">
        <v>0.022</v>
      </c>
    </row>
    <row r="11270" customFormat="false" ht="13.8" hidden="true" customHeight="false" outlineLevel="0" collapsed="false">
      <c r="A11270" s="0" t="s">
        <v>1142</v>
      </c>
      <c r="B11270" s="0" t="n">
        <v>8</v>
      </c>
      <c r="C11270" s="0" t="n">
        <v>1.75</v>
      </c>
      <c r="D11270" s="0" t="n">
        <v>0.023</v>
      </c>
    </row>
    <row r="11271" customFormat="false" ht="13.8" hidden="true" customHeight="false" outlineLevel="0" collapsed="false">
      <c r="A11271" s="0" t="s">
        <v>1142</v>
      </c>
      <c r="B11271" s="0" t="n">
        <v>8</v>
      </c>
      <c r="C11271" s="0" t="n">
        <v>1.8</v>
      </c>
      <c r="D11271" s="0" t="n">
        <v>0.023</v>
      </c>
    </row>
    <row r="11272" customFormat="false" ht="13.8" hidden="true" customHeight="false" outlineLevel="0" collapsed="false">
      <c r="A11272" s="0" t="s">
        <v>1142</v>
      </c>
      <c r="B11272" s="0" t="n">
        <v>8</v>
      </c>
      <c r="C11272" s="0" t="n">
        <v>1.85</v>
      </c>
      <c r="D11272" s="0" t="n">
        <v>0.024</v>
      </c>
    </row>
    <row r="11273" customFormat="false" ht="13.8" hidden="true" customHeight="false" outlineLevel="0" collapsed="false">
      <c r="A11273" s="0" t="s">
        <v>1142</v>
      </c>
      <c r="B11273" s="0" t="n">
        <v>8</v>
      </c>
      <c r="C11273" s="0" t="n">
        <v>1.9</v>
      </c>
      <c r="D11273" s="0" t="n">
        <v>0.024</v>
      </c>
    </row>
    <row r="11274" customFormat="false" ht="13.8" hidden="true" customHeight="false" outlineLevel="0" collapsed="false">
      <c r="A11274" s="0" t="s">
        <v>1142</v>
      </c>
      <c r="B11274" s="0" t="n">
        <v>8</v>
      </c>
      <c r="C11274" s="0" t="n">
        <v>1.95</v>
      </c>
      <c r="D11274" s="0" t="n">
        <v>0.025</v>
      </c>
    </row>
    <row r="11275" customFormat="false" ht="13.8" hidden="true" customHeight="false" outlineLevel="0" collapsed="false">
      <c r="A11275" s="0" t="s">
        <v>1142</v>
      </c>
      <c r="B11275" s="0" t="n">
        <v>8</v>
      </c>
      <c r="C11275" s="0" t="n">
        <v>2</v>
      </c>
      <c r="D11275" s="0" t="n">
        <v>0.025265439</v>
      </c>
    </row>
    <row r="11276" customFormat="false" ht="13.8" hidden="true" customHeight="false" outlineLevel="0" collapsed="false">
      <c r="A11276" s="0" t="s">
        <v>1142</v>
      </c>
      <c r="B11276" s="0" t="n">
        <v>8</v>
      </c>
      <c r="C11276" s="0" t="n">
        <v>2.05</v>
      </c>
      <c r="D11276" s="0" t="n">
        <v>0.025897075</v>
      </c>
    </row>
    <row r="11277" customFormat="false" ht="13.8" hidden="true" customHeight="false" outlineLevel="0" collapsed="false">
      <c r="A11277" s="0" t="s">
        <v>1142</v>
      </c>
      <c r="B11277" s="0" t="n">
        <v>8</v>
      </c>
      <c r="C11277" s="0" t="n">
        <v>2.1</v>
      </c>
      <c r="D11277" s="0" t="n">
        <v>0.026528711</v>
      </c>
    </row>
    <row r="11278" customFormat="false" ht="13.8" hidden="true" customHeight="false" outlineLevel="0" collapsed="false">
      <c r="A11278" s="0" t="s">
        <v>1142</v>
      </c>
      <c r="B11278" s="0" t="n">
        <v>8</v>
      </c>
      <c r="C11278" s="0" t="n">
        <v>2.15</v>
      </c>
      <c r="D11278" s="0" t="n">
        <v>0.027160347</v>
      </c>
    </row>
    <row r="11279" customFormat="false" ht="13.8" hidden="true" customHeight="false" outlineLevel="0" collapsed="false">
      <c r="A11279" s="0" t="s">
        <v>1142</v>
      </c>
      <c r="B11279" s="0" t="n">
        <v>8</v>
      </c>
      <c r="C11279" s="0" t="n">
        <v>2.2</v>
      </c>
      <c r="D11279" s="0" t="n">
        <v>0.028384814</v>
      </c>
    </row>
    <row r="11280" customFormat="false" ht="13.8" hidden="true" customHeight="false" outlineLevel="0" collapsed="false">
      <c r="A11280" s="0" t="s">
        <v>1142</v>
      </c>
      <c r="B11280" s="0" t="n">
        <v>8</v>
      </c>
      <c r="C11280" s="0" t="n">
        <v>2.25</v>
      </c>
      <c r="D11280" s="0" t="n">
        <v>0.029029924</v>
      </c>
    </row>
    <row r="11281" customFormat="false" ht="13.8" hidden="true" customHeight="false" outlineLevel="0" collapsed="false">
      <c r="A11281" s="0" t="s">
        <v>1142</v>
      </c>
      <c r="B11281" s="0" t="n">
        <v>8</v>
      </c>
      <c r="C11281" s="0" t="n">
        <v>2.3</v>
      </c>
      <c r="D11281" s="0" t="n">
        <v>0.029675033</v>
      </c>
    </row>
    <row r="11282" customFormat="false" ht="13.8" hidden="true" customHeight="false" outlineLevel="0" collapsed="false">
      <c r="A11282" s="0" t="s">
        <v>1142</v>
      </c>
      <c r="B11282" s="0" t="n">
        <v>8</v>
      </c>
      <c r="C11282" s="0" t="n">
        <v>2.35</v>
      </c>
      <c r="D11282" s="0" t="n">
        <v>0.030320143</v>
      </c>
    </row>
    <row r="11283" customFormat="false" ht="13.8" hidden="true" customHeight="false" outlineLevel="0" collapsed="false">
      <c r="A11283" s="0" t="s">
        <v>1142</v>
      </c>
      <c r="B11283" s="0" t="n">
        <v>8</v>
      </c>
      <c r="C11283" s="0" t="n">
        <v>2.4</v>
      </c>
      <c r="D11283" s="0" t="n">
        <v>0.030965252</v>
      </c>
    </row>
    <row r="11284" customFormat="false" ht="13.8" hidden="true" customHeight="false" outlineLevel="0" collapsed="false">
      <c r="A11284" s="0" t="s">
        <v>1142</v>
      </c>
      <c r="B11284" s="0" t="n">
        <v>8</v>
      </c>
      <c r="C11284" s="0" t="n">
        <v>2.45</v>
      </c>
      <c r="D11284" s="0" t="n">
        <v>0.031610361</v>
      </c>
    </row>
    <row r="11285" customFormat="false" ht="13.8" hidden="true" customHeight="false" outlineLevel="0" collapsed="false">
      <c r="A11285" s="0" t="s">
        <v>1142</v>
      </c>
      <c r="B11285" s="0" t="n">
        <v>8</v>
      </c>
      <c r="C11285" s="0" t="n">
        <v>2.5</v>
      </c>
      <c r="D11285" s="0" t="n">
        <v>0.032255471</v>
      </c>
    </row>
    <row r="11286" customFormat="false" ht="13.8" hidden="true" customHeight="false" outlineLevel="0" collapsed="false">
      <c r="A11286" s="0" t="s">
        <v>1142</v>
      </c>
      <c r="B11286" s="0" t="n">
        <v>8</v>
      </c>
      <c r="C11286" s="0" t="n">
        <v>2.55</v>
      </c>
      <c r="D11286" s="0" t="n">
        <v>0.03290058</v>
      </c>
    </row>
    <row r="11287" customFormat="false" ht="13.8" hidden="true" customHeight="false" outlineLevel="0" collapsed="false">
      <c r="A11287" s="0" t="s">
        <v>1142</v>
      </c>
      <c r="B11287" s="0" t="n">
        <v>8</v>
      </c>
      <c r="C11287" s="0" t="n">
        <v>2.6</v>
      </c>
      <c r="D11287" s="0" t="n">
        <v>0.03354569</v>
      </c>
    </row>
    <row r="11288" customFormat="false" ht="13.8" hidden="true" customHeight="false" outlineLevel="0" collapsed="false">
      <c r="A11288" s="0" t="s">
        <v>1145</v>
      </c>
      <c r="B11288" s="0" t="n">
        <v>8</v>
      </c>
      <c r="C11288" s="0" t="n">
        <v>1.3</v>
      </c>
      <c r="D11288" s="0" t="n">
        <v>0</v>
      </c>
    </row>
    <row r="11289" customFormat="false" ht="13.8" hidden="true" customHeight="false" outlineLevel="0" collapsed="false">
      <c r="A11289" s="0" t="s">
        <v>1145</v>
      </c>
      <c r="B11289" s="0" t="n">
        <v>8</v>
      </c>
      <c r="C11289" s="0" t="n">
        <v>1.35</v>
      </c>
      <c r="D11289" s="0" t="n">
        <v>0</v>
      </c>
    </row>
    <row r="11290" customFormat="false" ht="13.8" hidden="true" customHeight="false" outlineLevel="0" collapsed="false">
      <c r="A11290" s="0" t="s">
        <v>1145</v>
      </c>
      <c r="B11290" s="0" t="n">
        <v>8</v>
      </c>
      <c r="C11290" s="0" t="n">
        <v>1.4</v>
      </c>
      <c r="D11290" s="0" t="n">
        <v>0</v>
      </c>
    </row>
    <row r="11291" customFormat="false" ht="13.8" hidden="true" customHeight="false" outlineLevel="0" collapsed="false">
      <c r="A11291" s="0" t="s">
        <v>1145</v>
      </c>
      <c r="B11291" s="0" t="n">
        <v>8</v>
      </c>
      <c r="C11291" s="0" t="n">
        <v>1.45</v>
      </c>
      <c r="D11291" s="0" t="n">
        <v>0</v>
      </c>
    </row>
    <row r="11292" customFormat="false" ht="13.8" hidden="true" customHeight="false" outlineLevel="0" collapsed="false">
      <c r="A11292" s="0" t="s">
        <v>1145</v>
      </c>
      <c r="B11292" s="0" t="n">
        <v>8</v>
      </c>
      <c r="C11292" s="0" t="n">
        <v>1.5</v>
      </c>
      <c r="D11292" s="0" t="n">
        <v>0</v>
      </c>
    </row>
    <row r="11293" customFormat="false" ht="13.8" hidden="true" customHeight="false" outlineLevel="0" collapsed="false">
      <c r="A11293" s="0" t="s">
        <v>1145</v>
      </c>
      <c r="B11293" s="0" t="n">
        <v>8</v>
      </c>
      <c r="C11293" s="0" t="n">
        <v>1.55</v>
      </c>
      <c r="D11293" s="0" t="n">
        <v>0</v>
      </c>
    </row>
    <row r="11294" customFormat="false" ht="13.8" hidden="true" customHeight="false" outlineLevel="0" collapsed="false">
      <c r="A11294" s="0" t="s">
        <v>1145</v>
      </c>
      <c r="B11294" s="0" t="n">
        <v>8</v>
      </c>
      <c r="C11294" s="0" t="n">
        <v>1.6</v>
      </c>
      <c r="D11294" s="0" t="n">
        <v>0.021</v>
      </c>
    </row>
    <row r="11295" customFormat="false" ht="13.8" hidden="true" customHeight="false" outlineLevel="0" collapsed="false">
      <c r="A11295" s="0" t="s">
        <v>1145</v>
      </c>
      <c r="B11295" s="0" t="n">
        <v>8</v>
      </c>
      <c r="C11295" s="0" t="n">
        <v>1.65</v>
      </c>
      <c r="D11295" s="0" t="n">
        <v>0.022</v>
      </c>
    </row>
    <row r="11296" customFormat="false" ht="13.8" hidden="true" customHeight="false" outlineLevel="0" collapsed="false">
      <c r="A11296" s="0" t="s">
        <v>1145</v>
      </c>
      <c r="B11296" s="0" t="n">
        <v>8</v>
      </c>
      <c r="C11296" s="0" t="n">
        <v>1.7</v>
      </c>
      <c r="D11296" s="0" t="n">
        <v>0.022</v>
      </c>
    </row>
    <row r="11297" customFormat="false" ht="13.8" hidden="true" customHeight="false" outlineLevel="0" collapsed="false">
      <c r="A11297" s="0" t="s">
        <v>1145</v>
      </c>
      <c r="B11297" s="0" t="n">
        <v>8</v>
      </c>
      <c r="C11297" s="0" t="n">
        <v>1.75</v>
      </c>
      <c r="D11297" s="0" t="n">
        <v>0.023</v>
      </c>
    </row>
    <row r="11298" customFormat="false" ht="13.8" hidden="true" customHeight="false" outlineLevel="0" collapsed="false">
      <c r="A11298" s="0" t="s">
        <v>1145</v>
      </c>
      <c r="B11298" s="0" t="n">
        <v>8</v>
      </c>
      <c r="C11298" s="0" t="n">
        <v>1.8</v>
      </c>
      <c r="D11298" s="0" t="n">
        <v>0.023</v>
      </c>
    </row>
    <row r="11299" customFormat="false" ht="13.8" hidden="true" customHeight="false" outlineLevel="0" collapsed="false">
      <c r="A11299" s="0" t="s">
        <v>1145</v>
      </c>
      <c r="B11299" s="0" t="n">
        <v>8</v>
      </c>
      <c r="C11299" s="0" t="n">
        <v>1.85</v>
      </c>
      <c r="D11299" s="0" t="n">
        <v>0.024</v>
      </c>
    </row>
    <row r="11300" customFormat="false" ht="13.8" hidden="true" customHeight="false" outlineLevel="0" collapsed="false">
      <c r="A11300" s="0" t="s">
        <v>1145</v>
      </c>
      <c r="B11300" s="0" t="n">
        <v>8</v>
      </c>
      <c r="C11300" s="0" t="n">
        <v>1.9</v>
      </c>
      <c r="D11300" s="0" t="n">
        <v>0.024</v>
      </c>
    </row>
    <row r="11301" customFormat="false" ht="13.8" hidden="true" customHeight="false" outlineLevel="0" collapsed="false">
      <c r="A11301" s="0" t="s">
        <v>1145</v>
      </c>
      <c r="B11301" s="0" t="n">
        <v>8</v>
      </c>
      <c r="C11301" s="0" t="n">
        <v>1.95</v>
      </c>
      <c r="D11301" s="0" t="n">
        <v>0.025</v>
      </c>
    </row>
    <row r="11302" customFormat="false" ht="13.8" hidden="true" customHeight="false" outlineLevel="0" collapsed="false">
      <c r="A11302" s="0" t="s">
        <v>1145</v>
      </c>
      <c r="B11302" s="0" t="n">
        <v>8</v>
      </c>
      <c r="C11302" s="0" t="n">
        <v>2</v>
      </c>
      <c r="D11302" s="0" t="n">
        <v>0.025265439</v>
      </c>
    </row>
    <row r="11303" customFormat="false" ht="13.8" hidden="true" customHeight="false" outlineLevel="0" collapsed="false">
      <c r="A11303" s="0" t="s">
        <v>1145</v>
      </c>
      <c r="B11303" s="0" t="n">
        <v>8</v>
      </c>
      <c r="C11303" s="0" t="n">
        <v>2.05</v>
      </c>
      <c r="D11303" s="0" t="n">
        <v>0.025897075</v>
      </c>
    </row>
    <row r="11304" customFormat="false" ht="13.8" hidden="true" customHeight="false" outlineLevel="0" collapsed="false">
      <c r="A11304" s="0" t="s">
        <v>1145</v>
      </c>
      <c r="B11304" s="0" t="n">
        <v>8</v>
      </c>
      <c r="C11304" s="0" t="n">
        <v>2.1</v>
      </c>
      <c r="D11304" s="0" t="n">
        <v>0.026528711</v>
      </c>
    </row>
    <row r="11305" customFormat="false" ht="13.8" hidden="true" customHeight="false" outlineLevel="0" collapsed="false">
      <c r="A11305" s="0" t="s">
        <v>1145</v>
      </c>
      <c r="B11305" s="0" t="n">
        <v>8</v>
      </c>
      <c r="C11305" s="0" t="n">
        <v>2.15</v>
      </c>
      <c r="D11305" s="0" t="n">
        <v>0.027160347</v>
      </c>
    </row>
    <row r="11306" customFormat="false" ht="13.8" hidden="true" customHeight="false" outlineLevel="0" collapsed="false">
      <c r="A11306" s="0" t="s">
        <v>1145</v>
      </c>
      <c r="B11306" s="0" t="n">
        <v>8</v>
      </c>
      <c r="C11306" s="0" t="n">
        <v>2.2</v>
      </c>
      <c r="D11306" s="0" t="n">
        <v>0.028384814</v>
      </c>
    </row>
    <row r="11307" customFormat="false" ht="13.8" hidden="true" customHeight="false" outlineLevel="0" collapsed="false">
      <c r="A11307" s="0" t="s">
        <v>1145</v>
      </c>
      <c r="B11307" s="0" t="n">
        <v>8</v>
      </c>
      <c r="C11307" s="0" t="n">
        <v>2.25</v>
      </c>
      <c r="D11307" s="0" t="n">
        <v>0.029029924</v>
      </c>
    </row>
    <row r="11308" customFormat="false" ht="13.8" hidden="true" customHeight="false" outlineLevel="0" collapsed="false">
      <c r="A11308" s="0" t="s">
        <v>1145</v>
      </c>
      <c r="B11308" s="0" t="n">
        <v>8</v>
      </c>
      <c r="C11308" s="0" t="n">
        <v>2.3</v>
      </c>
      <c r="D11308" s="0" t="n">
        <v>0.029675033</v>
      </c>
    </row>
    <row r="11309" customFormat="false" ht="13.8" hidden="true" customHeight="false" outlineLevel="0" collapsed="false">
      <c r="A11309" s="0" t="s">
        <v>1145</v>
      </c>
      <c r="B11309" s="0" t="n">
        <v>8</v>
      </c>
      <c r="C11309" s="0" t="n">
        <v>2.35</v>
      </c>
      <c r="D11309" s="0" t="n">
        <v>0.030320143</v>
      </c>
    </row>
    <row r="11310" customFormat="false" ht="13.8" hidden="true" customHeight="false" outlineLevel="0" collapsed="false">
      <c r="A11310" s="0" t="s">
        <v>1145</v>
      </c>
      <c r="B11310" s="0" t="n">
        <v>8</v>
      </c>
      <c r="C11310" s="0" t="n">
        <v>2.4</v>
      </c>
      <c r="D11310" s="0" t="n">
        <v>0.030965252</v>
      </c>
    </row>
    <row r="11311" customFormat="false" ht="13.8" hidden="true" customHeight="false" outlineLevel="0" collapsed="false">
      <c r="A11311" s="0" t="s">
        <v>1145</v>
      </c>
      <c r="B11311" s="0" t="n">
        <v>8</v>
      </c>
      <c r="C11311" s="0" t="n">
        <v>2.45</v>
      </c>
      <c r="D11311" s="0" t="n">
        <v>0.031610361</v>
      </c>
    </row>
    <row r="11312" customFormat="false" ht="13.8" hidden="true" customHeight="false" outlineLevel="0" collapsed="false">
      <c r="A11312" s="0" t="s">
        <v>1145</v>
      </c>
      <c r="B11312" s="0" t="n">
        <v>8</v>
      </c>
      <c r="C11312" s="0" t="n">
        <v>2.5</v>
      </c>
      <c r="D11312" s="0" t="n">
        <v>0.032255471</v>
      </c>
    </row>
    <row r="11313" customFormat="false" ht="13.8" hidden="true" customHeight="false" outlineLevel="0" collapsed="false">
      <c r="A11313" s="0" t="s">
        <v>1145</v>
      </c>
      <c r="B11313" s="0" t="n">
        <v>8</v>
      </c>
      <c r="C11313" s="0" t="n">
        <v>2.55</v>
      </c>
      <c r="D11313" s="0" t="n">
        <v>0.03290058</v>
      </c>
    </row>
    <row r="11314" customFormat="false" ht="13.8" hidden="true" customHeight="false" outlineLevel="0" collapsed="false">
      <c r="A11314" s="0" t="s">
        <v>1145</v>
      </c>
      <c r="B11314" s="0" t="n">
        <v>8</v>
      </c>
      <c r="C11314" s="0" t="n">
        <v>2.6</v>
      </c>
      <c r="D11314" s="0" t="n">
        <v>0.03354569</v>
      </c>
    </row>
    <row r="11315" customFormat="false" ht="13.8" hidden="true" customHeight="false" outlineLevel="0" collapsed="false">
      <c r="A11315" s="0" t="s">
        <v>203</v>
      </c>
      <c r="B11315" s="0" t="n">
        <v>8</v>
      </c>
      <c r="C11315" s="0" t="n">
        <v>1.3</v>
      </c>
      <c r="D11315" s="0" t="n">
        <v>0</v>
      </c>
    </row>
    <row r="11316" customFormat="false" ht="13.8" hidden="true" customHeight="false" outlineLevel="0" collapsed="false">
      <c r="A11316" s="0" t="s">
        <v>203</v>
      </c>
      <c r="B11316" s="0" t="n">
        <v>8</v>
      </c>
      <c r="C11316" s="0" t="n">
        <v>1.35</v>
      </c>
      <c r="D11316" s="0" t="n">
        <v>0</v>
      </c>
    </row>
    <row r="11317" customFormat="false" ht="13.8" hidden="true" customHeight="false" outlineLevel="0" collapsed="false">
      <c r="A11317" s="0" t="s">
        <v>203</v>
      </c>
      <c r="B11317" s="0" t="n">
        <v>8</v>
      </c>
      <c r="C11317" s="0" t="n">
        <v>1.4</v>
      </c>
      <c r="D11317" s="0" t="n">
        <v>0</v>
      </c>
    </row>
    <row r="11318" customFormat="false" ht="13.8" hidden="true" customHeight="false" outlineLevel="0" collapsed="false">
      <c r="A11318" s="0" t="s">
        <v>203</v>
      </c>
      <c r="B11318" s="0" t="n">
        <v>8</v>
      </c>
      <c r="C11318" s="0" t="n">
        <v>1.45</v>
      </c>
      <c r="D11318" s="0" t="n">
        <v>0</v>
      </c>
    </row>
    <row r="11319" customFormat="false" ht="13.8" hidden="true" customHeight="false" outlineLevel="0" collapsed="false">
      <c r="A11319" s="0" t="s">
        <v>203</v>
      </c>
      <c r="B11319" s="0" t="n">
        <v>8</v>
      </c>
      <c r="C11319" s="0" t="n">
        <v>1.5</v>
      </c>
      <c r="D11319" s="0" t="n">
        <v>0</v>
      </c>
    </row>
    <row r="11320" customFormat="false" ht="13.8" hidden="true" customHeight="false" outlineLevel="0" collapsed="false">
      <c r="A11320" s="0" t="s">
        <v>203</v>
      </c>
      <c r="B11320" s="0" t="n">
        <v>8</v>
      </c>
      <c r="C11320" s="0" t="n">
        <v>1.55</v>
      </c>
      <c r="D11320" s="0" t="n">
        <v>0</v>
      </c>
    </row>
    <row r="11321" customFormat="false" ht="13.8" hidden="true" customHeight="false" outlineLevel="0" collapsed="false">
      <c r="A11321" s="0" t="s">
        <v>203</v>
      </c>
      <c r="B11321" s="0" t="n">
        <v>8</v>
      </c>
      <c r="C11321" s="0" t="n">
        <v>1.6</v>
      </c>
      <c r="D11321" s="0" t="n">
        <v>0.021</v>
      </c>
    </row>
    <row r="11322" customFormat="false" ht="13.8" hidden="true" customHeight="false" outlineLevel="0" collapsed="false">
      <c r="A11322" s="0" t="s">
        <v>203</v>
      </c>
      <c r="B11322" s="0" t="n">
        <v>8</v>
      </c>
      <c r="C11322" s="0" t="n">
        <v>1.65</v>
      </c>
      <c r="D11322" s="0" t="n">
        <v>0.022</v>
      </c>
    </row>
    <row r="11323" customFormat="false" ht="13.8" hidden="true" customHeight="false" outlineLevel="0" collapsed="false">
      <c r="A11323" s="0" t="s">
        <v>203</v>
      </c>
      <c r="B11323" s="0" t="n">
        <v>8</v>
      </c>
      <c r="C11323" s="0" t="n">
        <v>1.7</v>
      </c>
      <c r="D11323" s="0" t="n">
        <v>0.022</v>
      </c>
    </row>
    <row r="11324" customFormat="false" ht="13.8" hidden="true" customHeight="false" outlineLevel="0" collapsed="false">
      <c r="A11324" s="0" t="s">
        <v>203</v>
      </c>
      <c r="B11324" s="0" t="n">
        <v>8</v>
      </c>
      <c r="C11324" s="0" t="n">
        <v>1.75</v>
      </c>
      <c r="D11324" s="0" t="n">
        <v>0.023</v>
      </c>
    </row>
    <row r="11325" customFormat="false" ht="13.8" hidden="true" customHeight="false" outlineLevel="0" collapsed="false">
      <c r="A11325" s="0" t="s">
        <v>203</v>
      </c>
      <c r="B11325" s="0" t="n">
        <v>8</v>
      </c>
      <c r="C11325" s="0" t="n">
        <v>1.8</v>
      </c>
      <c r="D11325" s="0" t="n">
        <v>0.023</v>
      </c>
    </row>
    <row r="11326" customFormat="false" ht="13.8" hidden="true" customHeight="false" outlineLevel="0" collapsed="false">
      <c r="A11326" s="0" t="s">
        <v>203</v>
      </c>
      <c r="B11326" s="0" t="n">
        <v>8</v>
      </c>
      <c r="C11326" s="0" t="n">
        <v>1.85</v>
      </c>
      <c r="D11326" s="0" t="n">
        <v>0.024</v>
      </c>
    </row>
    <row r="11327" customFormat="false" ht="13.8" hidden="true" customHeight="false" outlineLevel="0" collapsed="false">
      <c r="A11327" s="0" t="s">
        <v>203</v>
      </c>
      <c r="B11327" s="0" t="n">
        <v>8</v>
      </c>
      <c r="C11327" s="0" t="n">
        <v>1.9</v>
      </c>
      <c r="D11327" s="0" t="n">
        <v>0.024</v>
      </c>
    </row>
    <row r="11328" customFormat="false" ht="13.8" hidden="true" customHeight="false" outlineLevel="0" collapsed="false">
      <c r="A11328" s="0" t="s">
        <v>203</v>
      </c>
      <c r="B11328" s="0" t="n">
        <v>8</v>
      </c>
      <c r="C11328" s="0" t="n">
        <v>1.95</v>
      </c>
      <c r="D11328" s="0" t="n">
        <v>0.025</v>
      </c>
    </row>
    <row r="11329" customFormat="false" ht="13.8" hidden="true" customHeight="false" outlineLevel="0" collapsed="false">
      <c r="A11329" s="0" t="s">
        <v>203</v>
      </c>
      <c r="B11329" s="0" t="n">
        <v>8</v>
      </c>
      <c r="C11329" s="0" t="n">
        <v>2</v>
      </c>
      <c r="D11329" s="0" t="n">
        <v>0.025265439</v>
      </c>
    </row>
    <row r="11330" customFormat="false" ht="13.8" hidden="true" customHeight="false" outlineLevel="0" collapsed="false">
      <c r="A11330" s="0" t="s">
        <v>203</v>
      </c>
      <c r="B11330" s="0" t="n">
        <v>8</v>
      </c>
      <c r="C11330" s="0" t="n">
        <v>2.05</v>
      </c>
      <c r="D11330" s="0" t="n">
        <v>0.025897075</v>
      </c>
    </row>
    <row r="11331" customFormat="false" ht="13.8" hidden="true" customHeight="false" outlineLevel="0" collapsed="false">
      <c r="A11331" s="0" t="s">
        <v>203</v>
      </c>
      <c r="B11331" s="0" t="n">
        <v>8</v>
      </c>
      <c r="C11331" s="0" t="n">
        <v>2.1</v>
      </c>
      <c r="D11331" s="0" t="n">
        <v>0.026528711</v>
      </c>
    </row>
    <row r="11332" customFormat="false" ht="13.8" hidden="true" customHeight="false" outlineLevel="0" collapsed="false">
      <c r="A11332" s="0" t="s">
        <v>203</v>
      </c>
      <c r="B11332" s="0" t="n">
        <v>8</v>
      </c>
      <c r="C11332" s="0" t="n">
        <v>2.15</v>
      </c>
      <c r="D11332" s="0" t="n">
        <v>0.027160347</v>
      </c>
    </row>
    <row r="11333" customFormat="false" ht="13.8" hidden="true" customHeight="false" outlineLevel="0" collapsed="false">
      <c r="A11333" s="0" t="s">
        <v>203</v>
      </c>
      <c r="B11333" s="0" t="n">
        <v>8</v>
      </c>
      <c r="C11333" s="0" t="n">
        <v>2.2</v>
      </c>
      <c r="D11333" s="0" t="n">
        <v>0.028384814</v>
      </c>
    </row>
    <row r="11334" customFormat="false" ht="13.8" hidden="true" customHeight="false" outlineLevel="0" collapsed="false">
      <c r="A11334" s="0" t="s">
        <v>203</v>
      </c>
      <c r="B11334" s="0" t="n">
        <v>8</v>
      </c>
      <c r="C11334" s="0" t="n">
        <v>2.25</v>
      </c>
      <c r="D11334" s="0" t="n">
        <v>0.029029924</v>
      </c>
    </row>
    <row r="11335" customFormat="false" ht="13.8" hidden="true" customHeight="false" outlineLevel="0" collapsed="false">
      <c r="A11335" s="0" t="s">
        <v>203</v>
      </c>
      <c r="B11335" s="0" t="n">
        <v>8</v>
      </c>
      <c r="C11335" s="0" t="n">
        <v>2.3</v>
      </c>
      <c r="D11335" s="0" t="n">
        <v>0.029675033</v>
      </c>
    </row>
    <row r="11336" customFormat="false" ht="13.8" hidden="true" customHeight="false" outlineLevel="0" collapsed="false">
      <c r="A11336" s="0" t="s">
        <v>203</v>
      </c>
      <c r="B11336" s="0" t="n">
        <v>8</v>
      </c>
      <c r="C11336" s="0" t="n">
        <v>2.35</v>
      </c>
      <c r="D11336" s="0" t="n">
        <v>0.030320143</v>
      </c>
    </row>
    <row r="11337" customFormat="false" ht="13.8" hidden="true" customHeight="false" outlineLevel="0" collapsed="false">
      <c r="A11337" s="0" t="s">
        <v>203</v>
      </c>
      <c r="B11337" s="0" t="n">
        <v>8</v>
      </c>
      <c r="C11337" s="0" t="n">
        <v>2.4</v>
      </c>
      <c r="D11337" s="0" t="n">
        <v>0.030965252</v>
      </c>
    </row>
    <row r="11338" customFormat="false" ht="13.8" hidden="true" customHeight="false" outlineLevel="0" collapsed="false">
      <c r="A11338" s="0" t="s">
        <v>203</v>
      </c>
      <c r="B11338" s="0" t="n">
        <v>8</v>
      </c>
      <c r="C11338" s="0" t="n">
        <v>2.45</v>
      </c>
      <c r="D11338" s="0" t="n">
        <v>0.031610361</v>
      </c>
    </row>
    <row r="11339" customFormat="false" ht="13.8" hidden="true" customHeight="false" outlineLevel="0" collapsed="false">
      <c r="A11339" s="0" t="s">
        <v>203</v>
      </c>
      <c r="B11339" s="0" t="n">
        <v>8</v>
      </c>
      <c r="C11339" s="0" t="n">
        <v>2.5</v>
      </c>
      <c r="D11339" s="0" t="n">
        <v>0.032255471</v>
      </c>
    </row>
    <row r="11340" customFormat="false" ht="13.8" hidden="true" customHeight="false" outlineLevel="0" collapsed="false">
      <c r="A11340" s="0" t="s">
        <v>203</v>
      </c>
      <c r="B11340" s="0" t="n">
        <v>8</v>
      </c>
      <c r="C11340" s="0" t="n">
        <v>2.55</v>
      </c>
      <c r="D11340" s="0" t="n">
        <v>0.03290058</v>
      </c>
    </row>
    <row r="11341" customFormat="false" ht="13.8" hidden="true" customHeight="false" outlineLevel="0" collapsed="false">
      <c r="A11341" s="0" t="s">
        <v>203</v>
      </c>
      <c r="B11341" s="0" t="n">
        <v>8</v>
      </c>
      <c r="C11341" s="0" t="n">
        <v>2.6</v>
      </c>
      <c r="D11341" s="0" t="n">
        <v>0.03354569</v>
      </c>
    </row>
    <row r="11342" customFormat="false" ht="13.8" hidden="true" customHeight="false" outlineLevel="0" collapsed="false">
      <c r="A11342" s="0" t="s">
        <v>325</v>
      </c>
      <c r="B11342" s="0" t="n">
        <v>8</v>
      </c>
      <c r="C11342" s="0" t="n">
        <v>1.3</v>
      </c>
      <c r="D11342" s="0" t="n">
        <v>0</v>
      </c>
    </row>
    <row r="11343" customFormat="false" ht="13.8" hidden="true" customHeight="false" outlineLevel="0" collapsed="false">
      <c r="A11343" s="0" t="s">
        <v>325</v>
      </c>
      <c r="B11343" s="0" t="n">
        <v>8</v>
      </c>
      <c r="C11343" s="0" t="n">
        <v>1.35</v>
      </c>
      <c r="D11343" s="0" t="n">
        <v>0</v>
      </c>
    </row>
    <row r="11344" customFormat="false" ht="13.8" hidden="true" customHeight="false" outlineLevel="0" collapsed="false">
      <c r="A11344" s="0" t="s">
        <v>325</v>
      </c>
      <c r="B11344" s="0" t="n">
        <v>8</v>
      </c>
      <c r="C11344" s="0" t="n">
        <v>1.4</v>
      </c>
      <c r="D11344" s="0" t="n">
        <v>0</v>
      </c>
    </row>
    <row r="11345" customFormat="false" ht="13.8" hidden="true" customHeight="false" outlineLevel="0" collapsed="false">
      <c r="A11345" s="0" t="s">
        <v>325</v>
      </c>
      <c r="B11345" s="0" t="n">
        <v>8</v>
      </c>
      <c r="C11345" s="0" t="n">
        <v>1.45</v>
      </c>
      <c r="D11345" s="0" t="n">
        <v>0</v>
      </c>
    </row>
    <row r="11346" customFormat="false" ht="13.8" hidden="true" customHeight="false" outlineLevel="0" collapsed="false">
      <c r="A11346" s="0" t="s">
        <v>325</v>
      </c>
      <c r="B11346" s="0" t="n">
        <v>8</v>
      </c>
      <c r="C11346" s="0" t="n">
        <v>1.5</v>
      </c>
      <c r="D11346" s="0" t="n">
        <v>0</v>
      </c>
    </row>
    <row r="11347" customFormat="false" ht="13.8" hidden="true" customHeight="false" outlineLevel="0" collapsed="false">
      <c r="A11347" s="0" t="s">
        <v>325</v>
      </c>
      <c r="B11347" s="0" t="n">
        <v>8</v>
      </c>
      <c r="C11347" s="0" t="n">
        <v>1.55</v>
      </c>
      <c r="D11347" s="0" t="n">
        <v>0</v>
      </c>
    </row>
    <row r="11348" customFormat="false" ht="13.8" hidden="true" customHeight="false" outlineLevel="0" collapsed="false">
      <c r="A11348" s="0" t="s">
        <v>325</v>
      </c>
      <c r="B11348" s="0" t="n">
        <v>8</v>
      </c>
      <c r="C11348" s="0" t="n">
        <v>1.6</v>
      </c>
      <c r="D11348" s="0" t="n">
        <v>0.021</v>
      </c>
    </row>
    <row r="11349" customFormat="false" ht="13.8" hidden="true" customHeight="false" outlineLevel="0" collapsed="false">
      <c r="A11349" s="0" t="s">
        <v>325</v>
      </c>
      <c r="B11349" s="0" t="n">
        <v>8</v>
      </c>
      <c r="C11349" s="0" t="n">
        <v>1.65</v>
      </c>
      <c r="D11349" s="0" t="n">
        <v>0.022</v>
      </c>
    </row>
    <row r="11350" customFormat="false" ht="13.8" hidden="true" customHeight="false" outlineLevel="0" collapsed="false">
      <c r="A11350" s="0" t="s">
        <v>325</v>
      </c>
      <c r="B11350" s="0" t="n">
        <v>8</v>
      </c>
      <c r="C11350" s="0" t="n">
        <v>1.7</v>
      </c>
      <c r="D11350" s="0" t="n">
        <v>0.022</v>
      </c>
    </row>
    <row r="11351" customFormat="false" ht="13.8" hidden="true" customHeight="false" outlineLevel="0" collapsed="false">
      <c r="A11351" s="0" t="s">
        <v>325</v>
      </c>
      <c r="B11351" s="0" t="n">
        <v>8</v>
      </c>
      <c r="C11351" s="0" t="n">
        <v>1.75</v>
      </c>
      <c r="D11351" s="0" t="n">
        <v>0.023</v>
      </c>
    </row>
    <row r="11352" customFormat="false" ht="13.8" hidden="true" customHeight="false" outlineLevel="0" collapsed="false">
      <c r="A11352" s="0" t="s">
        <v>325</v>
      </c>
      <c r="B11352" s="0" t="n">
        <v>8</v>
      </c>
      <c r="C11352" s="0" t="n">
        <v>1.8</v>
      </c>
      <c r="D11352" s="0" t="n">
        <v>0.023</v>
      </c>
    </row>
    <row r="11353" customFormat="false" ht="13.8" hidden="true" customHeight="false" outlineLevel="0" collapsed="false">
      <c r="A11353" s="0" t="s">
        <v>325</v>
      </c>
      <c r="B11353" s="0" t="n">
        <v>8</v>
      </c>
      <c r="C11353" s="0" t="n">
        <v>1.85</v>
      </c>
      <c r="D11353" s="0" t="n">
        <v>0.024</v>
      </c>
    </row>
    <row r="11354" customFormat="false" ht="13.8" hidden="true" customHeight="false" outlineLevel="0" collapsed="false">
      <c r="A11354" s="0" t="s">
        <v>325</v>
      </c>
      <c r="B11354" s="0" t="n">
        <v>8</v>
      </c>
      <c r="C11354" s="0" t="n">
        <v>1.9</v>
      </c>
      <c r="D11354" s="0" t="n">
        <v>0.024</v>
      </c>
    </row>
    <row r="11355" customFormat="false" ht="13.8" hidden="true" customHeight="false" outlineLevel="0" collapsed="false">
      <c r="A11355" s="0" t="s">
        <v>325</v>
      </c>
      <c r="B11355" s="0" t="n">
        <v>8</v>
      </c>
      <c r="C11355" s="0" t="n">
        <v>1.95</v>
      </c>
      <c r="D11355" s="0" t="n">
        <v>0.025</v>
      </c>
    </row>
    <row r="11356" customFormat="false" ht="13.8" hidden="true" customHeight="false" outlineLevel="0" collapsed="false">
      <c r="A11356" s="0" t="s">
        <v>325</v>
      </c>
      <c r="B11356" s="0" t="n">
        <v>8</v>
      </c>
      <c r="C11356" s="0" t="n">
        <v>2</v>
      </c>
      <c r="D11356" s="0" t="n">
        <v>0.025265439</v>
      </c>
    </row>
    <row r="11357" customFormat="false" ht="13.8" hidden="true" customHeight="false" outlineLevel="0" collapsed="false">
      <c r="A11357" s="0" t="s">
        <v>325</v>
      </c>
      <c r="B11357" s="0" t="n">
        <v>8</v>
      </c>
      <c r="C11357" s="0" t="n">
        <v>2.05</v>
      </c>
      <c r="D11357" s="0" t="n">
        <v>0.025897075</v>
      </c>
    </row>
    <row r="11358" customFormat="false" ht="13.8" hidden="true" customHeight="false" outlineLevel="0" collapsed="false">
      <c r="A11358" s="0" t="s">
        <v>325</v>
      </c>
      <c r="B11358" s="0" t="n">
        <v>8</v>
      </c>
      <c r="C11358" s="0" t="n">
        <v>2.1</v>
      </c>
      <c r="D11358" s="0" t="n">
        <v>0.026528711</v>
      </c>
    </row>
    <row r="11359" customFormat="false" ht="13.8" hidden="true" customHeight="false" outlineLevel="0" collapsed="false">
      <c r="A11359" s="0" t="s">
        <v>325</v>
      </c>
      <c r="B11359" s="0" t="n">
        <v>8</v>
      </c>
      <c r="C11359" s="0" t="n">
        <v>2.15</v>
      </c>
      <c r="D11359" s="0" t="n">
        <v>0.027160347</v>
      </c>
    </row>
    <row r="11360" customFormat="false" ht="13.8" hidden="true" customHeight="false" outlineLevel="0" collapsed="false">
      <c r="A11360" s="0" t="s">
        <v>325</v>
      </c>
      <c r="B11360" s="0" t="n">
        <v>8</v>
      </c>
      <c r="C11360" s="0" t="n">
        <v>2.2</v>
      </c>
      <c r="D11360" s="0" t="n">
        <v>0.028384814</v>
      </c>
    </row>
    <row r="11361" customFormat="false" ht="13.8" hidden="true" customHeight="false" outlineLevel="0" collapsed="false">
      <c r="A11361" s="0" t="s">
        <v>325</v>
      </c>
      <c r="B11361" s="0" t="n">
        <v>8</v>
      </c>
      <c r="C11361" s="0" t="n">
        <v>2.25</v>
      </c>
      <c r="D11361" s="0" t="n">
        <v>0.029029924</v>
      </c>
    </row>
    <row r="11362" customFormat="false" ht="13.8" hidden="true" customHeight="false" outlineLevel="0" collapsed="false">
      <c r="A11362" s="0" t="s">
        <v>325</v>
      </c>
      <c r="B11362" s="0" t="n">
        <v>8</v>
      </c>
      <c r="C11362" s="0" t="n">
        <v>2.3</v>
      </c>
      <c r="D11362" s="0" t="n">
        <v>0.029675033</v>
      </c>
    </row>
    <row r="11363" customFormat="false" ht="13.8" hidden="true" customHeight="false" outlineLevel="0" collapsed="false">
      <c r="A11363" s="0" t="s">
        <v>325</v>
      </c>
      <c r="B11363" s="0" t="n">
        <v>8</v>
      </c>
      <c r="C11363" s="0" t="n">
        <v>2.35</v>
      </c>
      <c r="D11363" s="0" t="n">
        <v>0.030320143</v>
      </c>
    </row>
    <row r="11364" customFormat="false" ht="13.8" hidden="true" customHeight="false" outlineLevel="0" collapsed="false">
      <c r="A11364" s="0" t="s">
        <v>325</v>
      </c>
      <c r="B11364" s="0" t="n">
        <v>8</v>
      </c>
      <c r="C11364" s="0" t="n">
        <v>2.4</v>
      </c>
      <c r="D11364" s="0" t="n">
        <v>0.030965252</v>
      </c>
    </row>
    <row r="11365" customFormat="false" ht="13.8" hidden="true" customHeight="false" outlineLevel="0" collapsed="false">
      <c r="A11365" s="0" t="s">
        <v>325</v>
      </c>
      <c r="B11365" s="0" t="n">
        <v>8</v>
      </c>
      <c r="C11365" s="0" t="n">
        <v>2.45</v>
      </c>
      <c r="D11365" s="0" t="n">
        <v>0.031610361</v>
      </c>
    </row>
    <row r="11366" customFormat="false" ht="13.8" hidden="true" customHeight="false" outlineLevel="0" collapsed="false">
      <c r="A11366" s="0" t="s">
        <v>325</v>
      </c>
      <c r="B11366" s="0" t="n">
        <v>8</v>
      </c>
      <c r="C11366" s="0" t="n">
        <v>2.5</v>
      </c>
      <c r="D11366" s="0" t="n">
        <v>0.032255471</v>
      </c>
    </row>
    <row r="11367" customFormat="false" ht="13.8" hidden="true" customHeight="false" outlineLevel="0" collapsed="false">
      <c r="A11367" s="0" t="s">
        <v>325</v>
      </c>
      <c r="B11367" s="0" t="n">
        <v>8</v>
      </c>
      <c r="C11367" s="0" t="n">
        <v>2.55</v>
      </c>
      <c r="D11367" s="0" t="n">
        <v>0.03290058</v>
      </c>
    </row>
    <row r="11368" customFormat="false" ht="13.8" hidden="true" customHeight="false" outlineLevel="0" collapsed="false">
      <c r="A11368" s="0" t="s">
        <v>325</v>
      </c>
      <c r="B11368" s="0" t="n">
        <v>8</v>
      </c>
      <c r="C11368" s="0" t="n">
        <v>2.6</v>
      </c>
      <c r="D11368" s="0" t="n">
        <v>0.03354569</v>
      </c>
    </row>
    <row r="11369" customFormat="false" ht="13.8" hidden="true" customHeight="false" outlineLevel="0" collapsed="false">
      <c r="A11369" s="0" t="s">
        <v>1151</v>
      </c>
      <c r="B11369" s="0" t="n">
        <v>8</v>
      </c>
      <c r="C11369" s="0" t="n">
        <v>1.3</v>
      </c>
      <c r="D11369" s="0" t="n">
        <v>0</v>
      </c>
    </row>
    <row r="11370" customFormat="false" ht="13.8" hidden="true" customHeight="false" outlineLevel="0" collapsed="false">
      <c r="A11370" s="0" t="s">
        <v>1151</v>
      </c>
      <c r="B11370" s="0" t="n">
        <v>8</v>
      </c>
      <c r="C11370" s="0" t="n">
        <v>1.35</v>
      </c>
      <c r="D11370" s="0" t="n">
        <v>0</v>
      </c>
    </row>
    <row r="11371" customFormat="false" ht="13.8" hidden="true" customHeight="false" outlineLevel="0" collapsed="false">
      <c r="A11371" s="0" t="s">
        <v>1151</v>
      </c>
      <c r="B11371" s="0" t="n">
        <v>8</v>
      </c>
      <c r="C11371" s="0" t="n">
        <v>1.4</v>
      </c>
      <c r="D11371" s="0" t="n">
        <v>0</v>
      </c>
    </row>
    <row r="11372" customFormat="false" ht="13.8" hidden="true" customHeight="false" outlineLevel="0" collapsed="false">
      <c r="A11372" s="0" t="s">
        <v>1151</v>
      </c>
      <c r="B11372" s="0" t="n">
        <v>8</v>
      </c>
      <c r="C11372" s="0" t="n">
        <v>1.45</v>
      </c>
      <c r="D11372" s="0" t="n">
        <v>0</v>
      </c>
    </row>
    <row r="11373" customFormat="false" ht="13.8" hidden="true" customHeight="false" outlineLevel="0" collapsed="false">
      <c r="A11373" s="0" t="s">
        <v>1151</v>
      </c>
      <c r="B11373" s="0" t="n">
        <v>8</v>
      </c>
      <c r="C11373" s="0" t="n">
        <v>1.5</v>
      </c>
      <c r="D11373" s="0" t="n">
        <v>0</v>
      </c>
    </row>
    <row r="11374" customFormat="false" ht="13.8" hidden="true" customHeight="false" outlineLevel="0" collapsed="false">
      <c r="A11374" s="0" t="s">
        <v>1151</v>
      </c>
      <c r="B11374" s="0" t="n">
        <v>8</v>
      </c>
      <c r="C11374" s="0" t="n">
        <v>1.55</v>
      </c>
      <c r="D11374" s="0" t="n">
        <v>0</v>
      </c>
    </row>
    <row r="11375" customFormat="false" ht="13.8" hidden="true" customHeight="false" outlineLevel="0" collapsed="false">
      <c r="A11375" s="0" t="s">
        <v>1151</v>
      </c>
      <c r="B11375" s="0" t="n">
        <v>8</v>
      </c>
      <c r="C11375" s="0" t="n">
        <v>1.6</v>
      </c>
      <c r="D11375" s="0" t="n">
        <v>0.021</v>
      </c>
    </row>
    <row r="11376" customFormat="false" ht="13.8" hidden="true" customHeight="false" outlineLevel="0" collapsed="false">
      <c r="A11376" s="0" t="s">
        <v>1151</v>
      </c>
      <c r="B11376" s="0" t="n">
        <v>8</v>
      </c>
      <c r="C11376" s="0" t="n">
        <v>1.65</v>
      </c>
      <c r="D11376" s="0" t="n">
        <v>0.022</v>
      </c>
    </row>
    <row r="11377" customFormat="false" ht="13.8" hidden="true" customHeight="false" outlineLevel="0" collapsed="false">
      <c r="A11377" s="0" t="s">
        <v>1151</v>
      </c>
      <c r="B11377" s="0" t="n">
        <v>8</v>
      </c>
      <c r="C11377" s="0" t="n">
        <v>1.7</v>
      </c>
      <c r="D11377" s="0" t="n">
        <v>0.022</v>
      </c>
    </row>
    <row r="11378" customFormat="false" ht="13.8" hidden="true" customHeight="false" outlineLevel="0" collapsed="false">
      <c r="A11378" s="0" t="s">
        <v>1151</v>
      </c>
      <c r="B11378" s="0" t="n">
        <v>8</v>
      </c>
      <c r="C11378" s="0" t="n">
        <v>1.75</v>
      </c>
      <c r="D11378" s="0" t="n">
        <v>0.023</v>
      </c>
    </row>
    <row r="11379" customFormat="false" ht="13.8" hidden="true" customHeight="false" outlineLevel="0" collapsed="false">
      <c r="A11379" s="0" t="s">
        <v>1151</v>
      </c>
      <c r="B11379" s="0" t="n">
        <v>8</v>
      </c>
      <c r="C11379" s="0" t="n">
        <v>1.8</v>
      </c>
      <c r="D11379" s="0" t="n">
        <v>0.023</v>
      </c>
    </row>
    <row r="11380" customFormat="false" ht="13.8" hidden="true" customHeight="false" outlineLevel="0" collapsed="false">
      <c r="A11380" s="0" t="s">
        <v>1151</v>
      </c>
      <c r="B11380" s="0" t="n">
        <v>8</v>
      </c>
      <c r="C11380" s="0" t="n">
        <v>1.85</v>
      </c>
      <c r="D11380" s="0" t="n">
        <v>0.024</v>
      </c>
    </row>
    <row r="11381" customFormat="false" ht="13.8" hidden="true" customHeight="false" outlineLevel="0" collapsed="false">
      <c r="A11381" s="0" t="s">
        <v>1151</v>
      </c>
      <c r="B11381" s="0" t="n">
        <v>8</v>
      </c>
      <c r="C11381" s="0" t="n">
        <v>1.9</v>
      </c>
      <c r="D11381" s="0" t="n">
        <v>0.024</v>
      </c>
    </row>
    <row r="11382" customFormat="false" ht="13.8" hidden="true" customHeight="false" outlineLevel="0" collapsed="false">
      <c r="A11382" s="0" t="s">
        <v>1151</v>
      </c>
      <c r="B11382" s="0" t="n">
        <v>8</v>
      </c>
      <c r="C11382" s="0" t="n">
        <v>1.95</v>
      </c>
      <c r="D11382" s="0" t="n">
        <v>0.025</v>
      </c>
    </row>
    <row r="11383" customFormat="false" ht="13.8" hidden="true" customHeight="false" outlineLevel="0" collapsed="false">
      <c r="A11383" s="0" t="s">
        <v>1151</v>
      </c>
      <c r="B11383" s="0" t="n">
        <v>8</v>
      </c>
      <c r="C11383" s="0" t="n">
        <v>2</v>
      </c>
      <c r="D11383" s="0" t="n">
        <v>0.025265439</v>
      </c>
    </row>
    <row r="11384" customFormat="false" ht="13.8" hidden="true" customHeight="false" outlineLevel="0" collapsed="false">
      <c r="A11384" s="0" t="s">
        <v>1151</v>
      </c>
      <c r="B11384" s="0" t="n">
        <v>8</v>
      </c>
      <c r="C11384" s="0" t="n">
        <v>2.05</v>
      </c>
      <c r="D11384" s="0" t="n">
        <v>0.025897075</v>
      </c>
    </row>
    <row r="11385" customFormat="false" ht="13.8" hidden="true" customHeight="false" outlineLevel="0" collapsed="false">
      <c r="A11385" s="0" t="s">
        <v>1151</v>
      </c>
      <c r="B11385" s="0" t="n">
        <v>8</v>
      </c>
      <c r="C11385" s="0" t="n">
        <v>2.1</v>
      </c>
      <c r="D11385" s="0" t="n">
        <v>0.026528711</v>
      </c>
    </row>
    <row r="11386" customFormat="false" ht="13.8" hidden="true" customHeight="false" outlineLevel="0" collapsed="false">
      <c r="A11386" s="0" t="s">
        <v>1151</v>
      </c>
      <c r="B11386" s="0" t="n">
        <v>8</v>
      </c>
      <c r="C11386" s="0" t="n">
        <v>2.15</v>
      </c>
      <c r="D11386" s="0" t="n">
        <v>0.027160347</v>
      </c>
    </row>
    <row r="11387" customFormat="false" ht="13.8" hidden="true" customHeight="false" outlineLevel="0" collapsed="false">
      <c r="A11387" s="0" t="s">
        <v>1151</v>
      </c>
      <c r="B11387" s="0" t="n">
        <v>8</v>
      </c>
      <c r="C11387" s="0" t="n">
        <v>2.2</v>
      </c>
      <c r="D11387" s="0" t="n">
        <v>0.028384814</v>
      </c>
    </row>
    <row r="11388" customFormat="false" ht="13.8" hidden="true" customHeight="false" outlineLevel="0" collapsed="false">
      <c r="A11388" s="0" t="s">
        <v>1151</v>
      </c>
      <c r="B11388" s="0" t="n">
        <v>8</v>
      </c>
      <c r="C11388" s="0" t="n">
        <v>2.25</v>
      </c>
      <c r="D11388" s="0" t="n">
        <v>0.029029924</v>
      </c>
    </row>
    <row r="11389" customFormat="false" ht="13.8" hidden="true" customHeight="false" outlineLevel="0" collapsed="false">
      <c r="A11389" s="0" t="s">
        <v>1151</v>
      </c>
      <c r="B11389" s="0" t="n">
        <v>8</v>
      </c>
      <c r="C11389" s="0" t="n">
        <v>2.3</v>
      </c>
      <c r="D11389" s="0" t="n">
        <v>0.029675033</v>
      </c>
    </row>
    <row r="11390" customFormat="false" ht="13.8" hidden="true" customHeight="false" outlineLevel="0" collapsed="false">
      <c r="A11390" s="0" t="s">
        <v>1151</v>
      </c>
      <c r="B11390" s="0" t="n">
        <v>8</v>
      </c>
      <c r="C11390" s="0" t="n">
        <v>2.35</v>
      </c>
      <c r="D11390" s="0" t="n">
        <v>0.030320143</v>
      </c>
    </row>
    <row r="11391" customFormat="false" ht="13.8" hidden="true" customHeight="false" outlineLevel="0" collapsed="false">
      <c r="A11391" s="0" t="s">
        <v>1151</v>
      </c>
      <c r="B11391" s="0" t="n">
        <v>8</v>
      </c>
      <c r="C11391" s="0" t="n">
        <v>2.4</v>
      </c>
      <c r="D11391" s="0" t="n">
        <v>0.030965252</v>
      </c>
    </row>
    <row r="11392" customFormat="false" ht="13.8" hidden="true" customHeight="false" outlineLevel="0" collapsed="false">
      <c r="A11392" s="0" t="s">
        <v>1151</v>
      </c>
      <c r="B11392" s="0" t="n">
        <v>8</v>
      </c>
      <c r="C11392" s="0" t="n">
        <v>2.45</v>
      </c>
      <c r="D11392" s="0" t="n">
        <v>0.031610361</v>
      </c>
    </row>
    <row r="11393" customFormat="false" ht="13.8" hidden="true" customHeight="false" outlineLevel="0" collapsed="false">
      <c r="A11393" s="0" t="s">
        <v>1151</v>
      </c>
      <c r="B11393" s="0" t="n">
        <v>8</v>
      </c>
      <c r="C11393" s="0" t="n">
        <v>2.5</v>
      </c>
      <c r="D11393" s="0" t="n">
        <v>0.032255471</v>
      </c>
    </row>
    <row r="11394" customFormat="false" ht="13.8" hidden="true" customHeight="false" outlineLevel="0" collapsed="false">
      <c r="A11394" s="0" t="s">
        <v>1151</v>
      </c>
      <c r="B11394" s="0" t="n">
        <v>8</v>
      </c>
      <c r="C11394" s="0" t="n">
        <v>2.55</v>
      </c>
      <c r="D11394" s="0" t="n">
        <v>0.03290058</v>
      </c>
    </row>
    <row r="11395" customFormat="false" ht="13.8" hidden="true" customHeight="false" outlineLevel="0" collapsed="false">
      <c r="A11395" s="0" t="s">
        <v>1151</v>
      </c>
      <c r="B11395" s="0" t="n">
        <v>8</v>
      </c>
      <c r="C11395" s="0" t="n">
        <v>2.6</v>
      </c>
      <c r="D11395" s="0" t="n">
        <v>0.03354569</v>
      </c>
    </row>
    <row r="11396" customFormat="false" ht="13.8" hidden="true" customHeight="false" outlineLevel="0" collapsed="false">
      <c r="A11396" s="0" t="s">
        <v>1154</v>
      </c>
      <c r="B11396" s="0" t="n">
        <v>8</v>
      </c>
      <c r="C11396" s="0" t="n">
        <v>1.3</v>
      </c>
      <c r="D11396" s="0" t="n">
        <v>0</v>
      </c>
    </row>
    <row r="11397" customFormat="false" ht="13.8" hidden="true" customHeight="false" outlineLevel="0" collapsed="false">
      <c r="A11397" s="0" t="s">
        <v>1154</v>
      </c>
      <c r="B11397" s="0" t="n">
        <v>8</v>
      </c>
      <c r="C11397" s="0" t="n">
        <v>1.35</v>
      </c>
      <c r="D11397" s="0" t="n">
        <v>0</v>
      </c>
    </row>
    <row r="11398" customFormat="false" ht="13.8" hidden="true" customHeight="false" outlineLevel="0" collapsed="false">
      <c r="A11398" s="0" t="s">
        <v>1154</v>
      </c>
      <c r="B11398" s="0" t="n">
        <v>8</v>
      </c>
      <c r="C11398" s="0" t="n">
        <v>1.4</v>
      </c>
      <c r="D11398" s="0" t="n">
        <v>0</v>
      </c>
    </row>
    <row r="11399" customFormat="false" ht="13.8" hidden="true" customHeight="false" outlineLevel="0" collapsed="false">
      <c r="A11399" s="0" t="s">
        <v>1154</v>
      </c>
      <c r="B11399" s="0" t="n">
        <v>8</v>
      </c>
      <c r="C11399" s="0" t="n">
        <v>1.45</v>
      </c>
      <c r="D11399" s="0" t="n">
        <v>0</v>
      </c>
    </row>
    <row r="11400" customFormat="false" ht="13.8" hidden="true" customHeight="false" outlineLevel="0" collapsed="false">
      <c r="A11400" s="0" t="s">
        <v>1154</v>
      </c>
      <c r="B11400" s="0" t="n">
        <v>8</v>
      </c>
      <c r="C11400" s="0" t="n">
        <v>1.5</v>
      </c>
      <c r="D11400" s="0" t="n">
        <v>0</v>
      </c>
    </row>
    <row r="11401" customFormat="false" ht="13.8" hidden="true" customHeight="false" outlineLevel="0" collapsed="false">
      <c r="A11401" s="0" t="s">
        <v>1154</v>
      </c>
      <c r="B11401" s="0" t="n">
        <v>8</v>
      </c>
      <c r="C11401" s="0" t="n">
        <v>1.55</v>
      </c>
      <c r="D11401" s="0" t="n">
        <v>0</v>
      </c>
    </row>
    <row r="11402" customFormat="false" ht="13.8" hidden="true" customHeight="false" outlineLevel="0" collapsed="false">
      <c r="A11402" s="0" t="s">
        <v>1154</v>
      </c>
      <c r="B11402" s="0" t="n">
        <v>8</v>
      </c>
      <c r="C11402" s="0" t="n">
        <v>1.6</v>
      </c>
      <c r="D11402" s="0" t="n">
        <v>0.021</v>
      </c>
    </row>
    <row r="11403" customFormat="false" ht="13.8" hidden="true" customHeight="false" outlineLevel="0" collapsed="false">
      <c r="A11403" s="0" t="s">
        <v>1154</v>
      </c>
      <c r="B11403" s="0" t="n">
        <v>8</v>
      </c>
      <c r="C11403" s="0" t="n">
        <v>1.65</v>
      </c>
      <c r="D11403" s="0" t="n">
        <v>0.022</v>
      </c>
    </row>
    <row r="11404" customFormat="false" ht="13.8" hidden="true" customHeight="false" outlineLevel="0" collapsed="false">
      <c r="A11404" s="0" t="s">
        <v>1154</v>
      </c>
      <c r="B11404" s="0" t="n">
        <v>8</v>
      </c>
      <c r="C11404" s="0" t="n">
        <v>1.7</v>
      </c>
      <c r="D11404" s="0" t="n">
        <v>0.022</v>
      </c>
    </row>
    <row r="11405" customFormat="false" ht="13.8" hidden="true" customHeight="false" outlineLevel="0" collapsed="false">
      <c r="A11405" s="0" t="s">
        <v>1154</v>
      </c>
      <c r="B11405" s="0" t="n">
        <v>8</v>
      </c>
      <c r="C11405" s="0" t="n">
        <v>1.75</v>
      </c>
      <c r="D11405" s="0" t="n">
        <v>0.023</v>
      </c>
    </row>
    <row r="11406" customFormat="false" ht="13.8" hidden="true" customHeight="false" outlineLevel="0" collapsed="false">
      <c r="A11406" s="0" t="s">
        <v>1154</v>
      </c>
      <c r="B11406" s="0" t="n">
        <v>8</v>
      </c>
      <c r="C11406" s="0" t="n">
        <v>1.8</v>
      </c>
      <c r="D11406" s="0" t="n">
        <v>0.023</v>
      </c>
    </row>
    <row r="11407" customFormat="false" ht="13.8" hidden="true" customHeight="false" outlineLevel="0" collapsed="false">
      <c r="A11407" s="0" t="s">
        <v>1154</v>
      </c>
      <c r="B11407" s="0" t="n">
        <v>8</v>
      </c>
      <c r="C11407" s="0" t="n">
        <v>1.85</v>
      </c>
      <c r="D11407" s="0" t="n">
        <v>0.024</v>
      </c>
    </row>
    <row r="11408" customFormat="false" ht="13.8" hidden="true" customHeight="false" outlineLevel="0" collapsed="false">
      <c r="A11408" s="0" t="s">
        <v>1154</v>
      </c>
      <c r="B11408" s="0" t="n">
        <v>8</v>
      </c>
      <c r="C11408" s="0" t="n">
        <v>1.9</v>
      </c>
      <c r="D11408" s="0" t="n">
        <v>0.024</v>
      </c>
    </row>
    <row r="11409" customFormat="false" ht="13.8" hidden="true" customHeight="false" outlineLevel="0" collapsed="false">
      <c r="A11409" s="0" t="s">
        <v>1154</v>
      </c>
      <c r="B11409" s="0" t="n">
        <v>8</v>
      </c>
      <c r="C11409" s="0" t="n">
        <v>1.95</v>
      </c>
      <c r="D11409" s="0" t="n">
        <v>0.025</v>
      </c>
    </row>
    <row r="11410" customFormat="false" ht="13.8" hidden="true" customHeight="false" outlineLevel="0" collapsed="false">
      <c r="A11410" s="0" t="s">
        <v>1154</v>
      </c>
      <c r="B11410" s="0" t="n">
        <v>8</v>
      </c>
      <c r="C11410" s="0" t="n">
        <v>2</v>
      </c>
      <c r="D11410" s="0" t="n">
        <v>0.025265439</v>
      </c>
    </row>
    <row r="11411" customFormat="false" ht="13.8" hidden="true" customHeight="false" outlineLevel="0" collapsed="false">
      <c r="A11411" s="0" t="s">
        <v>1154</v>
      </c>
      <c r="B11411" s="0" t="n">
        <v>8</v>
      </c>
      <c r="C11411" s="0" t="n">
        <v>2.05</v>
      </c>
      <c r="D11411" s="0" t="n">
        <v>0.025897075</v>
      </c>
    </row>
    <row r="11412" customFormat="false" ht="13.8" hidden="true" customHeight="false" outlineLevel="0" collapsed="false">
      <c r="A11412" s="0" t="s">
        <v>1154</v>
      </c>
      <c r="B11412" s="0" t="n">
        <v>8</v>
      </c>
      <c r="C11412" s="0" t="n">
        <v>2.1</v>
      </c>
      <c r="D11412" s="0" t="n">
        <v>0.026528711</v>
      </c>
    </row>
    <row r="11413" customFormat="false" ht="13.8" hidden="true" customHeight="false" outlineLevel="0" collapsed="false">
      <c r="A11413" s="0" t="s">
        <v>1154</v>
      </c>
      <c r="B11413" s="0" t="n">
        <v>8</v>
      </c>
      <c r="C11413" s="0" t="n">
        <v>2.15</v>
      </c>
      <c r="D11413" s="0" t="n">
        <v>0.027160347</v>
      </c>
    </row>
    <row r="11414" customFormat="false" ht="13.8" hidden="true" customHeight="false" outlineLevel="0" collapsed="false">
      <c r="A11414" s="0" t="s">
        <v>1154</v>
      </c>
      <c r="B11414" s="0" t="n">
        <v>8</v>
      </c>
      <c r="C11414" s="0" t="n">
        <v>2.2</v>
      </c>
      <c r="D11414" s="0" t="n">
        <v>0.028384814</v>
      </c>
    </row>
    <row r="11415" customFormat="false" ht="13.8" hidden="true" customHeight="false" outlineLevel="0" collapsed="false">
      <c r="A11415" s="0" t="s">
        <v>1154</v>
      </c>
      <c r="B11415" s="0" t="n">
        <v>8</v>
      </c>
      <c r="C11415" s="0" t="n">
        <v>2.25</v>
      </c>
      <c r="D11415" s="0" t="n">
        <v>0.029029924</v>
      </c>
    </row>
    <row r="11416" customFormat="false" ht="13.8" hidden="true" customHeight="false" outlineLevel="0" collapsed="false">
      <c r="A11416" s="0" t="s">
        <v>1154</v>
      </c>
      <c r="B11416" s="0" t="n">
        <v>8</v>
      </c>
      <c r="C11416" s="0" t="n">
        <v>2.3</v>
      </c>
      <c r="D11416" s="0" t="n">
        <v>0.029675033</v>
      </c>
    </row>
    <row r="11417" customFormat="false" ht="13.8" hidden="true" customHeight="false" outlineLevel="0" collapsed="false">
      <c r="A11417" s="0" t="s">
        <v>1154</v>
      </c>
      <c r="B11417" s="0" t="n">
        <v>8</v>
      </c>
      <c r="C11417" s="0" t="n">
        <v>2.35</v>
      </c>
      <c r="D11417" s="0" t="n">
        <v>0.030320143</v>
      </c>
    </row>
    <row r="11418" customFormat="false" ht="13.8" hidden="true" customHeight="false" outlineLevel="0" collapsed="false">
      <c r="A11418" s="0" t="s">
        <v>1154</v>
      </c>
      <c r="B11418" s="0" t="n">
        <v>8</v>
      </c>
      <c r="C11418" s="0" t="n">
        <v>2.4</v>
      </c>
      <c r="D11418" s="0" t="n">
        <v>0.030965252</v>
      </c>
    </row>
    <row r="11419" customFormat="false" ht="13.8" hidden="true" customHeight="false" outlineLevel="0" collapsed="false">
      <c r="A11419" s="0" t="s">
        <v>1154</v>
      </c>
      <c r="B11419" s="0" t="n">
        <v>8</v>
      </c>
      <c r="C11419" s="0" t="n">
        <v>2.45</v>
      </c>
      <c r="D11419" s="0" t="n">
        <v>0.031610361</v>
      </c>
    </row>
    <row r="11420" customFormat="false" ht="13.8" hidden="true" customHeight="false" outlineLevel="0" collapsed="false">
      <c r="A11420" s="0" t="s">
        <v>1154</v>
      </c>
      <c r="B11420" s="0" t="n">
        <v>8</v>
      </c>
      <c r="C11420" s="0" t="n">
        <v>2.5</v>
      </c>
      <c r="D11420" s="0" t="n">
        <v>0.032255471</v>
      </c>
    </row>
    <row r="11421" customFormat="false" ht="13.8" hidden="true" customHeight="false" outlineLevel="0" collapsed="false">
      <c r="A11421" s="0" t="s">
        <v>1154</v>
      </c>
      <c r="B11421" s="0" t="n">
        <v>8</v>
      </c>
      <c r="C11421" s="0" t="n">
        <v>2.55</v>
      </c>
      <c r="D11421" s="0" t="n">
        <v>0.03290058</v>
      </c>
    </row>
    <row r="11422" customFormat="false" ht="13.8" hidden="true" customHeight="false" outlineLevel="0" collapsed="false">
      <c r="A11422" s="0" t="s">
        <v>1154</v>
      </c>
      <c r="B11422" s="0" t="n">
        <v>8</v>
      </c>
      <c r="C11422" s="0" t="n">
        <v>2.6</v>
      </c>
      <c r="D11422" s="0" t="n">
        <v>0.03354569</v>
      </c>
    </row>
    <row r="11423" customFormat="false" ht="13.8" hidden="true" customHeight="false" outlineLevel="0" collapsed="false">
      <c r="A11423" s="0" t="s">
        <v>1157</v>
      </c>
      <c r="B11423" s="0" t="n">
        <v>8</v>
      </c>
      <c r="C11423" s="0" t="n">
        <v>1.3</v>
      </c>
      <c r="D11423" s="0" t="n">
        <v>0</v>
      </c>
    </row>
    <row r="11424" customFormat="false" ht="13.8" hidden="true" customHeight="false" outlineLevel="0" collapsed="false">
      <c r="A11424" s="0" t="s">
        <v>1157</v>
      </c>
      <c r="B11424" s="0" t="n">
        <v>8</v>
      </c>
      <c r="C11424" s="0" t="n">
        <v>1.35</v>
      </c>
      <c r="D11424" s="0" t="n">
        <v>0</v>
      </c>
    </row>
    <row r="11425" customFormat="false" ht="13.8" hidden="true" customHeight="false" outlineLevel="0" collapsed="false">
      <c r="A11425" s="0" t="s">
        <v>1157</v>
      </c>
      <c r="B11425" s="0" t="n">
        <v>8</v>
      </c>
      <c r="C11425" s="0" t="n">
        <v>1.4</v>
      </c>
      <c r="D11425" s="0" t="n">
        <v>0</v>
      </c>
    </row>
    <row r="11426" customFormat="false" ht="13.8" hidden="true" customHeight="false" outlineLevel="0" collapsed="false">
      <c r="A11426" s="0" t="s">
        <v>1157</v>
      </c>
      <c r="B11426" s="0" t="n">
        <v>8</v>
      </c>
      <c r="C11426" s="0" t="n">
        <v>1.45</v>
      </c>
      <c r="D11426" s="0" t="n">
        <v>0</v>
      </c>
    </row>
    <row r="11427" customFormat="false" ht="13.8" hidden="true" customHeight="false" outlineLevel="0" collapsed="false">
      <c r="A11427" s="0" t="s">
        <v>1157</v>
      </c>
      <c r="B11427" s="0" t="n">
        <v>8</v>
      </c>
      <c r="C11427" s="0" t="n">
        <v>1.5</v>
      </c>
      <c r="D11427" s="0" t="n">
        <v>0</v>
      </c>
    </row>
    <row r="11428" customFormat="false" ht="13.8" hidden="true" customHeight="false" outlineLevel="0" collapsed="false">
      <c r="A11428" s="0" t="s">
        <v>1157</v>
      </c>
      <c r="B11428" s="0" t="n">
        <v>8</v>
      </c>
      <c r="C11428" s="0" t="n">
        <v>1.55</v>
      </c>
      <c r="D11428" s="0" t="n">
        <v>0</v>
      </c>
    </row>
    <row r="11429" customFormat="false" ht="13.8" hidden="true" customHeight="false" outlineLevel="0" collapsed="false">
      <c r="A11429" s="0" t="s">
        <v>1157</v>
      </c>
      <c r="B11429" s="0" t="n">
        <v>8</v>
      </c>
      <c r="C11429" s="0" t="n">
        <v>1.6</v>
      </c>
      <c r="D11429" s="0" t="n">
        <v>0.021</v>
      </c>
    </row>
    <row r="11430" customFormat="false" ht="13.8" hidden="true" customHeight="false" outlineLevel="0" collapsed="false">
      <c r="A11430" s="0" t="s">
        <v>1157</v>
      </c>
      <c r="B11430" s="0" t="n">
        <v>8</v>
      </c>
      <c r="C11430" s="0" t="n">
        <v>1.65</v>
      </c>
      <c r="D11430" s="0" t="n">
        <v>0.022</v>
      </c>
    </row>
    <row r="11431" customFormat="false" ht="13.8" hidden="true" customHeight="false" outlineLevel="0" collapsed="false">
      <c r="A11431" s="0" t="s">
        <v>1157</v>
      </c>
      <c r="B11431" s="0" t="n">
        <v>8</v>
      </c>
      <c r="C11431" s="0" t="n">
        <v>1.7</v>
      </c>
      <c r="D11431" s="0" t="n">
        <v>0.022</v>
      </c>
    </row>
    <row r="11432" customFormat="false" ht="13.8" hidden="true" customHeight="false" outlineLevel="0" collapsed="false">
      <c r="A11432" s="0" t="s">
        <v>1157</v>
      </c>
      <c r="B11432" s="0" t="n">
        <v>8</v>
      </c>
      <c r="C11432" s="0" t="n">
        <v>1.75</v>
      </c>
      <c r="D11432" s="0" t="n">
        <v>0.023</v>
      </c>
    </row>
    <row r="11433" customFormat="false" ht="13.8" hidden="true" customHeight="false" outlineLevel="0" collapsed="false">
      <c r="A11433" s="0" t="s">
        <v>1157</v>
      </c>
      <c r="B11433" s="0" t="n">
        <v>8</v>
      </c>
      <c r="C11433" s="0" t="n">
        <v>1.8</v>
      </c>
      <c r="D11433" s="0" t="n">
        <v>0.023</v>
      </c>
    </row>
    <row r="11434" customFormat="false" ht="13.8" hidden="true" customHeight="false" outlineLevel="0" collapsed="false">
      <c r="A11434" s="0" t="s">
        <v>1157</v>
      </c>
      <c r="B11434" s="0" t="n">
        <v>8</v>
      </c>
      <c r="C11434" s="0" t="n">
        <v>1.85</v>
      </c>
      <c r="D11434" s="0" t="n">
        <v>0.024</v>
      </c>
    </row>
    <row r="11435" customFormat="false" ht="13.8" hidden="true" customHeight="false" outlineLevel="0" collapsed="false">
      <c r="A11435" s="0" t="s">
        <v>1157</v>
      </c>
      <c r="B11435" s="0" t="n">
        <v>8</v>
      </c>
      <c r="C11435" s="0" t="n">
        <v>1.9</v>
      </c>
      <c r="D11435" s="0" t="n">
        <v>0.024</v>
      </c>
    </row>
    <row r="11436" customFormat="false" ht="13.8" hidden="true" customHeight="false" outlineLevel="0" collapsed="false">
      <c r="A11436" s="0" t="s">
        <v>1157</v>
      </c>
      <c r="B11436" s="0" t="n">
        <v>8</v>
      </c>
      <c r="C11436" s="0" t="n">
        <v>1.95</v>
      </c>
      <c r="D11436" s="0" t="n">
        <v>0.025</v>
      </c>
    </row>
    <row r="11437" customFormat="false" ht="13.8" hidden="true" customHeight="false" outlineLevel="0" collapsed="false">
      <c r="A11437" s="0" t="s">
        <v>1157</v>
      </c>
      <c r="B11437" s="0" t="n">
        <v>8</v>
      </c>
      <c r="C11437" s="0" t="n">
        <v>2</v>
      </c>
      <c r="D11437" s="0" t="n">
        <v>0.025265439</v>
      </c>
    </row>
    <row r="11438" customFormat="false" ht="13.8" hidden="true" customHeight="false" outlineLevel="0" collapsed="false">
      <c r="A11438" s="0" t="s">
        <v>1157</v>
      </c>
      <c r="B11438" s="0" t="n">
        <v>8</v>
      </c>
      <c r="C11438" s="0" t="n">
        <v>2.05</v>
      </c>
      <c r="D11438" s="0" t="n">
        <v>0.025897075</v>
      </c>
    </row>
    <row r="11439" customFormat="false" ht="13.8" hidden="true" customHeight="false" outlineLevel="0" collapsed="false">
      <c r="A11439" s="0" t="s">
        <v>1157</v>
      </c>
      <c r="B11439" s="0" t="n">
        <v>8</v>
      </c>
      <c r="C11439" s="0" t="n">
        <v>2.1</v>
      </c>
      <c r="D11439" s="0" t="n">
        <v>0.026528711</v>
      </c>
    </row>
    <row r="11440" customFormat="false" ht="13.8" hidden="true" customHeight="false" outlineLevel="0" collapsed="false">
      <c r="A11440" s="0" t="s">
        <v>1157</v>
      </c>
      <c r="B11440" s="0" t="n">
        <v>8</v>
      </c>
      <c r="C11440" s="0" t="n">
        <v>2.15</v>
      </c>
      <c r="D11440" s="0" t="n">
        <v>0.027160347</v>
      </c>
    </row>
    <row r="11441" customFormat="false" ht="13.8" hidden="true" customHeight="false" outlineLevel="0" collapsed="false">
      <c r="A11441" s="0" t="s">
        <v>1157</v>
      </c>
      <c r="B11441" s="0" t="n">
        <v>8</v>
      </c>
      <c r="C11441" s="0" t="n">
        <v>2.2</v>
      </c>
      <c r="D11441" s="0" t="n">
        <v>0.028384814</v>
      </c>
    </row>
    <row r="11442" customFormat="false" ht="13.8" hidden="true" customHeight="false" outlineLevel="0" collapsed="false">
      <c r="A11442" s="0" t="s">
        <v>1157</v>
      </c>
      <c r="B11442" s="0" t="n">
        <v>8</v>
      </c>
      <c r="C11442" s="0" t="n">
        <v>2.25</v>
      </c>
      <c r="D11442" s="0" t="n">
        <v>0.029029924</v>
      </c>
    </row>
    <row r="11443" customFormat="false" ht="13.8" hidden="true" customHeight="false" outlineLevel="0" collapsed="false">
      <c r="A11443" s="0" t="s">
        <v>1157</v>
      </c>
      <c r="B11443" s="0" t="n">
        <v>8</v>
      </c>
      <c r="C11443" s="0" t="n">
        <v>2.3</v>
      </c>
      <c r="D11443" s="0" t="n">
        <v>0.029675033</v>
      </c>
    </row>
    <row r="11444" customFormat="false" ht="13.8" hidden="true" customHeight="false" outlineLevel="0" collapsed="false">
      <c r="A11444" s="0" t="s">
        <v>1157</v>
      </c>
      <c r="B11444" s="0" t="n">
        <v>8</v>
      </c>
      <c r="C11444" s="0" t="n">
        <v>2.35</v>
      </c>
      <c r="D11444" s="0" t="n">
        <v>0.030320143</v>
      </c>
    </row>
    <row r="11445" customFormat="false" ht="13.8" hidden="true" customHeight="false" outlineLevel="0" collapsed="false">
      <c r="A11445" s="0" t="s">
        <v>1157</v>
      </c>
      <c r="B11445" s="0" t="n">
        <v>8</v>
      </c>
      <c r="C11445" s="0" t="n">
        <v>2.4</v>
      </c>
      <c r="D11445" s="0" t="n">
        <v>0.030965252</v>
      </c>
    </row>
    <row r="11446" customFormat="false" ht="13.8" hidden="true" customHeight="false" outlineLevel="0" collapsed="false">
      <c r="A11446" s="0" t="s">
        <v>1157</v>
      </c>
      <c r="B11446" s="0" t="n">
        <v>8</v>
      </c>
      <c r="C11446" s="0" t="n">
        <v>2.45</v>
      </c>
      <c r="D11446" s="0" t="n">
        <v>0.031610361</v>
      </c>
    </row>
    <row r="11447" customFormat="false" ht="13.8" hidden="true" customHeight="false" outlineLevel="0" collapsed="false">
      <c r="A11447" s="0" t="s">
        <v>1157</v>
      </c>
      <c r="B11447" s="0" t="n">
        <v>8</v>
      </c>
      <c r="C11447" s="0" t="n">
        <v>2.5</v>
      </c>
      <c r="D11447" s="0" t="n">
        <v>0.032255471</v>
      </c>
    </row>
    <row r="11448" customFormat="false" ht="13.8" hidden="true" customHeight="false" outlineLevel="0" collapsed="false">
      <c r="A11448" s="0" t="s">
        <v>1157</v>
      </c>
      <c r="B11448" s="0" t="n">
        <v>8</v>
      </c>
      <c r="C11448" s="0" t="n">
        <v>2.55</v>
      </c>
      <c r="D11448" s="0" t="n">
        <v>0.03290058</v>
      </c>
    </row>
    <row r="11449" customFormat="false" ht="13.8" hidden="true" customHeight="false" outlineLevel="0" collapsed="false">
      <c r="A11449" s="0" t="s">
        <v>1157</v>
      </c>
      <c r="B11449" s="0" t="n">
        <v>8</v>
      </c>
      <c r="C11449" s="0" t="n">
        <v>2.6</v>
      </c>
      <c r="D11449" s="0" t="n">
        <v>0.03354569</v>
      </c>
    </row>
    <row r="11450" customFormat="false" ht="13.8" hidden="true" customHeight="false" outlineLevel="0" collapsed="false">
      <c r="A11450" s="0" t="s">
        <v>204</v>
      </c>
      <c r="B11450" s="0" t="n">
        <v>8</v>
      </c>
      <c r="C11450" s="0" t="n">
        <v>1.3</v>
      </c>
      <c r="D11450" s="0" t="n">
        <v>0</v>
      </c>
    </row>
    <row r="11451" customFormat="false" ht="13.8" hidden="true" customHeight="false" outlineLevel="0" collapsed="false">
      <c r="A11451" s="0" t="s">
        <v>204</v>
      </c>
      <c r="B11451" s="0" t="n">
        <v>8</v>
      </c>
      <c r="C11451" s="0" t="n">
        <v>1.35</v>
      </c>
      <c r="D11451" s="0" t="n">
        <v>0</v>
      </c>
    </row>
    <row r="11452" customFormat="false" ht="13.8" hidden="true" customHeight="false" outlineLevel="0" collapsed="false">
      <c r="A11452" s="0" t="s">
        <v>204</v>
      </c>
      <c r="B11452" s="0" t="n">
        <v>8</v>
      </c>
      <c r="C11452" s="0" t="n">
        <v>1.4</v>
      </c>
      <c r="D11452" s="0" t="n">
        <v>0</v>
      </c>
    </row>
    <row r="11453" customFormat="false" ht="13.8" hidden="true" customHeight="false" outlineLevel="0" collapsed="false">
      <c r="A11453" s="0" t="s">
        <v>204</v>
      </c>
      <c r="B11453" s="0" t="n">
        <v>8</v>
      </c>
      <c r="C11453" s="0" t="n">
        <v>1.45</v>
      </c>
      <c r="D11453" s="0" t="n">
        <v>0</v>
      </c>
    </row>
    <row r="11454" customFormat="false" ht="13.8" hidden="true" customHeight="false" outlineLevel="0" collapsed="false">
      <c r="A11454" s="0" t="s">
        <v>204</v>
      </c>
      <c r="B11454" s="0" t="n">
        <v>8</v>
      </c>
      <c r="C11454" s="0" t="n">
        <v>1.5</v>
      </c>
      <c r="D11454" s="0" t="n">
        <v>0</v>
      </c>
    </row>
    <row r="11455" customFormat="false" ht="13.8" hidden="true" customHeight="false" outlineLevel="0" collapsed="false">
      <c r="A11455" s="0" t="s">
        <v>204</v>
      </c>
      <c r="B11455" s="0" t="n">
        <v>8</v>
      </c>
      <c r="C11455" s="0" t="n">
        <v>1.55</v>
      </c>
      <c r="D11455" s="0" t="n">
        <v>0</v>
      </c>
    </row>
    <row r="11456" customFormat="false" ht="13.8" hidden="true" customHeight="false" outlineLevel="0" collapsed="false">
      <c r="A11456" s="0" t="s">
        <v>204</v>
      </c>
      <c r="B11456" s="0" t="n">
        <v>8</v>
      </c>
      <c r="C11456" s="0" t="n">
        <v>1.6</v>
      </c>
      <c r="D11456" s="0" t="n">
        <v>0</v>
      </c>
    </row>
    <row r="11457" customFormat="false" ht="13.8" hidden="true" customHeight="false" outlineLevel="0" collapsed="false">
      <c r="A11457" s="0" t="s">
        <v>204</v>
      </c>
      <c r="B11457" s="0" t="n">
        <v>8</v>
      </c>
      <c r="C11457" s="0" t="n">
        <v>1.65</v>
      </c>
      <c r="D11457" s="0" t="n">
        <v>0</v>
      </c>
    </row>
    <row r="11458" customFormat="false" ht="13.8" hidden="true" customHeight="false" outlineLevel="0" collapsed="false">
      <c r="A11458" s="0" t="s">
        <v>204</v>
      </c>
      <c r="B11458" s="0" t="n">
        <v>8</v>
      </c>
      <c r="C11458" s="0" t="n">
        <v>1.7</v>
      </c>
      <c r="D11458" s="0" t="n">
        <v>0</v>
      </c>
    </row>
    <row r="11459" customFormat="false" ht="13.8" hidden="true" customHeight="false" outlineLevel="0" collapsed="false">
      <c r="A11459" s="0" t="s">
        <v>204</v>
      </c>
      <c r="B11459" s="0" t="n">
        <v>8</v>
      </c>
      <c r="C11459" s="0" t="n">
        <v>1.75</v>
      </c>
      <c r="D11459" s="0" t="n">
        <v>0</v>
      </c>
    </row>
    <row r="11460" customFormat="false" ht="13.8" hidden="true" customHeight="false" outlineLevel="0" collapsed="false">
      <c r="A11460" s="0" t="s">
        <v>204</v>
      </c>
      <c r="B11460" s="0" t="n">
        <v>8</v>
      </c>
      <c r="C11460" s="0" t="n">
        <v>1.8</v>
      </c>
      <c r="D11460" s="0" t="n">
        <v>0</v>
      </c>
    </row>
    <row r="11461" customFormat="false" ht="13.8" hidden="true" customHeight="false" outlineLevel="0" collapsed="false">
      <c r="A11461" s="0" t="s">
        <v>204</v>
      </c>
      <c r="B11461" s="0" t="n">
        <v>8</v>
      </c>
      <c r="C11461" s="0" t="n">
        <v>1.85</v>
      </c>
      <c r="D11461" s="0" t="n">
        <v>0</v>
      </c>
    </row>
    <row r="11462" customFormat="false" ht="13.8" hidden="true" customHeight="false" outlineLevel="0" collapsed="false">
      <c r="A11462" s="0" t="s">
        <v>204</v>
      </c>
      <c r="B11462" s="0" t="n">
        <v>8</v>
      </c>
      <c r="C11462" s="0" t="n">
        <v>1.9</v>
      </c>
      <c r="D11462" s="0" t="n">
        <v>0</v>
      </c>
    </row>
    <row r="11463" customFormat="false" ht="13.8" hidden="true" customHeight="false" outlineLevel="0" collapsed="false">
      <c r="A11463" s="0" t="s">
        <v>204</v>
      </c>
      <c r="B11463" s="0" t="n">
        <v>8</v>
      </c>
      <c r="C11463" s="0" t="n">
        <v>1.95</v>
      </c>
      <c r="D11463" s="0" t="n">
        <v>0</v>
      </c>
    </row>
    <row r="11464" customFormat="false" ht="13.8" hidden="true" customHeight="false" outlineLevel="0" collapsed="false">
      <c r="A11464" s="0" t="s">
        <v>204</v>
      </c>
      <c r="B11464" s="0" t="n">
        <v>8</v>
      </c>
      <c r="C11464" s="0" t="n">
        <v>2</v>
      </c>
      <c r="D11464" s="0" t="n">
        <v>0</v>
      </c>
    </row>
    <row r="11465" customFormat="false" ht="13.8" hidden="true" customHeight="false" outlineLevel="0" collapsed="false">
      <c r="A11465" s="0" t="s">
        <v>204</v>
      </c>
      <c r="B11465" s="0" t="n">
        <v>8</v>
      </c>
      <c r="C11465" s="0" t="n">
        <v>2.05</v>
      </c>
      <c r="D11465" s="0" t="n">
        <v>0</v>
      </c>
    </row>
    <row r="11466" customFormat="false" ht="13.8" hidden="true" customHeight="false" outlineLevel="0" collapsed="false">
      <c r="A11466" s="0" t="s">
        <v>204</v>
      </c>
      <c r="B11466" s="0" t="n">
        <v>8</v>
      </c>
      <c r="C11466" s="0" t="n">
        <v>2.1</v>
      </c>
      <c r="D11466" s="0" t="n">
        <v>0</v>
      </c>
    </row>
    <row r="11467" customFormat="false" ht="13.8" hidden="true" customHeight="false" outlineLevel="0" collapsed="false">
      <c r="A11467" s="0" t="s">
        <v>204</v>
      </c>
      <c r="B11467" s="0" t="n">
        <v>8</v>
      </c>
      <c r="C11467" s="0" t="n">
        <v>2.15</v>
      </c>
      <c r="D11467" s="0" t="n">
        <v>0</v>
      </c>
    </row>
    <row r="11468" customFormat="false" ht="13.8" hidden="true" customHeight="false" outlineLevel="0" collapsed="false">
      <c r="A11468" s="0" t="s">
        <v>204</v>
      </c>
      <c r="B11468" s="0" t="n">
        <v>8</v>
      </c>
      <c r="C11468" s="0" t="n">
        <v>2.2</v>
      </c>
      <c r="D11468" s="0" t="n">
        <v>0.056769629</v>
      </c>
    </row>
    <row r="11469" customFormat="false" ht="13.8" hidden="true" customHeight="false" outlineLevel="0" collapsed="false">
      <c r="A11469" s="0" t="s">
        <v>204</v>
      </c>
      <c r="B11469" s="0" t="n">
        <v>8</v>
      </c>
      <c r="C11469" s="0" t="n">
        <v>2.25</v>
      </c>
      <c r="D11469" s="0" t="n">
        <v>0.058059847</v>
      </c>
    </row>
    <row r="11470" customFormat="false" ht="13.8" hidden="true" customHeight="false" outlineLevel="0" collapsed="false">
      <c r="A11470" s="0" t="s">
        <v>204</v>
      </c>
      <c r="B11470" s="0" t="n">
        <v>8</v>
      </c>
      <c r="C11470" s="0" t="n">
        <v>2.3</v>
      </c>
      <c r="D11470" s="0" t="n">
        <v>0.059350066</v>
      </c>
    </row>
    <row r="11471" customFormat="false" ht="13.8" hidden="true" customHeight="false" outlineLevel="0" collapsed="false">
      <c r="A11471" s="0" t="s">
        <v>204</v>
      </c>
      <c r="B11471" s="0" t="n">
        <v>8</v>
      </c>
      <c r="C11471" s="0" t="n">
        <v>2.35</v>
      </c>
      <c r="D11471" s="0" t="n">
        <v>0.060640285</v>
      </c>
    </row>
    <row r="11472" customFormat="false" ht="13.8" hidden="true" customHeight="false" outlineLevel="0" collapsed="false">
      <c r="A11472" s="0" t="s">
        <v>204</v>
      </c>
      <c r="B11472" s="0" t="n">
        <v>8</v>
      </c>
      <c r="C11472" s="0" t="n">
        <v>2.4</v>
      </c>
      <c r="D11472" s="0" t="n">
        <v>0.061930504</v>
      </c>
    </row>
    <row r="11473" customFormat="false" ht="13.8" hidden="true" customHeight="false" outlineLevel="0" collapsed="false">
      <c r="A11473" s="0" t="s">
        <v>204</v>
      </c>
      <c r="B11473" s="0" t="n">
        <v>8</v>
      </c>
      <c r="C11473" s="0" t="n">
        <v>2.45</v>
      </c>
      <c r="D11473" s="0" t="n">
        <v>0.063220723</v>
      </c>
    </row>
    <row r="11474" customFormat="false" ht="13.8" hidden="true" customHeight="false" outlineLevel="0" collapsed="false">
      <c r="A11474" s="0" t="s">
        <v>204</v>
      </c>
      <c r="B11474" s="0" t="n">
        <v>8</v>
      </c>
      <c r="C11474" s="0" t="n">
        <v>2.5</v>
      </c>
      <c r="D11474" s="0" t="n">
        <v>0.064510942</v>
      </c>
    </row>
    <row r="11475" customFormat="false" ht="13.8" hidden="true" customHeight="false" outlineLevel="0" collapsed="false">
      <c r="A11475" s="0" t="s">
        <v>204</v>
      </c>
      <c r="B11475" s="0" t="n">
        <v>8</v>
      </c>
      <c r="C11475" s="0" t="n">
        <v>2.55</v>
      </c>
      <c r="D11475" s="0" t="n">
        <v>0.06580116</v>
      </c>
    </row>
    <row r="11476" customFormat="false" ht="13.8" hidden="true" customHeight="false" outlineLevel="0" collapsed="false">
      <c r="A11476" s="0" t="s">
        <v>204</v>
      </c>
      <c r="B11476" s="0" t="n">
        <v>8</v>
      </c>
      <c r="C11476" s="0" t="n">
        <v>2.6</v>
      </c>
      <c r="D11476" s="0" t="n">
        <v>0.067091379</v>
      </c>
    </row>
    <row r="11477" customFormat="false" ht="13.8" hidden="true" customHeight="false" outlineLevel="0" collapsed="false">
      <c r="A11477" s="0" t="s">
        <v>1161</v>
      </c>
      <c r="B11477" s="0" t="n">
        <v>8</v>
      </c>
      <c r="C11477" s="0" t="n">
        <v>1.3</v>
      </c>
      <c r="D11477" s="0" t="n">
        <v>0</v>
      </c>
    </row>
    <row r="11478" customFormat="false" ht="13.8" hidden="true" customHeight="false" outlineLevel="0" collapsed="false">
      <c r="A11478" s="0" t="s">
        <v>1161</v>
      </c>
      <c r="B11478" s="0" t="n">
        <v>8</v>
      </c>
      <c r="C11478" s="0" t="n">
        <v>1.35</v>
      </c>
      <c r="D11478" s="0" t="n">
        <v>0</v>
      </c>
    </row>
    <row r="11479" customFormat="false" ht="13.8" hidden="true" customHeight="false" outlineLevel="0" collapsed="false">
      <c r="A11479" s="0" t="s">
        <v>1161</v>
      </c>
      <c r="B11479" s="0" t="n">
        <v>8</v>
      </c>
      <c r="C11479" s="0" t="n">
        <v>1.4</v>
      </c>
      <c r="D11479" s="0" t="n">
        <v>0</v>
      </c>
    </row>
    <row r="11480" customFormat="false" ht="13.8" hidden="true" customHeight="false" outlineLevel="0" collapsed="false">
      <c r="A11480" s="0" t="s">
        <v>1161</v>
      </c>
      <c r="B11480" s="0" t="n">
        <v>8</v>
      </c>
      <c r="C11480" s="0" t="n">
        <v>1.45</v>
      </c>
      <c r="D11480" s="0" t="n">
        <v>0</v>
      </c>
    </row>
    <row r="11481" customFormat="false" ht="13.8" hidden="true" customHeight="false" outlineLevel="0" collapsed="false">
      <c r="A11481" s="0" t="s">
        <v>1161</v>
      </c>
      <c r="B11481" s="0" t="n">
        <v>8</v>
      </c>
      <c r="C11481" s="0" t="n">
        <v>1.5</v>
      </c>
      <c r="D11481" s="0" t="n">
        <v>0</v>
      </c>
    </row>
    <row r="11482" customFormat="false" ht="13.8" hidden="true" customHeight="false" outlineLevel="0" collapsed="false">
      <c r="A11482" s="0" t="s">
        <v>1161</v>
      </c>
      <c r="B11482" s="0" t="n">
        <v>8</v>
      </c>
      <c r="C11482" s="0" t="n">
        <v>1.55</v>
      </c>
      <c r="D11482" s="0" t="n">
        <v>0</v>
      </c>
    </row>
    <row r="11483" customFormat="false" ht="13.8" hidden="true" customHeight="false" outlineLevel="0" collapsed="false">
      <c r="A11483" s="0" t="s">
        <v>1161</v>
      </c>
      <c r="B11483" s="0" t="n">
        <v>8</v>
      </c>
      <c r="C11483" s="0" t="n">
        <v>1.6</v>
      </c>
      <c r="D11483" s="0" t="n">
        <v>0</v>
      </c>
    </row>
    <row r="11484" customFormat="false" ht="13.8" hidden="true" customHeight="false" outlineLevel="0" collapsed="false">
      <c r="A11484" s="0" t="s">
        <v>1161</v>
      </c>
      <c r="B11484" s="0" t="n">
        <v>8</v>
      </c>
      <c r="C11484" s="0" t="n">
        <v>1.65</v>
      </c>
      <c r="D11484" s="0" t="n">
        <v>0</v>
      </c>
    </row>
    <row r="11485" customFormat="false" ht="13.8" hidden="true" customHeight="false" outlineLevel="0" collapsed="false">
      <c r="A11485" s="0" t="s">
        <v>1161</v>
      </c>
      <c r="B11485" s="0" t="n">
        <v>8</v>
      </c>
      <c r="C11485" s="0" t="n">
        <v>1.7</v>
      </c>
      <c r="D11485" s="0" t="n">
        <v>0</v>
      </c>
    </row>
    <row r="11486" customFormat="false" ht="13.8" hidden="true" customHeight="false" outlineLevel="0" collapsed="false">
      <c r="A11486" s="0" t="s">
        <v>1161</v>
      </c>
      <c r="B11486" s="0" t="n">
        <v>8</v>
      </c>
      <c r="C11486" s="0" t="n">
        <v>1.75</v>
      </c>
      <c r="D11486" s="0" t="n">
        <v>0</v>
      </c>
    </row>
    <row r="11487" customFormat="false" ht="13.8" hidden="true" customHeight="false" outlineLevel="0" collapsed="false">
      <c r="A11487" s="0" t="s">
        <v>1161</v>
      </c>
      <c r="B11487" s="0" t="n">
        <v>8</v>
      </c>
      <c r="C11487" s="0" t="n">
        <v>1.8</v>
      </c>
      <c r="D11487" s="0" t="n">
        <v>0</v>
      </c>
    </row>
    <row r="11488" customFormat="false" ht="13.8" hidden="true" customHeight="false" outlineLevel="0" collapsed="false">
      <c r="A11488" s="0" t="s">
        <v>1161</v>
      </c>
      <c r="B11488" s="0" t="n">
        <v>8</v>
      </c>
      <c r="C11488" s="0" t="n">
        <v>1.85</v>
      </c>
      <c r="D11488" s="0" t="n">
        <v>0</v>
      </c>
    </row>
    <row r="11489" customFormat="false" ht="13.8" hidden="true" customHeight="false" outlineLevel="0" collapsed="false">
      <c r="A11489" s="0" t="s">
        <v>1161</v>
      </c>
      <c r="B11489" s="0" t="n">
        <v>8</v>
      </c>
      <c r="C11489" s="0" t="n">
        <v>1.9</v>
      </c>
      <c r="D11489" s="0" t="n">
        <v>0</v>
      </c>
    </row>
    <row r="11490" customFormat="false" ht="13.8" hidden="true" customHeight="false" outlineLevel="0" collapsed="false">
      <c r="A11490" s="0" t="s">
        <v>1161</v>
      </c>
      <c r="B11490" s="0" t="n">
        <v>8</v>
      </c>
      <c r="C11490" s="0" t="n">
        <v>1.95</v>
      </c>
      <c r="D11490" s="0" t="n">
        <v>0</v>
      </c>
    </row>
    <row r="11491" customFormat="false" ht="13.8" hidden="true" customHeight="false" outlineLevel="0" collapsed="false">
      <c r="A11491" s="0" t="s">
        <v>1161</v>
      </c>
      <c r="B11491" s="0" t="n">
        <v>8</v>
      </c>
      <c r="C11491" s="0" t="n">
        <v>2</v>
      </c>
      <c r="D11491" s="0" t="n">
        <v>0</v>
      </c>
    </row>
    <row r="11492" customFormat="false" ht="13.8" hidden="true" customHeight="false" outlineLevel="0" collapsed="false">
      <c r="A11492" s="0" t="s">
        <v>1161</v>
      </c>
      <c r="B11492" s="0" t="n">
        <v>8</v>
      </c>
      <c r="C11492" s="0" t="n">
        <v>2.05</v>
      </c>
      <c r="D11492" s="0" t="n">
        <v>0</v>
      </c>
    </row>
    <row r="11493" customFormat="false" ht="13.8" hidden="true" customHeight="false" outlineLevel="0" collapsed="false">
      <c r="A11493" s="0" t="s">
        <v>1161</v>
      </c>
      <c r="B11493" s="0" t="n">
        <v>8</v>
      </c>
      <c r="C11493" s="0" t="n">
        <v>2.1</v>
      </c>
      <c r="D11493" s="0" t="n">
        <v>0</v>
      </c>
    </row>
    <row r="11494" customFormat="false" ht="13.8" hidden="true" customHeight="false" outlineLevel="0" collapsed="false">
      <c r="A11494" s="0" t="s">
        <v>1161</v>
      </c>
      <c r="B11494" s="0" t="n">
        <v>8</v>
      </c>
      <c r="C11494" s="0" t="n">
        <v>2.15</v>
      </c>
      <c r="D11494" s="0" t="n">
        <v>0</v>
      </c>
    </row>
    <row r="11495" customFormat="false" ht="13.8" hidden="true" customHeight="false" outlineLevel="0" collapsed="false">
      <c r="A11495" s="0" t="s">
        <v>1161</v>
      </c>
      <c r="B11495" s="0" t="n">
        <v>8</v>
      </c>
      <c r="C11495" s="0" t="n">
        <v>2.2</v>
      </c>
      <c r="D11495" s="0" t="n">
        <v>0.056769629</v>
      </c>
    </row>
    <row r="11496" customFormat="false" ht="13.8" hidden="true" customHeight="false" outlineLevel="0" collapsed="false">
      <c r="A11496" s="0" t="s">
        <v>1161</v>
      </c>
      <c r="B11496" s="0" t="n">
        <v>8</v>
      </c>
      <c r="C11496" s="0" t="n">
        <v>2.25</v>
      </c>
      <c r="D11496" s="0" t="n">
        <v>0.058059847</v>
      </c>
    </row>
    <row r="11497" customFormat="false" ht="13.8" hidden="true" customHeight="false" outlineLevel="0" collapsed="false">
      <c r="A11497" s="0" t="s">
        <v>1161</v>
      </c>
      <c r="B11497" s="0" t="n">
        <v>8</v>
      </c>
      <c r="C11497" s="0" t="n">
        <v>2.3</v>
      </c>
      <c r="D11497" s="0" t="n">
        <v>0.059350066</v>
      </c>
    </row>
    <row r="11498" customFormat="false" ht="13.8" hidden="true" customHeight="false" outlineLevel="0" collapsed="false">
      <c r="A11498" s="0" t="s">
        <v>1161</v>
      </c>
      <c r="B11498" s="0" t="n">
        <v>8</v>
      </c>
      <c r="C11498" s="0" t="n">
        <v>2.35</v>
      </c>
      <c r="D11498" s="0" t="n">
        <v>0.060640285</v>
      </c>
    </row>
    <row r="11499" customFormat="false" ht="13.8" hidden="true" customHeight="false" outlineLevel="0" collapsed="false">
      <c r="A11499" s="0" t="s">
        <v>1161</v>
      </c>
      <c r="B11499" s="0" t="n">
        <v>8</v>
      </c>
      <c r="C11499" s="0" t="n">
        <v>2.4</v>
      </c>
      <c r="D11499" s="0" t="n">
        <v>0.061930504</v>
      </c>
    </row>
    <row r="11500" customFormat="false" ht="13.8" hidden="true" customHeight="false" outlineLevel="0" collapsed="false">
      <c r="A11500" s="0" t="s">
        <v>1161</v>
      </c>
      <c r="B11500" s="0" t="n">
        <v>8</v>
      </c>
      <c r="C11500" s="0" t="n">
        <v>2.45</v>
      </c>
      <c r="D11500" s="0" t="n">
        <v>0.063220723</v>
      </c>
    </row>
    <row r="11501" customFormat="false" ht="13.8" hidden="true" customHeight="false" outlineLevel="0" collapsed="false">
      <c r="A11501" s="0" t="s">
        <v>1161</v>
      </c>
      <c r="B11501" s="0" t="n">
        <v>8</v>
      </c>
      <c r="C11501" s="0" t="n">
        <v>2.5</v>
      </c>
      <c r="D11501" s="0" t="n">
        <v>0.064510942</v>
      </c>
    </row>
    <row r="11502" customFormat="false" ht="13.8" hidden="true" customHeight="false" outlineLevel="0" collapsed="false">
      <c r="A11502" s="0" t="s">
        <v>1161</v>
      </c>
      <c r="B11502" s="0" t="n">
        <v>8</v>
      </c>
      <c r="C11502" s="0" t="n">
        <v>2.55</v>
      </c>
      <c r="D11502" s="0" t="n">
        <v>0.06580116</v>
      </c>
    </row>
    <row r="11503" customFormat="false" ht="13.8" hidden="true" customHeight="false" outlineLevel="0" collapsed="false">
      <c r="A11503" s="0" t="s">
        <v>1161</v>
      </c>
      <c r="B11503" s="0" t="n">
        <v>8</v>
      </c>
      <c r="C11503" s="0" t="n">
        <v>2.6</v>
      </c>
      <c r="D11503" s="0" t="n">
        <v>0.067091379</v>
      </c>
    </row>
    <row r="11504" customFormat="false" ht="13.8" hidden="true" customHeight="false" outlineLevel="0" collapsed="false">
      <c r="A11504" s="0" t="s">
        <v>205</v>
      </c>
      <c r="B11504" s="0" t="n">
        <v>35</v>
      </c>
      <c r="C11504" s="0" t="n">
        <v>1.3</v>
      </c>
      <c r="D11504" s="0" t="n">
        <v>0</v>
      </c>
    </row>
    <row r="11505" customFormat="false" ht="13.8" hidden="true" customHeight="false" outlineLevel="0" collapsed="false">
      <c r="A11505" s="0" t="s">
        <v>205</v>
      </c>
      <c r="B11505" s="0" t="n">
        <v>35</v>
      </c>
      <c r="C11505" s="0" t="n">
        <v>1.35</v>
      </c>
      <c r="D11505" s="0" t="n">
        <v>0</v>
      </c>
    </row>
    <row r="11506" customFormat="false" ht="13.8" hidden="true" customHeight="false" outlineLevel="0" collapsed="false">
      <c r="A11506" s="0" t="s">
        <v>205</v>
      </c>
      <c r="B11506" s="0" t="n">
        <v>35</v>
      </c>
      <c r="C11506" s="0" t="n">
        <v>1.4</v>
      </c>
      <c r="D11506" s="0" t="n">
        <v>0</v>
      </c>
    </row>
    <row r="11507" customFormat="false" ht="13.8" hidden="true" customHeight="false" outlineLevel="0" collapsed="false">
      <c r="A11507" s="0" t="s">
        <v>205</v>
      </c>
      <c r="B11507" s="0" t="n">
        <v>35</v>
      </c>
      <c r="C11507" s="0" t="n">
        <v>1.45</v>
      </c>
      <c r="D11507" s="0" t="n">
        <v>0</v>
      </c>
    </row>
    <row r="11508" customFormat="false" ht="13.8" hidden="true" customHeight="false" outlineLevel="0" collapsed="false">
      <c r="A11508" s="0" t="s">
        <v>205</v>
      </c>
      <c r="B11508" s="0" t="n">
        <v>35</v>
      </c>
      <c r="C11508" s="0" t="n">
        <v>1.5</v>
      </c>
      <c r="D11508" s="0" t="n">
        <v>0</v>
      </c>
    </row>
    <row r="11509" customFormat="false" ht="13.8" hidden="true" customHeight="false" outlineLevel="0" collapsed="false">
      <c r="A11509" s="0" t="s">
        <v>205</v>
      </c>
      <c r="B11509" s="0" t="n">
        <v>35</v>
      </c>
      <c r="C11509" s="0" t="n">
        <v>1.55</v>
      </c>
      <c r="D11509" s="0" t="n">
        <v>0</v>
      </c>
    </row>
    <row r="11510" customFormat="false" ht="13.8" hidden="true" customHeight="false" outlineLevel="0" collapsed="false">
      <c r="A11510" s="0" t="s">
        <v>205</v>
      </c>
      <c r="B11510" s="0" t="n">
        <v>35</v>
      </c>
      <c r="C11510" s="0" t="n">
        <v>1.6</v>
      </c>
      <c r="D11510" s="0" t="n">
        <v>0</v>
      </c>
    </row>
    <row r="11511" customFormat="false" ht="13.8" hidden="true" customHeight="false" outlineLevel="0" collapsed="false">
      <c r="A11511" s="0" t="s">
        <v>205</v>
      </c>
      <c r="B11511" s="0" t="n">
        <v>35</v>
      </c>
      <c r="C11511" s="0" t="n">
        <v>1.65</v>
      </c>
      <c r="D11511" s="0" t="n">
        <v>0</v>
      </c>
    </row>
    <row r="11512" customFormat="false" ht="13.8" hidden="true" customHeight="false" outlineLevel="0" collapsed="false">
      <c r="A11512" s="0" t="s">
        <v>205</v>
      </c>
      <c r="B11512" s="0" t="n">
        <v>35</v>
      </c>
      <c r="C11512" s="0" t="n">
        <v>1.7</v>
      </c>
      <c r="D11512" s="0" t="n">
        <v>0</v>
      </c>
    </row>
    <row r="11513" customFormat="false" ht="13.8" hidden="true" customHeight="false" outlineLevel="0" collapsed="false">
      <c r="A11513" s="0" t="s">
        <v>205</v>
      </c>
      <c r="B11513" s="0" t="n">
        <v>35</v>
      </c>
      <c r="C11513" s="0" t="n">
        <v>1.75</v>
      </c>
      <c r="D11513" s="0" t="n">
        <v>0</v>
      </c>
    </row>
    <row r="11514" customFormat="false" ht="13.8" hidden="true" customHeight="false" outlineLevel="0" collapsed="false">
      <c r="A11514" s="0" t="s">
        <v>205</v>
      </c>
      <c r="B11514" s="0" t="n">
        <v>35</v>
      </c>
      <c r="C11514" s="0" t="n">
        <v>1.8</v>
      </c>
      <c r="D11514" s="0" t="n">
        <v>0</v>
      </c>
    </row>
    <row r="11515" customFormat="false" ht="13.8" hidden="true" customHeight="false" outlineLevel="0" collapsed="false">
      <c r="A11515" s="0" t="s">
        <v>205</v>
      </c>
      <c r="B11515" s="0" t="n">
        <v>35</v>
      </c>
      <c r="C11515" s="0" t="n">
        <v>1.85</v>
      </c>
      <c r="D11515" s="0" t="n">
        <v>0</v>
      </c>
    </row>
    <row r="11516" customFormat="false" ht="13.8" hidden="true" customHeight="false" outlineLevel="0" collapsed="false">
      <c r="A11516" s="0" t="s">
        <v>205</v>
      </c>
      <c r="B11516" s="0" t="n">
        <v>35</v>
      </c>
      <c r="C11516" s="0" t="n">
        <v>1.9</v>
      </c>
      <c r="D11516" s="0" t="n">
        <v>0</v>
      </c>
    </row>
    <row r="11517" customFormat="false" ht="13.8" hidden="true" customHeight="false" outlineLevel="0" collapsed="false">
      <c r="A11517" s="0" t="s">
        <v>205</v>
      </c>
      <c r="B11517" s="0" t="n">
        <v>35</v>
      </c>
      <c r="C11517" s="0" t="n">
        <v>1.95</v>
      </c>
      <c r="D11517" s="0" t="n">
        <v>0</v>
      </c>
    </row>
    <row r="11518" customFormat="false" ht="13.8" hidden="true" customHeight="false" outlineLevel="0" collapsed="false">
      <c r="A11518" s="0" t="s">
        <v>205</v>
      </c>
      <c r="B11518" s="0" t="n">
        <v>35</v>
      </c>
      <c r="C11518" s="0" t="n">
        <v>2</v>
      </c>
      <c r="D11518" s="0" t="n">
        <v>0</v>
      </c>
    </row>
    <row r="11519" customFormat="false" ht="13.8" hidden="true" customHeight="false" outlineLevel="0" collapsed="false">
      <c r="A11519" s="0" t="s">
        <v>205</v>
      </c>
      <c r="B11519" s="0" t="n">
        <v>35</v>
      </c>
      <c r="C11519" s="0" t="n">
        <v>2.05</v>
      </c>
      <c r="D11519" s="0" t="n">
        <v>0</v>
      </c>
    </row>
    <row r="11520" customFormat="false" ht="13.8" hidden="true" customHeight="false" outlineLevel="0" collapsed="false">
      <c r="A11520" s="0" t="s">
        <v>205</v>
      </c>
      <c r="B11520" s="0" t="n">
        <v>35</v>
      </c>
      <c r="C11520" s="0" t="n">
        <v>2.1</v>
      </c>
      <c r="D11520" s="0" t="n">
        <v>0</v>
      </c>
    </row>
    <row r="11521" customFormat="false" ht="13.8" hidden="true" customHeight="false" outlineLevel="0" collapsed="false">
      <c r="A11521" s="0" t="s">
        <v>205</v>
      </c>
      <c r="B11521" s="0" t="n">
        <v>35</v>
      </c>
      <c r="C11521" s="0" t="n">
        <v>2.15</v>
      </c>
      <c r="D11521" s="0" t="n">
        <v>0</v>
      </c>
    </row>
    <row r="11522" customFormat="false" ht="13.8" hidden="true" customHeight="false" outlineLevel="0" collapsed="false">
      <c r="A11522" s="0" t="s">
        <v>205</v>
      </c>
      <c r="B11522" s="0" t="n">
        <v>35</v>
      </c>
      <c r="C11522" s="0" t="n">
        <v>2.2</v>
      </c>
      <c r="D11522" s="0" t="n">
        <v>1.617</v>
      </c>
    </row>
    <row r="11523" customFormat="false" ht="13.8" hidden="true" customHeight="false" outlineLevel="0" collapsed="false">
      <c r="A11523" s="0" t="s">
        <v>205</v>
      </c>
      <c r="B11523" s="0" t="n">
        <v>35</v>
      </c>
      <c r="C11523" s="0" t="n">
        <v>2.25</v>
      </c>
      <c r="D11523" s="0" t="n">
        <v>1.65375</v>
      </c>
    </row>
    <row r="11524" customFormat="false" ht="13.8" hidden="true" customHeight="false" outlineLevel="0" collapsed="false">
      <c r="A11524" s="0" t="s">
        <v>205</v>
      </c>
      <c r="B11524" s="0" t="n">
        <v>35</v>
      </c>
      <c r="C11524" s="0" t="n">
        <v>2.3</v>
      </c>
      <c r="D11524" s="0" t="n">
        <v>1.6905</v>
      </c>
    </row>
    <row r="11525" customFormat="false" ht="13.8" hidden="true" customHeight="false" outlineLevel="0" collapsed="false">
      <c r="A11525" s="0" t="s">
        <v>205</v>
      </c>
      <c r="B11525" s="0" t="n">
        <v>35</v>
      </c>
      <c r="C11525" s="0" t="n">
        <v>2.35</v>
      </c>
      <c r="D11525" s="0" t="n">
        <v>1.72725</v>
      </c>
    </row>
    <row r="11526" customFormat="false" ht="13.8" hidden="true" customHeight="false" outlineLevel="0" collapsed="false">
      <c r="A11526" s="0" t="s">
        <v>205</v>
      </c>
      <c r="B11526" s="0" t="n">
        <v>35</v>
      </c>
      <c r="C11526" s="0" t="n">
        <v>2.4</v>
      </c>
      <c r="D11526" s="0" t="n">
        <v>1.764</v>
      </c>
    </row>
    <row r="11527" customFormat="false" ht="13.8" hidden="true" customHeight="false" outlineLevel="0" collapsed="false">
      <c r="A11527" s="0" t="s">
        <v>205</v>
      </c>
      <c r="B11527" s="0" t="n">
        <v>35</v>
      </c>
      <c r="C11527" s="0" t="n">
        <v>2.45</v>
      </c>
      <c r="D11527" s="0" t="n">
        <v>1.80075</v>
      </c>
    </row>
    <row r="11528" customFormat="false" ht="13.8" hidden="true" customHeight="false" outlineLevel="0" collapsed="false">
      <c r="A11528" s="0" t="s">
        <v>205</v>
      </c>
      <c r="B11528" s="0" t="n">
        <v>35</v>
      </c>
      <c r="C11528" s="0" t="n">
        <v>2.5</v>
      </c>
      <c r="D11528" s="0" t="n">
        <v>1.8375</v>
      </c>
    </row>
    <row r="11529" customFormat="false" ht="13.8" hidden="true" customHeight="false" outlineLevel="0" collapsed="false">
      <c r="A11529" s="0" t="s">
        <v>205</v>
      </c>
      <c r="B11529" s="0" t="n">
        <v>35</v>
      </c>
      <c r="C11529" s="0" t="n">
        <v>2.55</v>
      </c>
      <c r="D11529" s="0" t="n">
        <v>1.87425</v>
      </c>
    </row>
    <row r="11530" customFormat="false" ht="13.8" hidden="true" customHeight="false" outlineLevel="0" collapsed="false">
      <c r="A11530" s="0" t="s">
        <v>205</v>
      </c>
      <c r="B11530" s="0" t="n">
        <v>35</v>
      </c>
      <c r="C11530" s="0" t="n">
        <v>2.6</v>
      </c>
      <c r="D11530" s="0" t="n">
        <v>1.911</v>
      </c>
    </row>
    <row r="11531" customFormat="false" ht="13.8" hidden="true" customHeight="false" outlineLevel="0" collapsed="false">
      <c r="A11531" s="0" t="s">
        <v>326</v>
      </c>
      <c r="B11531" s="0" t="n">
        <v>35</v>
      </c>
      <c r="C11531" s="0" t="n">
        <v>1.3</v>
      </c>
      <c r="D11531" s="0" t="n">
        <v>0</v>
      </c>
    </row>
    <row r="11532" customFormat="false" ht="13.8" hidden="true" customHeight="false" outlineLevel="0" collapsed="false">
      <c r="A11532" s="0" t="s">
        <v>326</v>
      </c>
      <c r="B11532" s="0" t="n">
        <v>35</v>
      </c>
      <c r="C11532" s="0" t="n">
        <v>1.35</v>
      </c>
      <c r="D11532" s="0" t="n">
        <v>0</v>
      </c>
    </row>
    <row r="11533" customFormat="false" ht="13.8" hidden="true" customHeight="false" outlineLevel="0" collapsed="false">
      <c r="A11533" s="0" t="s">
        <v>326</v>
      </c>
      <c r="B11533" s="0" t="n">
        <v>35</v>
      </c>
      <c r="C11533" s="0" t="n">
        <v>1.4</v>
      </c>
      <c r="D11533" s="0" t="n">
        <v>0</v>
      </c>
    </row>
    <row r="11534" customFormat="false" ht="13.8" hidden="true" customHeight="false" outlineLevel="0" collapsed="false">
      <c r="A11534" s="0" t="s">
        <v>326</v>
      </c>
      <c r="B11534" s="0" t="n">
        <v>35</v>
      </c>
      <c r="C11534" s="0" t="n">
        <v>1.45</v>
      </c>
      <c r="D11534" s="0" t="n">
        <v>0</v>
      </c>
    </row>
    <row r="11535" customFormat="false" ht="13.8" hidden="true" customHeight="false" outlineLevel="0" collapsed="false">
      <c r="A11535" s="0" t="s">
        <v>326</v>
      </c>
      <c r="B11535" s="0" t="n">
        <v>35</v>
      </c>
      <c r="C11535" s="0" t="n">
        <v>1.5</v>
      </c>
      <c r="D11535" s="0" t="n">
        <v>0</v>
      </c>
    </row>
    <row r="11536" customFormat="false" ht="13.8" hidden="true" customHeight="false" outlineLevel="0" collapsed="false">
      <c r="A11536" s="0" t="s">
        <v>326</v>
      </c>
      <c r="B11536" s="0" t="n">
        <v>35</v>
      </c>
      <c r="C11536" s="0" t="n">
        <v>1.55</v>
      </c>
      <c r="D11536" s="0" t="n">
        <v>0</v>
      </c>
    </row>
    <row r="11537" customFormat="false" ht="13.8" hidden="true" customHeight="false" outlineLevel="0" collapsed="false">
      <c r="A11537" s="0" t="s">
        <v>326</v>
      </c>
      <c r="B11537" s="0" t="n">
        <v>35</v>
      </c>
      <c r="C11537" s="0" t="n">
        <v>1.6</v>
      </c>
      <c r="D11537" s="0" t="n">
        <v>0</v>
      </c>
    </row>
    <row r="11538" customFormat="false" ht="13.8" hidden="true" customHeight="false" outlineLevel="0" collapsed="false">
      <c r="A11538" s="0" t="s">
        <v>326</v>
      </c>
      <c r="B11538" s="0" t="n">
        <v>35</v>
      </c>
      <c r="C11538" s="0" t="n">
        <v>1.65</v>
      </c>
      <c r="D11538" s="0" t="n">
        <v>0</v>
      </c>
    </row>
    <row r="11539" customFormat="false" ht="13.8" hidden="true" customHeight="false" outlineLevel="0" collapsed="false">
      <c r="A11539" s="0" t="s">
        <v>326</v>
      </c>
      <c r="B11539" s="0" t="n">
        <v>35</v>
      </c>
      <c r="C11539" s="0" t="n">
        <v>1.7</v>
      </c>
      <c r="D11539" s="0" t="n">
        <v>0</v>
      </c>
    </row>
    <row r="11540" customFormat="false" ht="13.8" hidden="true" customHeight="false" outlineLevel="0" collapsed="false">
      <c r="A11540" s="0" t="s">
        <v>326</v>
      </c>
      <c r="B11540" s="0" t="n">
        <v>35</v>
      </c>
      <c r="C11540" s="0" t="n">
        <v>1.75</v>
      </c>
      <c r="D11540" s="0" t="n">
        <v>0</v>
      </c>
    </row>
    <row r="11541" customFormat="false" ht="13.8" hidden="true" customHeight="false" outlineLevel="0" collapsed="false">
      <c r="A11541" s="0" t="s">
        <v>326</v>
      </c>
      <c r="B11541" s="0" t="n">
        <v>35</v>
      </c>
      <c r="C11541" s="0" t="n">
        <v>1.8</v>
      </c>
      <c r="D11541" s="0" t="n">
        <v>0</v>
      </c>
    </row>
    <row r="11542" customFormat="false" ht="13.8" hidden="true" customHeight="false" outlineLevel="0" collapsed="false">
      <c r="A11542" s="0" t="s">
        <v>326</v>
      </c>
      <c r="B11542" s="0" t="n">
        <v>35</v>
      </c>
      <c r="C11542" s="0" t="n">
        <v>1.85</v>
      </c>
      <c r="D11542" s="0" t="n">
        <v>0</v>
      </c>
    </row>
    <row r="11543" customFormat="false" ht="13.8" hidden="true" customHeight="false" outlineLevel="0" collapsed="false">
      <c r="A11543" s="0" t="s">
        <v>326</v>
      </c>
      <c r="B11543" s="0" t="n">
        <v>35</v>
      </c>
      <c r="C11543" s="0" t="n">
        <v>1.9</v>
      </c>
      <c r="D11543" s="0" t="n">
        <v>0</v>
      </c>
    </row>
    <row r="11544" customFormat="false" ht="13.8" hidden="true" customHeight="false" outlineLevel="0" collapsed="false">
      <c r="A11544" s="0" t="s">
        <v>326</v>
      </c>
      <c r="B11544" s="0" t="n">
        <v>35</v>
      </c>
      <c r="C11544" s="0" t="n">
        <v>1.95</v>
      </c>
      <c r="D11544" s="0" t="n">
        <v>0</v>
      </c>
    </row>
    <row r="11545" customFormat="false" ht="13.8" hidden="true" customHeight="false" outlineLevel="0" collapsed="false">
      <c r="A11545" s="0" t="s">
        <v>326</v>
      </c>
      <c r="B11545" s="0" t="n">
        <v>35</v>
      </c>
      <c r="C11545" s="0" t="n">
        <v>2</v>
      </c>
      <c r="D11545" s="0" t="n">
        <v>0</v>
      </c>
    </row>
    <row r="11546" customFormat="false" ht="13.8" hidden="true" customHeight="false" outlineLevel="0" collapsed="false">
      <c r="A11546" s="0" t="s">
        <v>326</v>
      </c>
      <c r="B11546" s="0" t="n">
        <v>35</v>
      </c>
      <c r="C11546" s="0" t="n">
        <v>2.05</v>
      </c>
      <c r="D11546" s="0" t="n">
        <v>0</v>
      </c>
    </row>
    <row r="11547" customFormat="false" ht="13.8" hidden="true" customHeight="false" outlineLevel="0" collapsed="false">
      <c r="A11547" s="0" t="s">
        <v>326</v>
      </c>
      <c r="B11547" s="0" t="n">
        <v>35</v>
      </c>
      <c r="C11547" s="0" t="n">
        <v>2.1</v>
      </c>
      <c r="D11547" s="0" t="n">
        <v>0</v>
      </c>
    </row>
    <row r="11548" customFormat="false" ht="13.8" hidden="true" customHeight="false" outlineLevel="0" collapsed="false">
      <c r="A11548" s="0" t="s">
        <v>326</v>
      </c>
      <c r="B11548" s="0" t="n">
        <v>35</v>
      </c>
      <c r="C11548" s="0" t="n">
        <v>2.15</v>
      </c>
      <c r="D11548" s="0" t="n">
        <v>0</v>
      </c>
    </row>
    <row r="11549" customFormat="false" ht="13.8" hidden="true" customHeight="false" outlineLevel="0" collapsed="false">
      <c r="A11549" s="0" t="s">
        <v>326</v>
      </c>
      <c r="B11549" s="0" t="n">
        <v>35</v>
      </c>
      <c r="C11549" s="0" t="n">
        <v>2.2</v>
      </c>
      <c r="D11549" s="0" t="n">
        <v>1.617</v>
      </c>
    </row>
    <row r="11550" customFormat="false" ht="13.8" hidden="true" customHeight="false" outlineLevel="0" collapsed="false">
      <c r="A11550" s="0" t="s">
        <v>326</v>
      </c>
      <c r="B11550" s="0" t="n">
        <v>35</v>
      </c>
      <c r="C11550" s="0" t="n">
        <v>2.25</v>
      </c>
      <c r="D11550" s="0" t="n">
        <v>1.65375</v>
      </c>
    </row>
    <row r="11551" customFormat="false" ht="13.8" hidden="true" customHeight="false" outlineLevel="0" collapsed="false">
      <c r="A11551" s="0" t="s">
        <v>326</v>
      </c>
      <c r="B11551" s="0" t="n">
        <v>35</v>
      </c>
      <c r="C11551" s="0" t="n">
        <v>2.3</v>
      </c>
      <c r="D11551" s="0" t="n">
        <v>1.6905</v>
      </c>
    </row>
    <row r="11552" customFormat="false" ht="13.8" hidden="true" customHeight="false" outlineLevel="0" collapsed="false">
      <c r="A11552" s="0" t="s">
        <v>326</v>
      </c>
      <c r="B11552" s="0" t="n">
        <v>35</v>
      </c>
      <c r="C11552" s="0" t="n">
        <v>2.35</v>
      </c>
      <c r="D11552" s="0" t="n">
        <v>1.72725</v>
      </c>
    </row>
    <row r="11553" customFormat="false" ht="13.8" hidden="true" customHeight="false" outlineLevel="0" collapsed="false">
      <c r="A11553" s="0" t="s">
        <v>326</v>
      </c>
      <c r="B11553" s="0" t="n">
        <v>35</v>
      </c>
      <c r="C11553" s="0" t="n">
        <v>2.4</v>
      </c>
      <c r="D11553" s="0" t="n">
        <v>1.764</v>
      </c>
    </row>
    <row r="11554" customFormat="false" ht="13.8" hidden="true" customHeight="false" outlineLevel="0" collapsed="false">
      <c r="A11554" s="0" t="s">
        <v>326</v>
      </c>
      <c r="B11554" s="0" t="n">
        <v>35</v>
      </c>
      <c r="C11554" s="0" t="n">
        <v>2.45</v>
      </c>
      <c r="D11554" s="0" t="n">
        <v>1.80075</v>
      </c>
    </row>
    <row r="11555" customFormat="false" ht="13.8" hidden="true" customHeight="false" outlineLevel="0" collapsed="false">
      <c r="A11555" s="0" t="s">
        <v>326</v>
      </c>
      <c r="B11555" s="0" t="n">
        <v>35</v>
      </c>
      <c r="C11555" s="0" t="n">
        <v>2.5</v>
      </c>
      <c r="D11555" s="0" t="n">
        <v>1.8375</v>
      </c>
    </row>
    <row r="11556" customFormat="false" ht="13.8" hidden="true" customHeight="false" outlineLevel="0" collapsed="false">
      <c r="A11556" s="0" t="s">
        <v>326</v>
      </c>
      <c r="B11556" s="0" t="n">
        <v>35</v>
      </c>
      <c r="C11556" s="0" t="n">
        <v>2.55</v>
      </c>
      <c r="D11556" s="0" t="n">
        <v>1.87425</v>
      </c>
    </row>
    <row r="11557" customFormat="false" ht="13.8" hidden="true" customHeight="false" outlineLevel="0" collapsed="false">
      <c r="A11557" s="0" t="s">
        <v>326</v>
      </c>
      <c r="B11557" s="0" t="n">
        <v>35</v>
      </c>
      <c r="C11557" s="0" t="n">
        <v>2.6</v>
      </c>
      <c r="D11557" s="0" t="n">
        <v>1.911</v>
      </c>
    </row>
    <row r="11558" customFormat="false" ht="13.8" hidden="true" customHeight="false" outlineLevel="0" collapsed="false">
      <c r="A11558" s="0" t="s">
        <v>206</v>
      </c>
      <c r="B11558" s="0" t="n">
        <v>35</v>
      </c>
      <c r="C11558" s="0" t="n">
        <v>1.3</v>
      </c>
      <c r="D11558" s="0" t="n">
        <v>0</v>
      </c>
    </row>
    <row r="11559" customFormat="false" ht="13.8" hidden="true" customHeight="false" outlineLevel="0" collapsed="false">
      <c r="A11559" s="0" t="s">
        <v>206</v>
      </c>
      <c r="B11559" s="0" t="n">
        <v>35</v>
      </c>
      <c r="C11559" s="0" t="n">
        <v>1.35</v>
      </c>
      <c r="D11559" s="0" t="n">
        <v>0</v>
      </c>
    </row>
    <row r="11560" customFormat="false" ht="13.8" hidden="true" customHeight="false" outlineLevel="0" collapsed="false">
      <c r="A11560" s="0" t="s">
        <v>206</v>
      </c>
      <c r="B11560" s="0" t="n">
        <v>35</v>
      </c>
      <c r="C11560" s="0" t="n">
        <v>1.4</v>
      </c>
      <c r="D11560" s="0" t="n">
        <v>0</v>
      </c>
    </row>
    <row r="11561" customFormat="false" ht="13.8" hidden="true" customHeight="false" outlineLevel="0" collapsed="false">
      <c r="A11561" s="0" t="s">
        <v>206</v>
      </c>
      <c r="B11561" s="0" t="n">
        <v>35</v>
      </c>
      <c r="C11561" s="0" t="n">
        <v>1.45</v>
      </c>
      <c r="D11561" s="0" t="n">
        <v>0</v>
      </c>
    </row>
    <row r="11562" customFormat="false" ht="13.8" hidden="true" customHeight="false" outlineLevel="0" collapsed="false">
      <c r="A11562" s="0" t="s">
        <v>206</v>
      </c>
      <c r="B11562" s="0" t="n">
        <v>35</v>
      </c>
      <c r="C11562" s="0" t="n">
        <v>1.5</v>
      </c>
      <c r="D11562" s="0" t="n">
        <v>0</v>
      </c>
    </row>
    <row r="11563" customFormat="false" ht="13.8" hidden="true" customHeight="false" outlineLevel="0" collapsed="false">
      <c r="A11563" s="0" t="s">
        <v>206</v>
      </c>
      <c r="B11563" s="0" t="n">
        <v>35</v>
      </c>
      <c r="C11563" s="0" t="n">
        <v>1.55</v>
      </c>
      <c r="D11563" s="0" t="n">
        <v>0</v>
      </c>
    </row>
    <row r="11564" customFormat="false" ht="13.8" hidden="true" customHeight="false" outlineLevel="0" collapsed="false">
      <c r="A11564" s="0" t="s">
        <v>206</v>
      </c>
      <c r="B11564" s="0" t="n">
        <v>35</v>
      </c>
      <c r="C11564" s="0" t="n">
        <v>1.6</v>
      </c>
      <c r="D11564" s="0" t="n">
        <v>0</v>
      </c>
    </row>
    <row r="11565" customFormat="false" ht="13.8" hidden="true" customHeight="false" outlineLevel="0" collapsed="false">
      <c r="A11565" s="0" t="s">
        <v>206</v>
      </c>
      <c r="B11565" s="0" t="n">
        <v>35</v>
      </c>
      <c r="C11565" s="0" t="n">
        <v>1.65</v>
      </c>
      <c r="D11565" s="0" t="n">
        <v>0</v>
      </c>
    </row>
    <row r="11566" customFormat="false" ht="13.8" hidden="true" customHeight="false" outlineLevel="0" collapsed="false">
      <c r="A11566" s="0" t="s">
        <v>206</v>
      </c>
      <c r="B11566" s="0" t="n">
        <v>35</v>
      </c>
      <c r="C11566" s="0" t="n">
        <v>1.7</v>
      </c>
      <c r="D11566" s="0" t="n">
        <v>0</v>
      </c>
    </row>
    <row r="11567" customFormat="false" ht="13.8" hidden="true" customHeight="false" outlineLevel="0" collapsed="false">
      <c r="A11567" s="0" t="s">
        <v>206</v>
      </c>
      <c r="B11567" s="0" t="n">
        <v>35</v>
      </c>
      <c r="C11567" s="0" t="n">
        <v>1.75</v>
      </c>
      <c r="D11567" s="0" t="n">
        <v>0</v>
      </c>
    </row>
    <row r="11568" customFormat="false" ht="13.8" hidden="true" customHeight="false" outlineLevel="0" collapsed="false">
      <c r="A11568" s="0" t="s">
        <v>206</v>
      </c>
      <c r="B11568" s="0" t="n">
        <v>35</v>
      </c>
      <c r="C11568" s="0" t="n">
        <v>1.8</v>
      </c>
      <c r="D11568" s="0" t="n">
        <v>0</v>
      </c>
    </row>
    <row r="11569" customFormat="false" ht="13.8" hidden="true" customHeight="false" outlineLevel="0" collapsed="false">
      <c r="A11569" s="0" t="s">
        <v>206</v>
      </c>
      <c r="B11569" s="0" t="n">
        <v>35</v>
      </c>
      <c r="C11569" s="0" t="n">
        <v>1.85</v>
      </c>
      <c r="D11569" s="0" t="n">
        <v>0</v>
      </c>
    </row>
    <row r="11570" customFormat="false" ht="13.8" hidden="true" customHeight="false" outlineLevel="0" collapsed="false">
      <c r="A11570" s="0" t="s">
        <v>206</v>
      </c>
      <c r="B11570" s="0" t="n">
        <v>35</v>
      </c>
      <c r="C11570" s="0" t="n">
        <v>1.9</v>
      </c>
      <c r="D11570" s="0" t="n">
        <v>0</v>
      </c>
    </row>
    <row r="11571" customFormat="false" ht="13.8" hidden="true" customHeight="false" outlineLevel="0" collapsed="false">
      <c r="A11571" s="0" t="s">
        <v>206</v>
      </c>
      <c r="B11571" s="0" t="n">
        <v>35</v>
      </c>
      <c r="C11571" s="0" t="n">
        <v>1.95</v>
      </c>
      <c r="D11571" s="0" t="n">
        <v>0</v>
      </c>
    </row>
    <row r="11572" customFormat="false" ht="13.8" hidden="true" customHeight="false" outlineLevel="0" collapsed="false">
      <c r="A11572" s="0" t="s">
        <v>206</v>
      </c>
      <c r="B11572" s="0" t="n">
        <v>35</v>
      </c>
      <c r="C11572" s="0" t="n">
        <v>2</v>
      </c>
      <c r="D11572" s="0" t="n">
        <v>0</v>
      </c>
    </row>
    <row r="11573" customFormat="false" ht="13.8" hidden="true" customHeight="false" outlineLevel="0" collapsed="false">
      <c r="A11573" s="0" t="s">
        <v>206</v>
      </c>
      <c r="B11573" s="0" t="n">
        <v>35</v>
      </c>
      <c r="C11573" s="0" t="n">
        <v>2.05</v>
      </c>
      <c r="D11573" s="0" t="n">
        <v>0</v>
      </c>
    </row>
    <row r="11574" customFormat="false" ht="13.8" hidden="true" customHeight="false" outlineLevel="0" collapsed="false">
      <c r="A11574" s="0" t="s">
        <v>206</v>
      </c>
      <c r="B11574" s="0" t="n">
        <v>35</v>
      </c>
      <c r="C11574" s="0" t="n">
        <v>2.1</v>
      </c>
      <c r="D11574" s="0" t="n">
        <v>0</v>
      </c>
    </row>
    <row r="11575" customFormat="false" ht="13.8" hidden="true" customHeight="false" outlineLevel="0" collapsed="false">
      <c r="A11575" s="0" t="s">
        <v>206</v>
      </c>
      <c r="B11575" s="0" t="n">
        <v>35</v>
      </c>
      <c r="C11575" s="0" t="n">
        <v>2.15</v>
      </c>
      <c r="D11575" s="0" t="n">
        <v>0</v>
      </c>
    </row>
    <row r="11576" customFormat="false" ht="13.8" hidden="true" customHeight="false" outlineLevel="0" collapsed="false">
      <c r="A11576" s="0" t="s">
        <v>206</v>
      </c>
      <c r="B11576" s="0" t="n">
        <v>35</v>
      </c>
      <c r="C11576" s="0" t="n">
        <v>2.2</v>
      </c>
      <c r="D11576" s="0" t="n">
        <v>1.617</v>
      </c>
    </row>
    <row r="11577" customFormat="false" ht="13.8" hidden="true" customHeight="false" outlineLevel="0" collapsed="false">
      <c r="A11577" s="0" t="s">
        <v>206</v>
      </c>
      <c r="B11577" s="0" t="n">
        <v>35</v>
      </c>
      <c r="C11577" s="0" t="n">
        <v>2.25</v>
      </c>
      <c r="D11577" s="0" t="n">
        <v>1.65375</v>
      </c>
    </row>
    <row r="11578" customFormat="false" ht="13.8" hidden="true" customHeight="false" outlineLevel="0" collapsed="false">
      <c r="A11578" s="0" t="s">
        <v>206</v>
      </c>
      <c r="B11578" s="0" t="n">
        <v>35</v>
      </c>
      <c r="C11578" s="0" t="n">
        <v>2.3</v>
      </c>
      <c r="D11578" s="0" t="n">
        <v>1.6905</v>
      </c>
    </row>
    <row r="11579" customFormat="false" ht="13.8" hidden="true" customHeight="false" outlineLevel="0" collapsed="false">
      <c r="A11579" s="0" t="s">
        <v>206</v>
      </c>
      <c r="B11579" s="0" t="n">
        <v>35</v>
      </c>
      <c r="C11579" s="0" t="n">
        <v>2.35</v>
      </c>
      <c r="D11579" s="0" t="n">
        <v>1.72725</v>
      </c>
    </row>
    <row r="11580" customFormat="false" ht="13.8" hidden="true" customHeight="false" outlineLevel="0" collapsed="false">
      <c r="A11580" s="0" t="s">
        <v>206</v>
      </c>
      <c r="B11580" s="0" t="n">
        <v>35</v>
      </c>
      <c r="C11580" s="0" t="n">
        <v>2.4</v>
      </c>
      <c r="D11580" s="0" t="n">
        <v>1.764</v>
      </c>
    </row>
    <row r="11581" customFormat="false" ht="13.8" hidden="true" customHeight="false" outlineLevel="0" collapsed="false">
      <c r="A11581" s="0" t="s">
        <v>206</v>
      </c>
      <c r="B11581" s="0" t="n">
        <v>35</v>
      </c>
      <c r="C11581" s="0" t="n">
        <v>2.45</v>
      </c>
      <c r="D11581" s="0" t="n">
        <v>1.80075</v>
      </c>
    </row>
    <row r="11582" customFormat="false" ht="13.8" hidden="true" customHeight="false" outlineLevel="0" collapsed="false">
      <c r="A11582" s="0" t="s">
        <v>206</v>
      </c>
      <c r="B11582" s="0" t="n">
        <v>35</v>
      </c>
      <c r="C11582" s="0" t="n">
        <v>2.5</v>
      </c>
      <c r="D11582" s="0" t="n">
        <v>1.8375</v>
      </c>
    </row>
    <row r="11583" customFormat="false" ht="13.8" hidden="true" customHeight="false" outlineLevel="0" collapsed="false">
      <c r="A11583" s="0" t="s">
        <v>206</v>
      </c>
      <c r="B11583" s="0" t="n">
        <v>35</v>
      </c>
      <c r="C11583" s="0" t="n">
        <v>2.55</v>
      </c>
      <c r="D11583" s="0" t="n">
        <v>1.87425</v>
      </c>
    </row>
    <row r="11584" customFormat="false" ht="13.8" hidden="true" customHeight="false" outlineLevel="0" collapsed="false">
      <c r="A11584" s="0" t="s">
        <v>206</v>
      </c>
      <c r="B11584" s="0" t="n">
        <v>35</v>
      </c>
      <c r="C11584" s="0" t="n">
        <v>2.6</v>
      </c>
      <c r="D11584" s="0" t="n">
        <v>1.911</v>
      </c>
    </row>
    <row r="11585" customFormat="false" ht="13.8" hidden="true" customHeight="false" outlineLevel="0" collapsed="false">
      <c r="A11585" s="0" t="s">
        <v>207</v>
      </c>
      <c r="B11585" s="0" t="n">
        <v>35</v>
      </c>
      <c r="C11585" s="0" t="n">
        <v>1.3</v>
      </c>
      <c r="D11585" s="0" t="n">
        <v>0</v>
      </c>
    </row>
    <row r="11586" customFormat="false" ht="13.8" hidden="true" customHeight="false" outlineLevel="0" collapsed="false">
      <c r="A11586" s="0" t="s">
        <v>207</v>
      </c>
      <c r="B11586" s="0" t="n">
        <v>35</v>
      </c>
      <c r="C11586" s="0" t="n">
        <v>1.35</v>
      </c>
      <c r="D11586" s="0" t="n">
        <v>0</v>
      </c>
    </row>
    <row r="11587" customFormat="false" ht="13.8" hidden="true" customHeight="false" outlineLevel="0" collapsed="false">
      <c r="A11587" s="0" t="s">
        <v>207</v>
      </c>
      <c r="B11587" s="0" t="n">
        <v>35</v>
      </c>
      <c r="C11587" s="0" t="n">
        <v>1.4</v>
      </c>
      <c r="D11587" s="0" t="n">
        <v>0</v>
      </c>
    </row>
    <row r="11588" customFormat="false" ht="13.8" hidden="true" customHeight="false" outlineLevel="0" collapsed="false">
      <c r="A11588" s="0" t="s">
        <v>207</v>
      </c>
      <c r="B11588" s="0" t="n">
        <v>35</v>
      </c>
      <c r="C11588" s="0" t="n">
        <v>1.45</v>
      </c>
      <c r="D11588" s="0" t="n">
        <v>0</v>
      </c>
    </row>
    <row r="11589" customFormat="false" ht="13.8" hidden="true" customHeight="false" outlineLevel="0" collapsed="false">
      <c r="A11589" s="0" t="s">
        <v>207</v>
      </c>
      <c r="B11589" s="0" t="n">
        <v>35</v>
      </c>
      <c r="C11589" s="0" t="n">
        <v>1.5</v>
      </c>
      <c r="D11589" s="0" t="n">
        <v>0</v>
      </c>
    </row>
    <row r="11590" customFormat="false" ht="13.8" hidden="true" customHeight="false" outlineLevel="0" collapsed="false">
      <c r="A11590" s="0" t="s">
        <v>207</v>
      </c>
      <c r="B11590" s="0" t="n">
        <v>35</v>
      </c>
      <c r="C11590" s="0" t="n">
        <v>1.55</v>
      </c>
      <c r="D11590" s="0" t="n">
        <v>0</v>
      </c>
    </row>
    <row r="11591" customFormat="false" ht="13.8" hidden="true" customHeight="false" outlineLevel="0" collapsed="false">
      <c r="A11591" s="0" t="s">
        <v>207</v>
      </c>
      <c r="B11591" s="0" t="n">
        <v>35</v>
      </c>
      <c r="C11591" s="0" t="n">
        <v>1.6</v>
      </c>
      <c r="D11591" s="0" t="n">
        <v>0</v>
      </c>
    </row>
    <row r="11592" customFormat="false" ht="13.8" hidden="true" customHeight="false" outlineLevel="0" collapsed="false">
      <c r="A11592" s="0" t="s">
        <v>207</v>
      </c>
      <c r="B11592" s="0" t="n">
        <v>35</v>
      </c>
      <c r="C11592" s="0" t="n">
        <v>1.65</v>
      </c>
      <c r="D11592" s="0" t="n">
        <v>0</v>
      </c>
    </row>
    <row r="11593" customFormat="false" ht="13.8" hidden="true" customHeight="false" outlineLevel="0" collapsed="false">
      <c r="A11593" s="0" t="s">
        <v>207</v>
      </c>
      <c r="B11593" s="0" t="n">
        <v>35</v>
      </c>
      <c r="C11593" s="0" t="n">
        <v>1.7</v>
      </c>
      <c r="D11593" s="0" t="n">
        <v>0</v>
      </c>
    </row>
    <row r="11594" customFormat="false" ht="13.8" hidden="true" customHeight="false" outlineLevel="0" collapsed="false">
      <c r="A11594" s="0" t="s">
        <v>207</v>
      </c>
      <c r="B11594" s="0" t="n">
        <v>35</v>
      </c>
      <c r="C11594" s="0" t="n">
        <v>1.75</v>
      </c>
      <c r="D11594" s="0" t="n">
        <v>0</v>
      </c>
    </row>
    <row r="11595" customFormat="false" ht="13.8" hidden="true" customHeight="false" outlineLevel="0" collapsed="false">
      <c r="A11595" s="0" t="s">
        <v>207</v>
      </c>
      <c r="B11595" s="0" t="n">
        <v>35</v>
      </c>
      <c r="C11595" s="0" t="n">
        <v>1.8</v>
      </c>
      <c r="D11595" s="0" t="n">
        <v>0</v>
      </c>
    </row>
    <row r="11596" customFormat="false" ht="13.8" hidden="true" customHeight="false" outlineLevel="0" collapsed="false">
      <c r="A11596" s="0" t="s">
        <v>207</v>
      </c>
      <c r="B11596" s="0" t="n">
        <v>35</v>
      </c>
      <c r="C11596" s="0" t="n">
        <v>1.85</v>
      </c>
      <c r="D11596" s="0" t="n">
        <v>0</v>
      </c>
    </row>
    <row r="11597" customFormat="false" ht="13.8" hidden="true" customHeight="false" outlineLevel="0" collapsed="false">
      <c r="A11597" s="0" t="s">
        <v>207</v>
      </c>
      <c r="B11597" s="0" t="n">
        <v>35</v>
      </c>
      <c r="C11597" s="0" t="n">
        <v>1.9</v>
      </c>
      <c r="D11597" s="0" t="n">
        <v>0</v>
      </c>
    </row>
    <row r="11598" customFormat="false" ht="13.8" hidden="true" customHeight="false" outlineLevel="0" collapsed="false">
      <c r="A11598" s="0" t="s">
        <v>207</v>
      </c>
      <c r="B11598" s="0" t="n">
        <v>35</v>
      </c>
      <c r="C11598" s="0" t="n">
        <v>1.95</v>
      </c>
      <c r="D11598" s="0" t="n">
        <v>0</v>
      </c>
    </row>
    <row r="11599" customFormat="false" ht="13.8" hidden="true" customHeight="false" outlineLevel="0" collapsed="false">
      <c r="A11599" s="0" t="s">
        <v>207</v>
      </c>
      <c r="B11599" s="0" t="n">
        <v>35</v>
      </c>
      <c r="C11599" s="0" t="n">
        <v>2</v>
      </c>
      <c r="D11599" s="0" t="n">
        <v>0</v>
      </c>
    </row>
    <row r="11600" customFormat="false" ht="13.8" hidden="true" customHeight="false" outlineLevel="0" collapsed="false">
      <c r="A11600" s="0" t="s">
        <v>207</v>
      </c>
      <c r="B11600" s="0" t="n">
        <v>35</v>
      </c>
      <c r="C11600" s="0" t="n">
        <v>2.05</v>
      </c>
      <c r="D11600" s="0" t="n">
        <v>0</v>
      </c>
    </row>
    <row r="11601" customFormat="false" ht="13.8" hidden="true" customHeight="false" outlineLevel="0" collapsed="false">
      <c r="A11601" s="0" t="s">
        <v>207</v>
      </c>
      <c r="B11601" s="0" t="n">
        <v>35</v>
      </c>
      <c r="C11601" s="0" t="n">
        <v>2.1</v>
      </c>
      <c r="D11601" s="0" t="n">
        <v>0</v>
      </c>
    </row>
    <row r="11602" customFormat="false" ht="13.8" hidden="true" customHeight="false" outlineLevel="0" collapsed="false">
      <c r="A11602" s="0" t="s">
        <v>207</v>
      </c>
      <c r="B11602" s="0" t="n">
        <v>35</v>
      </c>
      <c r="C11602" s="0" t="n">
        <v>2.15</v>
      </c>
      <c r="D11602" s="0" t="n">
        <v>0</v>
      </c>
    </row>
    <row r="11603" customFormat="false" ht="13.8" hidden="true" customHeight="false" outlineLevel="0" collapsed="false">
      <c r="A11603" s="0" t="s">
        <v>207</v>
      </c>
      <c r="B11603" s="0" t="n">
        <v>35</v>
      </c>
      <c r="C11603" s="0" t="n">
        <v>2.2</v>
      </c>
      <c r="D11603" s="0" t="n">
        <v>1.617</v>
      </c>
    </row>
    <row r="11604" customFormat="false" ht="13.8" hidden="true" customHeight="false" outlineLevel="0" collapsed="false">
      <c r="A11604" s="0" t="s">
        <v>207</v>
      </c>
      <c r="B11604" s="0" t="n">
        <v>35</v>
      </c>
      <c r="C11604" s="0" t="n">
        <v>2.25</v>
      </c>
      <c r="D11604" s="0" t="n">
        <v>1.65375</v>
      </c>
    </row>
    <row r="11605" customFormat="false" ht="13.8" hidden="true" customHeight="false" outlineLevel="0" collapsed="false">
      <c r="A11605" s="0" t="s">
        <v>207</v>
      </c>
      <c r="B11605" s="0" t="n">
        <v>35</v>
      </c>
      <c r="C11605" s="0" t="n">
        <v>2.3</v>
      </c>
      <c r="D11605" s="0" t="n">
        <v>1.6905</v>
      </c>
    </row>
    <row r="11606" customFormat="false" ht="13.8" hidden="true" customHeight="false" outlineLevel="0" collapsed="false">
      <c r="A11606" s="0" t="s">
        <v>207</v>
      </c>
      <c r="B11606" s="0" t="n">
        <v>35</v>
      </c>
      <c r="C11606" s="0" t="n">
        <v>2.35</v>
      </c>
      <c r="D11606" s="0" t="n">
        <v>1.72725</v>
      </c>
    </row>
    <row r="11607" customFormat="false" ht="13.8" hidden="true" customHeight="false" outlineLevel="0" collapsed="false">
      <c r="A11607" s="0" t="s">
        <v>207</v>
      </c>
      <c r="B11607" s="0" t="n">
        <v>35</v>
      </c>
      <c r="C11607" s="0" t="n">
        <v>2.4</v>
      </c>
      <c r="D11607" s="0" t="n">
        <v>1.764</v>
      </c>
    </row>
    <row r="11608" customFormat="false" ht="13.8" hidden="true" customHeight="false" outlineLevel="0" collapsed="false">
      <c r="A11608" s="0" t="s">
        <v>207</v>
      </c>
      <c r="B11608" s="0" t="n">
        <v>35</v>
      </c>
      <c r="C11608" s="0" t="n">
        <v>2.45</v>
      </c>
      <c r="D11608" s="0" t="n">
        <v>1.80075</v>
      </c>
    </row>
    <row r="11609" customFormat="false" ht="13.8" hidden="true" customHeight="false" outlineLevel="0" collapsed="false">
      <c r="A11609" s="0" t="s">
        <v>207</v>
      </c>
      <c r="B11609" s="0" t="n">
        <v>35</v>
      </c>
      <c r="C11609" s="0" t="n">
        <v>2.5</v>
      </c>
      <c r="D11609" s="0" t="n">
        <v>1.8375</v>
      </c>
    </row>
    <row r="11610" customFormat="false" ht="13.8" hidden="true" customHeight="false" outlineLevel="0" collapsed="false">
      <c r="A11610" s="0" t="s">
        <v>207</v>
      </c>
      <c r="B11610" s="0" t="n">
        <v>35</v>
      </c>
      <c r="C11610" s="0" t="n">
        <v>2.55</v>
      </c>
      <c r="D11610" s="0" t="n">
        <v>1.87425</v>
      </c>
    </row>
    <row r="11611" customFormat="false" ht="13.8" hidden="true" customHeight="false" outlineLevel="0" collapsed="false">
      <c r="A11611" s="0" t="s">
        <v>207</v>
      </c>
      <c r="B11611" s="0" t="n">
        <v>35</v>
      </c>
      <c r="C11611" s="0" t="n">
        <v>2.6</v>
      </c>
      <c r="D11611" s="0" t="n">
        <v>1.911</v>
      </c>
    </row>
    <row r="11612" customFormat="false" ht="13.8" hidden="true" customHeight="false" outlineLevel="0" collapsed="false">
      <c r="A11612" s="0" t="s">
        <v>327</v>
      </c>
      <c r="B11612" s="0" t="n">
        <v>35</v>
      </c>
      <c r="C11612" s="0" t="n">
        <v>1.3</v>
      </c>
      <c r="D11612" s="0" t="n">
        <v>0</v>
      </c>
    </row>
    <row r="11613" customFormat="false" ht="13.8" hidden="true" customHeight="false" outlineLevel="0" collapsed="false">
      <c r="A11613" s="0" t="s">
        <v>327</v>
      </c>
      <c r="B11613" s="0" t="n">
        <v>35</v>
      </c>
      <c r="C11613" s="0" t="n">
        <v>1.35</v>
      </c>
      <c r="D11613" s="0" t="n">
        <v>0</v>
      </c>
    </row>
    <row r="11614" customFormat="false" ht="13.8" hidden="true" customHeight="false" outlineLevel="0" collapsed="false">
      <c r="A11614" s="0" t="s">
        <v>327</v>
      </c>
      <c r="B11614" s="0" t="n">
        <v>35</v>
      </c>
      <c r="C11614" s="0" t="n">
        <v>1.4</v>
      </c>
      <c r="D11614" s="0" t="n">
        <v>0</v>
      </c>
    </row>
    <row r="11615" customFormat="false" ht="13.8" hidden="true" customHeight="false" outlineLevel="0" collapsed="false">
      <c r="A11615" s="0" t="s">
        <v>327</v>
      </c>
      <c r="B11615" s="0" t="n">
        <v>35</v>
      </c>
      <c r="C11615" s="0" t="n">
        <v>1.45</v>
      </c>
      <c r="D11615" s="0" t="n">
        <v>0</v>
      </c>
    </row>
    <row r="11616" customFormat="false" ht="13.8" hidden="true" customHeight="false" outlineLevel="0" collapsed="false">
      <c r="A11616" s="0" t="s">
        <v>327</v>
      </c>
      <c r="B11616" s="0" t="n">
        <v>35</v>
      </c>
      <c r="C11616" s="0" t="n">
        <v>1.5</v>
      </c>
      <c r="D11616" s="0" t="n">
        <v>0</v>
      </c>
    </row>
    <row r="11617" customFormat="false" ht="13.8" hidden="true" customHeight="false" outlineLevel="0" collapsed="false">
      <c r="A11617" s="0" t="s">
        <v>327</v>
      </c>
      <c r="B11617" s="0" t="n">
        <v>35</v>
      </c>
      <c r="C11617" s="0" t="n">
        <v>1.55</v>
      </c>
      <c r="D11617" s="0" t="n">
        <v>0</v>
      </c>
    </row>
    <row r="11618" customFormat="false" ht="13.8" hidden="true" customHeight="false" outlineLevel="0" collapsed="false">
      <c r="A11618" s="0" t="s">
        <v>327</v>
      </c>
      <c r="B11618" s="0" t="n">
        <v>35</v>
      </c>
      <c r="C11618" s="0" t="n">
        <v>1.6</v>
      </c>
      <c r="D11618" s="0" t="n">
        <v>0</v>
      </c>
    </row>
    <row r="11619" customFormat="false" ht="13.8" hidden="true" customHeight="false" outlineLevel="0" collapsed="false">
      <c r="A11619" s="0" t="s">
        <v>327</v>
      </c>
      <c r="B11619" s="0" t="n">
        <v>35</v>
      </c>
      <c r="C11619" s="0" t="n">
        <v>1.65</v>
      </c>
      <c r="D11619" s="0" t="n">
        <v>0</v>
      </c>
    </row>
    <row r="11620" customFormat="false" ht="13.8" hidden="true" customHeight="false" outlineLevel="0" collapsed="false">
      <c r="A11620" s="0" t="s">
        <v>327</v>
      </c>
      <c r="B11620" s="0" t="n">
        <v>35</v>
      </c>
      <c r="C11620" s="0" t="n">
        <v>1.7</v>
      </c>
      <c r="D11620" s="0" t="n">
        <v>0</v>
      </c>
    </row>
    <row r="11621" customFormat="false" ht="13.8" hidden="true" customHeight="false" outlineLevel="0" collapsed="false">
      <c r="A11621" s="0" t="s">
        <v>327</v>
      </c>
      <c r="B11621" s="0" t="n">
        <v>35</v>
      </c>
      <c r="C11621" s="0" t="n">
        <v>1.75</v>
      </c>
      <c r="D11621" s="0" t="n">
        <v>0</v>
      </c>
    </row>
    <row r="11622" customFormat="false" ht="13.8" hidden="true" customHeight="false" outlineLevel="0" collapsed="false">
      <c r="A11622" s="0" t="s">
        <v>327</v>
      </c>
      <c r="B11622" s="0" t="n">
        <v>35</v>
      </c>
      <c r="C11622" s="0" t="n">
        <v>1.8</v>
      </c>
      <c r="D11622" s="0" t="n">
        <v>0</v>
      </c>
    </row>
    <row r="11623" customFormat="false" ht="13.8" hidden="true" customHeight="false" outlineLevel="0" collapsed="false">
      <c r="A11623" s="0" t="s">
        <v>327</v>
      </c>
      <c r="B11623" s="0" t="n">
        <v>35</v>
      </c>
      <c r="C11623" s="0" t="n">
        <v>1.85</v>
      </c>
      <c r="D11623" s="0" t="n">
        <v>0</v>
      </c>
    </row>
    <row r="11624" customFormat="false" ht="13.8" hidden="true" customHeight="false" outlineLevel="0" collapsed="false">
      <c r="A11624" s="0" t="s">
        <v>327</v>
      </c>
      <c r="B11624" s="0" t="n">
        <v>35</v>
      </c>
      <c r="C11624" s="0" t="n">
        <v>1.9</v>
      </c>
      <c r="D11624" s="0" t="n">
        <v>0</v>
      </c>
    </row>
    <row r="11625" customFormat="false" ht="13.8" hidden="true" customHeight="false" outlineLevel="0" collapsed="false">
      <c r="A11625" s="0" t="s">
        <v>327</v>
      </c>
      <c r="B11625" s="0" t="n">
        <v>35</v>
      </c>
      <c r="C11625" s="0" t="n">
        <v>1.95</v>
      </c>
      <c r="D11625" s="0" t="n">
        <v>0</v>
      </c>
    </row>
    <row r="11626" customFormat="false" ht="13.8" hidden="true" customHeight="false" outlineLevel="0" collapsed="false">
      <c r="A11626" s="0" t="s">
        <v>327</v>
      </c>
      <c r="B11626" s="0" t="n">
        <v>35</v>
      </c>
      <c r="C11626" s="0" t="n">
        <v>2</v>
      </c>
      <c r="D11626" s="0" t="n">
        <v>0</v>
      </c>
    </row>
    <row r="11627" customFormat="false" ht="13.8" hidden="true" customHeight="false" outlineLevel="0" collapsed="false">
      <c r="A11627" s="0" t="s">
        <v>327</v>
      </c>
      <c r="B11627" s="0" t="n">
        <v>35</v>
      </c>
      <c r="C11627" s="0" t="n">
        <v>2.05</v>
      </c>
      <c r="D11627" s="0" t="n">
        <v>0</v>
      </c>
    </row>
    <row r="11628" customFormat="false" ht="13.8" hidden="true" customHeight="false" outlineLevel="0" collapsed="false">
      <c r="A11628" s="0" t="s">
        <v>327</v>
      </c>
      <c r="B11628" s="0" t="n">
        <v>35</v>
      </c>
      <c r="C11628" s="0" t="n">
        <v>2.1</v>
      </c>
      <c r="D11628" s="0" t="n">
        <v>0</v>
      </c>
    </row>
    <row r="11629" customFormat="false" ht="13.8" hidden="true" customHeight="false" outlineLevel="0" collapsed="false">
      <c r="A11629" s="0" t="s">
        <v>327</v>
      </c>
      <c r="B11629" s="0" t="n">
        <v>35</v>
      </c>
      <c r="C11629" s="0" t="n">
        <v>2.15</v>
      </c>
      <c r="D11629" s="0" t="n">
        <v>0</v>
      </c>
    </row>
    <row r="11630" customFormat="false" ht="13.8" hidden="true" customHeight="false" outlineLevel="0" collapsed="false">
      <c r="A11630" s="0" t="s">
        <v>327</v>
      </c>
      <c r="B11630" s="0" t="n">
        <v>35</v>
      </c>
      <c r="C11630" s="0" t="n">
        <v>2.2</v>
      </c>
      <c r="D11630" s="0" t="n">
        <v>1.617</v>
      </c>
    </row>
    <row r="11631" customFormat="false" ht="13.8" hidden="true" customHeight="false" outlineLevel="0" collapsed="false">
      <c r="A11631" s="0" t="s">
        <v>327</v>
      </c>
      <c r="B11631" s="0" t="n">
        <v>35</v>
      </c>
      <c r="C11631" s="0" t="n">
        <v>2.25</v>
      </c>
      <c r="D11631" s="0" t="n">
        <v>1.65375</v>
      </c>
    </row>
    <row r="11632" customFormat="false" ht="13.8" hidden="true" customHeight="false" outlineLevel="0" collapsed="false">
      <c r="A11632" s="0" t="s">
        <v>327</v>
      </c>
      <c r="B11632" s="0" t="n">
        <v>35</v>
      </c>
      <c r="C11632" s="0" t="n">
        <v>2.3</v>
      </c>
      <c r="D11632" s="0" t="n">
        <v>1.6905</v>
      </c>
    </row>
    <row r="11633" customFormat="false" ht="13.8" hidden="true" customHeight="false" outlineLevel="0" collapsed="false">
      <c r="A11633" s="0" t="s">
        <v>327</v>
      </c>
      <c r="B11633" s="0" t="n">
        <v>35</v>
      </c>
      <c r="C11633" s="0" t="n">
        <v>2.35</v>
      </c>
      <c r="D11633" s="0" t="n">
        <v>1.72725</v>
      </c>
    </row>
    <row r="11634" customFormat="false" ht="13.8" hidden="true" customHeight="false" outlineLevel="0" collapsed="false">
      <c r="A11634" s="0" t="s">
        <v>327</v>
      </c>
      <c r="B11634" s="0" t="n">
        <v>35</v>
      </c>
      <c r="C11634" s="0" t="n">
        <v>2.4</v>
      </c>
      <c r="D11634" s="0" t="n">
        <v>1.764</v>
      </c>
    </row>
    <row r="11635" customFormat="false" ht="13.8" hidden="true" customHeight="false" outlineLevel="0" collapsed="false">
      <c r="A11635" s="0" t="s">
        <v>327</v>
      </c>
      <c r="B11635" s="0" t="n">
        <v>35</v>
      </c>
      <c r="C11635" s="0" t="n">
        <v>2.45</v>
      </c>
      <c r="D11635" s="0" t="n">
        <v>1.80075</v>
      </c>
    </row>
    <row r="11636" customFormat="false" ht="13.8" hidden="true" customHeight="false" outlineLevel="0" collapsed="false">
      <c r="A11636" s="0" t="s">
        <v>327</v>
      </c>
      <c r="B11636" s="0" t="n">
        <v>35</v>
      </c>
      <c r="C11636" s="0" t="n">
        <v>2.5</v>
      </c>
      <c r="D11636" s="0" t="n">
        <v>1.8375</v>
      </c>
    </row>
    <row r="11637" customFormat="false" ht="13.8" hidden="true" customHeight="false" outlineLevel="0" collapsed="false">
      <c r="A11637" s="0" t="s">
        <v>327</v>
      </c>
      <c r="B11637" s="0" t="n">
        <v>35</v>
      </c>
      <c r="C11637" s="0" t="n">
        <v>2.55</v>
      </c>
      <c r="D11637" s="0" t="n">
        <v>1.87425</v>
      </c>
    </row>
    <row r="11638" customFormat="false" ht="13.8" hidden="true" customHeight="false" outlineLevel="0" collapsed="false">
      <c r="A11638" s="0" t="s">
        <v>327</v>
      </c>
      <c r="B11638" s="0" t="n">
        <v>35</v>
      </c>
      <c r="C11638" s="0" t="n">
        <v>2.6</v>
      </c>
      <c r="D11638" s="0" t="n">
        <v>1.911</v>
      </c>
    </row>
    <row r="11639" customFormat="false" ht="13.8" hidden="true" customHeight="false" outlineLevel="0" collapsed="false">
      <c r="A11639" s="0" t="s">
        <v>208</v>
      </c>
      <c r="B11639" s="0" t="n">
        <v>35</v>
      </c>
      <c r="C11639" s="0" t="n">
        <v>1.3</v>
      </c>
      <c r="D11639" s="0" t="n">
        <v>0</v>
      </c>
    </row>
    <row r="11640" customFormat="false" ht="13.8" hidden="true" customHeight="false" outlineLevel="0" collapsed="false">
      <c r="A11640" s="0" t="s">
        <v>208</v>
      </c>
      <c r="B11640" s="0" t="n">
        <v>35</v>
      </c>
      <c r="C11640" s="0" t="n">
        <v>1.35</v>
      </c>
      <c r="D11640" s="0" t="n">
        <v>0</v>
      </c>
    </row>
    <row r="11641" customFormat="false" ht="13.8" hidden="true" customHeight="false" outlineLevel="0" collapsed="false">
      <c r="A11641" s="0" t="s">
        <v>208</v>
      </c>
      <c r="B11641" s="0" t="n">
        <v>35</v>
      </c>
      <c r="C11641" s="0" t="n">
        <v>1.4</v>
      </c>
      <c r="D11641" s="0" t="n">
        <v>0</v>
      </c>
    </row>
    <row r="11642" customFormat="false" ht="13.8" hidden="true" customHeight="false" outlineLevel="0" collapsed="false">
      <c r="A11642" s="0" t="s">
        <v>208</v>
      </c>
      <c r="B11642" s="0" t="n">
        <v>35</v>
      </c>
      <c r="C11642" s="0" t="n">
        <v>1.45</v>
      </c>
      <c r="D11642" s="0" t="n">
        <v>1.06575</v>
      </c>
    </row>
    <row r="11643" customFormat="false" ht="13.8" hidden="true" customHeight="false" outlineLevel="0" collapsed="false">
      <c r="A11643" s="0" t="s">
        <v>208</v>
      </c>
      <c r="B11643" s="0" t="n">
        <v>35</v>
      </c>
      <c r="C11643" s="0" t="n">
        <v>1.5</v>
      </c>
      <c r="D11643" s="0" t="n">
        <v>1.1025</v>
      </c>
    </row>
    <row r="11644" customFormat="false" ht="13.8" hidden="true" customHeight="false" outlineLevel="0" collapsed="false">
      <c r="A11644" s="0" t="s">
        <v>208</v>
      </c>
      <c r="B11644" s="0" t="n">
        <v>35</v>
      </c>
      <c r="C11644" s="0" t="n">
        <v>1.55</v>
      </c>
      <c r="D11644" s="0" t="n">
        <v>1.13925</v>
      </c>
    </row>
    <row r="11645" customFormat="false" ht="13.8" hidden="true" customHeight="false" outlineLevel="0" collapsed="false">
      <c r="A11645" s="0" t="s">
        <v>208</v>
      </c>
      <c r="B11645" s="0" t="n">
        <v>35</v>
      </c>
      <c r="C11645" s="0" t="n">
        <v>1.6</v>
      </c>
      <c r="D11645" s="0" t="n">
        <v>1.176</v>
      </c>
    </row>
    <row r="11646" customFormat="false" ht="13.8" hidden="true" customHeight="false" outlineLevel="0" collapsed="false">
      <c r="A11646" s="0" t="s">
        <v>208</v>
      </c>
      <c r="B11646" s="0" t="n">
        <v>35</v>
      </c>
      <c r="C11646" s="0" t="n">
        <v>1.65</v>
      </c>
      <c r="D11646" s="0" t="n">
        <v>1.21275</v>
      </c>
    </row>
    <row r="11647" customFormat="false" ht="13.8" hidden="true" customHeight="false" outlineLevel="0" collapsed="false">
      <c r="A11647" s="0" t="s">
        <v>208</v>
      </c>
      <c r="B11647" s="0" t="n">
        <v>35</v>
      </c>
      <c r="C11647" s="0" t="n">
        <v>1.7</v>
      </c>
      <c r="D11647" s="0" t="n">
        <v>1.2495</v>
      </c>
    </row>
    <row r="11648" customFormat="false" ht="13.8" hidden="true" customHeight="false" outlineLevel="0" collapsed="false">
      <c r="A11648" s="0" t="s">
        <v>208</v>
      </c>
      <c r="B11648" s="0" t="n">
        <v>35</v>
      </c>
      <c r="C11648" s="0" t="n">
        <v>1.75</v>
      </c>
      <c r="D11648" s="0" t="n">
        <v>1.28625</v>
      </c>
    </row>
    <row r="11649" customFormat="false" ht="13.8" hidden="true" customHeight="false" outlineLevel="0" collapsed="false">
      <c r="A11649" s="0" t="s">
        <v>208</v>
      </c>
      <c r="B11649" s="0" t="n">
        <v>35</v>
      </c>
      <c r="C11649" s="0" t="n">
        <v>1.8</v>
      </c>
      <c r="D11649" s="0" t="n">
        <v>1.323</v>
      </c>
    </row>
    <row r="11650" customFormat="false" ht="13.8" hidden="true" customHeight="false" outlineLevel="0" collapsed="false">
      <c r="A11650" s="0" t="s">
        <v>208</v>
      </c>
      <c r="B11650" s="0" t="n">
        <v>35</v>
      </c>
      <c r="C11650" s="0" t="n">
        <v>1.85</v>
      </c>
      <c r="D11650" s="0" t="n">
        <v>0</v>
      </c>
    </row>
    <row r="11651" customFormat="false" ht="13.8" hidden="true" customHeight="false" outlineLevel="0" collapsed="false">
      <c r="A11651" s="0" t="s">
        <v>208</v>
      </c>
      <c r="B11651" s="0" t="n">
        <v>35</v>
      </c>
      <c r="C11651" s="0" t="n">
        <v>1.9</v>
      </c>
      <c r="D11651" s="0" t="n">
        <v>0</v>
      </c>
    </row>
    <row r="11652" customFormat="false" ht="13.8" hidden="true" customHeight="false" outlineLevel="0" collapsed="false">
      <c r="A11652" s="0" t="s">
        <v>208</v>
      </c>
      <c r="B11652" s="0" t="n">
        <v>35</v>
      </c>
      <c r="C11652" s="0" t="n">
        <v>1.95</v>
      </c>
      <c r="D11652" s="0" t="n">
        <v>0</v>
      </c>
    </row>
    <row r="11653" customFormat="false" ht="13.8" hidden="true" customHeight="false" outlineLevel="0" collapsed="false">
      <c r="A11653" s="0" t="s">
        <v>208</v>
      </c>
      <c r="B11653" s="0" t="n">
        <v>35</v>
      </c>
      <c r="C11653" s="0" t="n">
        <v>2</v>
      </c>
      <c r="D11653" s="0" t="n">
        <v>0</v>
      </c>
    </row>
    <row r="11654" customFormat="false" ht="13.8" hidden="true" customHeight="false" outlineLevel="0" collapsed="false">
      <c r="A11654" s="0" t="s">
        <v>208</v>
      </c>
      <c r="B11654" s="0" t="n">
        <v>35</v>
      </c>
      <c r="C11654" s="0" t="n">
        <v>2.05</v>
      </c>
      <c r="D11654" s="0" t="n">
        <v>0</v>
      </c>
    </row>
    <row r="11655" customFormat="false" ht="13.8" hidden="true" customHeight="false" outlineLevel="0" collapsed="false">
      <c r="A11655" s="0" t="s">
        <v>208</v>
      </c>
      <c r="B11655" s="0" t="n">
        <v>35</v>
      </c>
      <c r="C11655" s="0" t="n">
        <v>2.1</v>
      </c>
      <c r="D11655" s="0" t="n">
        <v>0</v>
      </c>
    </row>
    <row r="11656" customFormat="false" ht="13.8" hidden="true" customHeight="false" outlineLevel="0" collapsed="false">
      <c r="A11656" s="0" t="s">
        <v>208</v>
      </c>
      <c r="B11656" s="0" t="n">
        <v>35</v>
      </c>
      <c r="C11656" s="0" t="n">
        <v>2.15</v>
      </c>
      <c r="D11656" s="0" t="n">
        <v>0</v>
      </c>
    </row>
    <row r="11657" customFormat="false" ht="13.8" hidden="true" customHeight="false" outlineLevel="0" collapsed="false">
      <c r="A11657" s="0" t="s">
        <v>208</v>
      </c>
      <c r="B11657" s="0" t="n">
        <v>35</v>
      </c>
      <c r="C11657" s="0" t="n">
        <v>2.2</v>
      </c>
      <c r="D11657" s="0" t="n">
        <v>0</v>
      </c>
    </row>
    <row r="11658" customFormat="false" ht="13.8" hidden="true" customHeight="false" outlineLevel="0" collapsed="false">
      <c r="A11658" s="0" t="s">
        <v>208</v>
      </c>
      <c r="B11658" s="0" t="n">
        <v>35</v>
      </c>
      <c r="C11658" s="0" t="n">
        <v>2.25</v>
      </c>
      <c r="D11658" s="0" t="n">
        <v>0</v>
      </c>
    </row>
    <row r="11659" customFormat="false" ht="13.8" hidden="true" customHeight="false" outlineLevel="0" collapsed="false">
      <c r="A11659" s="0" t="s">
        <v>208</v>
      </c>
      <c r="B11659" s="0" t="n">
        <v>35</v>
      </c>
      <c r="C11659" s="0" t="n">
        <v>2.3</v>
      </c>
      <c r="D11659" s="0" t="n">
        <v>0</v>
      </c>
    </row>
    <row r="11660" customFormat="false" ht="13.8" hidden="true" customHeight="false" outlineLevel="0" collapsed="false">
      <c r="A11660" s="0" t="s">
        <v>208</v>
      </c>
      <c r="B11660" s="0" t="n">
        <v>35</v>
      </c>
      <c r="C11660" s="0" t="n">
        <v>2.35</v>
      </c>
      <c r="D11660" s="0" t="n">
        <v>0</v>
      </c>
    </row>
    <row r="11661" customFormat="false" ht="13.8" hidden="true" customHeight="false" outlineLevel="0" collapsed="false">
      <c r="A11661" s="0" t="s">
        <v>208</v>
      </c>
      <c r="B11661" s="0" t="n">
        <v>35</v>
      </c>
      <c r="C11661" s="0" t="n">
        <v>2.4</v>
      </c>
      <c r="D11661" s="0" t="n">
        <v>0</v>
      </c>
    </row>
    <row r="11662" customFormat="false" ht="13.8" hidden="true" customHeight="false" outlineLevel="0" collapsed="false">
      <c r="A11662" s="0" t="s">
        <v>208</v>
      </c>
      <c r="B11662" s="0" t="n">
        <v>35</v>
      </c>
      <c r="C11662" s="0" t="n">
        <v>2.45</v>
      </c>
      <c r="D11662" s="0" t="n">
        <v>0</v>
      </c>
    </row>
    <row r="11663" customFormat="false" ht="13.8" hidden="true" customHeight="false" outlineLevel="0" collapsed="false">
      <c r="A11663" s="0" t="s">
        <v>208</v>
      </c>
      <c r="B11663" s="0" t="n">
        <v>35</v>
      </c>
      <c r="C11663" s="0" t="n">
        <v>2.5</v>
      </c>
      <c r="D11663" s="0" t="n">
        <v>0</v>
      </c>
    </row>
    <row r="11664" customFormat="false" ht="13.8" hidden="true" customHeight="false" outlineLevel="0" collapsed="false">
      <c r="A11664" s="0" t="s">
        <v>208</v>
      </c>
      <c r="B11664" s="0" t="n">
        <v>35</v>
      </c>
      <c r="C11664" s="0" t="n">
        <v>2.55</v>
      </c>
      <c r="D11664" s="0" t="n">
        <v>0</v>
      </c>
    </row>
    <row r="11665" customFormat="false" ht="13.8" hidden="true" customHeight="false" outlineLevel="0" collapsed="false">
      <c r="A11665" s="0" t="s">
        <v>208</v>
      </c>
      <c r="B11665" s="0" t="n">
        <v>35</v>
      </c>
      <c r="C11665" s="0" t="n">
        <v>2.6</v>
      </c>
      <c r="D11665" s="0" t="n">
        <v>0</v>
      </c>
    </row>
    <row r="11666" customFormat="false" ht="13.8" hidden="true" customHeight="false" outlineLevel="0" collapsed="false">
      <c r="A11666" s="0" t="s">
        <v>328</v>
      </c>
      <c r="B11666" s="0" t="n">
        <v>35</v>
      </c>
      <c r="C11666" s="0" t="n">
        <v>1.3</v>
      </c>
      <c r="D11666" s="0" t="n">
        <v>0</v>
      </c>
    </row>
    <row r="11667" customFormat="false" ht="13.8" hidden="true" customHeight="false" outlineLevel="0" collapsed="false">
      <c r="A11667" s="0" t="s">
        <v>328</v>
      </c>
      <c r="B11667" s="0" t="n">
        <v>35</v>
      </c>
      <c r="C11667" s="0" t="n">
        <v>1.35</v>
      </c>
      <c r="D11667" s="0" t="n">
        <v>0</v>
      </c>
    </row>
    <row r="11668" customFormat="false" ht="13.8" hidden="true" customHeight="false" outlineLevel="0" collapsed="false">
      <c r="A11668" s="0" t="s">
        <v>328</v>
      </c>
      <c r="B11668" s="0" t="n">
        <v>35</v>
      </c>
      <c r="C11668" s="0" t="n">
        <v>1.4</v>
      </c>
      <c r="D11668" s="0" t="n">
        <v>0</v>
      </c>
    </row>
    <row r="11669" customFormat="false" ht="13.8" hidden="true" customHeight="false" outlineLevel="0" collapsed="false">
      <c r="A11669" s="0" t="s">
        <v>328</v>
      </c>
      <c r="B11669" s="0" t="n">
        <v>35</v>
      </c>
      <c r="C11669" s="0" t="n">
        <v>1.45</v>
      </c>
      <c r="D11669" s="0" t="n">
        <v>0</v>
      </c>
    </row>
    <row r="11670" customFormat="false" ht="13.8" hidden="true" customHeight="false" outlineLevel="0" collapsed="false">
      <c r="A11670" s="0" t="s">
        <v>328</v>
      </c>
      <c r="B11670" s="0" t="n">
        <v>35</v>
      </c>
      <c r="C11670" s="0" t="n">
        <v>1.5</v>
      </c>
      <c r="D11670" s="0" t="n">
        <v>1.1025</v>
      </c>
    </row>
    <row r="11671" customFormat="false" ht="13.8" hidden="true" customHeight="false" outlineLevel="0" collapsed="false">
      <c r="A11671" s="0" t="s">
        <v>328</v>
      </c>
      <c r="B11671" s="0" t="n">
        <v>35</v>
      </c>
      <c r="C11671" s="0" t="n">
        <v>1.55</v>
      </c>
      <c r="D11671" s="0" t="n">
        <v>1.13925</v>
      </c>
    </row>
    <row r="11672" customFormat="false" ht="13.8" hidden="true" customHeight="false" outlineLevel="0" collapsed="false">
      <c r="A11672" s="0" t="s">
        <v>328</v>
      </c>
      <c r="B11672" s="0" t="n">
        <v>35</v>
      </c>
      <c r="C11672" s="0" t="n">
        <v>1.6</v>
      </c>
      <c r="D11672" s="0" t="n">
        <v>1.176</v>
      </c>
    </row>
    <row r="11673" customFormat="false" ht="13.8" hidden="true" customHeight="false" outlineLevel="0" collapsed="false">
      <c r="A11673" s="0" t="s">
        <v>328</v>
      </c>
      <c r="B11673" s="0" t="n">
        <v>35</v>
      </c>
      <c r="C11673" s="0" t="n">
        <v>1.65</v>
      </c>
      <c r="D11673" s="0" t="n">
        <v>1.21275</v>
      </c>
    </row>
    <row r="11674" customFormat="false" ht="13.8" hidden="true" customHeight="false" outlineLevel="0" collapsed="false">
      <c r="A11674" s="0" t="s">
        <v>328</v>
      </c>
      <c r="B11674" s="0" t="n">
        <v>35</v>
      </c>
      <c r="C11674" s="0" t="n">
        <v>1.7</v>
      </c>
      <c r="D11674" s="0" t="n">
        <v>1.2495</v>
      </c>
    </row>
    <row r="11675" customFormat="false" ht="13.8" hidden="true" customHeight="false" outlineLevel="0" collapsed="false">
      <c r="A11675" s="0" t="s">
        <v>328</v>
      </c>
      <c r="B11675" s="0" t="n">
        <v>35</v>
      </c>
      <c r="C11675" s="0" t="n">
        <v>1.75</v>
      </c>
      <c r="D11675" s="0" t="n">
        <v>1.28625</v>
      </c>
    </row>
    <row r="11676" customFormat="false" ht="13.8" hidden="true" customHeight="false" outlineLevel="0" collapsed="false">
      <c r="A11676" s="0" t="s">
        <v>328</v>
      </c>
      <c r="B11676" s="0" t="n">
        <v>35</v>
      </c>
      <c r="C11676" s="0" t="n">
        <v>1.8</v>
      </c>
      <c r="D11676" s="0" t="n">
        <v>1.323</v>
      </c>
    </row>
    <row r="11677" customFormat="false" ht="13.8" hidden="true" customHeight="false" outlineLevel="0" collapsed="false">
      <c r="A11677" s="0" t="s">
        <v>328</v>
      </c>
      <c r="B11677" s="0" t="n">
        <v>35</v>
      </c>
      <c r="C11677" s="0" t="n">
        <v>1.85</v>
      </c>
      <c r="D11677" s="0" t="n">
        <v>0</v>
      </c>
    </row>
    <row r="11678" customFormat="false" ht="13.8" hidden="true" customHeight="false" outlineLevel="0" collapsed="false">
      <c r="A11678" s="0" t="s">
        <v>328</v>
      </c>
      <c r="B11678" s="0" t="n">
        <v>35</v>
      </c>
      <c r="C11678" s="0" t="n">
        <v>1.9</v>
      </c>
      <c r="D11678" s="0" t="n">
        <v>0</v>
      </c>
    </row>
    <row r="11679" customFormat="false" ht="13.8" hidden="true" customHeight="false" outlineLevel="0" collapsed="false">
      <c r="A11679" s="0" t="s">
        <v>328</v>
      </c>
      <c r="B11679" s="0" t="n">
        <v>35</v>
      </c>
      <c r="C11679" s="0" t="n">
        <v>1.95</v>
      </c>
      <c r="D11679" s="0" t="n">
        <v>0</v>
      </c>
    </row>
    <row r="11680" customFormat="false" ht="13.8" hidden="true" customHeight="false" outlineLevel="0" collapsed="false">
      <c r="A11680" s="0" t="s">
        <v>328</v>
      </c>
      <c r="B11680" s="0" t="n">
        <v>35</v>
      </c>
      <c r="C11680" s="0" t="n">
        <v>2</v>
      </c>
      <c r="D11680" s="0" t="n">
        <v>0</v>
      </c>
    </row>
    <row r="11681" customFormat="false" ht="13.8" hidden="true" customHeight="false" outlineLevel="0" collapsed="false">
      <c r="A11681" s="0" t="s">
        <v>328</v>
      </c>
      <c r="B11681" s="0" t="n">
        <v>35</v>
      </c>
      <c r="C11681" s="0" t="n">
        <v>2.05</v>
      </c>
      <c r="D11681" s="0" t="n">
        <v>0</v>
      </c>
    </row>
    <row r="11682" customFormat="false" ht="13.8" hidden="true" customHeight="false" outlineLevel="0" collapsed="false">
      <c r="A11682" s="0" t="s">
        <v>328</v>
      </c>
      <c r="B11682" s="0" t="n">
        <v>35</v>
      </c>
      <c r="C11682" s="0" t="n">
        <v>2.1</v>
      </c>
      <c r="D11682" s="0" t="n">
        <v>0</v>
      </c>
    </row>
    <row r="11683" customFormat="false" ht="13.8" hidden="true" customHeight="false" outlineLevel="0" collapsed="false">
      <c r="A11683" s="0" t="s">
        <v>328</v>
      </c>
      <c r="B11683" s="0" t="n">
        <v>35</v>
      </c>
      <c r="C11683" s="0" t="n">
        <v>2.15</v>
      </c>
      <c r="D11683" s="0" t="n">
        <v>0</v>
      </c>
    </row>
    <row r="11684" customFormat="false" ht="13.8" hidden="true" customHeight="false" outlineLevel="0" collapsed="false">
      <c r="A11684" s="0" t="s">
        <v>328</v>
      </c>
      <c r="B11684" s="0" t="n">
        <v>35</v>
      </c>
      <c r="C11684" s="0" t="n">
        <v>2.2</v>
      </c>
      <c r="D11684" s="0" t="n">
        <v>0</v>
      </c>
    </row>
    <row r="11685" customFormat="false" ht="13.8" hidden="true" customHeight="false" outlineLevel="0" collapsed="false">
      <c r="A11685" s="0" t="s">
        <v>328</v>
      </c>
      <c r="B11685" s="0" t="n">
        <v>35</v>
      </c>
      <c r="C11685" s="0" t="n">
        <v>2.25</v>
      </c>
      <c r="D11685" s="0" t="n">
        <v>0</v>
      </c>
    </row>
    <row r="11686" customFormat="false" ht="13.8" hidden="true" customHeight="false" outlineLevel="0" collapsed="false">
      <c r="A11686" s="0" t="s">
        <v>328</v>
      </c>
      <c r="B11686" s="0" t="n">
        <v>35</v>
      </c>
      <c r="C11686" s="0" t="n">
        <v>2.3</v>
      </c>
      <c r="D11686" s="0" t="n">
        <v>0</v>
      </c>
    </row>
    <row r="11687" customFormat="false" ht="13.8" hidden="true" customHeight="false" outlineLevel="0" collapsed="false">
      <c r="A11687" s="0" t="s">
        <v>328</v>
      </c>
      <c r="B11687" s="0" t="n">
        <v>35</v>
      </c>
      <c r="C11687" s="0" t="n">
        <v>2.35</v>
      </c>
      <c r="D11687" s="0" t="n">
        <v>0</v>
      </c>
    </row>
    <row r="11688" customFormat="false" ht="13.8" hidden="true" customHeight="false" outlineLevel="0" collapsed="false">
      <c r="A11688" s="0" t="s">
        <v>328</v>
      </c>
      <c r="B11688" s="0" t="n">
        <v>35</v>
      </c>
      <c r="C11688" s="0" t="n">
        <v>2.4</v>
      </c>
      <c r="D11688" s="0" t="n">
        <v>0</v>
      </c>
    </row>
    <row r="11689" customFormat="false" ht="13.8" hidden="true" customHeight="false" outlineLevel="0" collapsed="false">
      <c r="A11689" s="0" t="s">
        <v>328</v>
      </c>
      <c r="B11689" s="0" t="n">
        <v>35</v>
      </c>
      <c r="C11689" s="0" t="n">
        <v>2.45</v>
      </c>
      <c r="D11689" s="0" t="n">
        <v>0</v>
      </c>
    </row>
    <row r="11690" customFormat="false" ht="13.8" hidden="true" customHeight="false" outlineLevel="0" collapsed="false">
      <c r="A11690" s="0" t="s">
        <v>328</v>
      </c>
      <c r="B11690" s="0" t="n">
        <v>35</v>
      </c>
      <c r="C11690" s="0" t="n">
        <v>2.5</v>
      </c>
      <c r="D11690" s="0" t="n">
        <v>0</v>
      </c>
    </row>
    <row r="11691" customFormat="false" ht="13.8" hidden="true" customHeight="false" outlineLevel="0" collapsed="false">
      <c r="A11691" s="0" t="s">
        <v>328</v>
      </c>
      <c r="B11691" s="0" t="n">
        <v>35</v>
      </c>
      <c r="C11691" s="0" t="n">
        <v>2.55</v>
      </c>
      <c r="D11691" s="0" t="n">
        <v>0</v>
      </c>
    </row>
    <row r="11692" customFormat="false" ht="13.8" hidden="true" customHeight="false" outlineLevel="0" collapsed="false">
      <c r="A11692" s="0" t="s">
        <v>328</v>
      </c>
      <c r="B11692" s="0" t="n">
        <v>35</v>
      </c>
      <c r="C11692" s="0" t="n">
        <v>2.6</v>
      </c>
      <c r="D11692" s="0" t="n">
        <v>0</v>
      </c>
    </row>
    <row r="11693" customFormat="false" ht="13.8" hidden="true" customHeight="false" outlineLevel="0" collapsed="false">
      <c r="A11693" s="0" t="s">
        <v>209</v>
      </c>
      <c r="B11693" s="0" t="n">
        <v>35</v>
      </c>
      <c r="C11693" s="0" t="n">
        <v>1.3</v>
      </c>
      <c r="D11693" s="0" t="n">
        <v>0</v>
      </c>
    </row>
    <row r="11694" customFormat="false" ht="13.8" hidden="true" customHeight="false" outlineLevel="0" collapsed="false">
      <c r="A11694" s="0" t="s">
        <v>209</v>
      </c>
      <c r="B11694" s="0" t="n">
        <v>35</v>
      </c>
      <c r="C11694" s="0" t="n">
        <v>1.35</v>
      </c>
      <c r="D11694" s="0" t="n">
        <v>0</v>
      </c>
    </row>
    <row r="11695" customFormat="false" ht="13.8" hidden="true" customHeight="false" outlineLevel="0" collapsed="false">
      <c r="A11695" s="0" t="s">
        <v>209</v>
      </c>
      <c r="B11695" s="0" t="n">
        <v>35</v>
      </c>
      <c r="C11695" s="0" t="n">
        <v>1.4</v>
      </c>
      <c r="D11695" s="0" t="n">
        <v>0</v>
      </c>
    </row>
    <row r="11696" customFormat="false" ht="13.8" hidden="true" customHeight="false" outlineLevel="0" collapsed="false">
      <c r="A11696" s="0" t="s">
        <v>209</v>
      </c>
      <c r="B11696" s="0" t="n">
        <v>35</v>
      </c>
      <c r="C11696" s="0" t="n">
        <v>1.45</v>
      </c>
      <c r="D11696" s="0" t="n">
        <v>1.06575</v>
      </c>
    </row>
    <row r="11697" customFormat="false" ht="13.8" hidden="true" customHeight="false" outlineLevel="0" collapsed="false">
      <c r="A11697" s="0" t="s">
        <v>209</v>
      </c>
      <c r="B11697" s="0" t="n">
        <v>35</v>
      </c>
      <c r="C11697" s="0" t="n">
        <v>1.5</v>
      </c>
      <c r="D11697" s="0" t="n">
        <v>1.1025</v>
      </c>
    </row>
    <row r="11698" customFormat="false" ht="13.8" hidden="true" customHeight="false" outlineLevel="0" collapsed="false">
      <c r="A11698" s="0" t="s">
        <v>209</v>
      </c>
      <c r="B11698" s="0" t="n">
        <v>35</v>
      </c>
      <c r="C11698" s="0" t="n">
        <v>1.55</v>
      </c>
      <c r="D11698" s="0" t="n">
        <v>1.13925</v>
      </c>
    </row>
    <row r="11699" customFormat="false" ht="13.8" hidden="true" customHeight="false" outlineLevel="0" collapsed="false">
      <c r="A11699" s="0" t="s">
        <v>209</v>
      </c>
      <c r="B11699" s="0" t="n">
        <v>35</v>
      </c>
      <c r="C11699" s="0" t="n">
        <v>1.6</v>
      </c>
      <c r="D11699" s="0" t="n">
        <v>1.176</v>
      </c>
    </row>
    <row r="11700" customFormat="false" ht="13.8" hidden="true" customHeight="false" outlineLevel="0" collapsed="false">
      <c r="A11700" s="0" t="s">
        <v>209</v>
      </c>
      <c r="B11700" s="0" t="n">
        <v>35</v>
      </c>
      <c r="C11700" s="0" t="n">
        <v>1.65</v>
      </c>
      <c r="D11700" s="0" t="n">
        <v>1.21275</v>
      </c>
    </row>
    <row r="11701" customFormat="false" ht="13.8" hidden="true" customHeight="false" outlineLevel="0" collapsed="false">
      <c r="A11701" s="0" t="s">
        <v>209</v>
      </c>
      <c r="B11701" s="0" t="n">
        <v>35</v>
      </c>
      <c r="C11701" s="0" t="n">
        <v>1.7</v>
      </c>
      <c r="D11701" s="0" t="n">
        <v>1.2495</v>
      </c>
    </row>
    <row r="11702" customFormat="false" ht="13.8" hidden="true" customHeight="false" outlineLevel="0" collapsed="false">
      <c r="A11702" s="0" t="s">
        <v>209</v>
      </c>
      <c r="B11702" s="0" t="n">
        <v>35</v>
      </c>
      <c r="C11702" s="0" t="n">
        <v>1.75</v>
      </c>
      <c r="D11702" s="0" t="n">
        <v>1.28625</v>
      </c>
    </row>
    <row r="11703" customFormat="false" ht="13.8" hidden="true" customHeight="false" outlineLevel="0" collapsed="false">
      <c r="A11703" s="0" t="s">
        <v>209</v>
      </c>
      <c r="B11703" s="0" t="n">
        <v>35</v>
      </c>
      <c r="C11703" s="0" t="n">
        <v>1.8</v>
      </c>
      <c r="D11703" s="0" t="n">
        <v>1.323</v>
      </c>
    </row>
    <row r="11704" customFormat="false" ht="13.8" hidden="true" customHeight="false" outlineLevel="0" collapsed="false">
      <c r="A11704" s="0" t="s">
        <v>209</v>
      </c>
      <c r="B11704" s="0" t="n">
        <v>35</v>
      </c>
      <c r="C11704" s="0" t="n">
        <v>1.85</v>
      </c>
      <c r="D11704" s="0" t="n">
        <v>0</v>
      </c>
    </row>
    <row r="11705" customFormat="false" ht="13.8" hidden="true" customHeight="false" outlineLevel="0" collapsed="false">
      <c r="A11705" s="0" t="s">
        <v>209</v>
      </c>
      <c r="B11705" s="0" t="n">
        <v>35</v>
      </c>
      <c r="C11705" s="0" t="n">
        <v>1.9</v>
      </c>
      <c r="D11705" s="0" t="n">
        <v>0</v>
      </c>
    </row>
    <row r="11706" customFormat="false" ht="13.8" hidden="true" customHeight="false" outlineLevel="0" collapsed="false">
      <c r="A11706" s="0" t="s">
        <v>209</v>
      </c>
      <c r="B11706" s="0" t="n">
        <v>35</v>
      </c>
      <c r="C11706" s="0" t="n">
        <v>1.95</v>
      </c>
      <c r="D11706" s="0" t="n">
        <v>0</v>
      </c>
    </row>
    <row r="11707" customFormat="false" ht="13.8" hidden="true" customHeight="false" outlineLevel="0" collapsed="false">
      <c r="A11707" s="0" t="s">
        <v>209</v>
      </c>
      <c r="B11707" s="0" t="n">
        <v>35</v>
      </c>
      <c r="C11707" s="0" t="n">
        <v>2</v>
      </c>
      <c r="D11707" s="0" t="n">
        <v>0</v>
      </c>
    </row>
    <row r="11708" customFormat="false" ht="13.8" hidden="true" customHeight="false" outlineLevel="0" collapsed="false">
      <c r="A11708" s="0" t="s">
        <v>209</v>
      </c>
      <c r="B11708" s="0" t="n">
        <v>35</v>
      </c>
      <c r="C11708" s="0" t="n">
        <v>2.05</v>
      </c>
      <c r="D11708" s="0" t="n">
        <v>0</v>
      </c>
    </row>
    <row r="11709" customFormat="false" ht="13.8" hidden="true" customHeight="false" outlineLevel="0" collapsed="false">
      <c r="A11709" s="0" t="s">
        <v>209</v>
      </c>
      <c r="B11709" s="0" t="n">
        <v>35</v>
      </c>
      <c r="C11709" s="0" t="n">
        <v>2.1</v>
      </c>
      <c r="D11709" s="0" t="n">
        <v>0</v>
      </c>
    </row>
    <row r="11710" customFormat="false" ht="13.8" hidden="true" customHeight="false" outlineLevel="0" collapsed="false">
      <c r="A11710" s="0" t="s">
        <v>209</v>
      </c>
      <c r="B11710" s="0" t="n">
        <v>35</v>
      </c>
      <c r="C11710" s="0" t="n">
        <v>2.15</v>
      </c>
      <c r="D11710" s="0" t="n">
        <v>0</v>
      </c>
    </row>
    <row r="11711" customFormat="false" ht="13.8" hidden="true" customHeight="false" outlineLevel="0" collapsed="false">
      <c r="A11711" s="0" t="s">
        <v>209</v>
      </c>
      <c r="B11711" s="0" t="n">
        <v>35</v>
      </c>
      <c r="C11711" s="0" t="n">
        <v>2.2</v>
      </c>
      <c r="D11711" s="0" t="n">
        <v>0</v>
      </c>
    </row>
    <row r="11712" customFormat="false" ht="13.8" hidden="true" customHeight="false" outlineLevel="0" collapsed="false">
      <c r="A11712" s="0" t="s">
        <v>209</v>
      </c>
      <c r="B11712" s="0" t="n">
        <v>35</v>
      </c>
      <c r="C11712" s="0" t="n">
        <v>2.25</v>
      </c>
      <c r="D11712" s="0" t="n">
        <v>0</v>
      </c>
    </row>
    <row r="11713" customFormat="false" ht="13.8" hidden="true" customHeight="false" outlineLevel="0" collapsed="false">
      <c r="A11713" s="0" t="s">
        <v>209</v>
      </c>
      <c r="B11713" s="0" t="n">
        <v>35</v>
      </c>
      <c r="C11713" s="0" t="n">
        <v>2.3</v>
      </c>
      <c r="D11713" s="0" t="n">
        <v>0</v>
      </c>
    </row>
    <row r="11714" customFormat="false" ht="13.8" hidden="true" customHeight="false" outlineLevel="0" collapsed="false">
      <c r="A11714" s="0" t="s">
        <v>209</v>
      </c>
      <c r="B11714" s="0" t="n">
        <v>35</v>
      </c>
      <c r="C11714" s="0" t="n">
        <v>2.35</v>
      </c>
      <c r="D11714" s="0" t="n">
        <v>0</v>
      </c>
    </row>
    <row r="11715" customFormat="false" ht="13.8" hidden="true" customHeight="false" outlineLevel="0" collapsed="false">
      <c r="A11715" s="0" t="s">
        <v>209</v>
      </c>
      <c r="B11715" s="0" t="n">
        <v>35</v>
      </c>
      <c r="C11715" s="0" t="n">
        <v>2.4</v>
      </c>
      <c r="D11715" s="0" t="n">
        <v>0</v>
      </c>
    </row>
    <row r="11716" customFormat="false" ht="13.8" hidden="true" customHeight="false" outlineLevel="0" collapsed="false">
      <c r="A11716" s="0" t="s">
        <v>209</v>
      </c>
      <c r="B11716" s="0" t="n">
        <v>35</v>
      </c>
      <c r="C11716" s="0" t="n">
        <v>2.45</v>
      </c>
      <c r="D11716" s="0" t="n">
        <v>0</v>
      </c>
    </row>
    <row r="11717" customFormat="false" ht="13.8" hidden="true" customHeight="false" outlineLevel="0" collapsed="false">
      <c r="A11717" s="0" t="s">
        <v>209</v>
      </c>
      <c r="B11717" s="0" t="n">
        <v>35</v>
      </c>
      <c r="C11717" s="0" t="n">
        <v>2.5</v>
      </c>
      <c r="D11717" s="0" t="n">
        <v>0</v>
      </c>
    </row>
    <row r="11718" customFormat="false" ht="13.8" hidden="true" customHeight="false" outlineLevel="0" collapsed="false">
      <c r="A11718" s="0" t="s">
        <v>209</v>
      </c>
      <c r="B11718" s="0" t="n">
        <v>35</v>
      </c>
      <c r="C11718" s="0" t="n">
        <v>2.55</v>
      </c>
      <c r="D11718" s="0" t="n">
        <v>0</v>
      </c>
    </row>
    <row r="11719" customFormat="false" ht="13.8" hidden="true" customHeight="false" outlineLevel="0" collapsed="false">
      <c r="A11719" s="0" t="s">
        <v>209</v>
      </c>
      <c r="B11719" s="0" t="n">
        <v>35</v>
      </c>
      <c r="C11719" s="0" t="n">
        <v>2.6</v>
      </c>
      <c r="D11719" s="0" t="n">
        <v>0</v>
      </c>
    </row>
    <row r="11720" customFormat="false" ht="13.8" hidden="true" customHeight="false" outlineLevel="0" collapsed="false">
      <c r="A11720" s="0" t="s">
        <v>329</v>
      </c>
      <c r="B11720" s="0" t="n">
        <v>35</v>
      </c>
      <c r="C11720" s="0" t="n">
        <v>1.3</v>
      </c>
      <c r="D11720" s="0" t="n">
        <v>0</v>
      </c>
    </row>
    <row r="11721" customFormat="false" ht="13.8" hidden="true" customHeight="false" outlineLevel="0" collapsed="false">
      <c r="A11721" s="0" t="s">
        <v>329</v>
      </c>
      <c r="B11721" s="0" t="n">
        <v>35</v>
      </c>
      <c r="C11721" s="0" t="n">
        <v>1.35</v>
      </c>
      <c r="D11721" s="0" t="n">
        <v>0</v>
      </c>
    </row>
    <row r="11722" customFormat="false" ht="13.8" hidden="true" customHeight="false" outlineLevel="0" collapsed="false">
      <c r="A11722" s="0" t="s">
        <v>329</v>
      </c>
      <c r="B11722" s="0" t="n">
        <v>35</v>
      </c>
      <c r="C11722" s="0" t="n">
        <v>1.4</v>
      </c>
      <c r="D11722" s="0" t="n">
        <v>0</v>
      </c>
    </row>
    <row r="11723" customFormat="false" ht="13.8" hidden="true" customHeight="false" outlineLevel="0" collapsed="false">
      <c r="A11723" s="0" t="s">
        <v>329</v>
      </c>
      <c r="B11723" s="0" t="n">
        <v>35</v>
      </c>
      <c r="C11723" s="0" t="n">
        <v>1.45</v>
      </c>
      <c r="D11723" s="0" t="n">
        <v>0</v>
      </c>
    </row>
    <row r="11724" customFormat="false" ht="13.8" hidden="true" customHeight="false" outlineLevel="0" collapsed="false">
      <c r="A11724" s="0" t="s">
        <v>329</v>
      </c>
      <c r="B11724" s="0" t="n">
        <v>35</v>
      </c>
      <c r="C11724" s="0" t="n">
        <v>1.5</v>
      </c>
      <c r="D11724" s="0" t="n">
        <v>1.1025</v>
      </c>
    </row>
    <row r="11725" customFormat="false" ht="13.8" hidden="true" customHeight="false" outlineLevel="0" collapsed="false">
      <c r="A11725" s="0" t="s">
        <v>329</v>
      </c>
      <c r="B11725" s="0" t="n">
        <v>35</v>
      </c>
      <c r="C11725" s="0" t="n">
        <v>1.55</v>
      </c>
      <c r="D11725" s="0" t="n">
        <v>1.13925</v>
      </c>
    </row>
    <row r="11726" customFormat="false" ht="13.8" hidden="true" customHeight="false" outlineLevel="0" collapsed="false">
      <c r="A11726" s="0" t="s">
        <v>329</v>
      </c>
      <c r="B11726" s="0" t="n">
        <v>35</v>
      </c>
      <c r="C11726" s="0" t="n">
        <v>1.6</v>
      </c>
      <c r="D11726" s="0" t="n">
        <v>1.176</v>
      </c>
    </row>
    <row r="11727" customFormat="false" ht="13.8" hidden="true" customHeight="false" outlineLevel="0" collapsed="false">
      <c r="A11727" s="0" t="s">
        <v>329</v>
      </c>
      <c r="B11727" s="0" t="n">
        <v>35</v>
      </c>
      <c r="C11727" s="0" t="n">
        <v>1.65</v>
      </c>
      <c r="D11727" s="0" t="n">
        <v>1.21275</v>
      </c>
    </row>
    <row r="11728" customFormat="false" ht="13.8" hidden="true" customHeight="false" outlineLevel="0" collapsed="false">
      <c r="A11728" s="0" t="s">
        <v>329</v>
      </c>
      <c r="B11728" s="0" t="n">
        <v>35</v>
      </c>
      <c r="C11728" s="0" t="n">
        <v>1.7</v>
      </c>
      <c r="D11728" s="0" t="n">
        <v>1.2495</v>
      </c>
    </row>
    <row r="11729" customFormat="false" ht="13.8" hidden="true" customHeight="false" outlineLevel="0" collapsed="false">
      <c r="A11729" s="0" t="s">
        <v>329</v>
      </c>
      <c r="B11729" s="0" t="n">
        <v>35</v>
      </c>
      <c r="C11729" s="0" t="n">
        <v>1.75</v>
      </c>
      <c r="D11729" s="0" t="n">
        <v>1.28625</v>
      </c>
    </row>
    <row r="11730" customFormat="false" ht="13.8" hidden="true" customHeight="false" outlineLevel="0" collapsed="false">
      <c r="A11730" s="0" t="s">
        <v>329</v>
      </c>
      <c r="B11730" s="0" t="n">
        <v>35</v>
      </c>
      <c r="C11730" s="0" t="n">
        <v>1.8</v>
      </c>
      <c r="D11730" s="0" t="n">
        <v>1.323</v>
      </c>
    </row>
    <row r="11731" customFormat="false" ht="13.8" hidden="true" customHeight="false" outlineLevel="0" collapsed="false">
      <c r="A11731" s="0" t="s">
        <v>329</v>
      </c>
      <c r="B11731" s="0" t="n">
        <v>35</v>
      </c>
      <c r="C11731" s="0" t="n">
        <v>1.85</v>
      </c>
      <c r="D11731" s="0" t="n">
        <v>0</v>
      </c>
    </row>
    <row r="11732" customFormat="false" ht="13.8" hidden="true" customHeight="false" outlineLevel="0" collapsed="false">
      <c r="A11732" s="0" t="s">
        <v>329</v>
      </c>
      <c r="B11732" s="0" t="n">
        <v>35</v>
      </c>
      <c r="C11732" s="0" t="n">
        <v>1.9</v>
      </c>
      <c r="D11732" s="0" t="n">
        <v>0</v>
      </c>
    </row>
    <row r="11733" customFormat="false" ht="13.8" hidden="true" customHeight="false" outlineLevel="0" collapsed="false">
      <c r="A11733" s="0" t="s">
        <v>329</v>
      </c>
      <c r="B11733" s="0" t="n">
        <v>35</v>
      </c>
      <c r="C11733" s="0" t="n">
        <v>1.95</v>
      </c>
      <c r="D11733" s="0" t="n">
        <v>0</v>
      </c>
    </row>
    <row r="11734" customFormat="false" ht="13.8" hidden="true" customHeight="false" outlineLevel="0" collapsed="false">
      <c r="A11734" s="0" t="s">
        <v>329</v>
      </c>
      <c r="B11734" s="0" t="n">
        <v>35</v>
      </c>
      <c r="C11734" s="0" t="n">
        <v>2</v>
      </c>
      <c r="D11734" s="0" t="n">
        <v>0</v>
      </c>
    </row>
    <row r="11735" customFormat="false" ht="13.8" hidden="true" customHeight="false" outlineLevel="0" collapsed="false">
      <c r="A11735" s="0" t="s">
        <v>329</v>
      </c>
      <c r="B11735" s="0" t="n">
        <v>35</v>
      </c>
      <c r="C11735" s="0" t="n">
        <v>2.05</v>
      </c>
      <c r="D11735" s="0" t="n">
        <v>0</v>
      </c>
    </row>
    <row r="11736" customFormat="false" ht="13.8" hidden="true" customHeight="false" outlineLevel="0" collapsed="false">
      <c r="A11736" s="0" t="s">
        <v>329</v>
      </c>
      <c r="B11736" s="0" t="n">
        <v>35</v>
      </c>
      <c r="C11736" s="0" t="n">
        <v>2.1</v>
      </c>
      <c r="D11736" s="0" t="n">
        <v>0</v>
      </c>
    </row>
    <row r="11737" customFormat="false" ht="13.8" hidden="true" customHeight="false" outlineLevel="0" collapsed="false">
      <c r="A11737" s="0" t="s">
        <v>329</v>
      </c>
      <c r="B11737" s="0" t="n">
        <v>35</v>
      </c>
      <c r="C11737" s="0" t="n">
        <v>2.15</v>
      </c>
      <c r="D11737" s="0" t="n">
        <v>0</v>
      </c>
    </row>
    <row r="11738" customFormat="false" ht="13.8" hidden="true" customHeight="false" outlineLevel="0" collapsed="false">
      <c r="A11738" s="0" t="s">
        <v>329</v>
      </c>
      <c r="B11738" s="0" t="n">
        <v>35</v>
      </c>
      <c r="C11738" s="0" t="n">
        <v>2.2</v>
      </c>
      <c r="D11738" s="0" t="n">
        <v>0</v>
      </c>
    </row>
    <row r="11739" customFormat="false" ht="13.8" hidden="true" customHeight="false" outlineLevel="0" collapsed="false">
      <c r="A11739" s="0" t="s">
        <v>329</v>
      </c>
      <c r="B11739" s="0" t="n">
        <v>35</v>
      </c>
      <c r="C11739" s="0" t="n">
        <v>2.25</v>
      </c>
      <c r="D11739" s="0" t="n">
        <v>0</v>
      </c>
    </row>
    <row r="11740" customFormat="false" ht="13.8" hidden="true" customHeight="false" outlineLevel="0" collapsed="false">
      <c r="A11740" s="0" t="s">
        <v>329</v>
      </c>
      <c r="B11740" s="0" t="n">
        <v>35</v>
      </c>
      <c r="C11740" s="0" t="n">
        <v>2.3</v>
      </c>
      <c r="D11740" s="0" t="n">
        <v>0</v>
      </c>
    </row>
    <row r="11741" customFormat="false" ht="13.8" hidden="true" customHeight="false" outlineLevel="0" collapsed="false">
      <c r="A11741" s="0" t="s">
        <v>329</v>
      </c>
      <c r="B11741" s="0" t="n">
        <v>35</v>
      </c>
      <c r="C11741" s="0" t="n">
        <v>2.35</v>
      </c>
      <c r="D11741" s="0" t="n">
        <v>0</v>
      </c>
    </row>
    <row r="11742" customFormat="false" ht="13.8" hidden="true" customHeight="false" outlineLevel="0" collapsed="false">
      <c r="A11742" s="0" t="s">
        <v>329</v>
      </c>
      <c r="B11742" s="0" t="n">
        <v>35</v>
      </c>
      <c r="C11742" s="0" t="n">
        <v>2.4</v>
      </c>
      <c r="D11742" s="0" t="n">
        <v>0</v>
      </c>
    </row>
    <row r="11743" customFormat="false" ht="13.8" hidden="true" customHeight="false" outlineLevel="0" collapsed="false">
      <c r="A11743" s="0" t="s">
        <v>329</v>
      </c>
      <c r="B11743" s="0" t="n">
        <v>35</v>
      </c>
      <c r="C11743" s="0" t="n">
        <v>2.45</v>
      </c>
      <c r="D11743" s="0" t="n">
        <v>0</v>
      </c>
    </row>
    <row r="11744" customFormat="false" ht="13.8" hidden="true" customHeight="false" outlineLevel="0" collapsed="false">
      <c r="A11744" s="0" t="s">
        <v>329</v>
      </c>
      <c r="B11744" s="0" t="n">
        <v>35</v>
      </c>
      <c r="C11744" s="0" t="n">
        <v>2.5</v>
      </c>
      <c r="D11744" s="0" t="n">
        <v>0</v>
      </c>
    </row>
    <row r="11745" customFormat="false" ht="13.8" hidden="true" customHeight="false" outlineLevel="0" collapsed="false">
      <c r="A11745" s="0" t="s">
        <v>329</v>
      </c>
      <c r="B11745" s="0" t="n">
        <v>35</v>
      </c>
      <c r="C11745" s="0" t="n">
        <v>2.55</v>
      </c>
      <c r="D11745" s="0" t="n">
        <v>0</v>
      </c>
    </row>
    <row r="11746" customFormat="false" ht="13.8" hidden="true" customHeight="false" outlineLevel="0" collapsed="false">
      <c r="A11746" s="0" t="s">
        <v>329</v>
      </c>
      <c r="B11746" s="0" t="n">
        <v>35</v>
      </c>
      <c r="C11746" s="0" t="n">
        <v>2.6</v>
      </c>
      <c r="D11746" s="0" t="n">
        <v>0</v>
      </c>
    </row>
    <row r="11747" customFormat="false" ht="13.8" hidden="true" customHeight="false" outlineLevel="0" collapsed="false">
      <c r="A11747" s="0" t="s">
        <v>330</v>
      </c>
      <c r="B11747" s="0" t="n">
        <v>35</v>
      </c>
      <c r="C11747" s="0" t="n">
        <v>1.3</v>
      </c>
      <c r="D11747" s="0" t="n">
        <v>0</v>
      </c>
    </row>
    <row r="11748" customFormat="false" ht="13.8" hidden="true" customHeight="false" outlineLevel="0" collapsed="false">
      <c r="A11748" s="0" t="s">
        <v>330</v>
      </c>
      <c r="B11748" s="0" t="n">
        <v>35</v>
      </c>
      <c r="C11748" s="0" t="n">
        <v>1.35</v>
      </c>
      <c r="D11748" s="0" t="n">
        <v>0</v>
      </c>
    </row>
    <row r="11749" customFormat="false" ht="13.8" hidden="true" customHeight="false" outlineLevel="0" collapsed="false">
      <c r="A11749" s="0" t="s">
        <v>330</v>
      </c>
      <c r="B11749" s="0" t="n">
        <v>35</v>
      </c>
      <c r="C11749" s="0" t="n">
        <v>1.4</v>
      </c>
      <c r="D11749" s="0" t="n">
        <v>0</v>
      </c>
    </row>
    <row r="11750" customFormat="false" ht="13.8" hidden="true" customHeight="false" outlineLevel="0" collapsed="false">
      <c r="A11750" s="0" t="s">
        <v>330</v>
      </c>
      <c r="B11750" s="0" t="n">
        <v>35</v>
      </c>
      <c r="C11750" s="0" t="n">
        <v>1.45</v>
      </c>
      <c r="D11750" s="0" t="n">
        <v>0</v>
      </c>
    </row>
    <row r="11751" customFormat="false" ht="13.8" hidden="true" customHeight="false" outlineLevel="0" collapsed="false">
      <c r="A11751" s="0" t="s">
        <v>330</v>
      </c>
      <c r="B11751" s="0" t="n">
        <v>35</v>
      </c>
      <c r="C11751" s="0" t="n">
        <v>1.5</v>
      </c>
      <c r="D11751" s="0" t="n">
        <v>1.1025</v>
      </c>
    </row>
    <row r="11752" customFormat="false" ht="13.8" hidden="true" customHeight="false" outlineLevel="0" collapsed="false">
      <c r="A11752" s="0" t="s">
        <v>330</v>
      </c>
      <c r="B11752" s="0" t="n">
        <v>35</v>
      </c>
      <c r="C11752" s="0" t="n">
        <v>1.55</v>
      </c>
      <c r="D11752" s="0" t="n">
        <v>1.13925</v>
      </c>
    </row>
    <row r="11753" customFormat="false" ht="13.8" hidden="true" customHeight="false" outlineLevel="0" collapsed="false">
      <c r="A11753" s="0" t="s">
        <v>330</v>
      </c>
      <c r="B11753" s="0" t="n">
        <v>35</v>
      </c>
      <c r="C11753" s="0" t="n">
        <v>1.6</v>
      </c>
      <c r="D11753" s="0" t="n">
        <v>1.176</v>
      </c>
    </row>
    <row r="11754" customFormat="false" ht="13.8" hidden="true" customHeight="false" outlineLevel="0" collapsed="false">
      <c r="A11754" s="0" t="s">
        <v>330</v>
      </c>
      <c r="B11754" s="0" t="n">
        <v>35</v>
      </c>
      <c r="C11754" s="0" t="n">
        <v>1.65</v>
      </c>
      <c r="D11754" s="0" t="n">
        <v>1.21275</v>
      </c>
    </row>
    <row r="11755" customFormat="false" ht="13.8" hidden="true" customHeight="false" outlineLevel="0" collapsed="false">
      <c r="A11755" s="0" t="s">
        <v>330</v>
      </c>
      <c r="B11755" s="0" t="n">
        <v>35</v>
      </c>
      <c r="C11755" s="0" t="n">
        <v>1.7</v>
      </c>
      <c r="D11755" s="0" t="n">
        <v>1.2495</v>
      </c>
    </row>
    <row r="11756" customFormat="false" ht="13.8" hidden="true" customHeight="false" outlineLevel="0" collapsed="false">
      <c r="A11756" s="0" t="s">
        <v>330</v>
      </c>
      <c r="B11756" s="0" t="n">
        <v>35</v>
      </c>
      <c r="C11756" s="0" t="n">
        <v>1.75</v>
      </c>
      <c r="D11756" s="0" t="n">
        <v>1.28625</v>
      </c>
    </row>
    <row r="11757" customFormat="false" ht="13.8" hidden="true" customHeight="false" outlineLevel="0" collapsed="false">
      <c r="A11757" s="0" t="s">
        <v>330</v>
      </c>
      <c r="B11757" s="0" t="n">
        <v>35</v>
      </c>
      <c r="C11757" s="0" t="n">
        <v>1.8</v>
      </c>
      <c r="D11757" s="0" t="n">
        <v>1.323</v>
      </c>
    </row>
    <row r="11758" customFormat="false" ht="13.8" hidden="true" customHeight="false" outlineLevel="0" collapsed="false">
      <c r="A11758" s="0" t="s">
        <v>330</v>
      </c>
      <c r="B11758" s="0" t="n">
        <v>35</v>
      </c>
      <c r="C11758" s="0" t="n">
        <v>1.85</v>
      </c>
      <c r="D11758" s="0" t="n">
        <v>0</v>
      </c>
    </row>
    <row r="11759" customFormat="false" ht="13.8" hidden="true" customHeight="false" outlineLevel="0" collapsed="false">
      <c r="A11759" s="0" t="s">
        <v>330</v>
      </c>
      <c r="B11759" s="0" t="n">
        <v>35</v>
      </c>
      <c r="C11759" s="0" t="n">
        <v>1.9</v>
      </c>
      <c r="D11759" s="0" t="n">
        <v>0</v>
      </c>
    </row>
    <row r="11760" customFormat="false" ht="13.8" hidden="true" customHeight="false" outlineLevel="0" collapsed="false">
      <c r="A11760" s="0" t="s">
        <v>330</v>
      </c>
      <c r="B11760" s="0" t="n">
        <v>35</v>
      </c>
      <c r="C11760" s="0" t="n">
        <v>1.95</v>
      </c>
      <c r="D11760" s="0" t="n">
        <v>0</v>
      </c>
    </row>
    <row r="11761" customFormat="false" ht="13.8" hidden="true" customHeight="false" outlineLevel="0" collapsed="false">
      <c r="A11761" s="0" t="s">
        <v>330</v>
      </c>
      <c r="B11761" s="0" t="n">
        <v>35</v>
      </c>
      <c r="C11761" s="0" t="n">
        <v>2</v>
      </c>
      <c r="D11761" s="0" t="n">
        <v>0</v>
      </c>
    </row>
    <row r="11762" customFormat="false" ht="13.8" hidden="true" customHeight="false" outlineLevel="0" collapsed="false">
      <c r="A11762" s="0" t="s">
        <v>330</v>
      </c>
      <c r="B11762" s="0" t="n">
        <v>35</v>
      </c>
      <c r="C11762" s="0" t="n">
        <v>2.05</v>
      </c>
      <c r="D11762" s="0" t="n">
        <v>0</v>
      </c>
    </row>
    <row r="11763" customFormat="false" ht="13.8" hidden="true" customHeight="false" outlineLevel="0" collapsed="false">
      <c r="A11763" s="0" t="s">
        <v>330</v>
      </c>
      <c r="B11763" s="0" t="n">
        <v>35</v>
      </c>
      <c r="C11763" s="0" t="n">
        <v>2.1</v>
      </c>
      <c r="D11763" s="0" t="n">
        <v>0</v>
      </c>
    </row>
    <row r="11764" customFormat="false" ht="13.8" hidden="true" customHeight="false" outlineLevel="0" collapsed="false">
      <c r="A11764" s="0" t="s">
        <v>330</v>
      </c>
      <c r="B11764" s="0" t="n">
        <v>35</v>
      </c>
      <c r="C11764" s="0" t="n">
        <v>2.15</v>
      </c>
      <c r="D11764" s="0" t="n">
        <v>0</v>
      </c>
    </row>
    <row r="11765" customFormat="false" ht="13.8" hidden="true" customHeight="false" outlineLevel="0" collapsed="false">
      <c r="A11765" s="0" t="s">
        <v>330</v>
      </c>
      <c r="B11765" s="0" t="n">
        <v>35</v>
      </c>
      <c r="C11765" s="0" t="n">
        <v>2.2</v>
      </c>
      <c r="D11765" s="0" t="n">
        <v>0</v>
      </c>
    </row>
    <row r="11766" customFormat="false" ht="13.8" hidden="true" customHeight="false" outlineLevel="0" collapsed="false">
      <c r="A11766" s="0" t="s">
        <v>330</v>
      </c>
      <c r="B11766" s="0" t="n">
        <v>35</v>
      </c>
      <c r="C11766" s="0" t="n">
        <v>2.25</v>
      </c>
      <c r="D11766" s="0" t="n">
        <v>0</v>
      </c>
    </row>
    <row r="11767" customFormat="false" ht="13.8" hidden="true" customHeight="false" outlineLevel="0" collapsed="false">
      <c r="A11767" s="0" t="s">
        <v>330</v>
      </c>
      <c r="B11767" s="0" t="n">
        <v>35</v>
      </c>
      <c r="C11767" s="0" t="n">
        <v>2.3</v>
      </c>
      <c r="D11767" s="0" t="n">
        <v>0</v>
      </c>
    </row>
    <row r="11768" customFormat="false" ht="13.8" hidden="true" customHeight="false" outlineLevel="0" collapsed="false">
      <c r="A11768" s="0" t="s">
        <v>330</v>
      </c>
      <c r="B11768" s="0" t="n">
        <v>35</v>
      </c>
      <c r="C11768" s="0" t="n">
        <v>2.35</v>
      </c>
      <c r="D11768" s="0" t="n">
        <v>0</v>
      </c>
    </row>
    <row r="11769" customFormat="false" ht="13.8" hidden="true" customHeight="false" outlineLevel="0" collapsed="false">
      <c r="A11769" s="0" t="s">
        <v>330</v>
      </c>
      <c r="B11769" s="0" t="n">
        <v>35</v>
      </c>
      <c r="C11769" s="0" t="n">
        <v>2.4</v>
      </c>
      <c r="D11769" s="0" t="n">
        <v>0</v>
      </c>
    </row>
    <row r="11770" customFormat="false" ht="13.8" hidden="true" customHeight="false" outlineLevel="0" collapsed="false">
      <c r="A11770" s="0" t="s">
        <v>330</v>
      </c>
      <c r="B11770" s="0" t="n">
        <v>35</v>
      </c>
      <c r="C11770" s="0" t="n">
        <v>2.45</v>
      </c>
      <c r="D11770" s="0" t="n">
        <v>0</v>
      </c>
    </row>
    <row r="11771" customFormat="false" ht="13.8" hidden="true" customHeight="false" outlineLevel="0" collapsed="false">
      <c r="A11771" s="0" t="s">
        <v>330</v>
      </c>
      <c r="B11771" s="0" t="n">
        <v>35</v>
      </c>
      <c r="C11771" s="0" t="n">
        <v>2.5</v>
      </c>
      <c r="D11771" s="0" t="n">
        <v>0</v>
      </c>
    </row>
    <row r="11772" customFormat="false" ht="13.8" hidden="true" customHeight="false" outlineLevel="0" collapsed="false">
      <c r="A11772" s="0" t="s">
        <v>330</v>
      </c>
      <c r="B11772" s="0" t="n">
        <v>35</v>
      </c>
      <c r="C11772" s="0" t="n">
        <v>2.55</v>
      </c>
      <c r="D11772" s="0" t="n">
        <v>0</v>
      </c>
    </row>
    <row r="11773" customFormat="false" ht="13.8" hidden="true" customHeight="false" outlineLevel="0" collapsed="false">
      <c r="A11773" s="0" t="s">
        <v>330</v>
      </c>
      <c r="B11773" s="0" t="n">
        <v>35</v>
      </c>
      <c r="C11773" s="0" t="n">
        <v>2.6</v>
      </c>
      <c r="D11773" s="0" t="n">
        <v>0</v>
      </c>
    </row>
    <row r="11774" customFormat="false" ht="13.8" hidden="true" customHeight="false" outlineLevel="0" collapsed="false">
      <c r="A11774" s="0" t="s">
        <v>210</v>
      </c>
      <c r="B11774" s="0" t="n">
        <v>35</v>
      </c>
      <c r="C11774" s="0" t="n">
        <v>1.3</v>
      </c>
      <c r="D11774" s="0" t="n">
        <v>0</v>
      </c>
    </row>
    <row r="11775" customFormat="false" ht="13.8" hidden="true" customHeight="false" outlineLevel="0" collapsed="false">
      <c r="A11775" s="0" t="s">
        <v>210</v>
      </c>
      <c r="B11775" s="0" t="n">
        <v>35</v>
      </c>
      <c r="C11775" s="0" t="n">
        <v>1.35</v>
      </c>
      <c r="D11775" s="0" t="n">
        <v>0</v>
      </c>
    </row>
    <row r="11776" customFormat="false" ht="13.8" hidden="true" customHeight="false" outlineLevel="0" collapsed="false">
      <c r="A11776" s="0" t="s">
        <v>210</v>
      </c>
      <c r="B11776" s="0" t="n">
        <v>35</v>
      </c>
      <c r="C11776" s="0" t="n">
        <v>1.4</v>
      </c>
      <c r="D11776" s="0" t="n">
        <v>0</v>
      </c>
    </row>
    <row r="11777" customFormat="false" ht="13.8" hidden="true" customHeight="false" outlineLevel="0" collapsed="false">
      <c r="A11777" s="0" t="s">
        <v>210</v>
      </c>
      <c r="B11777" s="0" t="n">
        <v>35</v>
      </c>
      <c r="C11777" s="0" t="n">
        <v>1.45</v>
      </c>
      <c r="D11777" s="0" t="n">
        <v>0</v>
      </c>
    </row>
    <row r="11778" customFormat="false" ht="13.8" hidden="true" customHeight="false" outlineLevel="0" collapsed="false">
      <c r="A11778" s="0" t="s">
        <v>210</v>
      </c>
      <c r="B11778" s="0" t="n">
        <v>35</v>
      </c>
      <c r="C11778" s="0" t="n">
        <v>1.5</v>
      </c>
      <c r="D11778" s="0" t="n">
        <v>0</v>
      </c>
    </row>
    <row r="11779" customFormat="false" ht="13.8" hidden="true" customHeight="false" outlineLevel="0" collapsed="false">
      <c r="A11779" s="0" t="s">
        <v>210</v>
      </c>
      <c r="B11779" s="0" t="n">
        <v>35</v>
      </c>
      <c r="C11779" s="0" t="n">
        <v>1.55</v>
      </c>
      <c r="D11779" s="0" t="n">
        <v>0</v>
      </c>
    </row>
    <row r="11780" customFormat="false" ht="13.8" hidden="true" customHeight="false" outlineLevel="0" collapsed="false">
      <c r="A11780" s="0" t="s">
        <v>210</v>
      </c>
      <c r="B11780" s="0" t="n">
        <v>35</v>
      </c>
      <c r="C11780" s="0" t="n">
        <v>1.6</v>
      </c>
      <c r="D11780" s="0" t="n">
        <v>0</v>
      </c>
    </row>
    <row r="11781" customFormat="false" ht="13.8" hidden="true" customHeight="false" outlineLevel="0" collapsed="false">
      <c r="A11781" s="0" t="s">
        <v>210</v>
      </c>
      <c r="B11781" s="0" t="n">
        <v>35</v>
      </c>
      <c r="C11781" s="0" t="n">
        <v>1.65</v>
      </c>
      <c r="D11781" s="0" t="n">
        <v>0</v>
      </c>
    </row>
    <row r="11782" customFormat="false" ht="13.8" hidden="true" customHeight="false" outlineLevel="0" collapsed="false">
      <c r="A11782" s="0" t="s">
        <v>210</v>
      </c>
      <c r="B11782" s="0" t="n">
        <v>35</v>
      </c>
      <c r="C11782" s="0" t="n">
        <v>1.7</v>
      </c>
      <c r="D11782" s="0" t="n">
        <v>0</v>
      </c>
    </row>
    <row r="11783" customFormat="false" ht="13.8" hidden="true" customHeight="false" outlineLevel="0" collapsed="false">
      <c r="A11783" s="0" t="s">
        <v>210</v>
      </c>
      <c r="B11783" s="0" t="n">
        <v>35</v>
      </c>
      <c r="C11783" s="0" t="n">
        <v>1.75</v>
      </c>
      <c r="D11783" s="0" t="n">
        <v>0</v>
      </c>
    </row>
    <row r="11784" customFormat="false" ht="13.8" hidden="true" customHeight="false" outlineLevel="0" collapsed="false">
      <c r="A11784" s="0" t="s">
        <v>210</v>
      </c>
      <c r="B11784" s="0" t="n">
        <v>35</v>
      </c>
      <c r="C11784" s="0" t="n">
        <v>1.8</v>
      </c>
      <c r="D11784" s="0" t="n">
        <v>1.323</v>
      </c>
    </row>
    <row r="11785" customFormat="false" ht="13.8" hidden="true" customHeight="false" outlineLevel="0" collapsed="false">
      <c r="A11785" s="0" t="s">
        <v>210</v>
      </c>
      <c r="B11785" s="0" t="n">
        <v>35</v>
      </c>
      <c r="C11785" s="0" t="n">
        <v>1.85</v>
      </c>
      <c r="D11785" s="0" t="n">
        <v>1.35975</v>
      </c>
    </row>
    <row r="11786" customFormat="false" ht="13.8" hidden="true" customHeight="false" outlineLevel="0" collapsed="false">
      <c r="A11786" s="0" t="s">
        <v>210</v>
      </c>
      <c r="B11786" s="0" t="n">
        <v>35</v>
      </c>
      <c r="C11786" s="0" t="n">
        <v>1.9</v>
      </c>
      <c r="D11786" s="0" t="n">
        <v>1.3965</v>
      </c>
    </row>
    <row r="11787" customFormat="false" ht="13.8" hidden="true" customHeight="false" outlineLevel="0" collapsed="false">
      <c r="A11787" s="0" t="s">
        <v>210</v>
      </c>
      <c r="B11787" s="0" t="n">
        <v>35</v>
      </c>
      <c r="C11787" s="0" t="n">
        <v>1.95</v>
      </c>
      <c r="D11787" s="0" t="n">
        <v>1.43325</v>
      </c>
    </row>
    <row r="11788" customFormat="false" ht="13.8" hidden="true" customHeight="false" outlineLevel="0" collapsed="false">
      <c r="A11788" s="0" t="s">
        <v>210</v>
      </c>
      <c r="B11788" s="0" t="n">
        <v>35</v>
      </c>
      <c r="C11788" s="0" t="n">
        <v>2</v>
      </c>
      <c r="D11788" s="0" t="n">
        <v>1.47</v>
      </c>
    </row>
    <row r="11789" customFormat="false" ht="13.8" hidden="true" customHeight="false" outlineLevel="0" collapsed="false">
      <c r="A11789" s="0" t="s">
        <v>210</v>
      </c>
      <c r="B11789" s="0" t="n">
        <v>35</v>
      </c>
      <c r="C11789" s="0" t="n">
        <v>2.05</v>
      </c>
      <c r="D11789" s="0" t="n">
        <v>1.50675</v>
      </c>
    </row>
    <row r="11790" customFormat="false" ht="13.8" hidden="true" customHeight="false" outlineLevel="0" collapsed="false">
      <c r="A11790" s="0" t="s">
        <v>210</v>
      </c>
      <c r="B11790" s="0" t="n">
        <v>35</v>
      </c>
      <c r="C11790" s="0" t="n">
        <v>2.1</v>
      </c>
      <c r="D11790" s="0" t="n">
        <v>1.5435</v>
      </c>
    </row>
    <row r="11791" customFormat="false" ht="13.8" hidden="true" customHeight="false" outlineLevel="0" collapsed="false">
      <c r="A11791" s="0" t="s">
        <v>210</v>
      </c>
      <c r="B11791" s="0" t="n">
        <v>35</v>
      </c>
      <c r="C11791" s="0" t="n">
        <v>2.15</v>
      </c>
      <c r="D11791" s="0" t="n">
        <v>1.58025</v>
      </c>
    </row>
    <row r="11792" customFormat="false" ht="13.8" hidden="true" customHeight="false" outlineLevel="0" collapsed="false">
      <c r="A11792" s="0" t="s">
        <v>210</v>
      </c>
      <c r="B11792" s="0" t="n">
        <v>35</v>
      </c>
      <c r="C11792" s="0" t="n">
        <v>2.2</v>
      </c>
      <c r="D11792" s="0" t="n">
        <v>1.617</v>
      </c>
    </row>
    <row r="11793" customFormat="false" ht="13.8" hidden="true" customHeight="false" outlineLevel="0" collapsed="false">
      <c r="A11793" s="0" t="s">
        <v>210</v>
      </c>
      <c r="B11793" s="0" t="n">
        <v>35</v>
      </c>
      <c r="C11793" s="0" t="n">
        <v>2.25</v>
      </c>
      <c r="D11793" s="0" t="n">
        <v>0</v>
      </c>
    </row>
    <row r="11794" customFormat="false" ht="13.8" hidden="true" customHeight="false" outlineLevel="0" collapsed="false">
      <c r="A11794" s="0" t="s">
        <v>210</v>
      </c>
      <c r="B11794" s="0" t="n">
        <v>35</v>
      </c>
      <c r="C11794" s="0" t="n">
        <v>2.3</v>
      </c>
      <c r="D11794" s="0" t="n">
        <v>0</v>
      </c>
    </row>
    <row r="11795" customFormat="false" ht="13.8" hidden="true" customHeight="false" outlineLevel="0" collapsed="false">
      <c r="A11795" s="0" t="s">
        <v>210</v>
      </c>
      <c r="B11795" s="0" t="n">
        <v>35</v>
      </c>
      <c r="C11795" s="0" t="n">
        <v>2.35</v>
      </c>
      <c r="D11795" s="0" t="n">
        <v>0</v>
      </c>
    </row>
    <row r="11796" customFormat="false" ht="13.8" hidden="true" customHeight="false" outlineLevel="0" collapsed="false">
      <c r="A11796" s="0" t="s">
        <v>210</v>
      </c>
      <c r="B11796" s="0" t="n">
        <v>35</v>
      </c>
      <c r="C11796" s="0" t="n">
        <v>2.4</v>
      </c>
      <c r="D11796" s="0" t="n">
        <v>0</v>
      </c>
    </row>
    <row r="11797" customFormat="false" ht="13.8" hidden="true" customHeight="false" outlineLevel="0" collapsed="false">
      <c r="A11797" s="0" t="s">
        <v>210</v>
      </c>
      <c r="B11797" s="0" t="n">
        <v>35</v>
      </c>
      <c r="C11797" s="0" t="n">
        <v>2.45</v>
      </c>
      <c r="D11797" s="0" t="n">
        <v>0</v>
      </c>
    </row>
    <row r="11798" customFormat="false" ht="13.8" hidden="true" customHeight="false" outlineLevel="0" collapsed="false">
      <c r="A11798" s="0" t="s">
        <v>210</v>
      </c>
      <c r="B11798" s="0" t="n">
        <v>35</v>
      </c>
      <c r="C11798" s="0" t="n">
        <v>2.5</v>
      </c>
      <c r="D11798" s="0" t="n">
        <v>0</v>
      </c>
    </row>
    <row r="11799" customFormat="false" ht="13.8" hidden="true" customHeight="false" outlineLevel="0" collapsed="false">
      <c r="A11799" s="0" t="s">
        <v>210</v>
      </c>
      <c r="B11799" s="0" t="n">
        <v>35</v>
      </c>
      <c r="C11799" s="0" t="n">
        <v>2.55</v>
      </c>
      <c r="D11799" s="0" t="n">
        <v>0</v>
      </c>
    </row>
    <row r="11800" customFormat="false" ht="13.8" hidden="true" customHeight="false" outlineLevel="0" collapsed="false">
      <c r="A11800" s="0" t="s">
        <v>210</v>
      </c>
      <c r="B11800" s="0" t="n">
        <v>35</v>
      </c>
      <c r="C11800" s="0" t="n">
        <v>2.6</v>
      </c>
      <c r="D11800" s="0" t="n">
        <v>0</v>
      </c>
    </row>
    <row r="11801" customFormat="false" ht="13.8" hidden="true" customHeight="false" outlineLevel="0" collapsed="false">
      <c r="A11801" s="0" t="s">
        <v>331</v>
      </c>
      <c r="B11801" s="0" t="n">
        <v>35</v>
      </c>
      <c r="C11801" s="0" t="n">
        <v>1.3</v>
      </c>
      <c r="D11801" s="0" t="n">
        <v>0</v>
      </c>
    </row>
    <row r="11802" customFormat="false" ht="13.8" hidden="true" customHeight="false" outlineLevel="0" collapsed="false">
      <c r="A11802" s="0" t="s">
        <v>331</v>
      </c>
      <c r="B11802" s="0" t="n">
        <v>35</v>
      </c>
      <c r="C11802" s="0" t="n">
        <v>1.35</v>
      </c>
      <c r="D11802" s="0" t="n">
        <v>0</v>
      </c>
    </row>
    <row r="11803" customFormat="false" ht="13.8" hidden="true" customHeight="false" outlineLevel="0" collapsed="false">
      <c r="A11803" s="0" t="s">
        <v>331</v>
      </c>
      <c r="B11803" s="0" t="n">
        <v>35</v>
      </c>
      <c r="C11803" s="0" t="n">
        <v>1.4</v>
      </c>
      <c r="D11803" s="0" t="n">
        <v>0</v>
      </c>
    </row>
    <row r="11804" customFormat="false" ht="13.8" hidden="true" customHeight="false" outlineLevel="0" collapsed="false">
      <c r="A11804" s="0" t="s">
        <v>331</v>
      </c>
      <c r="B11804" s="0" t="n">
        <v>35</v>
      </c>
      <c r="C11804" s="0" t="n">
        <v>1.45</v>
      </c>
      <c r="D11804" s="0" t="n">
        <v>0</v>
      </c>
    </row>
    <row r="11805" customFormat="false" ht="13.8" hidden="true" customHeight="false" outlineLevel="0" collapsed="false">
      <c r="A11805" s="0" t="s">
        <v>331</v>
      </c>
      <c r="B11805" s="0" t="n">
        <v>35</v>
      </c>
      <c r="C11805" s="0" t="n">
        <v>1.5</v>
      </c>
      <c r="D11805" s="0" t="n">
        <v>0</v>
      </c>
    </row>
    <row r="11806" customFormat="false" ht="13.8" hidden="true" customHeight="false" outlineLevel="0" collapsed="false">
      <c r="A11806" s="0" t="s">
        <v>331</v>
      </c>
      <c r="B11806" s="0" t="n">
        <v>35</v>
      </c>
      <c r="C11806" s="0" t="n">
        <v>1.55</v>
      </c>
      <c r="D11806" s="0" t="n">
        <v>0</v>
      </c>
    </row>
    <row r="11807" customFormat="false" ht="13.8" hidden="true" customHeight="false" outlineLevel="0" collapsed="false">
      <c r="A11807" s="0" t="s">
        <v>331</v>
      </c>
      <c r="B11807" s="0" t="n">
        <v>35</v>
      </c>
      <c r="C11807" s="0" t="n">
        <v>1.6</v>
      </c>
      <c r="D11807" s="0" t="n">
        <v>0</v>
      </c>
    </row>
    <row r="11808" customFormat="false" ht="13.8" hidden="true" customHeight="false" outlineLevel="0" collapsed="false">
      <c r="A11808" s="0" t="s">
        <v>331</v>
      </c>
      <c r="B11808" s="0" t="n">
        <v>35</v>
      </c>
      <c r="C11808" s="0" t="n">
        <v>1.65</v>
      </c>
      <c r="D11808" s="0" t="n">
        <v>0</v>
      </c>
    </row>
    <row r="11809" customFormat="false" ht="13.8" hidden="true" customHeight="false" outlineLevel="0" collapsed="false">
      <c r="A11809" s="0" t="s">
        <v>331</v>
      </c>
      <c r="B11809" s="0" t="n">
        <v>35</v>
      </c>
      <c r="C11809" s="0" t="n">
        <v>1.7</v>
      </c>
      <c r="D11809" s="0" t="n">
        <v>0</v>
      </c>
    </row>
    <row r="11810" customFormat="false" ht="13.8" hidden="true" customHeight="false" outlineLevel="0" collapsed="false">
      <c r="A11810" s="0" t="s">
        <v>331</v>
      </c>
      <c r="B11810" s="0" t="n">
        <v>35</v>
      </c>
      <c r="C11810" s="0" t="n">
        <v>1.75</v>
      </c>
      <c r="D11810" s="0" t="n">
        <v>0</v>
      </c>
    </row>
    <row r="11811" customFormat="false" ht="13.8" hidden="true" customHeight="false" outlineLevel="0" collapsed="false">
      <c r="A11811" s="0" t="s">
        <v>331</v>
      </c>
      <c r="B11811" s="0" t="n">
        <v>35</v>
      </c>
      <c r="C11811" s="0" t="n">
        <v>1.8</v>
      </c>
      <c r="D11811" s="0" t="n">
        <v>1.323</v>
      </c>
    </row>
    <row r="11812" customFormat="false" ht="13.8" hidden="true" customHeight="false" outlineLevel="0" collapsed="false">
      <c r="A11812" s="0" t="s">
        <v>331</v>
      </c>
      <c r="B11812" s="0" t="n">
        <v>35</v>
      </c>
      <c r="C11812" s="0" t="n">
        <v>1.85</v>
      </c>
      <c r="D11812" s="0" t="n">
        <v>1.35975</v>
      </c>
    </row>
    <row r="11813" customFormat="false" ht="13.8" hidden="true" customHeight="false" outlineLevel="0" collapsed="false">
      <c r="A11813" s="0" t="s">
        <v>331</v>
      </c>
      <c r="B11813" s="0" t="n">
        <v>35</v>
      </c>
      <c r="C11813" s="0" t="n">
        <v>1.9</v>
      </c>
      <c r="D11813" s="0" t="n">
        <v>1.3965</v>
      </c>
    </row>
    <row r="11814" customFormat="false" ht="13.8" hidden="true" customHeight="false" outlineLevel="0" collapsed="false">
      <c r="A11814" s="0" t="s">
        <v>331</v>
      </c>
      <c r="B11814" s="0" t="n">
        <v>35</v>
      </c>
      <c r="C11814" s="0" t="n">
        <v>1.95</v>
      </c>
      <c r="D11814" s="0" t="n">
        <v>1.43325</v>
      </c>
    </row>
    <row r="11815" customFormat="false" ht="13.8" hidden="true" customHeight="false" outlineLevel="0" collapsed="false">
      <c r="A11815" s="0" t="s">
        <v>331</v>
      </c>
      <c r="B11815" s="0" t="n">
        <v>35</v>
      </c>
      <c r="C11815" s="0" t="n">
        <v>2</v>
      </c>
      <c r="D11815" s="0" t="n">
        <v>1.47</v>
      </c>
    </row>
    <row r="11816" customFormat="false" ht="13.8" hidden="true" customHeight="false" outlineLevel="0" collapsed="false">
      <c r="A11816" s="0" t="s">
        <v>331</v>
      </c>
      <c r="B11816" s="0" t="n">
        <v>35</v>
      </c>
      <c r="C11816" s="0" t="n">
        <v>2.05</v>
      </c>
      <c r="D11816" s="0" t="n">
        <v>1.50675</v>
      </c>
    </row>
    <row r="11817" customFormat="false" ht="13.8" hidden="true" customHeight="false" outlineLevel="0" collapsed="false">
      <c r="A11817" s="0" t="s">
        <v>331</v>
      </c>
      <c r="B11817" s="0" t="n">
        <v>35</v>
      </c>
      <c r="C11817" s="0" t="n">
        <v>2.1</v>
      </c>
      <c r="D11817" s="0" t="n">
        <v>1.5435</v>
      </c>
    </row>
    <row r="11818" customFormat="false" ht="13.8" hidden="true" customHeight="false" outlineLevel="0" collapsed="false">
      <c r="A11818" s="0" t="s">
        <v>331</v>
      </c>
      <c r="B11818" s="0" t="n">
        <v>35</v>
      </c>
      <c r="C11818" s="0" t="n">
        <v>2.15</v>
      </c>
      <c r="D11818" s="0" t="n">
        <v>1.58025</v>
      </c>
    </row>
    <row r="11819" customFormat="false" ht="13.8" hidden="true" customHeight="false" outlineLevel="0" collapsed="false">
      <c r="A11819" s="0" t="s">
        <v>331</v>
      </c>
      <c r="B11819" s="0" t="n">
        <v>35</v>
      </c>
      <c r="C11819" s="0" t="n">
        <v>2.2</v>
      </c>
      <c r="D11819" s="0" t="n">
        <v>1.617</v>
      </c>
    </row>
    <row r="11820" customFormat="false" ht="13.8" hidden="true" customHeight="false" outlineLevel="0" collapsed="false">
      <c r="A11820" s="0" t="s">
        <v>331</v>
      </c>
      <c r="B11820" s="0" t="n">
        <v>35</v>
      </c>
      <c r="C11820" s="0" t="n">
        <v>2.25</v>
      </c>
      <c r="D11820" s="0" t="n">
        <v>0</v>
      </c>
    </row>
    <row r="11821" customFormat="false" ht="13.8" hidden="true" customHeight="false" outlineLevel="0" collapsed="false">
      <c r="A11821" s="0" t="s">
        <v>331</v>
      </c>
      <c r="B11821" s="0" t="n">
        <v>35</v>
      </c>
      <c r="C11821" s="0" t="n">
        <v>2.3</v>
      </c>
      <c r="D11821" s="0" t="n">
        <v>0</v>
      </c>
    </row>
    <row r="11822" customFormat="false" ht="13.8" hidden="true" customHeight="false" outlineLevel="0" collapsed="false">
      <c r="A11822" s="0" t="s">
        <v>331</v>
      </c>
      <c r="B11822" s="0" t="n">
        <v>35</v>
      </c>
      <c r="C11822" s="0" t="n">
        <v>2.35</v>
      </c>
      <c r="D11822" s="0" t="n">
        <v>0</v>
      </c>
    </row>
    <row r="11823" customFormat="false" ht="13.8" hidden="true" customHeight="false" outlineLevel="0" collapsed="false">
      <c r="A11823" s="0" t="s">
        <v>331</v>
      </c>
      <c r="B11823" s="0" t="n">
        <v>35</v>
      </c>
      <c r="C11823" s="0" t="n">
        <v>2.4</v>
      </c>
      <c r="D11823" s="0" t="n">
        <v>0</v>
      </c>
    </row>
    <row r="11824" customFormat="false" ht="13.8" hidden="true" customHeight="false" outlineLevel="0" collapsed="false">
      <c r="A11824" s="0" t="s">
        <v>331</v>
      </c>
      <c r="B11824" s="0" t="n">
        <v>35</v>
      </c>
      <c r="C11824" s="0" t="n">
        <v>2.45</v>
      </c>
      <c r="D11824" s="0" t="n">
        <v>0</v>
      </c>
    </row>
    <row r="11825" customFormat="false" ht="13.8" hidden="true" customHeight="false" outlineLevel="0" collapsed="false">
      <c r="A11825" s="0" t="s">
        <v>331</v>
      </c>
      <c r="B11825" s="0" t="n">
        <v>35</v>
      </c>
      <c r="C11825" s="0" t="n">
        <v>2.5</v>
      </c>
      <c r="D11825" s="0" t="n">
        <v>0</v>
      </c>
    </row>
    <row r="11826" customFormat="false" ht="13.8" hidden="true" customHeight="false" outlineLevel="0" collapsed="false">
      <c r="A11826" s="0" t="s">
        <v>331</v>
      </c>
      <c r="B11826" s="0" t="n">
        <v>35</v>
      </c>
      <c r="C11826" s="0" t="n">
        <v>2.55</v>
      </c>
      <c r="D11826" s="0" t="n">
        <v>0</v>
      </c>
    </row>
    <row r="11827" customFormat="false" ht="13.8" hidden="true" customHeight="false" outlineLevel="0" collapsed="false">
      <c r="A11827" s="0" t="s">
        <v>331</v>
      </c>
      <c r="B11827" s="0" t="n">
        <v>35</v>
      </c>
      <c r="C11827" s="0" t="n">
        <v>2.6</v>
      </c>
      <c r="D11827" s="0" t="n">
        <v>0</v>
      </c>
    </row>
    <row r="11828" customFormat="false" ht="13.8" hidden="true" customHeight="false" outlineLevel="0" collapsed="false">
      <c r="A11828" s="0" t="s">
        <v>211</v>
      </c>
      <c r="B11828" s="0" t="n">
        <v>35</v>
      </c>
      <c r="C11828" s="0" t="n">
        <v>1.3</v>
      </c>
      <c r="D11828" s="0" t="n">
        <v>0</v>
      </c>
    </row>
    <row r="11829" customFormat="false" ht="13.8" hidden="true" customHeight="false" outlineLevel="0" collapsed="false">
      <c r="A11829" s="0" t="s">
        <v>211</v>
      </c>
      <c r="B11829" s="0" t="n">
        <v>35</v>
      </c>
      <c r="C11829" s="0" t="n">
        <v>1.35</v>
      </c>
      <c r="D11829" s="0" t="n">
        <v>0</v>
      </c>
    </row>
    <row r="11830" customFormat="false" ht="13.8" hidden="true" customHeight="false" outlineLevel="0" collapsed="false">
      <c r="A11830" s="0" t="s">
        <v>211</v>
      </c>
      <c r="B11830" s="0" t="n">
        <v>35</v>
      </c>
      <c r="C11830" s="0" t="n">
        <v>1.4</v>
      </c>
      <c r="D11830" s="0" t="n">
        <v>0</v>
      </c>
    </row>
    <row r="11831" customFormat="false" ht="13.8" hidden="true" customHeight="false" outlineLevel="0" collapsed="false">
      <c r="A11831" s="0" t="s">
        <v>211</v>
      </c>
      <c r="B11831" s="0" t="n">
        <v>35</v>
      </c>
      <c r="C11831" s="0" t="n">
        <v>1.45</v>
      </c>
      <c r="D11831" s="0" t="n">
        <v>0</v>
      </c>
    </row>
    <row r="11832" customFormat="false" ht="13.8" hidden="true" customHeight="false" outlineLevel="0" collapsed="false">
      <c r="A11832" s="0" t="s">
        <v>211</v>
      </c>
      <c r="B11832" s="0" t="n">
        <v>35</v>
      </c>
      <c r="C11832" s="0" t="n">
        <v>1.5</v>
      </c>
      <c r="D11832" s="0" t="n">
        <v>0</v>
      </c>
    </row>
    <row r="11833" customFormat="false" ht="13.8" hidden="true" customHeight="false" outlineLevel="0" collapsed="false">
      <c r="A11833" s="0" t="s">
        <v>211</v>
      </c>
      <c r="B11833" s="0" t="n">
        <v>35</v>
      </c>
      <c r="C11833" s="0" t="n">
        <v>1.55</v>
      </c>
      <c r="D11833" s="0" t="n">
        <v>0</v>
      </c>
    </row>
    <row r="11834" customFormat="false" ht="13.8" hidden="true" customHeight="false" outlineLevel="0" collapsed="false">
      <c r="A11834" s="0" t="s">
        <v>211</v>
      </c>
      <c r="B11834" s="0" t="n">
        <v>35</v>
      </c>
      <c r="C11834" s="0" t="n">
        <v>1.6</v>
      </c>
      <c r="D11834" s="0" t="n">
        <v>0</v>
      </c>
    </row>
    <row r="11835" customFormat="false" ht="13.8" hidden="true" customHeight="false" outlineLevel="0" collapsed="false">
      <c r="A11835" s="0" t="s">
        <v>211</v>
      </c>
      <c r="B11835" s="0" t="n">
        <v>35</v>
      </c>
      <c r="C11835" s="0" t="n">
        <v>1.65</v>
      </c>
      <c r="D11835" s="0" t="n">
        <v>0</v>
      </c>
    </row>
    <row r="11836" customFormat="false" ht="13.8" hidden="true" customHeight="false" outlineLevel="0" collapsed="false">
      <c r="A11836" s="0" t="s">
        <v>211</v>
      </c>
      <c r="B11836" s="0" t="n">
        <v>35</v>
      </c>
      <c r="C11836" s="0" t="n">
        <v>1.7</v>
      </c>
      <c r="D11836" s="0" t="n">
        <v>0</v>
      </c>
    </row>
    <row r="11837" customFormat="false" ht="13.8" hidden="true" customHeight="false" outlineLevel="0" collapsed="false">
      <c r="A11837" s="0" t="s">
        <v>211</v>
      </c>
      <c r="B11837" s="0" t="n">
        <v>35</v>
      </c>
      <c r="C11837" s="0" t="n">
        <v>1.75</v>
      </c>
      <c r="D11837" s="0" t="n">
        <v>0</v>
      </c>
    </row>
    <row r="11838" customFormat="false" ht="13.8" hidden="true" customHeight="false" outlineLevel="0" collapsed="false">
      <c r="A11838" s="0" t="s">
        <v>211</v>
      </c>
      <c r="B11838" s="0" t="n">
        <v>35</v>
      </c>
      <c r="C11838" s="0" t="n">
        <v>1.8</v>
      </c>
      <c r="D11838" s="0" t="n">
        <v>1.323</v>
      </c>
    </row>
    <row r="11839" customFormat="false" ht="13.8" hidden="true" customHeight="false" outlineLevel="0" collapsed="false">
      <c r="A11839" s="0" t="s">
        <v>211</v>
      </c>
      <c r="B11839" s="0" t="n">
        <v>35</v>
      </c>
      <c r="C11839" s="0" t="n">
        <v>1.85</v>
      </c>
      <c r="D11839" s="0" t="n">
        <v>1.35975</v>
      </c>
    </row>
    <row r="11840" customFormat="false" ht="13.8" hidden="true" customHeight="false" outlineLevel="0" collapsed="false">
      <c r="A11840" s="0" t="s">
        <v>211</v>
      </c>
      <c r="B11840" s="0" t="n">
        <v>35</v>
      </c>
      <c r="C11840" s="0" t="n">
        <v>1.9</v>
      </c>
      <c r="D11840" s="0" t="n">
        <v>1.3965</v>
      </c>
    </row>
    <row r="11841" customFormat="false" ht="13.8" hidden="true" customHeight="false" outlineLevel="0" collapsed="false">
      <c r="A11841" s="0" t="s">
        <v>211</v>
      </c>
      <c r="B11841" s="0" t="n">
        <v>35</v>
      </c>
      <c r="C11841" s="0" t="n">
        <v>1.95</v>
      </c>
      <c r="D11841" s="0" t="n">
        <v>1.43325</v>
      </c>
    </row>
    <row r="11842" customFormat="false" ht="13.8" hidden="true" customHeight="false" outlineLevel="0" collapsed="false">
      <c r="A11842" s="0" t="s">
        <v>211</v>
      </c>
      <c r="B11842" s="0" t="n">
        <v>35</v>
      </c>
      <c r="C11842" s="0" t="n">
        <v>2</v>
      </c>
      <c r="D11842" s="0" t="n">
        <v>1.47</v>
      </c>
    </row>
    <row r="11843" customFormat="false" ht="13.8" hidden="true" customHeight="false" outlineLevel="0" collapsed="false">
      <c r="A11843" s="0" t="s">
        <v>211</v>
      </c>
      <c r="B11843" s="0" t="n">
        <v>35</v>
      </c>
      <c r="C11843" s="0" t="n">
        <v>2.05</v>
      </c>
      <c r="D11843" s="0" t="n">
        <v>1.50675</v>
      </c>
    </row>
    <row r="11844" customFormat="false" ht="13.8" hidden="true" customHeight="false" outlineLevel="0" collapsed="false">
      <c r="A11844" s="0" t="s">
        <v>211</v>
      </c>
      <c r="B11844" s="0" t="n">
        <v>35</v>
      </c>
      <c r="C11844" s="0" t="n">
        <v>2.1</v>
      </c>
      <c r="D11844" s="0" t="n">
        <v>1.5435</v>
      </c>
    </row>
    <row r="11845" customFormat="false" ht="13.8" hidden="true" customHeight="false" outlineLevel="0" collapsed="false">
      <c r="A11845" s="0" t="s">
        <v>211</v>
      </c>
      <c r="B11845" s="0" t="n">
        <v>35</v>
      </c>
      <c r="C11845" s="0" t="n">
        <v>2.15</v>
      </c>
      <c r="D11845" s="0" t="n">
        <v>1.58025</v>
      </c>
    </row>
    <row r="11846" customFormat="false" ht="13.8" hidden="true" customHeight="false" outlineLevel="0" collapsed="false">
      <c r="A11846" s="0" t="s">
        <v>211</v>
      </c>
      <c r="B11846" s="0" t="n">
        <v>35</v>
      </c>
      <c r="C11846" s="0" t="n">
        <v>2.2</v>
      </c>
      <c r="D11846" s="0" t="n">
        <v>1.617</v>
      </c>
    </row>
    <row r="11847" customFormat="false" ht="13.8" hidden="true" customHeight="false" outlineLevel="0" collapsed="false">
      <c r="A11847" s="0" t="s">
        <v>211</v>
      </c>
      <c r="B11847" s="0" t="n">
        <v>35</v>
      </c>
      <c r="C11847" s="0" t="n">
        <v>2.25</v>
      </c>
      <c r="D11847" s="0" t="n">
        <v>0</v>
      </c>
    </row>
    <row r="11848" customFormat="false" ht="13.8" hidden="true" customHeight="false" outlineLevel="0" collapsed="false">
      <c r="A11848" s="0" t="s">
        <v>211</v>
      </c>
      <c r="B11848" s="0" t="n">
        <v>35</v>
      </c>
      <c r="C11848" s="0" t="n">
        <v>2.3</v>
      </c>
      <c r="D11848" s="0" t="n">
        <v>0</v>
      </c>
    </row>
    <row r="11849" customFormat="false" ht="13.8" hidden="true" customHeight="false" outlineLevel="0" collapsed="false">
      <c r="A11849" s="0" t="s">
        <v>211</v>
      </c>
      <c r="B11849" s="0" t="n">
        <v>35</v>
      </c>
      <c r="C11849" s="0" t="n">
        <v>2.35</v>
      </c>
      <c r="D11849" s="0" t="n">
        <v>0</v>
      </c>
    </row>
    <row r="11850" customFormat="false" ht="13.8" hidden="true" customHeight="false" outlineLevel="0" collapsed="false">
      <c r="A11850" s="0" t="s">
        <v>211</v>
      </c>
      <c r="B11850" s="0" t="n">
        <v>35</v>
      </c>
      <c r="C11850" s="0" t="n">
        <v>2.4</v>
      </c>
      <c r="D11850" s="0" t="n">
        <v>0</v>
      </c>
    </row>
    <row r="11851" customFormat="false" ht="13.8" hidden="true" customHeight="false" outlineLevel="0" collapsed="false">
      <c r="A11851" s="0" t="s">
        <v>211</v>
      </c>
      <c r="B11851" s="0" t="n">
        <v>35</v>
      </c>
      <c r="C11851" s="0" t="n">
        <v>2.45</v>
      </c>
      <c r="D11851" s="0" t="n">
        <v>0</v>
      </c>
    </row>
    <row r="11852" customFormat="false" ht="13.8" hidden="true" customHeight="false" outlineLevel="0" collapsed="false">
      <c r="A11852" s="0" t="s">
        <v>211</v>
      </c>
      <c r="B11852" s="0" t="n">
        <v>35</v>
      </c>
      <c r="C11852" s="0" t="n">
        <v>2.5</v>
      </c>
      <c r="D11852" s="0" t="n">
        <v>0</v>
      </c>
    </row>
    <row r="11853" customFormat="false" ht="13.8" hidden="true" customHeight="false" outlineLevel="0" collapsed="false">
      <c r="A11853" s="0" t="s">
        <v>211</v>
      </c>
      <c r="B11853" s="0" t="n">
        <v>35</v>
      </c>
      <c r="C11853" s="0" t="n">
        <v>2.55</v>
      </c>
      <c r="D11853" s="0" t="n">
        <v>0</v>
      </c>
    </row>
    <row r="11854" customFormat="false" ht="13.8" hidden="true" customHeight="false" outlineLevel="0" collapsed="false">
      <c r="A11854" s="0" t="s">
        <v>211</v>
      </c>
      <c r="B11854" s="0" t="n">
        <v>35</v>
      </c>
      <c r="C11854" s="0" t="n">
        <v>2.6</v>
      </c>
      <c r="D11854" s="0" t="n">
        <v>0</v>
      </c>
    </row>
    <row r="11855" customFormat="false" ht="13.8" hidden="true" customHeight="false" outlineLevel="0" collapsed="false">
      <c r="A11855" s="0" t="s">
        <v>332</v>
      </c>
      <c r="B11855" s="0" t="n">
        <v>35</v>
      </c>
      <c r="C11855" s="0" t="n">
        <v>1.3</v>
      </c>
      <c r="D11855" s="0" t="n">
        <v>0</v>
      </c>
    </row>
    <row r="11856" customFormat="false" ht="13.8" hidden="true" customHeight="false" outlineLevel="0" collapsed="false">
      <c r="A11856" s="0" t="s">
        <v>332</v>
      </c>
      <c r="B11856" s="0" t="n">
        <v>35</v>
      </c>
      <c r="C11856" s="0" t="n">
        <v>1.35</v>
      </c>
      <c r="D11856" s="0" t="n">
        <v>0</v>
      </c>
    </row>
    <row r="11857" customFormat="false" ht="13.8" hidden="true" customHeight="false" outlineLevel="0" collapsed="false">
      <c r="A11857" s="0" t="s">
        <v>332</v>
      </c>
      <c r="B11857" s="0" t="n">
        <v>35</v>
      </c>
      <c r="C11857" s="0" t="n">
        <v>1.4</v>
      </c>
      <c r="D11857" s="0" t="n">
        <v>0</v>
      </c>
    </row>
    <row r="11858" customFormat="false" ht="13.8" hidden="true" customHeight="false" outlineLevel="0" collapsed="false">
      <c r="A11858" s="0" t="s">
        <v>332</v>
      </c>
      <c r="B11858" s="0" t="n">
        <v>35</v>
      </c>
      <c r="C11858" s="0" t="n">
        <v>1.45</v>
      </c>
      <c r="D11858" s="0" t="n">
        <v>0</v>
      </c>
    </row>
    <row r="11859" customFormat="false" ht="13.8" hidden="true" customHeight="false" outlineLevel="0" collapsed="false">
      <c r="A11859" s="0" t="s">
        <v>332</v>
      </c>
      <c r="B11859" s="0" t="n">
        <v>35</v>
      </c>
      <c r="C11859" s="0" t="n">
        <v>1.5</v>
      </c>
      <c r="D11859" s="0" t="n">
        <v>0</v>
      </c>
    </row>
    <row r="11860" customFormat="false" ht="13.8" hidden="true" customHeight="false" outlineLevel="0" collapsed="false">
      <c r="A11860" s="0" t="s">
        <v>332</v>
      </c>
      <c r="B11860" s="0" t="n">
        <v>35</v>
      </c>
      <c r="C11860" s="0" t="n">
        <v>1.55</v>
      </c>
      <c r="D11860" s="0" t="n">
        <v>0</v>
      </c>
    </row>
    <row r="11861" customFormat="false" ht="13.8" hidden="true" customHeight="false" outlineLevel="0" collapsed="false">
      <c r="A11861" s="0" t="s">
        <v>332</v>
      </c>
      <c r="B11861" s="0" t="n">
        <v>35</v>
      </c>
      <c r="C11861" s="0" t="n">
        <v>1.6</v>
      </c>
      <c r="D11861" s="0" t="n">
        <v>0</v>
      </c>
    </row>
    <row r="11862" customFormat="false" ht="13.8" hidden="true" customHeight="false" outlineLevel="0" collapsed="false">
      <c r="A11862" s="0" t="s">
        <v>332</v>
      </c>
      <c r="B11862" s="0" t="n">
        <v>35</v>
      </c>
      <c r="C11862" s="0" t="n">
        <v>1.65</v>
      </c>
      <c r="D11862" s="0" t="n">
        <v>0</v>
      </c>
    </row>
    <row r="11863" customFormat="false" ht="13.8" hidden="true" customHeight="false" outlineLevel="0" collapsed="false">
      <c r="A11863" s="0" t="s">
        <v>332</v>
      </c>
      <c r="B11863" s="0" t="n">
        <v>35</v>
      </c>
      <c r="C11863" s="0" t="n">
        <v>1.7</v>
      </c>
      <c r="D11863" s="0" t="n">
        <v>0</v>
      </c>
    </row>
    <row r="11864" customFormat="false" ht="13.8" hidden="true" customHeight="false" outlineLevel="0" collapsed="false">
      <c r="A11864" s="0" t="s">
        <v>332</v>
      </c>
      <c r="B11864" s="0" t="n">
        <v>35</v>
      </c>
      <c r="C11864" s="0" t="n">
        <v>1.75</v>
      </c>
      <c r="D11864" s="0" t="n">
        <v>0</v>
      </c>
    </row>
    <row r="11865" customFormat="false" ht="13.8" hidden="true" customHeight="false" outlineLevel="0" collapsed="false">
      <c r="A11865" s="0" t="s">
        <v>332</v>
      </c>
      <c r="B11865" s="0" t="n">
        <v>35</v>
      </c>
      <c r="C11865" s="0" t="n">
        <v>1.8</v>
      </c>
      <c r="D11865" s="0" t="n">
        <v>1.323</v>
      </c>
    </row>
    <row r="11866" customFormat="false" ht="13.8" hidden="true" customHeight="false" outlineLevel="0" collapsed="false">
      <c r="A11866" s="0" t="s">
        <v>332</v>
      </c>
      <c r="B11866" s="0" t="n">
        <v>35</v>
      </c>
      <c r="C11866" s="0" t="n">
        <v>1.85</v>
      </c>
      <c r="D11866" s="0" t="n">
        <v>1.35975</v>
      </c>
    </row>
    <row r="11867" customFormat="false" ht="13.8" hidden="true" customHeight="false" outlineLevel="0" collapsed="false">
      <c r="A11867" s="0" t="s">
        <v>332</v>
      </c>
      <c r="B11867" s="0" t="n">
        <v>35</v>
      </c>
      <c r="C11867" s="0" t="n">
        <v>1.9</v>
      </c>
      <c r="D11867" s="0" t="n">
        <v>1.3965</v>
      </c>
    </row>
    <row r="11868" customFormat="false" ht="13.8" hidden="true" customHeight="false" outlineLevel="0" collapsed="false">
      <c r="A11868" s="0" t="s">
        <v>332</v>
      </c>
      <c r="B11868" s="0" t="n">
        <v>35</v>
      </c>
      <c r="C11868" s="0" t="n">
        <v>1.95</v>
      </c>
      <c r="D11868" s="0" t="n">
        <v>1.43325</v>
      </c>
    </row>
    <row r="11869" customFormat="false" ht="13.8" hidden="true" customHeight="false" outlineLevel="0" collapsed="false">
      <c r="A11869" s="0" t="s">
        <v>332</v>
      </c>
      <c r="B11869" s="0" t="n">
        <v>35</v>
      </c>
      <c r="C11869" s="0" t="n">
        <v>2</v>
      </c>
      <c r="D11869" s="0" t="n">
        <v>1.47</v>
      </c>
    </row>
    <row r="11870" customFormat="false" ht="13.8" hidden="true" customHeight="false" outlineLevel="0" collapsed="false">
      <c r="A11870" s="0" t="s">
        <v>332</v>
      </c>
      <c r="B11870" s="0" t="n">
        <v>35</v>
      </c>
      <c r="C11870" s="0" t="n">
        <v>2.05</v>
      </c>
      <c r="D11870" s="0" t="n">
        <v>1.50675</v>
      </c>
    </row>
    <row r="11871" customFormat="false" ht="13.8" hidden="true" customHeight="false" outlineLevel="0" collapsed="false">
      <c r="A11871" s="0" t="s">
        <v>332</v>
      </c>
      <c r="B11871" s="0" t="n">
        <v>35</v>
      </c>
      <c r="C11871" s="0" t="n">
        <v>2.1</v>
      </c>
      <c r="D11871" s="0" t="n">
        <v>1.5435</v>
      </c>
    </row>
    <row r="11872" customFormat="false" ht="13.8" hidden="true" customHeight="false" outlineLevel="0" collapsed="false">
      <c r="A11872" s="0" t="s">
        <v>332</v>
      </c>
      <c r="B11872" s="0" t="n">
        <v>35</v>
      </c>
      <c r="C11872" s="0" t="n">
        <v>2.15</v>
      </c>
      <c r="D11872" s="0" t="n">
        <v>1.58025</v>
      </c>
    </row>
    <row r="11873" customFormat="false" ht="13.8" hidden="true" customHeight="false" outlineLevel="0" collapsed="false">
      <c r="A11873" s="0" t="s">
        <v>332</v>
      </c>
      <c r="B11873" s="0" t="n">
        <v>35</v>
      </c>
      <c r="C11873" s="0" t="n">
        <v>2.2</v>
      </c>
      <c r="D11873" s="0" t="n">
        <v>1.617</v>
      </c>
    </row>
    <row r="11874" customFormat="false" ht="13.8" hidden="true" customHeight="false" outlineLevel="0" collapsed="false">
      <c r="A11874" s="0" t="s">
        <v>332</v>
      </c>
      <c r="B11874" s="0" t="n">
        <v>35</v>
      </c>
      <c r="C11874" s="0" t="n">
        <v>2.25</v>
      </c>
      <c r="D11874" s="0" t="n">
        <v>0</v>
      </c>
    </row>
    <row r="11875" customFormat="false" ht="13.8" hidden="true" customHeight="false" outlineLevel="0" collapsed="false">
      <c r="A11875" s="0" t="s">
        <v>332</v>
      </c>
      <c r="B11875" s="0" t="n">
        <v>35</v>
      </c>
      <c r="C11875" s="0" t="n">
        <v>2.3</v>
      </c>
      <c r="D11875" s="0" t="n">
        <v>0</v>
      </c>
    </row>
    <row r="11876" customFormat="false" ht="13.8" hidden="true" customHeight="false" outlineLevel="0" collapsed="false">
      <c r="A11876" s="0" t="s">
        <v>332</v>
      </c>
      <c r="B11876" s="0" t="n">
        <v>35</v>
      </c>
      <c r="C11876" s="0" t="n">
        <v>2.35</v>
      </c>
      <c r="D11876" s="0" t="n">
        <v>0</v>
      </c>
    </row>
    <row r="11877" customFormat="false" ht="13.8" hidden="true" customHeight="false" outlineLevel="0" collapsed="false">
      <c r="A11877" s="0" t="s">
        <v>332</v>
      </c>
      <c r="B11877" s="0" t="n">
        <v>35</v>
      </c>
      <c r="C11877" s="0" t="n">
        <v>2.4</v>
      </c>
      <c r="D11877" s="0" t="n">
        <v>0</v>
      </c>
    </row>
    <row r="11878" customFormat="false" ht="13.8" hidden="true" customHeight="false" outlineLevel="0" collapsed="false">
      <c r="A11878" s="0" t="s">
        <v>332</v>
      </c>
      <c r="B11878" s="0" t="n">
        <v>35</v>
      </c>
      <c r="C11878" s="0" t="n">
        <v>2.45</v>
      </c>
      <c r="D11878" s="0" t="n">
        <v>0</v>
      </c>
    </row>
    <row r="11879" customFormat="false" ht="13.8" hidden="true" customHeight="false" outlineLevel="0" collapsed="false">
      <c r="A11879" s="0" t="s">
        <v>332</v>
      </c>
      <c r="B11879" s="0" t="n">
        <v>35</v>
      </c>
      <c r="C11879" s="0" t="n">
        <v>2.5</v>
      </c>
      <c r="D11879" s="0" t="n">
        <v>0</v>
      </c>
    </row>
    <row r="11880" customFormat="false" ht="13.8" hidden="true" customHeight="false" outlineLevel="0" collapsed="false">
      <c r="A11880" s="0" t="s">
        <v>332</v>
      </c>
      <c r="B11880" s="0" t="n">
        <v>35</v>
      </c>
      <c r="C11880" s="0" t="n">
        <v>2.55</v>
      </c>
      <c r="D11880" s="0" t="n">
        <v>0</v>
      </c>
    </row>
    <row r="11881" customFormat="false" ht="13.8" hidden="true" customHeight="false" outlineLevel="0" collapsed="false">
      <c r="A11881" s="0" t="s">
        <v>332</v>
      </c>
      <c r="B11881" s="0" t="n">
        <v>35</v>
      </c>
      <c r="C11881" s="0" t="n">
        <v>2.6</v>
      </c>
      <c r="D11881" s="0" t="n">
        <v>0</v>
      </c>
    </row>
    <row r="11882" customFormat="false" ht="13.8" hidden="true" customHeight="false" outlineLevel="0" collapsed="false">
      <c r="A11882" s="0" t="s">
        <v>212</v>
      </c>
      <c r="B11882" s="0" t="n">
        <v>35</v>
      </c>
      <c r="C11882" s="0" t="n">
        <v>1.3</v>
      </c>
      <c r="D11882" s="0" t="n">
        <v>0</v>
      </c>
    </row>
    <row r="11883" customFormat="false" ht="13.8" hidden="true" customHeight="false" outlineLevel="0" collapsed="false">
      <c r="A11883" s="0" t="s">
        <v>212</v>
      </c>
      <c r="B11883" s="0" t="n">
        <v>35</v>
      </c>
      <c r="C11883" s="0" t="n">
        <v>1.35</v>
      </c>
      <c r="D11883" s="0" t="n">
        <v>0</v>
      </c>
    </row>
    <row r="11884" customFormat="false" ht="13.8" hidden="true" customHeight="false" outlineLevel="0" collapsed="false">
      <c r="A11884" s="0" t="s">
        <v>212</v>
      </c>
      <c r="B11884" s="0" t="n">
        <v>35</v>
      </c>
      <c r="C11884" s="0" t="n">
        <v>1.4</v>
      </c>
      <c r="D11884" s="0" t="n">
        <v>0</v>
      </c>
    </row>
    <row r="11885" customFormat="false" ht="13.8" hidden="true" customHeight="false" outlineLevel="0" collapsed="false">
      <c r="A11885" s="0" t="s">
        <v>212</v>
      </c>
      <c r="B11885" s="0" t="n">
        <v>35</v>
      </c>
      <c r="C11885" s="0" t="n">
        <v>1.45</v>
      </c>
      <c r="D11885" s="0" t="n">
        <v>0</v>
      </c>
    </row>
    <row r="11886" customFormat="false" ht="13.8" hidden="true" customHeight="false" outlineLevel="0" collapsed="false">
      <c r="A11886" s="0" t="s">
        <v>212</v>
      </c>
      <c r="B11886" s="0" t="n">
        <v>35</v>
      </c>
      <c r="C11886" s="0" t="n">
        <v>1.5</v>
      </c>
      <c r="D11886" s="0" t="n">
        <v>0</v>
      </c>
    </row>
    <row r="11887" customFormat="false" ht="13.8" hidden="true" customHeight="false" outlineLevel="0" collapsed="false">
      <c r="A11887" s="0" t="s">
        <v>212</v>
      </c>
      <c r="B11887" s="0" t="n">
        <v>35</v>
      </c>
      <c r="C11887" s="0" t="n">
        <v>1.55</v>
      </c>
      <c r="D11887" s="0" t="n">
        <v>0</v>
      </c>
    </row>
    <row r="11888" customFormat="false" ht="13.8" hidden="true" customHeight="false" outlineLevel="0" collapsed="false">
      <c r="A11888" s="0" t="s">
        <v>212</v>
      </c>
      <c r="B11888" s="0" t="n">
        <v>35</v>
      </c>
      <c r="C11888" s="0" t="n">
        <v>1.6</v>
      </c>
      <c r="D11888" s="0" t="n">
        <v>0</v>
      </c>
    </row>
    <row r="11889" customFormat="false" ht="13.8" hidden="true" customHeight="false" outlineLevel="0" collapsed="false">
      <c r="A11889" s="0" t="s">
        <v>212</v>
      </c>
      <c r="B11889" s="0" t="n">
        <v>35</v>
      </c>
      <c r="C11889" s="0" t="n">
        <v>1.65</v>
      </c>
      <c r="D11889" s="0" t="n">
        <v>0</v>
      </c>
    </row>
    <row r="11890" customFormat="false" ht="13.8" hidden="true" customHeight="false" outlineLevel="0" collapsed="false">
      <c r="A11890" s="0" t="s">
        <v>212</v>
      </c>
      <c r="B11890" s="0" t="n">
        <v>35</v>
      </c>
      <c r="C11890" s="0" t="n">
        <v>1.7</v>
      </c>
      <c r="D11890" s="0" t="n">
        <v>0</v>
      </c>
    </row>
    <row r="11891" customFormat="false" ht="13.8" hidden="true" customHeight="false" outlineLevel="0" collapsed="false">
      <c r="A11891" s="0" t="s">
        <v>212</v>
      </c>
      <c r="B11891" s="0" t="n">
        <v>35</v>
      </c>
      <c r="C11891" s="0" t="n">
        <v>1.75</v>
      </c>
      <c r="D11891" s="0" t="n">
        <v>0</v>
      </c>
    </row>
    <row r="11892" customFormat="false" ht="13.8" hidden="true" customHeight="false" outlineLevel="0" collapsed="false">
      <c r="A11892" s="0" t="s">
        <v>212</v>
      </c>
      <c r="B11892" s="0" t="n">
        <v>35</v>
      </c>
      <c r="C11892" s="0" t="n">
        <v>1.8</v>
      </c>
      <c r="D11892" s="0" t="n">
        <v>1.323</v>
      </c>
    </row>
    <row r="11893" customFormat="false" ht="13.8" hidden="true" customHeight="false" outlineLevel="0" collapsed="false">
      <c r="A11893" s="0" t="s">
        <v>212</v>
      </c>
      <c r="B11893" s="0" t="n">
        <v>35</v>
      </c>
      <c r="C11893" s="0" t="n">
        <v>1.85</v>
      </c>
      <c r="D11893" s="0" t="n">
        <v>1.35975</v>
      </c>
    </row>
    <row r="11894" customFormat="false" ht="13.8" hidden="true" customHeight="false" outlineLevel="0" collapsed="false">
      <c r="A11894" s="0" t="s">
        <v>212</v>
      </c>
      <c r="B11894" s="0" t="n">
        <v>35</v>
      </c>
      <c r="C11894" s="0" t="n">
        <v>1.9</v>
      </c>
      <c r="D11894" s="0" t="n">
        <v>1.3965</v>
      </c>
    </row>
    <row r="11895" customFormat="false" ht="13.8" hidden="true" customHeight="false" outlineLevel="0" collapsed="false">
      <c r="A11895" s="0" t="s">
        <v>212</v>
      </c>
      <c r="B11895" s="0" t="n">
        <v>35</v>
      </c>
      <c r="C11895" s="0" t="n">
        <v>1.95</v>
      </c>
      <c r="D11895" s="0" t="n">
        <v>1.43325</v>
      </c>
    </row>
    <row r="11896" customFormat="false" ht="13.8" hidden="true" customHeight="false" outlineLevel="0" collapsed="false">
      <c r="A11896" s="0" t="s">
        <v>212</v>
      </c>
      <c r="B11896" s="0" t="n">
        <v>35</v>
      </c>
      <c r="C11896" s="0" t="n">
        <v>2</v>
      </c>
      <c r="D11896" s="0" t="n">
        <v>1.47</v>
      </c>
    </row>
    <row r="11897" customFormat="false" ht="13.8" hidden="true" customHeight="false" outlineLevel="0" collapsed="false">
      <c r="A11897" s="0" t="s">
        <v>212</v>
      </c>
      <c r="B11897" s="0" t="n">
        <v>35</v>
      </c>
      <c r="C11897" s="0" t="n">
        <v>2.05</v>
      </c>
      <c r="D11897" s="0" t="n">
        <v>1.50675</v>
      </c>
    </row>
    <row r="11898" customFormat="false" ht="13.8" hidden="true" customHeight="false" outlineLevel="0" collapsed="false">
      <c r="A11898" s="0" t="s">
        <v>212</v>
      </c>
      <c r="B11898" s="0" t="n">
        <v>35</v>
      </c>
      <c r="C11898" s="0" t="n">
        <v>2.1</v>
      </c>
      <c r="D11898" s="0" t="n">
        <v>1.5435</v>
      </c>
    </row>
    <row r="11899" customFormat="false" ht="13.8" hidden="true" customHeight="false" outlineLevel="0" collapsed="false">
      <c r="A11899" s="0" t="s">
        <v>212</v>
      </c>
      <c r="B11899" s="0" t="n">
        <v>35</v>
      </c>
      <c r="C11899" s="0" t="n">
        <v>2.15</v>
      </c>
      <c r="D11899" s="0" t="n">
        <v>1.58025</v>
      </c>
    </row>
    <row r="11900" customFormat="false" ht="13.8" hidden="true" customHeight="false" outlineLevel="0" collapsed="false">
      <c r="A11900" s="0" t="s">
        <v>212</v>
      </c>
      <c r="B11900" s="0" t="n">
        <v>35</v>
      </c>
      <c r="C11900" s="0" t="n">
        <v>2.2</v>
      </c>
      <c r="D11900" s="0" t="n">
        <v>1.617</v>
      </c>
    </row>
    <row r="11901" customFormat="false" ht="13.8" hidden="true" customHeight="false" outlineLevel="0" collapsed="false">
      <c r="A11901" s="0" t="s">
        <v>212</v>
      </c>
      <c r="B11901" s="0" t="n">
        <v>35</v>
      </c>
      <c r="C11901" s="0" t="n">
        <v>2.25</v>
      </c>
      <c r="D11901" s="0" t="n">
        <v>0</v>
      </c>
    </row>
    <row r="11902" customFormat="false" ht="13.8" hidden="true" customHeight="false" outlineLevel="0" collapsed="false">
      <c r="A11902" s="0" t="s">
        <v>212</v>
      </c>
      <c r="B11902" s="0" t="n">
        <v>35</v>
      </c>
      <c r="C11902" s="0" t="n">
        <v>2.3</v>
      </c>
      <c r="D11902" s="0" t="n">
        <v>0</v>
      </c>
    </row>
    <row r="11903" customFormat="false" ht="13.8" hidden="true" customHeight="false" outlineLevel="0" collapsed="false">
      <c r="A11903" s="0" t="s">
        <v>212</v>
      </c>
      <c r="B11903" s="0" t="n">
        <v>35</v>
      </c>
      <c r="C11903" s="0" t="n">
        <v>2.35</v>
      </c>
      <c r="D11903" s="0" t="n">
        <v>0</v>
      </c>
    </row>
    <row r="11904" customFormat="false" ht="13.8" hidden="true" customHeight="false" outlineLevel="0" collapsed="false">
      <c r="A11904" s="0" t="s">
        <v>212</v>
      </c>
      <c r="B11904" s="0" t="n">
        <v>35</v>
      </c>
      <c r="C11904" s="0" t="n">
        <v>2.4</v>
      </c>
      <c r="D11904" s="0" t="n">
        <v>0</v>
      </c>
    </row>
    <row r="11905" customFormat="false" ht="13.8" hidden="true" customHeight="false" outlineLevel="0" collapsed="false">
      <c r="A11905" s="0" t="s">
        <v>212</v>
      </c>
      <c r="B11905" s="0" t="n">
        <v>35</v>
      </c>
      <c r="C11905" s="0" t="n">
        <v>2.45</v>
      </c>
      <c r="D11905" s="0" t="n">
        <v>0</v>
      </c>
    </row>
    <row r="11906" customFormat="false" ht="13.8" hidden="true" customHeight="false" outlineLevel="0" collapsed="false">
      <c r="A11906" s="0" t="s">
        <v>212</v>
      </c>
      <c r="B11906" s="0" t="n">
        <v>35</v>
      </c>
      <c r="C11906" s="0" t="n">
        <v>2.5</v>
      </c>
      <c r="D11906" s="0" t="n">
        <v>0</v>
      </c>
    </row>
    <row r="11907" customFormat="false" ht="13.8" hidden="true" customHeight="false" outlineLevel="0" collapsed="false">
      <c r="A11907" s="0" t="s">
        <v>212</v>
      </c>
      <c r="B11907" s="0" t="n">
        <v>35</v>
      </c>
      <c r="C11907" s="0" t="n">
        <v>2.55</v>
      </c>
      <c r="D11907" s="0" t="n">
        <v>0</v>
      </c>
    </row>
    <row r="11908" customFormat="false" ht="13.8" hidden="true" customHeight="false" outlineLevel="0" collapsed="false">
      <c r="A11908" s="0" t="s">
        <v>212</v>
      </c>
      <c r="B11908" s="0" t="n">
        <v>35</v>
      </c>
      <c r="C11908" s="0" t="n">
        <v>2.6</v>
      </c>
      <c r="D11908" s="0" t="n">
        <v>0</v>
      </c>
    </row>
    <row r="11909" customFormat="false" ht="13.8" hidden="true" customHeight="false" outlineLevel="0" collapsed="false">
      <c r="A11909" s="0" t="s">
        <v>213</v>
      </c>
      <c r="B11909" s="0" t="n">
        <v>35</v>
      </c>
      <c r="C11909" s="0" t="n">
        <v>1.3</v>
      </c>
      <c r="D11909" s="0" t="n">
        <v>0.9555</v>
      </c>
    </row>
    <row r="11910" customFormat="false" ht="13.8" hidden="true" customHeight="false" outlineLevel="0" collapsed="false">
      <c r="A11910" s="0" t="s">
        <v>213</v>
      </c>
      <c r="B11910" s="0" t="n">
        <v>35</v>
      </c>
      <c r="C11910" s="0" t="n">
        <v>1.35</v>
      </c>
      <c r="D11910" s="0" t="n">
        <v>0.99225</v>
      </c>
    </row>
    <row r="11911" customFormat="false" ht="13.8" hidden="true" customHeight="false" outlineLevel="0" collapsed="false">
      <c r="A11911" s="0" t="s">
        <v>213</v>
      </c>
      <c r="B11911" s="0" t="n">
        <v>35</v>
      </c>
      <c r="C11911" s="0" t="n">
        <v>1.4</v>
      </c>
      <c r="D11911" s="0" t="n">
        <v>1.029</v>
      </c>
    </row>
    <row r="11912" customFormat="false" ht="13.8" hidden="true" customHeight="false" outlineLevel="0" collapsed="false">
      <c r="A11912" s="0" t="s">
        <v>213</v>
      </c>
      <c r="B11912" s="0" t="n">
        <v>35</v>
      </c>
      <c r="C11912" s="0" t="n">
        <v>1.45</v>
      </c>
      <c r="D11912" s="0" t="n">
        <v>1.06575</v>
      </c>
    </row>
    <row r="11913" customFormat="false" ht="13.8" hidden="true" customHeight="false" outlineLevel="0" collapsed="false">
      <c r="A11913" s="0" t="s">
        <v>213</v>
      </c>
      <c r="B11913" s="0" t="n">
        <v>35</v>
      </c>
      <c r="C11913" s="0" t="n">
        <v>1.5</v>
      </c>
      <c r="D11913" s="0" t="n">
        <v>0</v>
      </c>
    </row>
    <row r="11914" customFormat="false" ht="13.8" hidden="true" customHeight="false" outlineLevel="0" collapsed="false">
      <c r="A11914" s="0" t="s">
        <v>213</v>
      </c>
      <c r="B11914" s="0" t="n">
        <v>35</v>
      </c>
      <c r="C11914" s="0" t="n">
        <v>1.55</v>
      </c>
      <c r="D11914" s="0" t="n">
        <v>0</v>
      </c>
    </row>
    <row r="11915" customFormat="false" ht="13.8" hidden="true" customHeight="false" outlineLevel="0" collapsed="false">
      <c r="A11915" s="0" t="s">
        <v>213</v>
      </c>
      <c r="B11915" s="0" t="n">
        <v>35</v>
      </c>
      <c r="C11915" s="0" t="n">
        <v>1.6</v>
      </c>
      <c r="D11915" s="0" t="n">
        <v>0</v>
      </c>
    </row>
    <row r="11916" customFormat="false" ht="13.8" hidden="true" customHeight="false" outlineLevel="0" collapsed="false">
      <c r="A11916" s="0" t="s">
        <v>213</v>
      </c>
      <c r="B11916" s="0" t="n">
        <v>35</v>
      </c>
      <c r="C11916" s="0" t="n">
        <v>1.65</v>
      </c>
      <c r="D11916" s="0" t="n">
        <v>0</v>
      </c>
    </row>
    <row r="11917" customFormat="false" ht="13.8" hidden="true" customHeight="false" outlineLevel="0" collapsed="false">
      <c r="A11917" s="0" t="s">
        <v>213</v>
      </c>
      <c r="B11917" s="0" t="n">
        <v>35</v>
      </c>
      <c r="C11917" s="0" t="n">
        <v>1.7</v>
      </c>
      <c r="D11917" s="0" t="n">
        <v>0</v>
      </c>
    </row>
    <row r="11918" customFormat="false" ht="13.8" hidden="true" customHeight="false" outlineLevel="0" collapsed="false">
      <c r="A11918" s="0" t="s">
        <v>213</v>
      </c>
      <c r="B11918" s="0" t="n">
        <v>35</v>
      </c>
      <c r="C11918" s="0" t="n">
        <v>1.75</v>
      </c>
      <c r="D11918" s="0" t="n">
        <v>0</v>
      </c>
    </row>
    <row r="11919" customFormat="false" ht="13.8" hidden="true" customHeight="false" outlineLevel="0" collapsed="false">
      <c r="A11919" s="0" t="s">
        <v>213</v>
      </c>
      <c r="B11919" s="0" t="n">
        <v>35</v>
      </c>
      <c r="C11919" s="0" t="n">
        <v>1.8</v>
      </c>
      <c r="D11919" s="0" t="n">
        <v>0</v>
      </c>
    </row>
    <row r="11920" customFormat="false" ht="13.8" hidden="true" customHeight="false" outlineLevel="0" collapsed="false">
      <c r="A11920" s="0" t="s">
        <v>213</v>
      </c>
      <c r="B11920" s="0" t="n">
        <v>35</v>
      </c>
      <c r="C11920" s="0" t="n">
        <v>1.85</v>
      </c>
      <c r="D11920" s="0" t="n">
        <v>0</v>
      </c>
    </row>
    <row r="11921" customFormat="false" ht="13.8" hidden="true" customHeight="false" outlineLevel="0" collapsed="false">
      <c r="A11921" s="0" t="s">
        <v>213</v>
      </c>
      <c r="B11921" s="0" t="n">
        <v>35</v>
      </c>
      <c r="C11921" s="0" t="n">
        <v>1.9</v>
      </c>
      <c r="D11921" s="0" t="n">
        <v>0</v>
      </c>
    </row>
    <row r="11922" customFormat="false" ht="13.8" hidden="true" customHeight="false" outlineLevel="0" collapsed="false">
      <c r="A11922" s="0" t="s">
        <v>213</v>
      </c>
      <c r="B11922" s="0" t="n">
        <v>35</v>
      </c>
      <c r="C11922" s="0" t="n">
        <v>1.95</v>
      </c>
      <c r="D11922" s="0" t="n">
        <v>0</v>
      </c>
    </row>
    <row r="11923" customFormat="false" ht="13.8" hidden="true" customHeight="false" outlineLevel="0" collapsed="false">
      <c r="A11923" s="0" t="s">
        <v>213</v>
      </c>
      <c r="B11923" s="0" t="n">
        <v>35</v>
      </c>
      <c r="C11923" s="0" t="n">
        <v>2</v>
      </c>
      <c r="D11923" s="0" t="n">
        <v>0</v>
      </c>
    </row>
    <row r="11924" customFormat="false" ht="13.8" hidden="true" customHeight="false" outlineLevel="0" collapsed="false">
      <c r="A11924" s="0" t="s">
        <v>213</v>
      </c>
      <c r="B11924" s="0" t="n">
        <v>35</v>
      </c>
      <c r="C11924" s="0" t="n">
        <v>2.05</v>
      </c>
      <c r="D11924" s="0" t="n">
        <v>0</v>
      </c>
    </row>
    <row r="11925" customFormat="false" ht="13.8" hidden="true" customHeight="false" outlineLevel="0" collapsed="false">
      <c r="A11925" s="0" t="s">
        <v>213</v>
      </c>
      <c r="B11925" s="0" t="n">
        <v>35</v>
      </c>
      <c r="C11925" s="0" t="n">
        <v>2.1</v>
      </c>
      <c r="D11925" s="0" t="n">
        <v>0</v>
      </c>
    </row>
    <row r="11926" customFormat="false" ht="13.8" hidden="true" customHeight="false" outlineLevel="0" collapsed="false">
      <c r="A11926" s="0" t="s">
        <v>213</v>
      </c>
      <c r="B11926" s="0" t="n">
        <v>35</v>
      </c>
      <c r="C11926" s="0" t="n">
        <v>2.15</v>
      </c>
      <c r="D11926" s="0" t="n">
        <v>0</v>
      </c>
    </row>
    <row r="11927" customFormat="false" ht="13.8" hidden="true" customHeight="false" outlineLevel="0" collapsed="false">
      <c r="A11927" s="0" t="s">
        <v>213</v>
      </c>
      <c r="B11927" s="0" t="n">
        <v>35</v>
      </c>
      <c r="C11927" s="0" t="n">
        <v>2.2</v>
      </c>
      <c r="D11927" s="0" t="n">
        <v>0</v>
      </c>
    </row>
    <row r="11928" customFormat="false" ht="13.8" hidden="true" customHeight="false" outlineLevel="0" collapsed="false">
      <c r="A11928" s="0" t="s">
        <v>213</v>
      </c>
      <c r="B11928" s="0" t="n">
        <v>35</v>
      </c>
      <c r="C11928" s="0" t="n">
        <v>2.25</v>
      </c>
      <c r="D11928" s="0" t="n">
        <v>0</v>
      </c>
    </row>
    <row r="11929" customFormat="false" ht="13.8" hidden="true" customHeight="false" outlineLevel="0" collapsed="false">
      <c r="A11929" s="0" t="s">
        <v>213</v>
      </c>
      <c r="B11929" s="0" t="n">
        <v>35</v>
      </c>
      <c r="C11929" s="0" t="n">
        <v>2.3</v>
      </c>
      <c r="D11929" s="0" t="n">
        <v>0</v>
      </c>
    </row>
    <row r="11930" customFormat="false" ht="13.8" hidden="true" customHeight="false" outlineLevel="0" collapsed="false">
      <c r="A11930" s="0" t="s">
        <v>213</v>
      </c>
      <c r="B11930" s="0" t="n">
        <v>35</v>
      </c>
      <c r="C11930" s="0" t="n">
        <v>2.35</v>
      </c>
      <c r="D11930" s="0" t="n">
        <v>0</v>
      </c>
    </row>
    <row r="11931" customFormat="false" ht="13.8" hidden="true" customHeight="false" outlineLevel="0" collapsed="false">
      <c r="A11931" s="0" t="s">
        <v>213</v>
      </c>
      <c r="B11931" s="0" t="n">
        <v>35</v>
      </c>
      <c r="C11931" s="0" t="n">
        <v>2.4</v>
      </c>
      <c r="D11931" s="0" t="n">
        <v>0</v>
      </c>
    </row>
    <row r="11932" customFormat="false" ht="13.8" hidden="true" customHeight="false" outlineLevel="0" collapsed="false">
      <c r="A11932" s="0" t="s">
        <v>213</v>
      </c>
      <c r="B11932" s="0" t="n">
        <v>35</v>
      </c>
      <c r="C11932" s="0" t="n">
        <v>2.45</v>
      </c>
      <c r="D11932" s="0" t="n">
        <v>0</v>
      </c>
    </row>
    <row r="11933" customFormat="false" ht="13.8" hidden="true" customHeight="false" outlineLevel="0" collapsed="false">
      <c r="A11933" s="0" t="s">
        <v>213</v>
      </c>
      <c r="B11933" s="0" t="n">
        <v>35</v>
      </c>
      <c r="C11933" s="0" t="n">
        <v>2.5</v>
      </c>
      <c r="D11933" s="0" t="n">
        <v>0</v>
      </c>
    </row>
    <row r="11934" customFormat="false" ht="13.8" hidden="true" customHeight="false" outlineLevel="0" collapsed="false">
      <c r="A11934" s="0" t="s">
        <v>213</v>
      </c>
      <c r="B11934" s="0" t="n">
        <v>35</v>
      </c>
      <c r="C11934" s="0" t="n">
        <v>2.55</v>
      </c>
      <c r="D11934" s="0" t="n">
        <v>0</v>
      </c>
    </row>
    <row r="11935" customFormat="false" ht="13.8" hidden="true" customHeight="false" outlineLevel="0" collapsed="false">
      <c r="A11935" s="0" t="s">
        <v>213</v>
      </c>
      <c r="B11935" s="0" t="n">
        <v>35</v>
      </c>
      <c r="C11935" s="0" t="n">
        <v>2.6</v>
      </c>
      <c r="D11935" s="0" t="n">
        <v>0</v>
      </c>
    </row>
    <row r="11936" customFormat="false" ht="13.8" hidden="true" customHeight="false" outlineLevel="0" collapsed="false">
      <c r="A11936" s="0" t="s">
        <v>333</v>
      </c>
      <c r="B11936" s="0" t="n">
        <v>35</v>
      </c>
      <c r="C11936" s="0" t="n">
        <v>1.3</v>
      </c>
      <c r="D11936" s="0" t="n">
        <v>0.9555</v>
      </c>
    </row>
    <row r="11937" customFormat="false" ht="13.8" hidden="true" customHeight="false" outlineLevel="0" collapsed="false">
      <c r="A11937" s="0" t="s">
        <v>333</v>
      </c>
      <c r="B11937" s="0" t="n">
        <v>35</v>
      </c>
      <c r="C11937" s="0" t="n">
        <v>1.35</v>
      </c>
      <c r="D11937" s="0" t="n">
        <v>0.99225</v>
      </c>
    </row>
    <row r="11938" customFormat="false" ht="13.8" hidden="true" customHeight="false" outlineLevel="0" collapsed="false">
      <c r="A11938" s="0" t="s">
        <v>333</v>
      </c>
      <c r="B11938" s="0" t="n">
        <v>35</v>
      </c>
      <c r="C11938" s="0" t="n">
        <v>1.4</v>
      </c>
      <c r="D11938" s="0" t="n">
        <v>1.029</v>
      </c>
    </row>
    <row r="11939" customFormat="false" ht="13.8" hidden="true" customHeight="false" outlineLevel="0" collapsed="false">
      <c r="A11939" s="0" t="s">
        <v>333</v>
      </c>
      <c r="B11939" s="0" t="n">
        <v>35</v>
      </c>
      <c r="C11939" s="0" t="n">
        <v>1.45</v>
      </c>
      <c r="D11939" s="0" t="n">
        <v>1.06575</v>
      </c>
    </row>
    <row r="11940" customFormat="false" ht="13.8" hidden="true" customHeight="false" outlineLevel="0" collapsed="false">
      <c r="A11940" s="0" t="s">
        <v>333</v>
      </c>
      <c r="B11940" s="0" t="n">
        <v>35</v>
      </c>
      <c r="C11940" s="0" t="n">
        <v>1.5</v>
      </c>
      <c r="D11940" s="0" t="n">
        <v>0</v>
      </c>
    </row>
    <row r="11941" customFormat="false" ht="13.8" hidden="true" customHeight="false" outlineLevel="0" collapsed="false">
      <c r="A11941" s="0" t="s">
        <v>333</v>
      </c>
      <c r="B11941" s="0" t="n">
        <v>35</v>
      </c>
      <c r="C11941" s="0" t="n">
        <v>1.55</v>
      </c>
      <c r="D11941" s="0" t="n">
        <v>0</v>
      </c>
    </row>
    <row r="11942" customFormat="false" ht="13.8" hidden="true" customHeight="false" outlineLevel="0" collapsed="false">
      <c r="A11942" s="0" t="s">
        <v>333</v>
      </c>
      <c r="B11942" s="0" t="n">
        <v>35</v>
      </c>
      <c r="C11942" s="0" t="n">
        <v>1.6</v>
      </c>
      <c r="D11942" s="0" t="n">
        <v>0</v>
      </c>
    </row>
    <row r="11943" customFormat="false" ht="13.8" hidden="true" customHeight="false" outlineLevel="0" collapsed="false">
      <c r="A11943" s="0" t="s">
        <v>333</v>
      </c>
      <c r="B11943" s="0" t="n">
        <v>35</v>
      </c>
      <c r="C11943" s="0" t="n">
        <v>1.65</v>
      </c>
      <c r="D11943" s="0" t="n">
        <v>0</v>
      </c>
    </row>
    <row r="11944" customFormat="false" ht="13.8" hidden="true" customHeight="false" outlineLevel="0" collapsed="false">
      <c r="A11944" s="0" t="s">
        <v>333</v>
      </c>
      <c r="B11944" s="0" t="n">
        <v>35</v>
      </c>
      <c r="C11944" s="0" t="n">
        <v>1.7</v>
      </c>
      <c r="D11944" s="0" t="n">
        <v>0</v>
      </c>
    </row>
    <row r="11945" customFormat="false" ht="13.8" hidden="true" customHeight="false" outlineLevel="0" collapsed="false">
      <c r="A11945" s="0" t="s">
        <v>333</v>
      </c>
      <c r="B11945" s="0" t="n">
        <v>35</v>
      </c>
      <c r="C11945" s="0" t="n">
        <v>1.75</v>
      </c>
      <c r="D11945" s="0" t="n">
        <v>0</v>
      </c>
    </row>
    <row r="11946" customFormat="false" ht="13.8" hidden="true" customHeight="false" outlineLevel="0" collapsed="false">
      <c r="A11946" s="0" t="s">
        <v>333</v>
      </c>
      <c r="B11946" s="0" t="n">
        <v>35</v>
      </c>
      <c r="C11946" s="0" t="n">
        <v>1.8</v>
      </c>
      <c r="D11946" s="0" t="n">
        <v>0</v>
      </c>
    </row>
    <row r="11947" customFormat="false" ht="13.8" hidden="true" customHeight="false" outlineLevel="0" collapsed="false">
      <c r="A11947" s="0" t="s">
        <v>333</v>
      </c>
      <c r="B11947" s="0" t="n">
        <v>35</v>
      </c>
      <c r="C11947" s="0" t="n">
        <v>1.85</v>
      </c>
      <c r="D11947" s="0" t="n">
        <v>0</v>
      </c>
    </row>
    <row r="11948" customFormat="false" ht="13.8" hidden="true" customHeight="false" outlineLevel="0" collapsed="false">
      <c r="A11948" s="0" t="s">
        <v>333</v>
      </c>
      <c r="B11948" s="0" t="n">
        <v>35</v>
      </c>
      <c r="C11948" s="0" t="n">
        <v>1.9</v>
      </c>
      <c r="D11948" s="0" t="n">
        <v>0</v>
      </c>
    </row>
    <row r="11949" customFormat="false" ht="13.8" hidden="true" customHeight="false" outlineLevel="0" collapsed="false">
      <c r="A11949" s="0" t="s">
        <v>333</v>
      </c>
      <c r="B11949" s="0" t="n">
        <v>35</v>
      </c>
      <c r="C11949" s="0" t="n">
        <v>1.95</v>
      </c>
      <c r="D11949" s="0" t="n">
        <v>0</v>
      </c>
    </row>
    <row r="11950" customFormat="false" ht="13.8" hidden="true" customHeight="false" outlineLevel="0" collapsed="false">
      <c r="A11950" s="0" t="s">
        <v>333</v>
      </c>
      <c r="B11950" s="0" t="n">
        <v>35</v>
      </c>
      <c r="C11950" s="0" t="n">
        <v>2</v>
      </c>
      <c r="D11950" s="0" t="n">
        <v>0</v>
      </c>
    </row>
    <row r="11951" customFormat="false" ht="13.8" hidden="true" customHeight="false" outlineLevel="0" collapsed="false">
      <c r="A11951" s="0" t="s">
        <v>333</v>
      </c>
      <c r="B11951" s="0" t="n">
        <v>35</v>
      </c>
      <c r="C11951" s="0" t="n">
        <v>2.05</v>
      </c>
      <c r="D11951" s="0" t="n">
        <v>0</v>
      </c>
    </row>
    <row r="11952" customFormat="false" ht="13.8" hidden="true" customHeight="false" outlineLevel="0" collapsed="false">
      <c r="A11952" s="0" t="s">
        <v>333</v>
      </c>
      <c r="B11952" s="0" t="n">
        <v>35</v>
      </c>
      <c r="C11952" s="0" t="n">
        <v>2.1</v>
      </c>
      <c r="D11952" s="0" t="n">
        <v>0</v>
      </c>
    </row>
    <row r="11953" customFormat="false" ht="13.8" hidden="true" customHeight="false" outlineLevel="0" collapsed="false">
      <c r="A11953" s="0" t="s">
        <v>333</v>
      </c>
      <c r="B11953" s="0" t="n">
        <v>35</v>
      </c>
      <c r="C11953" s="0" t="n">
        <v>2.15</v>
      </c>
      <c r="D11953" s="0" t="n">
        <v>0</v>
      </c>
    </row>
    <row r="11954" customFormat="false" ht="13.8" hidden="true" customHeight="false" outlineLevel="0" collapsed="false">
      <c r="A11954" s="0" t="s">
        <v>333</v>
      </c>
      <c r="B11954" s="0" t="n">
        <v>35</v>
      </c>
      <c r="C11954" s="0" t="n">
        <v>2.2</v>
      </c>
      <c r="D11954" s="0" t="n">
        <v>0</v>
      </c>
    </row>
    <row r="11955" customFormat="false" ht="13.8" hidden="true" customHeight="false" outlineLevel="0" collapsed="false">
      <c r="A11955" s="0" t="s">
        <v>333</v>
      </c>
      <c r="B11955" s="0" t="n">
        <v>35</v>
      </c>
      <c r="C11955" s="0" t="n">
        <v>2.25</v>
      </c>
      <c r="D11955" s="0" t="n">
        <v>0</v>
      </c>
    </row>
    <row r="11956" customFormat="false" ht="13.8" hidden="true" customHeight="false" outlineLevel="0" collapsed="false">
      <c r="A11956" s="0" t="s">
        <v>333</v>
      </c>
      <c r="B11956" s="0" t="n">
        <v>35</v>
      </c>
      <c r="C11956" s="0" t="n">
        <v>2.3</v>
      </c>
      <c r="D11956" s="0" t="n">
        <v>0</v>
      </c>
    </row>
    <row r="11957" customFormat="false" ht="13.8" hidden="true" customHeight="false" outlineLevel="0" collapsed="false">
      <c r="A11957" s="0" t="s">
        <v>333</v>
      </c>
      <c r="B11957" s="0" t="n">
        <v>35</v>
      </c>
      <c r="C11957" s="0" t="n">
        <v>2.35</v>
      </c>
      <c r="D11957" s="0" t="n">
        <v>0</v>
      </c>
    </row>
    <row r="11958" customFormat="false" ht="13.8" hidden="true" customHeight="false" outlineLevel="0" collapsed="false">
      <c r="A11958" s="0" t="s">
        <v>333</v>
      </c>
      <c r="B11958" s="0" t="n">
        <v>35</v>
      </c>
      <c r="C11958" s="0" t="n">
        <v>2.4</v>
      </c>
      <c r="D11958" s="0" t="n">
        <v>0</v>
      </c>
    </row>
    <row r="11959" customFormat="false" ht="13.8" hidden="true" customHeight="false" outlineLevel="0" collapsed="false">
      <c r="A11959" s="0" t="s">
        <v>333</v>
      </c>
      <c r="B11959" s="0" t="n">
        <v>35</v>
      </c>
      <c r="C11959" s="0" t="n">
        <v>2.45</v>
      </c>
      <c r="D11959" s="0" t="n">
        <v>0</v>
      </c>
    </row>
    <row r="11960" customFormat="false" ht="13.8" hidden="true" customHeight="false" outlineLevel="0" collapsed="false">
      <c r="A11960" s="0" t="s">
        <v>333</v>
      </c>
      <c r="B11960" s="0" t="n">
        <v>35</v>
      </c>
      <c r="C11960" s="0" t="n">
        <v>2.5</v>
      </c>
      <c r="D11960" s="0" t="n">
        <v>0</v>
      </c>
    </row>
    <row r="11961" customFormat="false" ht="13.8" hidden="true" customHeight="false" outlineLevel="0" collapsed="false">
      <c r="A11961" s="0" t="s">
        <v>333</v>
      </c>
      <c r="B11961" s="0" t="n">
        <v>35</v>
      </c>
      <c r="C11961" s="0" t="n">
        <v>2.55</v>
      </c>
      <c r="D11961" s="0" t="n">
        <v>0</v>
      </c>
    </row>
    <row r="11962" customFormat="false" ht="13.8" hidden="true" customHeight="false" outlineLevel="0" collapsed="false">
      <c r="A11962" s="0" t="s">
        <v>333</v>
      </c>
      <c r="B11962" s="0" t="n">
        <v>35</v>
      </c>
      <c r="C11962" s="0" t="n">
        <v>2.6</v>
      </c>
      <c r="D11962" s="0" t="n">
        <v>0</v>
      </c>
    </row>
    <row r="11963" customFormat="false" ht="13.8" hidden="true" customHeight="false" outlineLevel="0" collapsed="false">
      <c r="A11963" s="0" t="s">
        <v>214</v>
      </c>
      <c r="B11963" s="0" t="n">
        <v>35</v>
      </c>
      <c r="C11963" s="0" t="n">
        <v>1.3</v>
      </c>
      <c r="D11963" s="0" t="n">
        <v>0</v>
      </c>
    </row>
    <row r="11964" customFormat="false" ht="13.8" hidden="true" customHeight="false" outlineLevel="0" collapsed="false">
      <c r="A11964" s="0" t="s">
        <v>214</v>
      </c>
      <c r="B11964" s="0" t="n">
        <v>35</v>
      </c>
      <c r="C11964" s="0" t="n">
        <v>1.35</v>
      </c>
      <c r="D11964" s="0" t="n">
        <v>0</v>
      </c>
    </row>
    <row r="11965" customFormat="false" ht="13.8" hidden="true" customHeight="false" outlineLevel="0" collapsed="false">
      <c r="A11965" s="0" t="s">
        <v>214</v>
      </c>
      <c r="B11965" s="0" t="n">
        <v>35</v>
      </c>
      <c r="C11965" s="0" t="n">
        <v>1.4</v>
      </c>
      <c r="D11965" s="0" t="n">
        <v>0</v>
      </c>
    </row>
    <row r="11966" customFormat="false" ht="13.8" hidden="true" customHeight="false" outlineLevel="0" collapsed="false">
      <c r="A11966" s="0" t="s">
        <v>214</v>
      </c>
      <c r="B11966" s="0" t="n">
        <v>35</v>
      </c>
      <c r="C11966" s="0" t="n">
        <v>1.45</v>
      </c>
      <c r="D11966" s="0" t="n">
        <v>1.06575</v>
      </c>
    </row>
    <row r="11967" customFormat="false" ht="13.8" hidden="true" customHeight="false" outlineLevel="0" collapsed="false">
      <c r="A11967" s="0" t="s">
        <v>214</v>
      </c>
      <c r="B11967" s="0" t="n">
        <v>35</v>
      </c>
      <c r="C11967" s="0" t="n">
        <v>1.5</v>
      </c>
      <c r="D11967" s="0" t="n">
        <v>1.1025</v>
      </c>
    </row>
    <row r="11968" customFormat="false" ht="13.8" hidden="true" customHeight="false" outlineLevel="0" collapsed="false">
      <c r="A11968" s="0" t="s">
        <v>214</v>
      </c>
      <c r="B11968" s="0" t="n">
        <v>35</v>
      </c>
      <c r="C11968" s="0" t="n">
        <v>1.55</v>
      </c>
      <c r="D11968" s="0" t="n">
        <v>1.13925</v>
      </c>
    </row>
    <row r="11969" customFormat="false" ht="13.8" hidden="true" customHeight="false" outlineLevel="0" collapsed="false">
      <c r="A11969" s="0" t="s">
        <v>214</v>
      </c>
      <c r="B11969" s="0" t="n">
        <v>35</v>
      </c>
      <c r="C11969" s="0" t="n">
        <v>1.6</v>
      </c>
      <c r="D11969" s="0" t="n">
        <v>1.176</v>
      </c>
    </row>
    <row r="11970" customFormat="false" ht="13.8" hidden="true" customHeight="false" outlineLevel="0" collapsed="false">
      <c r="A11970" s="0" t="s">
        <v>214</v>
      </c>
      <c r="B11970" s="0" t="n">
        <v>35</v>
      </c>
      <c r="C11970" s="0" t="n">
        <v>1.65</v>
      </c>
      <c r="D11970" s="0" t="n">
        <v>1.21275</v>
      </c>
    </row>
    <row r="11971" customFormat="false" ht="13.8" hidden="true" customHeight="false" outlineLevel="0" collapsed="false">
      <c r="A11971" s="0" t="s">
        <v>214</v>
      </c>
      <c r="B11971" s="0" t="n">
        <v>35</v>
      </c>
      <c r="C11971" s="0" t="n">
        <v>1.7</v>
      </c>
      <c r="D11971" s="0" t="n">
        <v>1.2495</v>
      </c>
    </row>
    <row r="11972" customFormat="false" ht="13.8" hidden="true" customHeight="false" outlineLevel="0" collapsed="false">
      <c r="A11972" s="0" t="s">
        <v>214</v>
      </c>
      <c r="B11972" s="0" t="n">
        <v>35</v>
      </c>
      <c r="C11972" s="0" t="n">
        <v>1.75</v>
      </c>
      <c r="D11972" s="0" t="n">
        <v>1.28625</v>
      </c>
    </row>
    <row r="11973" customFormat="false" ht="13.8" hidden="true" customHeight="false" outlineLevel="0" collapsed="false">
      <c r="A11973" s="0" t="s">
        <v>214</v>
      </c>
      <c r="B11973" s="0" t="n">
        <v>35</v>
      </c>
      <c r="C11973" s="0" t="n">
        <v>1.8</v>
      </c>
      <c r="D11973" s="0" t="n">
        <v>0</v>
      </c>
    </row>
    <row r="11974" customFormat="false" ht="13.8" hidden="true" customHeight="false" outlineLevel="0" collapsed="false">
      <c r="A11974" s="0" t="s">
        <v>214</v>
      </c>
      <c r="B11974" s="0" t="n">
        <v>35</v>
      </c>
      <c r="C11974" s="0" t="n">
        <v>1.85</v>
      </c>
      <c r="D11974" s="0" t="n">
        <v>0</v>
      </c>
    </row>
    <row r="11975" customFormat="false" ht="13.8" hidden="true" customHeight="false" outlineLevel="0" collapsed="false">
      <c r="A11975" s="0" t="s">
        <v>214</v>
      </c>
      <c r="B11975" s="0" t="n">
        <v>35</v>
      </c>
      <c r="C11975" s="0" t="n">
        <v>1.9</v>
      </c>
      <c r="D11975" s="0" t="n">
        <v>0</v>
      </c>
    </row>
    <row r="11976" customFormat="false" ht="13.8" hidden="true" customHeight="false" outlineLevel="0" collapsed="false">
      <c r="A11976" s="0" t="s">
        <v>214</v>
      </c>
      <c r="B11976" s="0" t="n">
        <v>35</v>
      </c>
      <c r="C11976" s="0" t="n">
        <v>1.95</v>
      </c>
      <c r="D11976" s="0" t="n">
        <v>0</v>
      </c>
    </row>
    <row r="11977" customFormat="false" ht="13.8" hidden="true" customHeight="false" outlineLevel="0" collapsed="false">
      <c r="A11977" s="0" t="s">
        <v>214</v>
      </c>
      <c r="B11977" s="0" t="n">
        <v>35</v>
      </c>
      <c r="C11977" s="0" t="n">
        <v>2</v>
      </c>
      <c r="D11977" s="0" t="n">
        <v>0</v>
      </c>
    </row>
    <row r="11978" customFormat="false" ht="13.8" hidden="true" customHeight="false" outlineLevel="0" collapsed="false">
      <c r="A11978" s="0" t="s">
        <v>214</v>
      </c>
      <c r="B11978" s="0" t="n">
        <v>35</v>
      </c>
      <c r="C11978" s="0" t="n">
        <v>2.05</v>
      </c>
      <c r="D11978" s="0" t="n">
        <v>0</v>
      </c>
    </row>
    <row r="11979" customFormat="false" ht="13.8" hidden="true" customHeight="false" outlineLevel="0" collapsed="false">
      <c r="A11979" s="0" t="s">
        <v>214</v>
      </c>
      <c r="B11979" s="0" t="n">
        <v>35</v>
      </c>
      <c r="C11979" s="0" t="n">
        <v>2.1</v>
      </c>
      <c r="D11979" s="0" t="n">
        <v>0</v>
      </c>
    </row>
    <row r="11980" customFormat="false" ht="13.8" hidden="true" customHeight="false" outlineLevel="0" collapsed="false">
      <c r="A11980" s="0" t="s">
        <v>214</v>
      </c>
      <c r="B11980" s="0" t="n">
        <v>35</v>
      </c>
      <c r="C11980" s="0" t="n">
        <v>2.15</v>
      </c>
      <c r="D11980" s="0" t="n">
        <v>0</v>
      </c>
    </row>
    <row r="11981" customFormat="false" ht="13.8" hidden="true" customHeight="false" outlineLevel="0" collapsed="false">
      <c r="A11981" s="0" t="s">
        <v>214</v>
      </c>
      <c r="B11981" s="0" t="n">
        <v>35</v>
      </c>
      <c r="C11981" s="0" t="n">
        <v>2.2</v>
      </c>
      <c r="D11981" s="0" t="n">
        <v>0</v>
      </c>
    </row>
    <row r="11982" customFormat="false" ht="13.8" hidden="true" customHeight="false" outlineLevel="0" collapsed="false">
      <c r="A11982" s="0" t="s">
        <v>214</v>
      </c>
      <c r="B11982" s="0" t="n">
        <v>35</v>
      </c>
      <c r="C11982" s="0" t="n">
        <v>2.25</v>
      </c>
      <c r="D11982" s="0" t="n">
        <v>0</v>
      </c>
    </row>
    <row r="11983" customFormat="false" ht="13.8" hidden="true" customHeight="false" outlineLevel="0" collapsed="false">
      <c r="A11983" s="0" t="s">
        <v>214</v>
      </c>
      <c r="B11983" s="0" t="n">
        <v>35</v>
      </c>
      <c r="C11983" s="0" t="n">
        <v>2.3</v>
      </c>
      <c r="D11983" s="0" t="n">
        <v>0</v>
      </c>
    </row>
    <row r="11984" customFormat="false" ht="13.8" hidden="true" customHeight="false" outlineLevel="0" collapsed="false">
      <c r="A11984" s="0" t="s">
        <v>214</v>
      </c>
      <c r="B11984" s="0" t="n">
        <v>35</v>
      </c>
      <c r="C11984" s="0" t="n">
        <v>2.35</v>
      </c>
      <c r="D11984" s="0" t="n">
        <v>0</v>
      </c>
    </row>
    <row r="11985" customFormat="false" ht="13.8" hidden="true" customHeight="false" outlineLevel="0" collapsed="false">
      <c r="A11985" s="0" t="s">
        <v>214</v>
      </c>
      <c r="B11985" s="0" t="n">
        <v>35</v>
      </c>
      <c r="C11985" s="0" t="n">
        <v>2.4</v>
      </c>
      <c r="D11985" s="0" t="n">
        <v>0</v>
      </c>
    </row>
    <row r="11986" customFormat="false" ht="13.8" hidden="true" customHeight="false" outlineLevel="0" collapsed="false">
      <c r="A11986" s="0" t="s">
        <v>214</v>
      </c>
      <c r="B11986" s="0" t="n">
        <v>35</v>
      </c>
      <c r="C11986" s="0" t="n">
        <v>2.45</v>
      </c>
      <c r="D11986" s="0" t="n">
        <v>0</v>
      </c>
    </row>
    <row r="11987" customFormat="false" ht="13.8" hidden="true" customHeight="false" outlineLevel="0" collapsed="false">
      <c r="A11987" s="0" t="s">
        <v>214</v>
      </c>
      <c r="B11987" s="0" t="n">
        <v>35</v>
      </c>
      <c r="C11987" s="0" t="n">
        <v>2.5</v>
      </c>
      <c r="D11987" s="0" t="n">
        <v>0</v>
      </c>
    </row>
    <row r="11988" customFormat="false" ht="13.8" hidden="true" customHeight="false" outlineLevel="0" collapsed="false">
      <c r="A11988" s="0" t="s">
        <v>214</v>
      </c>
      <c r="B11988" s="0" t="n">
        <v>35</v>
      </c>
      <c r="C11988" s="0" t="n">
        <v>2.55</v>
      </c>
      <c r="D11988" s="0" t="n">
        <v>0</v>
      </c>
    </row>
    <row r="11989" customFormat="false" ht="13.8" hidden="true" customHeight="false" outlineLevel="0" collapsed="false">
      <c r="A11989" s="0" t="s">
        <v>214</v>
      </c>
      <c r="B11989" s="0" t="n">
        <v>35</v>
      </c>
      <c r="C11989" s="0" t="n">
        <v>2.6</v>
      </c>
      <c r="D11989" s="0" t="n">
        <v>0</v>
      </c>
    </row>
    <row r="11990" customFormat="false" ht="13.8" hidden="true" customHeight="false" outlineLevel="0" collapsed="false">
      <c r="A11990" s="0" t="s">
        <v>334</v>
      </c>
      <c r="B11990" s="0" t="n">
        <v>35</v>
      </c>
      <c r="C11990" s="0" t="n">
        <v>1.3</v>
      </c>
      <c r="D11990" s="0" t="n">
        <v>0</v>
      </c>
    </row>
    <row r="11991" customFormat="false" ht="13.8" hidden="true" customHeight="false" outlineLevel="0" collapsed="false">
      <c r="A11991" s="0" t="s">
        <v>334</v>
      </c>
      <c r="B11991" s="0" t="n">
        <v>35</v>
      </c>
      <c r="C11991" s="0" t="n">
        <v>1.35</v>
      </c>
      <c r="D11991" s="0" t="n">
        <v>0</v>
      </c>
    </row>
    <row r="11992" customFormat="false" ht="13.8" hidden="true" customHeight="false" outlineLevel="0" collapsed="false">
      <c r="A11992" s="0" t="s">
        <v>334</v>
      </c>
      <c r="B11992" s="0" t="n">
        <v>35</v>
      </c>
      <c r="C11992" s="0" t="n">
        <v>1.4</v>
      </c>
      <c r="D11992" s="0" t="n">
        <v>0</v>
      </c>
    </row>
    <row r="11993" customFormat="false" ht="13.8" hidden="true" customHeight="false" outlineLevel="0" collapsed="false">
      <c r="A11993" s="0" t="s">
        <v>334</v>
      </c>
      <c r="B11993" s="0" t="n">
        <v>35</v>
      </c>
      <c r="C11993" s="0" t="n">
        <v>1.45</v>
      </c>
      <c r="D11993" s="0" t="n">
        <v>1.06575</v>
      </c>
    </row>
    <row r="11994" customFormat="false" ht="13.8" hidden="true" customHeight="false" outlineLevel="0" collapsed="false">
      <c r="A11994" s="0" t="s">
        <v>334</v>
      </c>
      <c r="B11994" s="0" t="n">
        <v>35</v>
      </c>
      <c r="C11994" s="0" t="n">
        <v>1.5</v>
      </c>
      <c r="D11994" s="0" t="n">
        <v>1.1025</v>
      </c>
    </row>
    <row r="11995" customFormat="false" ht="13.8" hidden="true" customHeight="false" outlineLevel="0" collapsed="false">
      <c r="A11995" s="0" t="s">
        <v>334</v>
      </c>
      <c r="B11995" s="0" t="n">
        <v>35</v>
      </c>
      <c r="C11995" s="0" t="n">
        <v>1.55</v>
      </c>
      <c r="D11995" s="0" t="n">
        <v>1.13925</v>
      </c>
    </row>
    <row r="11996" customFormat="false" ht="13.8" hidden="true" customHeight="false" outlineLevel="0" collapsed="false">
      <c r="A11996" s="0" t="s">
        <v>334</v>
      </c>
      <c r="B11996" s="0" t="n">
        <v>35</v>
      </c>
      <c r="C11996" s="0" t="n">
        <v>1.6</v>
      </c>
      <c r="D11996" s="0" t="n">
        <v>1.176</v>
      </c>
    </row>
    <row r="11997" customFormat="false" ht="13.8" hidden="true" customHeight="false" outlineLevel="0" collapsed="false">
      <c r="A11997" s="0" t="s">
        <v>334</v>
      </c>
      <c r="B11997" s="0" t="n">
        <v>35</v>
      </c>
      <c r="C11997" s="0" t="n">
        <v>1.65</v>
      </c>
      <c r="D11997" s="0" t="n">
        <v>1.21275</v>
      </c>
    </row>
    <row r="11998" customFormat="false" ht="13.8" hidden="true" customHeight="false" outlineLevel="0" collapsed="false">
      <c r="A11998" s="0" t="s">
        <v>334</v>
      </c>
      <c r="B11998" s="0" t="n">
        <v>35</v>
      </c>
      <c r="C11998" s="0" t="n">
        <v>1.7</v>
      </c>
      <c r="D11998" s="0" t="n">
        <v>1.2495</v>
      </c>
    </row>
    <row r="11999" customFormat="false" ht="13.8" hidden="true" customHeight="false" outlineLevel="0" collapsed="false">
      <c r="A11999" s="0" t="s">
        <v>334</v>
      </c>
      <c r="B11999" s="0" t="n">
        <v>35</v>
      </c>
      <c r="C11999" s="0" t="n">
        <v>1.75</v>
      </c>
      <c r="D11999" s="0" t="n">
        <v>1.28625</v>
      </c>
    </row>
    <row r="12000" customFormat="false" ht="13.8" hidden="true" customHeight="false" outlineLevel="0" collapsed="false">
      <c r="A12000" s="0" t="s">
        <v>334</v>
      </c>
      <c r="B12000" s="0" t="n">
        <v>35</v>
      </c>
      <c r="C12000" s="0" t="n">
        <v>1.8</v>
      </c>
      <c r="D12000" s="0" t="n">
        <v>0</v>
      </c>
    </row>
    <row r="12001" customFormat="false" ht="13.8" hidden="true" customHeight="false" outlineLevel="0" collapsed="false">
      <c r="A12001" s="0" t="s">
        <v>334</v>
      </c>
      <c r="B12001" s="0" t="n">
        <v>35</v>
      </c>
      <c r="C12001" s="0" t="n">
        <v>1.85</v>
      </c>
      <c r="D12001" s="0" t="n">
        <v>0</v>
      </c>
    </row>
    <row r="12002" customFormat="false" ht="13.8" hidden="true" customHeight="false" outlineLevel="0" collapsed="false">
      <c r="A12002" s="0" t="s">
        <v>334</v>
      </c>
      <c r="B12002" s="0" t="n">
        <v>35</v>
      </c>
      <c r="C12002" s="0" t="n">
        <v>1.9</v>
      </c>
      <c r="D12002" s="0" t="n">
        <v>0</v>
      </c>
    </row>
    <row r="12003" customFormat="false" ht="13.8" hidden="true" customHeight="false" outlineLevel="0" collapsed="false">
      <c r="A12003" s="0" t="s">
        <v>334</v>
      </c>
      <c r="B12003" s="0" t="n">
        <v>35</v>
      </c>
      <c r="C12003" s="0" t="n">
        <v>1.95</v>
      </c>
      <c r="D12003" s="0" t="n">
        <v>0</v>
      </c>
    </row>
    <row r="12004" customFormat="false" ht="13.8" hidden="true" customHeight="false" outlineLevel="0" collapsed="false">
      <c r="A12004" s="0" t="s">
        <v>334</v>
      </c>
      <c r="B12004" s="0" t="n">
        <v>35</v>
      </c>
      <c r="C12004" s="0" t="n">
        <v>2</v>
      </c>
      <c r="D12004" s="0" t="n">
        <v>0</v>
      </c>
    </row>
    <row r="12005" customFormat="false" ht="13.8" hidden="true" customHeight="false" outlineLevel="0" collapsed="false">
      <c r="A12005" s="0" t="s">
        <v>334</v>
      </c>
      <c r="B12005" s="0" t="n">
        <v>35</v>
      </c>
      <c r="C12005" s="0" t="n">
        <v>2.05</v>
      </c>
      <c r="D12005" s="0" t="n">
        <v>0</v>
      </c>
    </row>
    <row r="12006" customFormat="false" ht="13.8" hidden="true" customHeight="false" outlineLevel="0" collapsed="false">
      <c r="A12006" s="0" t="s">
        <v>334</v>
      </c>
      <c r="B12006" s="0" t="n">
        <v>35</v>
      </c>
      <c r="C12006" s="0" t="n">
        <v>2.1</v>
      </c>
      <c r="D12006" s="0" t="n">
        <v>0</v>
      </c>
    </row>
    <row r="12007" customFormat="false" ht="13.8" hidden="true" customHeight="false" outlineLevel="0" collapsed="false">
      <c r="A12007" s="0" t="s">
        <v>334</v>
      </c>
      <c r="B12007" s="0" t="n">
        <v>35</v>
      </c>
      <c r="C12007" s="0" t="n">
        <v>2.15</v>
      </c>
      <c r="D12007" s="0" t="n">
        <v>0</v>
      </c>
    </row>
    <row r="12008" customFormat="false" ht="13.8" hidden="true" customHeight="false" outlineLevel="0" collapsed="false">
      <c r="A12008" s="0" t="s">
        <v>334</v>
      </c>
      <c r="B12008" s="0" t="n">
        <v>35</v>
      </c>
      <c r="C12008" s="0" t="n">
        <v>2.2</v>
      </c>
      <c r="D12008" s="0" t="n">
        <v>0</v>
      </c>
    </row>
    <row r="12009" customFormat="false" ht="13.8" hidden="true" customHeight="false" outlineLevel="0" collapsed="false">
      <c r="A12009" s="0" t="s">
        <v>334</v>
      </c>
      <c r="B12009" s="0" t="n">
        <v>35</v>
      </c>
      <c r="C12009" s="0" t="n">
        <v>2.25</v>
      </c>
      <c r="D12009" s="0" t="n">
        <v>0</v>
      </c>
    </row>
    <row r="12010" customFormat="false" ht="13.8" hidden="true" customHeight="false" outlineLevel="0" collapsed="false">
      <c r="A12010" s="0" t="s">
        <v>334</v>
      </c>
      <c r="B12010" s="0" t="n">
        <v>35</v>
      </c>
      <c r="C12010" s="0" t="n">
        <v>2.3</v>
      </c>
      <c r="D12010" s="0" t="n">
        <v>0</v>
      </c>
    </row>
    <row r="12011" customFormat="false" ht="13.8" hidden="true" customHeight="false" outlineLevel="0" collapsed="false">
      <c r="A12011" s="0" t="s">
        <v>334</v>
      </c>
      <c r="B12011" s="0" t="n">
        <v>35</v>
      </c>
      <c r="C12011" s="0" t="n">
        <v>2.35</v>
      </c>
      <c r="D12011" s="0" t="n">
        <v>0</v>
      </c>
    </row>
    <row r="12012" customFormat="false" ht="13.8" hidden="true" customHeight="false" outlineLevel="0" collapsed="false">
      <c r="A12012" s="0" t="s">
        <v>334</v>
      </c>
      <c r="B12012" s="0" t="n">
        <v>35</v>
      </c>
      <c r="C12012" s="0" t="n">
        <v>2.4</v>
      </c>
      <c r="D12012" s="0" t="n">
        <v>0</v>
      </c>
    </row>
    <row r="12013" customFormat="false" ht="13.8" hidden="true" customHeight="false" outlineLevel="0" collapsed="false">
      <c r="A12013" s="0" t="s">
        <v>334</v>
      </c>
      <c r="B12013" s="0" t="n">
        <v>35</v>
      </c>
      <c r="C12013" s="0" t="n">
        <v>2.45</v>
      </c>
      <c r="D12013" s="0" t="n">
        <v>0</v>
      </c>
    </row>
    <row r="12014" customFormat="false" ht="13.8" hidden="true" customHeight="false" outlineLevel="0" collapsed="false">
      <c r="A12014" s="0" t="s">
        <v>334</v>
      </c>
      <c r="B12014" s="0" t="n">
        <v>35</v>
      </c>
      <c r="C12014" s="0" t="n">
        <v>2.5</v>
      </c>
      <c r="D12014" s="0" t="n">
        <v>0</v>
      </c>
    </row>
    <row r="12015" customFormat="false" ht="13.8" hidden="true" customHeight="false" outlineLevel="0" collapsed="false">
      <c r="A12015" s="0" t="s">
        <v>334</v>
      </c>
      <c r="B12015" s="0" t="n">
        <v>35</v>
      </c>
      <c r="C12015" s="0" t="n">
        <v>2.55</v>
      </c>
      <c r="D12015" s="0" t="n">
        <v>0</v>
      </c>
    </row>
    <row r="12016" customFormat="false" ht="13.8" hidden="true" customHeight="false" outlineLevel="0" collapsed="false">
      <c r="A12016" s="0" t="s">
        <v>334</v>
      </c>
      <c r="B12016" s="0" t="n">
        <v>35</v>
      </c>
      <c r="C12016" s="0" t="n">
        <v>2.6</v>
      </c>
      <c r="D12016" s="0" t="n">
        <v>0</v>
      </c>
    </row>
    <row r="12017" customFormat="false" ht="13.8" hidden="true" customHeight="false" outlineLevel="0" collapsed="false">
      <c r="A12017" s="0" t="s">
        <v>215</v>
      </c>
      <c r="B12017" s="0" t="n">
        <v>35</v>
      </c>
      <c r="C12017" s="0" t="n">
        <v>1.3</v>
      </c>
      <c r="D12017" s="0" t="n">
        <v>0.9555</v>
      </c>
    </row>
    <row r="12018" customFormat="false" ht="13.8" hidden="true" customHeight="false" outlineLevel="0" collapsed="false">
      <c r="A12018" s="0" t="s">
        <v>215</v>
      </c>
      <c r="B12018" s="0" t="n">
        <v>35</v>
      </c>
      <c r="C12018" s="0" t="n">
        <v>1.35</v>
      </c>
      <c r="D12018" s="0" t="n">
        <v>0.99225</v>
      </c>
    </row>
    <row r="12019" customFormat="false" ht="13.8" hidden="true" customHeight="false" outlineLevel="0" collapsed="false">
      <c r="A12019" s="0" t="s">
        <v>215</v>
      </c>
      <c r="B12019" s="0" t="n">
        <v>35</v>
      </c>
      <c r="C12019" s="0" t="n">
        <v>1.4</v>
      </c>
      <c r="D12019" s="0" t="n">
        <v>1.029</v>
      </c>
    </row>
    <row r="12020" customFormat="false" ht="13.8" hidden="true" customHeight="false" outlineLevel="0" collapsed="false">
      <c r="A12020" s="0" t="s">
        <v>215</v>
      </c>
      <c r="B12020" s="0" t="n">
        <v>35</v>
      </c>
      <c r="C12020" s="0" t="n">
        <v>1.45</v>
      </c>
      <c r="D12020" s="0" t="n">
        <v>1.06575</v>
      </c>
    </row>
    <row r="12021" customFormat="false" ht="13.8" hidden="true" customHeight="false" outlineLevel="0" collapsed="false">
      <c r="A12021" s="0" t="s">
        <v>215</v>
      </c>
      <c r="B12021" s="0" t="n">
        <v>35</v>
      </c>
      <c r="C12021" s="0" t="n">
        <v>1.5</v>
      </c>
      <c r="D12021" s="0" t="n">
        <v>0</v>
      </c>
    </row>
    <row r="12022" customFormat="false" ht="13.8" hidden="true" customHeight="false" outlineLevel="0" collapsed="false">
      <c r="A12022" s="0" t="s">
        <v>215</v>
      </c>
      <c r="B12022" s="0" t="n">
        <v>35</v>
      </c>
      <c r="C12022" s="0" t="n">
        <v>1.55</v>
      </c>
      <c r="D12022" s="0" t="n">
        <v>0</v>
      </c>
    </row>
    <row r="12023" customFormat="false" ht="13.8" hidden="true" customHeight="false" outlineLevel="0" collapsed="false">
      <c r="A12023" s="0" t="s">
        <v>215</v>
      </c>
      <c r="B12023" s="0" t="n">
        <v>35</v>
      </c>
      <c r="C12023" s="0" t="n">
        <v>1.6</v>
      </c>
      <c r="D12023" s="0" t="n">
        <v>0</v>
      </c>
    </row>
    <row r="12024" customFormat="false" ht="13.8" hidden="true" customHeight="false" outlineLevel="0" collapsed="false">
      <c r="A12024" s="0" t="s">
        <v>215</v>
      </c>
      <c r="B12024" s="0" t="n">
        <v>35</v>
      </c>
      <c r="C12024" s="0" t="n">
        <v>1.65</v>
      </c>
      <c r="D12024" s="0" t="n">
        <v>0</v>
      </c>
    </row>
    <row r="12025" customFormat="false" ht="13.8" hidden="true" customHeight="false" outlineLevel="0" collapsed="false">
      <c r="A12025" s="0" t="s">
        <v>215</v>
      </c>
      <c r="B12025" s="0" t="n">
        <v>35</v>
      </c>
      <c r="C12025" s="0" t="n">
        <v>1.7</v>
      </c>
      <c r="D12025" s="0" t="n">
        <v>0</v>
      </c>
    </row>
    <row r="12026" customFormat="false" ht="13.8" hidden="true" customHeight="false" outlineLevel="0" collapsed="false">
      <c r="A12026" s="0" t="s">
        <v>215</v>
      </c>
      <c r="B12026" s="0" t="n">
        <v>35</v>
      </c>
      <c r="C12026" s="0" t="n">
        <v>1.75</v>
      </c>
      <c r="D12026" s="0" t="n">
        <v>0</v>
      </c>
    </row>
    <row r="12027" customFormat="false" ht="13.8" hidden="true" customHeight="false" outlineLevel="0" collapsed="false">
      <c r="A12027" s="0" t="s">
        <v>215</v>
      </c>
      <c r="B12027" s="0" t="n">
        <v>35</v>
      </c>
      <c r="C12027" s="0" t="n">
        <v>1.8</v>
      </c>
      <c r="D12027" s="0" t="n">
        <v>0</v>
      </c>
    </row>
    <row r="12028" customFormat="false" ht="13.8" hidden="true" customHeight="false" outlineLevel="0" collapsed="false">
      <c r="A12028" s="0" t="s">
        <v>215</v>
      </c>
      <c r="B12028" s="0" t="n">
        <v>35</v>
      </c>
      <c r="C12028" s="0" t="n">
        <v>1.85</v>
      </c>
      <c r="D12028" s="0" t="n">
        <v>0</v>
      </c>
    </row>
    <row r="12029" customFormat="false" ht="13.8" hidden="true" customHeight="false" outlineLevel="0" collapsed="false">
      <c r="A12029" s="0" t="s">
        <v>215</v>
      </c>
      <c r="B12029" s="0" t="n">
        <v>35</v>
      </c>
      <c r="C12029" s="0" t="n">
        <v>1.9</v>
      </c>
      <c r="D12029" s="0" t="n">
        <v>0</v>
      </c>
    </row>
    <row r="12030" customFormat="false" ht="13.8" hidden="true" customHeight="false" outlineLevel="0" collapsed="false">
      <c r="A12030" s="0" t="s">
        <v>215</v>
      </c>
      <c r="B12030" s="0" t="n">
        <v>35</v>
      </c>
      <c r="C12030" s="0" t="n">
        <v>1.95</v>
      </c>
      <c r="D12030" s="0" t="n">
        <v>0</v>
      </c>
    </row>
    <row r="12031" customFormat="false" ht="13.8" hidden="true" customHeight="false" outlineLevel="0" collapsed="false">
      <c r="A12031" s="0" t="s">
        <v>215</v>
      </c>
      <c r="B12031" s="0" t="n">
        <v>35</v>
      </c>
      <c r="C12031" s="0" t="n">
        <v>2</v>
      </c>
      <c r="D12031" s="0" t="n">
        <v>0</v>
      </c>
    </row>
    <row r="12032" customFormat="false" ht="13.8" hidden="true" customHeight="false" outlineLevel="0" collapsed="false">
      <c r="A12032" s="0" t="s">
        <v>215</v>
      </c>
      <c r="B12032" s="0" t="n">
        <v>35</v>
      </c>
      <c r="C12032" s="0" t="n">
        <v>2.05</v>
      </c>
      <c r="D12032" s="0" t="n">
        <v>0</v>
      </c>
    </row>
    <row r="12033" customFormat="false" ht="13.8" hidden="true" customHeight="false" outlineLevel="0" collapsed="false">
      <c r="A12033" s="0" t="s">
        <v>215</v>
      </c>
      <c r="B12033" s="0" t="n">
        <v>35</v>
      </c>
      <c r="C12033" s="0" t="n">
        <v>2.1</v>
      </c>
      <c r="D12033" s="0" t="n">
        <v>0</v>
      </c>
    </row>
    <row r="12034" customFormat="false" ht="13.8" hidden="true" customHeight="false" outlineLevel="0" collapsed="false">
      <c r="A12034" s="0" t="s">
        <v>215</v>
      </c>
      <c r="B12034" s="0" t="n">
        <v>35</v>
      </c>
      <c r="C12034" s="0" t="n">
        <v>2.15</v>
      </c>
      <c r="D12034" s="0" t="n">
        <v>0</v>
      </c>
    </row>
    <row r="12035" customFormat="false" ht="13.8" hidden="true" customHeight="false" outlineLevel="0" collapsed="false">
      <c r="A12035" s="0" t="s">
        <v>215</v>
      </c>
      <c r="B12035" s="0" t="n">
        <v>35</v>
      </c>
      <c r="C12035" s="0" t="n">
        <v>2.2</v>
      </c>
      <c r="D12035" s="0" t="n">
        <v>0</v>
      </c>
    </row>
    <row r="12036" customFormat="false" ht="13.8" hidden="true" customHeight="false" outlineLevel="0" collapsed="false">
      <c r="A12036" s="0" t="s">
        <v>215</v>
      </c>
      <c r="B12036" s="0" t="n">
        <v>35</v>
      </c>
      <c r="C12036" s="0" t="n">
        <v>2.25</v>
      </c>
      <c r="D12036" s="0" t="n">
        <v>0</v>
      </c>
    </row>
    <row r="12037" customFormat="false" ht="13.8" hidden="true" customHeight="false" outlineLevel="0" collapsed="false">
      <c r="A12037" s="0" t="s">
        <v>215</v>
      </c>
      <c r="B12037" s="0" t="n">
        <v>35</v>
      </c>
      <c r="C12037" s="0" t="n">
        <v>2.3</v>
      </c>
      <c r="D12037" s="0" t="n">
        <v>0</v>
      </c>
    </row>
    <row r="12038" customFormat="false" ht="13.8" hidden="true" customHeight="false" outlineLevel="0" collapsed="false">
      <c r="A12038" s="0" t="s">
        <v>215</v>
      </c>
      <c r="B12038" s="0" t="n">
        <v>35</v>
      </c>
      <c r="C12038" s="0" t="n">
        <v>2.35</v>
      </c>
      <c r="D12038" s="0" t="n">
        <v>0</v>
      </c>
    </row>
    <row r="12039" customFormat="false" ht="13.8" hidden="true" customHeight="false" outlineLevel="0" collapsed="false">
      <c r="A12039" s="0" t="s">
        <v>215</v>
      </c>
      <c r="B12039" s="0" t="n">
        <v>35</v>
      </c>
      <c r="C12039" s="0" t="n">
        <v>2.4</v>
      </c>
      <c r="D12039" s="0" t="n">
        <v>0</v>
      </c>
    </row>
    <row r="12040" customFormat="false" ht="13.8" hidden="true" customHeight="false" outlineLevel="0" collapsed="false">
      <c r="A12040" s="0" t="s">
        <v>215</v>
      </c>
      <c r="B12040" s="0" t="n">
        <v>35</v>
      </c>
      <c r="C12040" s="0" t="n">
        <v>2.45</v>
      </c>
      <c r="D12040" s="0" t="n">
        <v>0</v>
      </c>
    </row>
    <row r="12041" customFormat="false" ht="13.8" hidden="true" customHeight="false" outlineLevel="0" collapsed="false">
      <c r="A12041" s="0" t="s">
        <v>215</v>
      </c>
      <c r="B12041" s="0" t="n">
        <v>35</v>
      </c>
      <c r="C12041" s="0" t="n">
        <v>2.5</v>
      </c>
      <c r="D12041" s="0" t="n">
        <v>0</v>
      </c>
    </row>
    <row r="12042" customFormat="false" ht="13.8" hidden="true" customHeight="false" outlineLevel="0" collapsed="false">
      <c r="A12042" s="0" t="s">
        <v>215</v>
      </c>
      <c r="B12042" s="0" t="n">
        <v>35</v>
      </c>
      <c r="C12042" s="0" t="n">
        <v>2.55</v>
      </c>
      <c r="D12042" s="0" t="n">
        <v>0</v>
      </c>
    </row>
    <row r="12043" customFormat="false" ht="13.8" hidden="true" customHeight="false" outlineLevel="0" collapsed="false">
      <c r="A12043" s="0" t="s">
        <v>215</v>
      </c>
      <c r="B12043" s="0" t="n">
        <v>35</v>
      </c>
      <c r="C12043" s="0" t="n">
        <v>2.6</v>
      </c>
      <c r="D12043" s="0" t="n">
        <v>0</v>
      </c>
    </row>
    <row r="12044" customFormat="false" ht="13.8" hidden="true" customHeight="false" outlineLevel="0" collapsed="false">
      <c r="A12044" s="0" t="s">
        <v>335</v>
      </c>
      <c r="B12044" s="0" t="n">
        <v>35</v>
      </c>
      <c r="C12044" s="0" t="n">
        <v>1.3</v>
      </c>
      <c r="D12044" s="0" t="n">
        <v>0.9555</v>
      </c>
    </row>
    <row r="12045" customFormat="false" ht="13.8" hidden="true" customHeight="false" outlineLevel="0" collapsed="false">
      <c r="A12045" s="0" t="s">
        <v>335</v>
      </c>
      <c r="B12045" s="0" t="n">
        <v>35</v>
      </c>
      <c r="C12045" s="0" t="n">
        <v>1.35</v>
      </c>
      <c r="D12045" s="0" t="n">
        <v>0.99225</v>
      </c>
    </row>
    <row r="12046" customFormat="false" ht="13.8" hidden="true" customHeight="false" outlineLevel="0" collapsed="false">
      <c r="A12046" s="0" t="s">
        <v>335</v>
      </c>
      <c r="B12046" s="0" t="n">
        <v>35</v>
      </c>
      <c r="C12046" s="0" t="n">
        <v>1.4</v>
      </c>
      <c r="D12046" s="0" t="n">
        <v>1.029</v>
      </c>
    </row>
    <row r="12047" customFormat="false" ht="13.8" hidden="true" customHeight="false" outlineLevel="0" collapsed="false">
      <c r="A12047" s="0" t="s">
        <v>335</v>
      </c>
      <c r="B12047" s="0" t="n">
        <v>35</v>
      </c>
      <c r="C12047" s="0" t="n">
        <v>1.45</v>
      </c>
      <c r="D12047" s="0" t="n">
        <v>1.06575</v>
      </c>
    </row>
    <row r="12048" customFormat="false" ht="13.8" hidden="true" customHeight="false" outlineLevel="0" collapsed="false">
      <c r="A12048" s="0" t="s">
        <v>335</v>
      </c>
      <c r="B12048" s="0" t="n">
        <v>35</v>
      </c>
      <c r="C12048" s="0" t="n">
        <v>1.5</v>
      </c>
      <c r="D12048" s="0" t="n">
        <v>0</v>
      </c>
    </row>
    <row r="12049" customFormat="false" ht="13.8" hidden="true" customHeight="false" outlineLevel="0" collapsed="false">
      <c r="A12049" s="0" t="s">
        <v>335</v>
      </c>
      <c r="B12049" s="0" t="n">
        <v>35</v>
      </c>
      <c r="C12049" s="0" t="n">
        <v>1.55</v>
      </c>
      <c r="D12049" s="0" t="n">
        <v>0</v>
      </c>
    </row>
    <row r="12050" customFormat="false" ht="13.8" hidden="true" customHeight="false" outlineLevel="0" collapsed="false">
      <c r="A12050" s="0" t="s">
        <v>335</v>
      </c>
      <c r="B12050" s="0" t="n">
        <v>35</v>
      </c>
      <c r="C12050" s="0" t="n">
        <v>1.6</v>
      </c>
      <c r="D12050" s="0" t="n">
        <v>0</v>
      </c>
    </row>
    <row r="12051" customFormat="false" ht="13.8" hidden="true" customHeight="false" outlineLevel="0" collapsed="false">
      <c r="A12051" s="0" t="s">
        <v>335</v>
      </c>
      <c r="B12051" s="0" t="n">
        <v>35</v>
      </c>
      <c r="C12051" s="0" t="n">
        <v>1.65</v>
      </c>
      <c r="D12051" s="0" t="n">
        <v>0</v>
      </c>
    </row>
    <row r="12052" customFormat="false" ht="13.8" hidden="true" customHeight="false" outlineLevel="0" collapsed="false">
      <c r="A12052" s="0" t="s">
        <v>335</v>
      </c>
      <c r="B12052" s="0" t="n">
        <v>35</v>
      </c>
      <c r="C12052" s="0" t="n">
        <v>1.7</v>
      </c>
      <c r="D12052" s="0" t="n">
        <v>0</v>
      </c>
    </row>
    <row r="12053" customFormat="false" ht="13.8" hidden="true" customHeight="false" outlineLevel="0" collapsed="false">
      <c r="A12053" s="0" t="s">
        <v>335</v>
      </c>
      <c r="B12053" s="0" t="n">
        <v>35</v>
      </c>
      <c r="C12053" s="0" t="n">
        <v>1.75</v>
      </c>
      <c r="D12053" s="0" t="n">
        <v>0</v>
      </c>
    </row>
    <row r="12054" customFormat="false" ht="13.8" hidden="true" customHeight="false" outlineLevel="0" collapsed="false">
      <c r="A12054" s="0" t="s">
        <v>335</v>
      </c>
      <c r="B12054" s="0" t="n">
        <v>35</v>
      </c>
      <c r="C12054" s="0" t="n">
        <v>1.8</v>
      </c>
      <c r="D12054" s="0" t="n">
        <v>0</v>
      </c>
    </row>
    <row r="12055" customFormat="false" ht="13.8" hidden="true" customHeight="false" outlineLevel="0" collapsed="false">
      <c r="A12055" s="0" t="s">
        <v>335</v>
      </c>
      <c r="B12055" s="0" t="n">
        <v>35</v>
      </c>
      <c r="C12055" s="0" t="n">
        <v>1.85</v>
      </c>
      <c r="D12055" s="0" t="n">
        <v>0</v>
      </c>
    </row>
    <row r="12056" customFormat="false" ht="13.8" hidden="true" customHeight="false" outlineLevel="0" collapsed="false">
      <c r="A12056" s="0" t="s">
        <v>335</v>
      </c>
      <c r="B12056" s="0" t="n">
        <v>35</v>
      </c>
      <c r="C12056" s="0" t="n">
        <v>1.9</v>
      </c>
      <c r="D12056" s="0" t="n">
        <v>0</v>
      </c>
    </row>
    <row r="12057" customFormat="false" ht="13.8" hidden="true" customHeight="false" outlineLevel="0" collapsed="false">
      <c r="A12057" s="0" t="s">
        <v>335</v>
      </c>
      <c r="B12057" s="0" t="n">
        <v>35</v>
      </c>
      <c r="C12057" s="0" t="n">
        <v>1.95</v>
      </c>
      <c r="D12057" s="0" t="n">
        <v>0</v>
      </c>
    </row>
    <row r="12058" customFormat="false" ht="13.8" hidden="true" customHeight="false" outlineLevel="0" collapsed="false">
      <c r="A12058" s="0" t="s">
        <v>335</v>
      </c>
      <c r="B12058" s="0" t="n">
        <v>35</v>
      </c>
      <c r="C12058" s="0" t="n">
        <v>2</v>
      </c>
      <c r="D12058" s="0" t="n">
        <v>0</v>
      </c>
    </row>
    <row r="12059" customFormat="false" ht="13.8" hidden="true" customHeight="false" outlineLevel="0" collapsed="false">
      <c r="A12059" s="0" t="s">
        <v>335</v>
      </c>
      <c r="B12059" s="0" t="n">
        <v>35</v>
      </c>
      <c r="C12059" s="0" t="n">
        <v>2.05</v>
      </c>
      <c r="D12059" s="0" t="n">
        <v>0</v>
      </c>
    </row>
    <row r="12060" customFormat="false" ht="13.8" hidden="true" customHeight="false" outlineLevel="0" collapsed="false">
      <c r="A12060" s="0" t="s">
        <v>335</v>
      </c>
      <c r="B12060" s="0" t="n">
        <v>35</v>
      </c>
      <c r="C12060" s="0" t="n">
        <v>2.1</v>
      </c>
      <c r="D12060" s="0" t="n">
        <v>0</v>
      </c>
    </row>
    <row r="12061" customFormat="false" ht="13.8" hidden="true" customHeight="false" outlineLevel="0" collapsed="false">
      <c r="A12061" s="0" t="s">
        <v>335</v>
      </c>
      <c r="B12061" s="0" t="n">
        <v>35</v>
      </c>
      <c r="C12061" s="0" t="n">
        <v>2.15</v>
      </c>
      <c r="D12061" s="0" t="n">
        <v>0</v>
      </c>
    </row>
    <row r="12062" customFormat="false" ht="13.8" hidden="true" customHeight="false" outlineLevel="0" collapsed="false">
      <c r="A12062" s="0" t="s">
        <v>335</v>
      </c>
      <c r="B12062" s="0" t="n">
        <v>35</v>
      </c>
      <c r="C12062" s="0" t="n">
        <v>2.2</v>
      </c>
      <c r="D12062" s="0" t="n">
        <v>0</v>
      </c>
    </row>
    <row r="12063" customFormat="false" ht="13.8" hidden="true" customHeight="false" outlineLevel="0" collapsed="false">
      <c r="A12063" s="0" t="s">
        <v>335</v>
      </c>
      <c r="B12063" s="0" t="n">
        <v>35</v>
      </c>
      <c r="C12063" s="0" t="n">
        <v>2.25</v>
      </c>
      <c r="D12063" s="0" t="n">
        <v>0</v>
      </c>
    </row>
    <row r="12064" customFormat="false" ht="13.8" hidden="true" customHeight="false" outlineLevel="0" collapsed="false">
      <c r="A12064" s="0" t="s">
        <v>335</v>
      </c>
      <c r="B12064" s="0" t="n">
        <v>35</v>
      </c>
      <c r="C12064" s="0" t="n">
        <v>2.3</v>
      </c>
      <c r="D12064" s="0" t="n">
        <v>0</v>
      </c>
    </row>
    <row r="12065" customFormat="false" ht="13.8" hidden="true" customHeight="false" outlineLevel="0" collapsed="false">
      <c r="A12065" s="0" t="s">
        <v>335</v>
      </c>
      <c r="B12065" s="0" t="n">
        <v>35</v>
      </c>
      <c r="C12065" s="0" t="n">
        <v>2.35</v>
      </c>
      <c r="D12065" s="0" t="n">
        <v>0</v>
      </c>
    </row>
    <row r="12066" customFormat="false" ht="13.8" hidden="true" customHeight="false" outlineLevel="0" collapsed="false">
      <c r="A12066" s="0" t="s">
        <v>335</v>
      </c>
      <c r="B12066" s="0" t="n">
        <v>35</v>
      </c>
      <c r="C12066" s="0" t="n">
        <v>2.4</v>
      </c>
      <c r="D12066" s="0" t="n">
        <v>0</v>
      </c>
    </row>
    <row r="12067" customFormat="false" ht="13.8" hidden="true" customHeight="false" outlineLevel="0" collapsed="false">
      <c r="A12067" s="0" t="s">
        <v>335</v>
      </c>
      <c r="B12067" s="0" t="n">
        <v>35</v>
      </c>
      <c r="C12067" s="0" t="n">
        <v>2.45</v>
      </c>
      <c r="D12067" s="0" t="n">
        <v>0</v>
      </c>
    </row>
    <row r="12068" customFormat="false" ht="13.8" hidden="true" customHeight="false" outlineLevel="0" collapsed="false">
      <c r="A12068" s="0" t="s">
        <v>335</v>
      </c>
      <c r="B12068" s="0" t="n">
        <v>35</v>
      </c>
      <c r="C12068" s="0" t="n">
        <v>2.5</v>
      </c>
      <c r="D12068" s="0" t="n">
        <v>0</v>
      </c>
    </row>
    <row r="12069" customFormat="false" ht="13.8" hidden="true" customHeight="false" outlineLevel="0" collapsed="false">
      <c r="A12069" s="0" t="s">
        <v>335</v>
      </c>
      <c r="B12069" s="0" t="n">
        <v>35</v>
      </c>
      <c r="C12069" s="0" t="n">
        <v>2.55</v>
      </c>
      <c r="D12069" s="0" t="n">
        <v>0</v>
      </c>
    </row>
    <row r="12070" customFormat="false" ht="13.8" hidden="true" customHeight="false" outlineLevel="0" collapsed="false">
      <c r="A12070" s="0" t="s">
        <v>335</v>
      </c>
      <c r="B12070" s="0" t="n">
        <v>35</v>
      </c>
      <c r="C12070" s="0" t="n">
        <v>2.6</v>
      </c>
      <c r="D12070" s="0" t="n">
        <v>0</v>
      </c>
    </row>
  </sheetData>
  <autoFilter ref="A1:E12070">
    <filterColumn colId="1">
      <customFilters and="true">
        <customFilter operator="equal" val="1"/>
      </customFilters>
    </filterColumn>
    <filterColumn colId="4">
      <customFilters and="true">
        <customFilter operator="equal" val="107"/>
      </customFilters>
    </filterColumn>
    <filterColumn colId="3">
      <filters>
        <filter val="1.08"/>
        <filter val="1.1475"/>
        <filter val="1.24875"/>
        <filter val="1.215"/>
        <filter val="1.18125"/>
        <filter val="1.11375"/>
      </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4663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2018-05-15T21:13:12Z</dcterms:modified>
  <cp:revision>141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